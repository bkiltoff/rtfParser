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My Reports\"/>
    </mc:Choice>
  </mc:AlternateContent>
  <bookViews>
    <workbookView xWindow="288" yWindow="612" windowWidth="12240" windowHeight="9180"/>
  </bookViews>
  <sheets>
    <sheet name="Sheet1" sheetId="13" r:id="rId1"/>
    <sheet name="RTF daily report" sheetId="1" r:id="rId2"/>
    <sheet name="variables" sheetId="3" state="hidden" r:id="rId3"/>
    <sheet name="sortLogic" sheetId="5" r:id="rId4"/>
    <sheet name="Sheet8" sheetId="12" r:id="rId5"/>
    <sheet name="link" sheetId="2" state="hidden" r:id="rId6"/>
  </sheets>
  <functionGroups builtInGroupCount="18"/>
  <externalReferences>
    <externalReference r:id="rId7"/>
  </externalReferences>
  <definedNames>
    <definedName name="_xlnm._FilterDatabase" localSheetId="5" hidden="1">link!$A$1:$I$1000</definedName>
    <definedName name="_xlnm._FilterDatabase" localSheetId="1" hidden="1">'RTF daily report'!$A$1:$H$500</definedName>
    <definedName name="_xlnm._FilterDatabase" localSheetId="0" hidden="1">Sheet1!$A$1:$E$144</definedName>
    <definedName name="_xlnm._FilterDatabase" localSheetId="3" hidden="1">sortLogic!$A$187:$P$373</definedName>
    <definedName name="CollectionName">OFFSET(#REF!,0,0,COUNTA(#REF!))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#REF!</definedName>
    <definedName name="_xlnm.Print_Area" localSheetId="1">'RTF daily report'!$A$1:$E$76</definedName>
    <definedName name="_xlnm.Print_Titles" localSheetId="1">'RTF daily report'!$1:$1</definedName>
    <definedName name="Row_Offset">variables!$C$4</definedName>
    <definedName name="tabname">variables!$C$1</definedName>
  </definedNames>
  <calcPr calcId="152511" calcMode="manual"/>
  <fileRecoveryPr autoRecover="0"/>
</workbook>
</file>

<file path=xl/calcChain.xml><?xml version="1.0" encoding="utf-8"?>
<calcChain xmlns="http://schemas.openxmlformats.org/spreadsheetml/2006/main">
  <c r="F42" i="5" l="1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G25" i="5"/>
  <c r="F26" i="5"/>
  <c r="F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F9" i="5" l="1"/>
  <c r="F6" i="5"/>
  <c r="F8" i="5"/>
  <c r="F5" i="5"/>
  <c r="F4" i="5"/>
  <c r="F10" i="5"/>
  <c r="F7" i="5"/>
  <c r="F3" i="5"/>
  <c r="F2" i="5"/>
  <c r="F11" i="5"/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" i="2"/>
  <c r="C6" i="3"/>
  <c r="A222" i="1"/>
  <c r="A190" i="1"/>
  <c r="A467" i="1"/>
  <c r="A272" i="1"/>
  <c r="A263" i="1"/>
  <c r="A243" i="1"/>
  <c r="A180" i="1"/>
  <c r="A227" i="1"/>
  <c r="A54" i="1"/>
  <c r="A199" i="1"/>
  <c r="A296" i="1"/>
  <c r="A392" i="1"/>
  <c r="A133" i="1"/>
  <c r="A312" i="1"/>
  <c r="A130" i="1"/>
  <c r="A171" i="1"/>
  <c r="A443" i="1"/>
  <c r="A362" i="1"/>
  <c r="A100" i="1"/>
  <c r="A292" i="1"/>
  <c r="A480" i="1"/>
  <c r="A126" i="1"/>
  <c r="A244" i="1"/>
  <c r="A273" i="1"/>
  <c r="A315" i="1"/>
  <c r="A49" i="1"/>
  <c r="A63" i="1"/>
  <c r="A131" i="1"/>
  <c r="A444" i="1"/>
  <c r="A86" i="1"/>
  <c r="A459" i="1"/>
  <c r="A235" i="1"/>
  <c r="A266" i="1"/>
  <c r="A10" i="1"/>
  <c r="A161" i="1"/>
  <c r="A316" i="1"/>
  <c r="C11" i="3"/>
  <c r="C5" i="3"/>
  <c r="A309" i="1"/>
  <c r="A181" i="1"/>
  <c r="A177" i="1"/>
  <c r="A408" i="1"/>
  <c r="A104" i="1"/>
  <c r="C7" i="3"/>
  <c r="A324" i="1"/>
  <c r="A32" i="1"/>
  <c r="A452" i="1"/>
  <c r="A446" i="1"/>
  <c r="A124" i="1"/>
  <c r="A43" i="1"/>
  <c r="A290" i="1"/>
  <c r="A313" i="1"/>
  <c r="A29" i="1"/>
  <c r="A413" i="1"/>
  <c r="A387" i="1"/>
  <c r="A34" i="1"/>
  <c r="A205" i="1"/>
  <c r="A132" i="1"/>
  <c r="A499" i="1"/>
  <c r="A36" i="1"/>
  <c r="A385" i="1"/>
  <c r="A425" i="1"/>
  <c r="A414" i="1"/>
  <c r="A361" i="1"/>
  <c r="A349" i="1"/>
  <c r="A69" i="1"/>
  <c r="A206" i="1"/>
  <c r="A403" i="1"/>
  <c r="A8" i="1"/>
  <c r="A350" i="1"/>
  <c r="A3" i="1"/>
  <c r="A348" i="1"/>
  <c r="A380" i="1"/>
  <c r="A457" i="1"/>
  <c r="A245" i="1"/>
  <c r="C9" i="3"/>
  <c r="D137" i="1"/>
  <c r="A336" i="1"/>
  <c r="A308" i="1"/>
  <c r="A359" i="1"/>
  <c r="D484" i="1"/>
  <c r="D113" i="1"/>
  <c r="D245" i="1"/>
  <c r="D325" i="1"/>
  <c r="D233" i="1"/>
  <c r="D427" i="1"/>
  <c r="D432" i="1"/>
  <c r="D146" i="1"/>
  <c r="D444" i="1"/>
  <c r="D43" i="1"/>
  <c r="D200" i="1"/>
  <c r="D401" i="1"/>
  <c r="D447" i="1"/>
  <c r="D310" i="1"/>
  <c r="A96" i="1"/>
  <c r="D202" i="1"/>
  <c r="D135" i="1"/>
  <c r="A164" i="1"/>
  <c r="D296" i="1"/>
  <c r="A172" i="1"/>
  <c r="C12" i="3"/>
  <c r="A170" i="1"/>
  <c r="D266" i="1"/>
  <c r="A134" i="1"/>
  <c r="D216" i="1"/>
  <c r="D363" i="1"/>
  <c r="D470" i="1"/>
  <c r="A106" i="1"/>
  <c r="A114" i="1"/>
  <c r="A456" i="1"/>
  <c r="D59" i="1"/>
  <c r="A150" i="1"/>
  <c r="D365" i="1"/>
  <c r="D419" i="1"/>
  <c r="A409" i="1"/>
  <c r="A382" i="1"/>
  <c r="A434" i="1"/>
  <c r="D409" i="1"/>
  <c r="A158" i="1"/>
  <c r="D167" i="1"/>
  <c r="A285" i="1"/>
  <c r="D426" i="1"/>
  <c r="D347" i="1"/>
  <c r="D20" i="1"/>
  <c r="D114" i="1"/>
  <c r="D394" i="1"/>
  <c r="A239" i="1"/>
  <c r="D459" i="1"/>
  <c r="D404" i="1"/>
  <c r="A27" i="1"/>
  <c r="D174" i="1"/>
  <c r="A495" i="1"/>
  <c r="D338" i="1"/>
  <c r="D206" i="1"/>
  <c r="A478" i="1"/>
  <c r="D255" i="1"/>
  <c r="A258" i="1"/>
  <c r="A182" i="1"/>
  <c r="D182" i="1"/>
  <c r="D175" i="1"/>
  <c r="D301" i="1"/>
  <c r="D87" i="1"/>
  <c r="A430" i="1"/>
  <c r="A306" i="1"/>
  <c r="A179" i="1"/>
  <c r="D213" i="1"/>
  <c r="A360" i="1"/>
  <c r="A379" i="1"/>
  <c r="A484" i="1"/>
  <c r="D228" i="1"/>
  <c r="D473" i="1"/>
  <c r="A337" i="1"/>
  <c r="D464" i="1"/>
  <c r="D47" i="1"/>
  <c r="D128" i="1"/>
  <c r="D435" i="1"/>
  <c r="A188" i="1"/>
  <c r="D116" i="1"/>
  <c r="A420" i="1"/>
  <c r="D172" i="1"/>
  <c r="A2" i="1"/>
  <c r="D282" i="1"/>
  <c r="A59" i="1"/>
  <c r="A119" i="1"/>
  <c r="A230" i="1"/>
  <c r="D250" i="1"/>
  <c r="D474" i="1"/>
  <c r="A151" i="1"/>
  <c r="D119" i="1"/>
  <c r="A367" i="1"/>
  <c r="D441" i="1"/>
  <c r="A423" i="1"/>
  <c r="D11" i="1"/>
  <c r="A33" i="1"/>
  <c r="D449" i="1"/>
  <c r="A65" i="1"/>
  <c r="D105" i="1"/>
  <c r="D297" i="1"/>
  <c r="D51" i="1"/>
  <c r="A369" i="1"/>
  <c r="D150" i="1"/>
  <c r="A26" i="1"/>
  <c r="D181" i="1"/>
  <c r="D375" i="1"/>
  <c r="D40" i="1"/>
  <c r="D448" i="1"/>
  <c r="D173" i="1"/>
  <c r="D480" i="1"/>
  <c r="A210" i="1"/>
  <c r="D22" i="1"/>
  <c r="A267" i="1"/>
  <c r="A365" i="1"/>
  <c r="A77" i="1"/>
  <c r="A481" i="1"/>
  <c r="D210" i="1"/>
  <c r="D154" i="1"/>
  <c r="D142" i="1"/>
  <c r="C10" i="3"/>
  <c r="E200" i="1"/>
  <c r="E376" i="1"/>
  <c r="E191" i="1"/>
  <c r="E223" i="1"/>
  <c r="E424" i="1"/>
  <c r="D364" i="1"/>
  <c r="D416" i="1"/>
  <c r="D355" i="1"/>
  <c r="D121" i="1"/>
  <c r="E92" i="1"/>
  <c r="A21" i="1"/>
  <c r="E231" i="1"/>
  <c r="D188" i="1"/>
  <c r="A378" i="1"/>
  <c r="E89" i="1"/>
  <c r="A447" i="1"/>
  <c r="E301" i="1"/>
  <c r="D26" i="1"/>
  <c r="D287" i="1"/>
  <c r="D14" i="1"/>
  <c r="D466" i="1"/>
  <c r="A94" i="1"/>
  <c r="C8" i="3"/>
  <c r="G188" i="1" l="1"/>
  <c r="G26" i="1"/>
  <c r="G459" i="1"/>
  <c r="G114" i="1"/>
  <c r="G206" i="1"/>
  <c r="G181" i="1"/>
  <c r="G150" i="1"/>
  <c r="G210" i="1"/>
  <c r="G409" i="1"/>
  <c r="G172" i="1"/>
  <c r="G365" i="1"/>
  <c r="G59" i="1"/>
  <c r="G119" i="1"/>
  <c r="G182" i="1"/>
  <c r="G266" i="1"/>
  <c r="G480" i="1"/>
  <c r="G447" i="1"/>
  <c r="G484" i="1"/>
  <c r="G296" i="1"/>
  <c r="G245" i="1"/>
  <c r="G43" i="1"/>
  <c r="G444" i="1"/>
  <c r="A487" i="1"/>
  <c r="A187" i="1"/>
  <c r="A73" i="1"/>
  <c r="A25" i="1"/>
  <c r="E221" i="1"/>
  <c r="C354" i="1"/>
  <c r="A241" i="1"/>
  <c r="C69" i="1"/>
  <c r="A146" i="1"/>
  <c r="C2" i="1"/>
  <c r="C316" i="1"/>
  <c r="E20" i="1"/>
  <c r="A138" i="1"/>
  <c r="C355" i="1"/>
  <c r="D378" i="1"/>
  <c r="D70" i="1"/>
  <c r="A141" i="1"/>
  <c r="A321" i="1"/>
  <c r="C220" i="1"/>
  <c r="D463" i="1"/>
  <c r="E340" i="1"/>
  <c r="D293" i="1"/>
  <c r="C226" i="1"/>
  <c r="E331" i="1"/>
  <c r="D74" i="1"/>
  <c r="C12" i="1"/>
  <c r="D10" i="1"/>
  <c r="A375" i="1"/>
  <c r="D366" i="1"/>
  <c r="C440" i="1"/>
  <c r="D168" i="1"/>
  <c r="D24" i="1"/>
  <c r="D465" i="1"/>
  <c r="E407" i="1"/>
  <c r="A9" i="1"/>
  <c r="D411" i="1"/>
  <c r="A412" i="1"/>
  <c r="E81" i="1"/>
  <c r="C381" i="1"/>
  <c r="C288" i="1"/>
  <c r="A87" i="1"/>
  <c r="E330" i="1"/>
  <c r="D439" i="1"/>
  <c r="E361" i="1"/>
  <c r="C223" i="1"/>
  <c r="A449" i="1"/>
  <c r="E51" i="1"/>
  <c r="A66" i="1"/>
  <c r="A28" i="1"/>
  <c r="A38" i="1"/>
  <c r="E392" i="1"/>
  <c r="D316" i="1"/>
  <c r="C491" i="1"/>
  <c r="C25" i="1"/>
  <c r="D305" i="1"/>
  <c r="D361" i="1"/>
  <c r="A79" i="1"/>
  <c r="E435" i="1"/>
  <c r="C101" i="1"/>
  <c r="C275" i="1"/>
  <c r="E237" i="1"/>
  <c r="A115" i="1"/>
  <c r="C397" i="1"/>
  <c r="E473" i="1"/>
  <c r="D33" i="1"/>
  <c r="C215" i="1"/>
  <c r="D108" i="1"/>
  <c r="D272" i="1"/>
  <c r="A12" i="1"/>
  <c r="A144" i="1"/>
  <c r="E308" i="1"/>
  <c r="A417" i="1"/>
  <c r="D234" i="1"/>
  <c r="E151" i="1"/>
  <c r="A303" i="1"/>
  <c r="C213" i="1"/>
  <c r="E19" i="1"/>
  <c r="E313" i="1"/>
  <c r="C378" i="1"/>
  <c r="E105" i="1"/>
  <c r="C467" i="1"/>
  <c r="E377" i="1"/>
  <c r="D334" i="1"/>
  <c r="D279" i="1"/>
  <c r="E203" i="1"/>
  <c r="D155" i="1"/>
  <c r="E138" i="1"/>
  <c r="D94" i="1"/>
  <c r="C445" i="1"/>
  <c r="E104" i="1"/>
  <c r="A261" i="1"/>
  <c r="C129" i="1"/>
  <c r="E109" i="1"/>
  <c r="E395" i="1"/>
  <c r="E290" i="1"/>
  <c r="A195" i="1"/>
  <c r="D457" i="1"/>
  <c r="C470" i="1"/>
  <c r="E143" i="1"/>
  <c r="C439" i="1"/>
  <c r="D335" i="1"/>
  <c r="E50" i="1"/>
  <c r="C422" i="1"/>
  <c r="A39" i="1"/>
  <c r="A473" i="1"/>
  <c r="E396" i="1"/>
  <c r="D32" i="1"/>
  <c r="E494" i="1"/>
  <c r="A93" i="1"/>
  <c r="C143" i="1"/>
  <c r="E106" i="1"/>
  <c r="E205" i="1"/>
  <c r="A252" i="1"/>
  <c r="A429" i="1"/>
  <c r="C403" i="1"/>
  <c r="A477" i="1"/>
  <c r="E100" i="1"/>
  <c r="D370" i="1"/>
  <c r="C435" i="1"/>
  <c r="D190" i="1"/>
  <c r="A41" i="1"/>
  <c r="E249" i="1"/>
  <c r="E11" i="1"/>
  <c r="A441" i="1"/>
  <c r="D219" i="1"/>
  <c r="E499" i="1"/>
  <c r="C76" i="1"/>
  <c r="A162" i="1"/>
  <c r="A198" i="1"/>
  <c r="E113" i="1"/>
  <c r="E418" i="1"/>
  <c r="C249" i="1"/>
  <c r="A102" i="1"/>
  <c r="D95" i="1"/>
  <c r="C430" i="1"/>
  <c r="D209" i="1"/>
  <c r="C87" i="1"/>
  <c r="A207" i="1"/>
  <c r="E390" i="1"/>
  <c r="E85" i="1"/>
  <c r="E128" i="1"/>
  <c r="C41" i="1"/>
  <c r="A250" i="1"/>
  <c r="C387" i="1"/>
  <c r="A92" i="1"/>
  <c r="C121" i="1"/>
  <c r="A281" i="1"/>
  <c r="E201" i="1"/>
  <c r="C305" i="1"/>
  <c r="E63" i="1"/>
  <c r="A391" i="1"/>
  <c r="A168" i="1"/>
  <c r="D230" i="1"/>
  <c r="C161" i="1"/>
  <c r="E477" i="1"/>
  <c r="E500" i="1"/>
  <c r="E142" i="1"/>
  <c r="D156" i="1"/>
  <c r="A253" i="1"/>
  <c r="D327" i="1"/>
  <c r="A142" i="1"/>
  <c r="A40" i="1"/>
  <c r="E266" i="1"/>
  <c r="A377" i="1"/>
  <c r="D288" i="1"/>
  <c r="A280" i="1"/>
  <c r="E110" i="1"/>
  <c r="E153" i="1"/>
  <c r="A422" i="1"/>
  <c r="A372" i="1"/>
  <c r="D362" i="1"/>
  <c r="D131" i="1"/>
  <c r="E354" i="1"/>
  <c r="E61" i="1"/>
  <c r="C43" i="1"/>
  <c r="C328" i="1"/>
  <c r="E485" i="1"/>
  <c r="C284" i="1"/>
  <c r="A191" i="1"/>
  <c r="E446" i="1"/>
  <c r="C299" i="1"/>
  <c r="E87" i="1"/>
  <c r="C266" i="1"/>
  <c r="A108" i="1"/>
  <c r="D232" i="1"/>
  <c r="C19" i="1"/>
  <c r="E214" i="1"/>
  <c r="E359" i="1"/>
  <c r="E232" i="1"/>
  <c r="E158" i="1"/>
  <c r="E45" i="1"/>
  <c r="E456" i="1"/>
  <c r="E352" i="1"/>
  <c r="C372" i="1"/>
  <c r="C261" i="1"/>
  <c r="D476" i="1"/>
  <c r="D284" i="1"/>
  <c r="C418" i="1"/>
  <c r="E116" i="1"/>
  <c r="A61" i="1"/>
  <c r="E328" i="1"/>
  <c r="C98" i="1"/>
  <c r="C5" i="1"/>
  <c r="C313" i="1"/>
  <c r="D456" i="1"/>
  <c r="E432" i="1"/>
  <c r="A233" i="1"/>
  <c r="C137" i="1"/>
  <c r="A322" i="1"/>
  <c r="E148" i="1"/>
  <c r="D125" i="1"/>
  <c r="C398" i="1"/>
  <c r="E27" i="1"/>
  <c r="E487" i="1"/>
  <c r="A189" i="1"/>
  <c r="E78" i="1"/>
  <c r="C402" i="1"/>
  <c r="D395" i="1"/>
  <c r="E90" i="1"/>
  <c r="D144" i="1"/>
  <c r="D318" i="1"/>
  <c r="C451" i="1"/>
  <c r="E497" i="1"/>
  <c r="E207" i="1"/>
  <c r="E188" i="1"/>
  <c r="C375" i="1"/>
  <c r="A176" i="1"/>
  <c r="E180" i="1"/>
  <c r="C168" i="1"/>
  <c r="E73" i="1"/>
  <c r="C333" i="1"/>
  <c r="A14" i="1"/>
  <c r="D138" i="1"/>
  <c r="E257" i="1"/>
  <c r="E187" i="1"/>
  <c r="A289" i="1"/>
  <c r="C357" i="1"/>
  <c r="A143" i="1"/>
  <c r="A283" i="1"/>
  <c r="C112" i="1"/>
  <c r="A332" i="1"/>
  <c r="A351" i="1"/>
  <c r="C92" i="1"/>
  <c r="C115" i="1"/>
  <c r="E295" i="1"/>
  <c r="C196" i="1"/>
  <c r="D333" i="1"/>
  <c r="E168" i="1"/>
  <c r="A98" i="1"/>
  <c r="C447" i="1"/>
  <c r="A204" i="1"/>
  <c r="C291" i="1"/>
  <c r="A211" i="1"/>
  <c r="D311" i="1"/>
  <c r="D111" i="1"/>
  <c r="A83" i="1"/>
  <c r="A323" i="1"/>
  <c r="D80" i="1"/>
  <c r="A331" i="1"/>
  <c r="A485" i="1"/>
  <c r="D256" i="1"/>
  <c r="E253" i="1"/>
  <c r="E162" i="1"/>
  <c r="E408" i="1"/>
  <c r="A491" i="1"/>
  <c r="A451" i="1"/>
  <c r="A500" i="1"/>
  <c r="D475" i="1"/>
  <c r="D424" i="1"/>
  <c r="A320" i="1"/>
  <c r="E72" i="1"/>
  <c r="D110" i="1"/>
  <c r="E454" i="1"/>
  <c r="C358" i="1"/>
  <c r="D322" i="1"/>
  <c r="A275" i="1"/>
  <c r="D185" i="1"/>
  <c r="E18" i="1"/>
  <c r="C359" i="1"/>
  <c r="A415" i="1"/>
  <c r="D359" i="1"/>
  <c r="A421" i="1"/>
  <c r="C487" i="1"/>
  <c r="D62" i="1"/>
  <c r="D273" i="1"/>
  <c r="D115" i="1"/>
  <c r="A196" i="1"/>
  <c r="C217" i="1"/>
  <c r="D381" i="1"/>
  <c r="D248" i="1"/>
  <c r="E83" i="1"/>
  <c r="A310" i="1"/>
  <c r="A325" i="1"/>
  <c r="E144" i="1"/>
  <c r="E294" i="1"/>
  <c r="D331" i="1"/>
  <c r="A432" i="1"/>
  <c r="E326" i="1"/>
  <c r="D214" i="1"/>
  <c r="C45" i="1"/>
  <c r="D303" i="1"/>
  <c r="C89" i="1"/>
  <c r="A240" i="1"/>
  <c r="D420" i="1"/>
  <c r="D165" i="1"/>
  <c r="D78" i="1"/>
  <c r="E134" i="1"/>
  <c r="A20" i="1"/>
  <c r="D399" i="1"/>
  <c r="C133" i="1"/>
  <c r="D162" i="1"/>
  <c r="E478" i="1"/>
  <c r="C100" i="1"/>
  <c r="C114" i="1"/>
  <c r="A454" i="1"/>
  <c r="D191" i="1"/>
  <c r="C394" i="1"/>
  <c r="E132" i="1"/>
  <c r="E259" i="1"/>
  <c r="A384" i="1"/>
  <c r="A173" i="1"/>
  <c r="E335" i="1"/>
  <c r="A6" i="1"/>
  <c r="C163" i="1"/>
  <c r="E309" i="1"/>
  <c r="E467" i="1"/>
  <c r="E386" i="1"/>
  <c r="C172" i="1"/>
  <c r="A149" i="1"/>
  <c r="E405" i="1"/>
  <c r="E327" i="1"/>
  <c r="E307" i="1"/>
  <c r="C329" i="1"/>
  <c r="D196" i="1"/>
  <c r="E8" i="1"/>
  <c r="D312" i="1"/>
  <c r="C53" i="1"/>
  <c r="C373" i="1"/>
  <c r="A463" i="1"/>
  <c r="E315" i="1"/>
  <c r="E186" i="1"/>
  <c r="D326" i="1"/>
  <c r="D400" i="1"/>
  <c r="A304" i="1"/>
  <c r="A68" i="1"/>
  <c r="E475" i="1"/>
  <c r="A238" i="1"/>
  <c r="E57" i="1"/>
  <c r="D107" i="1"/>
  <c r="E52" i="1"/>
  <c r="D430" i="1"/>
  <c r="E127" i="1"/>
  <c r="A125" i="1"/>
  <c r="E498" i="1"/>
  <c r="A496" i="1"/>
  <c r="A411" i="1"/>
  <c r="D469" i="1"/>
  <c r="E417" i="1"/>
  <c r="C177" i="1"/>
  <c r="C255" i="1"/>
  <c r="C335" i="1"/>
  <c r="A402" i="1"/>
  <c r="E334" i="1"/>
  <c r="D79" i="1"/>
  <c r="D396" i="1"/>
  <c r="E468" i="1"/>
  <c r="E374" i="1"/>
  <c r="E280" i="1"/>
  <c r="E269" i="1"/>
  <c r="C413" i="1"/>
  <c r="C420" i="1"/>
  <c r="A11" i="1"/>
  <c r="D493" i="1"/>
  <c r="E452" i="1"/>
  <c r="C473" i="1"/>
  <c r="A219" i="1"/>
  <c r="C239" i="1"/>
  <c r="D84" i="1"/>
  <c r="E324" i="1"/>
  <c r="C410" i="1"/>
  <c r="C343" i="1"/>
  <c r="D294" i="1"/>
  <c r="D438" i="1"/>
  <c r="A76" i="1"/>
  <c r="A135" i="1"/>
  <c r="C124" i="1"/>
  <c r="E71" i="1"/>
  <c r="C436" i="1"/>
  <c r="C245" i="1"/>
  <c r="A31" i="1"/>
  <c r="C380" i="1"/>
  <c r="C72" i="1"/>
  <c r="D285" i="1"/>
  <c r="A4" i="1"/>
  <c r="E277" i="1"/>
  <c r="E13" i="1"/>
  <c r="E210" i="1"/>
  <c r="A498" i="1"/>
  <c r="D222" i="1"/>
  <c r="E70" i="1"/>
  <c r="D56" i="1"/>
  <c r="E175" i="1"/>
  <c r="C23" i="1"/>
  <c r="D177" i="1"/>
  <c r="E108" i="1"/>
  <c r="C70" i="1"/>
  <c r="D184" i="1"/>
  <c r="D458" i="1"/>
  <c r="C353" i="1"/>
  <c r="E306" i="1"/>
  <c r="E287" i="1"/>
  <c r="D212" i="1"/>
  <c r="A268" i="1"/>
  <c r="C160" i="1"/>
  <c r="A37" i="1"/>
  <c r="C281" i="1"/>
  <c r="A217" i="1"/>
  <c r="E95" i="1"/>
  <c r="D348" i="1"/>
  <c r="A440" i="1"/>
  <c r="C295" i="1"/>
  <c r="A356" i="1"/>
  <c r="A489" i="1"/>
  <c r="E343" i="1"/>
  <c r="E82" i="1"/>
  <c r="E462" i="1"/>
  <c r="C6" i="1"/>
  <c r="D490" i="1"/>
  <c r="A445" i="1"/>
  <c r="E264" i="1"/>
  <c r="C301" i="1"/>
  <c r="E194" i="1"/>
  <c r="A122" i="1"/>
  <c r="E426" i="1"/>
  <c r="D205" i="1"/>
  <c r="D346" i="1"/>
  <c r="C13" i="1"/>
  <c r="C263" i="1"/>
  <c r="D275" i="1"/>
  <c r="D252" i="1"/>
  <c r="A386" i="1"/>
  <c r="E150" i="1"/>
  <c r="A468" i="1"/>
  <c r="A200" i="1"/>
  <c r="E458" i="1"/>
  <c r="D308" i="1"/>
  <c r="C441" i="1"/>
  <c r="E115" i="1"/>
  <c r="D106" i="1"/>
  <c r="D236" i="1"/>
  <c r="E481" i="1"/>
  <c r="D440" i="1"/>
  <c r="C390" i="1"/>
  <c r="E471" i="1"/>
  <c r="E254" i="1"/>
  <c r="D323" i="1"/>
  <c r="C165" i="1"/>
  <c r="E492" i="1"/>
  <c r="A112" i="1"/>
  <c r="D13" i="1"/>
  <c r="D295" i="1"/>
  <c r="E97" i="1"/>
  <c r="A492" i="1"/>
  <c r="D69" i="1"/>
  <c r="E2" i="1"/>
  <c r="C147" i="1"/>
  <c r="C203" i="1"/>
  <c r="E179" i="1"/>
  <c r="E152" i="1"/>
  <c r="C442" i="1"/>
  <c r="D102" i="1"/>
  <c r="D431" i="1"/>
  <c r="C189" i="1"/>
  <c r="D229" i="1"/>
  <c r="C138" i="1"/>
  <c r="C322" i="1"/>
  <c r="E140" i="1"/>
  <c r="C32" i="1"/>
  <c r="E165" i="1"/>
  <c r="C90" i="1"/>
  <c r="C326" i="1"/>
  <c r="E406" i="1"/>
  <c r="D408" i="1"/>
  <c r="D450" i="1"/>
  <c r="C230" i="1"/>
  <c r="A458" i="1"/>
  <c r="A148" i="1"/>
  <c r="E121" i="1"/>
  <c r="D126" i="1"/>
  <c r="D16" i="1"/>
  <c r="E421" i="1"/>
  <c r="C117" i="1"/>
  <c r="A30" i="1"/>
  <c r="A436" i="1"/>
  <c r="D292" i="1"/>
  <c r="A435" i="1"/>
  <c r="D276" i="1"/>
  <c r="C154" i="1"/>
  <c r="D274" i="1"/>
  <c r="E255" i="1"/>
  <c r="A118" i="1"/>
  <c r="D379" i="1"/>
  <c r="D41" i="1"/>
  <c r="A479" i="1"/>
  <c r="D211" i="1"/>
  <c r="C188" i="1"/>
  <c r="D92" i="1"/>
  <c r="D269" i="1"/>
  <c r="E449" i="1"/>
  <c r="C40" i="1"/>
  <c r="A301" i="1"/>
  <c r="D149" i="1"/>
  <c r="E216" i="1"/>
  <c r="E242" i="1"/>
  <c r="E123" i="1"/>
  <c r="C260" i="1"/>
  <c r="A174" i="1"/>
  <c r="D481" i="1"/>
  <c r="C379" i="1"/>
  <c r="D38" i="1"/>
  <c r="D477" i="1"/>
  <c r="E117" i="1"/>
  <c r="A341" i="1"/>
  <c r="C135" i="1"/>
  <c r="A218" i="1"/>
  <c r="E387" i="1"/>
  <c r="C103" i="1"/>
  <c r="E365" i="1"/>
  <c r="E120" i="1"/>
  <c r="A282" i="1"/>
  <c r="C75" i="1"/>
  <c r="D82" i="1"/>
  <c r="A395" i="1"/>
  <c r="C51" i="1"/>
  <c r="C169" i="1"/>
  <c r="E171" i="1"/>
  <c r="A299" i="1"/>
  <c r="A318" i="1"/>
  <c r="A109" i="1"/>
  <c r="C216" i="1"/>
  <c r="A52" i="1"/>
  <c r="A330" i="1"/>
  <c r="A328" i="1"/>
  <c r="E370" i="1"/>
  <c r="E156" i="1"/>
  <c r="A333" i="1"/>
  <c r="D127" i="1"/>
  <c r="A139" i="1"/>
  <c r="C376" i="1"/>
  <c r="C232" i="1"/>
  <c r="E59" i="1"/>
  <c r="E416" i="1"/>
  <c r="A97" i="1"/>
  <c r="E248" i="1"/>
  <c r="D179" i="1"/>
  <c r="D161" i="1"/>
  <c r="E80" i="1"/>
  <c r="E54" i="1"/>
  <c r="E347" i="1"/>
  <c r="D197" i="1"/>
  <c r="A416" i="1"/>
  <c r="E184" i="1"/>
  <c r="C224" i="1"/>
  <c r="A397" i="1"/>
  <c r="E229" i="1"/>
  <c r="A160" i="1"/>
  <c r="D66" i="1"/>
  <c r="A399" i="1"/>
  <c r="E199" i="1"/>
  <c r="C497" i="1"/>
  <c r="E409" i="1"/>
  <c r="C21" i="1"/>
  <c r="C383" i="1"/>
  <c r="D307" i="1"/>
  <c r="A113" i="1"/>
  <c r="C52" i="1"/>
  <c r="E49" i="1"/>
  <c r="A426" i="1"/>
  <c r="A393" i="1"/>
  <c r="D500" i="1"/>
  <c r="E86" i="1"/>
  <c r="C480" i="1"/>
  <c r="A203" i="1"/>
  <c r="C386" i="1"/>
  <c r="D382" i="1"/>
  <c r="D291" i="1"/>
  <c r="D21" i="1"/>
  <c r="D485" i="1"/>
  <c r="D130" i="1"/>
  <c r="A352" i="1"/>
  <c r="A373" i="1"/>
  <c r="D3" i="1"/>
  <c r="A482" i="1"/>
  <c r="A381" i="1"/>
  <c r="E412" i="1"/>
  <c r="D8" i="1"/>
  <c r="E46" i="1"/>
  <c r="A358" i="1"/>
  <c r="D65" i="1"/>
  <c r="A338" i="1"/>
  <c r="A75" i="1"/>
  <c r="D48" i="1"/>
  <c r="A271" i="1"/>
  <c r="A327" i="1"/>
  <c r="E466" i="1"/>
  <c r="E496" i="1"/>
  <c r="A23" i="1"/>
  <c r="A71" i="1"/>
  <c r="C474" i="1"/>
  <c r="C351" i="1"/>
  <c r="E398" i="1"/>
  <c r="D187" i="1"/>
  <c r="A364" i="1"/>
  <c r="E346" i="1"/>
  <c r="E197" i="1"/>
  <c r="A294" i="1"/>
  <c r="D254" i="1"/>
  <c r="C431" i="1"/>
  <c r="C231" i="1"/>
  <c r="C330" i="1"/>
  <c r="A394" i="1"/>
  <c r="E263" i="1"/>
  <c r="C479" i="1"/>
  <c r="E69" i="1"/>
  <c r="A254" i="1"/>
  <c r="D68" i="1"/>
  <c r="D186" i="1"/>
  <c r="D397" i="1"/>
  <c r="A428" i="1"/>
  <c r="E17" i="1"/>
  <c r="D223" i="1"/>
  <c r="E227" i="1"/>
  <c r="A154" i="1"/>
  <c r="A224" i="1"/>
  <c r="E130" i="1"/>
  <c r="D413" i="1"/>
  <c r="D304" i="1"/>
  <c r="D467" i="1"/>
  <c r="D231" i="1"/>
  <c r="E28" i="1"/>
  <c r="E274" i="1"/>
  <c r="C276" i="1"/>
  <c r="A15" i="1"/>
  <c r="D349" i="1"/>
  <c r="A220" i="1"/>
  <c r="D344" i="1"/>
  <c r="C119" i="1"/>
  <c r="C8" i="1"/>
  <c r="D218" i="1"/>
  <c r="A472" i="1"/>
  <c r="C477" i="1"/>
  <c r="E401" i="1"/>
  <c r="A117" i="1"/>
  <c r="D73" i="1"/>
  <c r="C93" i="1"/>
  <c r="E356" i="1"/>
  <c r="C63" i="1"/>
  <c r="A259" i="1"/>
  <c r="C270" i="1"/>
  <c r="E126" i="1"/>
  <c r="E311" i="1"/>
  <c r="D143" i="1"/>
  <c r="C368" i="1"/>
  <c r="A84" i="1"/>
  <c r="A110" i="1"/>
  <c r="A201" i="1"/>
  <c r="D9" i="1"/>
  <c r="E413" i="1"/>
  <c r="E351" i="1"/>
  <c r="E159" i="1"/>
  <c r="E154" i="1"/>
  <c r="A343" i="1"/>
  <c r="E338" i="1"/>
  <c r="E260" i="1"/>
  <c r="C285" i="1"/>
  <c r="A433" i="1"/>
  <c r="D415" i="1"/>
  <c r="A236" i="1"/>
  <c r="C214" i="1"/>
  <c r="D443" i="1"/>
  <c r="A291" i="1"/>
  <c r="C496" i="1"/>
  <c r="C36" i="1"/>
  <c r="E147" i="1"/>
  <c r="C465" i="1"/>
  <c r="A293" i="1"/>
  <c r="D42" i="1"/>
  <c r="D37" i="1"/>
  <c r="E176" i="1"/>
  <c r="A255" i="1"/>
  <c r="A212" i="1"/>
  <c r="C419" i="1"/>
  <c r="E434" i="1"/>
  <c r="A314" i="1"/>
  <c r="E164" i="1"/>
  <c r="C48" i="1"/>
  <c r="D241" i="1"/>
  <c r="E383" i="1"/>
  <c r="E204" i="1"/>
  <c r="C485" i="1"/>
  <c r="A213" i="1"/>
  <c r="C495" i="1"/>
  <c r="C236" i="1"/>
  <c r="C449" i="1"/>
  <c r="E342" i="1"/>
  <c r="E339" i="1"/>
  <c r="E431" i="1"/>
  <c r="A89" i="1"/>
  <c r="E129" i="1"/>
  <c r="A405" i="1"/>
  <c r="D321" i="1"/>
  <c r="A24" i="1"/>
  <c r="C492" i="1"/>
  <c r="E136" i="1"/>
  <c r="E427" i="1"/>
  <c r="A462" i="1"/>
  <c r="C108" i="1"/>
  <c r="A466" i="1"/>
  <c r="E4" i="1"/>
  <c r="A390" i="1"/>
  <c r="D495" i="1"/>
  <c r="A229" i="1"/>
  <c r="C244" i="1"/>
  <c r="D124" i="1"/>
  <c r="D81" i="1"/>
  <c r="D336" i="1"/>
  <c r="C37" i="1"/>
  <c r="A461" i="1"/>
  <c r="D220" i="1"/>
  <c r="E439" i="1"/>
  <c r="E463" i="1"/>
  <c r="D17" i="1"/>
  <c r="E436" i="1"/>
  <c r="A16" i="1"/>
  <c r="E268" i="1"/>
  <c r="A340" i="1"/>
  <c r="D189" i="1"/>
  <c r="C459" i="1"/>
  <c r="C253" i="1"/>
  <c r="C264" i="1"/>
  <c r="A256" i="1"/>
  <c r="C444" i="1"/>
  <c r="C423" i="1"/>
  <c r="D471" i="1"/>
  <c r="D247" i="1"/>
  <c r="A376" i="1"/>
  <c r="A99" i="1"/>
  <c r="E441" i="1"/>
  <c r="A438" i="1"/>
  <c r="E397" i="1"/>
  <c r="C148" i="1"/>
  <c r="D371" i="1"/>
  <c r="D337" i="1"/>
  <c r="C332" i="1"/>
  <c r="A72" i="1"/>
  <c r="E443" i="1"/>
  <c r="D194" i="1"/>
  <c r="A111" i="1"/>
  <c r="C498" i="1"/>
  <c r="E450" i="1"/>
  <c r="A497" i="1"/>
  <c r="C494" i="1"/>
  <c r="D76" i="1"/>
  <c r="A136" i="1"/>
  <c r="D7" i="1"/>
  <c r="D306" i="1"/>
  <c r="C204" i="1"/>
  <c r="D339" i="1"/>
  <c r="E285" i="1"/>
  <c r="A184" i="1"/>
  <c r="A123" i="1"/>
  <c r="C30" i="1"/>
  <c r="C452" i="1"/>
  <c r="D120" i="1"/>
  <c r="A62" i="1"/>
  <c r="D39" i="1"/>
  <c r="D171" i="1"/>
  <c r="A453" i="1"/>
  <c r="C454" i="1"/>
  <c r="C234" i="1"/>
  <c r="E256" i="1"/>
  <c r="E149" i="1"/>
  <c r="A347" i="1"/>
  <c r="A368" i="1"/>
  <c r="E310" i="1"/>
  <c r="A48" i="1"/>
  <c r="E101" i="1"/>
  <c r="C265" i="1"/>
  <c r="D271" i="1"/>
  <c r="C170" i="1"/>
  <c r="C84" i="1"/>
  <c r="D434" i="1"/>
  <c r="D148" i="1"/>
  <c r="E9" i="1"/>
  <c r="C157" i="1"/>
  <c r="E442" i="1"/>
  <c r="E35" i="1"/>
  <c r="D89" i="1"/>
  <c r="E122" i="1"/>
  <c r="D367" i="1"/>
  <c r="A353" i="1"/>
  <c r="E44" i="1"/>
  <c r="C184" i="1"/>
  <c r="D60" i="1"/>
  <c r="A476" i="1"/>
  <c r="A286" i="1"/>
  <c r="E337" i="1"/>
  <c r="C49" i="1"/>
  <c r="C156" i="1"/>
  <c r="A121" i="1"/>
  <c r="C97" i="1"/>
  <c r="D487" i="1"/>
  <c r="D44" i="1"/>
  <c r="C4" i="1"/>
  <c r="E145" i="1"/>
  <c r="A278" i="1"/>
  <c r="E5" i="1"/>
  <c r="E355" i="1"/>
  <c r="E84" i="1"/>
  <c r="C65" i="1"/>
  <c r="A424" i="1"/>
  <c r="C116" i="1"/>
  <c r="D258" i="1"/>
  <c r="E349" i="1"/>
  <c r="E464" i="1"/>
  <c r="D402" i="1"/>
  <c r="C149" i="1"/>
  <c r="E3" i="1"/>
  <c r="C64" i="1"/>
  <c r="C363" i="1"/>
  <c r="E103" i="1"/>
  <c r="D244" i="1"/>
  <c r="D405" i="1"/>
  <c r="C302" i="1"/>
  <c r="E77" i="1"/>
  <c r="E60" i="1"/>
  <c r="C85" i="1"/>
  <c r="A129" i="1"/>
  <c r="D290" i="1"/>
  <c r="E112" i="1"/>
  <c r="D385" i="1"/>
  <c r="D240" i="1"/>
  <c r="A85" i="1"/>
  <c r="E447" i="1"/>
  <c r="A202" i="1"/>
  <c r="D257" i="1"/>
  <c r="E465" i="1"/>
  <c r="D491" i="1"/>
  <c r="C257" i="1"/>
  <c r="C269" i="1"/>
  <c r="C146" i="1"/>
  <c r="D264" i="1"/>
  <c r="A225" i="1"/>
  <c r="D278" i="1"/>
  <c r="D324" i="1"/>
  <c r="E292" i="1"/>
  <c r="E14" i="1"/>
  <c r="C106" i="1"/>
  <c r="E230" i="1"/>
  <c r="C307" i="1"/>
  <c r="A91" i="1"/>
  <c r="E261" i="1"/>
  <c r="C443" i="1"/>
  <c r="C17" i="1"/>
  <c r="C134" i="1"/>
  <c r="E389" i="1"/>
  <c r="A78" i="1"/>
  <c r="C471" i="1"/>
  <c r="D176" i="1"/>
  <c r="E64" i="1"/>
  <c r="D253" i="1"/>
  <c r="E428" i="1"/>
  <c r="A246" i="1"/>
  <c r="C429" i="1"/>
  <c r="D27" i="1"/>
  <c r="A279" i="1"/>
  <c r="D227" i="1"/>
  <c r="D104" i="1"/>
  <c r="D140" i="1"/>
  <c r="E198" i="1"/>
  <c r="D5" i="1"/>
  <c r="A53" i="1"/>
  <c r="E348" i="1"/>
  <c r="E288" i="1"/>
  <c r="A46" i="1"/>
  <c r="E470" i="1"/>
  <c r="C109" i="1"/>
  <c r="C86" i="1"/>
  <c r="A209" i="1"/>
  <c r="A208" i="1"/>
  <c r="E402" i="1"/>
  <c r="D407" i="1"/>
  <c r="E245" i="1"/>
  <c r="E206" i="1"/>
  <c r="A178" i="1"/>
  <c r="A13" i="1"/>
  <c r="D267" i="1"/>
  <c r="A427" i="1"/>
  <c r="A371" i="1"/>
  <c r="C345" i="1"/>
  <c r="C136" i="1"/>
  <c r="A346" i="1"/>
  <c r="A105" i="1"/>
  <c r="C481" i="1"/>
  <c r="D412" i="1"/>
  <c r="E76" i="1"/>
  <c r="A475" i="1"/>
  <c r="A90" i="1"/>
  <c r="C102" i="1"/>
  <c r="C11" i="1"/>
  <c r="E15" i="1"/>
  <c r="A18" i="1"/>
  <c r="D129" i="1"/>
  <c r="D436" i="1"/>
  <c r="A5" i="1"/>
  <c r="C424" i="1"/>
  <c r="C350" i="1"/>
  <c r="A319" i="1"/>
  <c r="C344" i="1"/>
  <c r="D122" i="1"/>
  <c r="E293" i="1"/>
  <c r="C34" i="1"/>
  <c r="C42" i="1"/>
  <c r="E75" i="1"/>
  <c r="D53" i="1"/>
  <c r="A298" i="1"/>
  <c r="C54" i="1"/>
  <c r="C456" i="1"/>
  <c r="E410" i="1"/>
  <c r="D268" i="1"/>
  <c r="A490" i="1"/>
  <c r="C200" i="1"/>
  <c r="E40" i="1"/>
  <c r="E423" i="1"/>
  <c r="E486" i="1"/>
  <c r="C462" i="1"/>
  <c r="A260" i="1"/>
  <c r="D451" i="1"/>
  <c r="E118" i="1"/>
  <c r="A194" i="1"/>
  <c r="A311" i="1"/>
  <c r="C187" i="1"/>
  <c r="D352" i="1"/>
  <c r="A56" i="1"/>
  <c r="C323" i="1"/>
  <c r="A60" i="1"/>
  <c r="A431" i="1"/>
  <c r="C469" i="1"/>
  <c r="E474" i="1"/>
  <c r="E440" i="1"/>
  <c r="E430" i="1"/>
  <c r="C206" i="1"/>
  <c r="E271" i="1"/>
  <c r="C493" i="1"/>
  <c r="D302" i="1"/>
  <c r="C80" i="1"/>
  <c r="A326" i="1"/>
  <c r="D72" i="1"/>
  <c r="A307" i="1"/>
  <c r="A81" i="1"/>
  <c r="C374" i="1"/>
  <c r="D36" i="1"/>
  <c r="A419" i="1"/>
  <c r="A470" i="1"/>
  <c r="A407" i="1"/>
  <c r="E484" i="1"/>
  <c r="A288" i="1"/>
  <c r="C461" i="1"/>
  <c r="C31" i="1"/>
  <c r="D429" i="1"/>
  <c r="C314" i="1"/>
  <c r="A469" i="1"/>
  <c r="C304" i="1"/>
  <c r="C409" i="1"/>
  <c r="E322" i="1"/>
  <c r="D226" i="1"/>
  <c r="C292" i="1"/>
  <c r="A370" i="1"/>
  <c r="C175" i="1"/>
  <c r="A101" i="1"/>
  <c r="E111" i="1"/>
  <c r="A175" i="1"/>
  <c r="A400" i="1"/>
  <c r="E341" i="1"/>
  <c r="A464" i="1"/>
  <c r="C207" i="1"/>
  <c r="C179" i="1"/>
  <c r="E196" i="1"/>
  <c r="A88" i="1"/>
  <c r="A120" i="1"/>
  <c r="E368" i="1"/>
  <c r="E42" i="1"/>
  <c r="C81" i="1"/>
  <c r="D103" i="1"/>
  <c r="E323" i="1"/>
  <c r="C199" i="1"/>
  <c r="C173" i="1"/>
  <c r="C433" i="1"/>
  <c r="E275" i="1"/>
  <c r="E362" i="1"/>
  <c r="C356" i="1"/>
  <c r="D428" i="1"/>
  <c r="E160" i="1"/>
  <c r="C240" i="1"/>
  <c r="C88" i="1"/>
  <c r="C79" i="1"/>
  <c r="D201" i="1"/>
  <c r="D151" i="1"/>
  <c r="C181" i="1"/>
  <c r="D455" i="1"/>
  <c r="E371" i="1"/>
  <c r="A42" i="1"/>
  <c r="A383" i="1"/>
  <c r="E305" i="1"/>
  <c r="A388" i="1"/>
  <c r="C278" i="1"/>
  <c r="C324" i="1"/>
  <c r="D15" i="1"/>
  <c r="E437" i="1"/>
  <c r="A116" i="1"/>
  <c r="E34" i="1"/>
  <c r="E65" i="1"/>
  <c r="C208" i="1"/>
  <c r="D332" i="1"/>
  <c r="E451" i="1"/>
  <c r="C237" i="1"/>
  <c r="C366" i="1"/>
  <c r="C209" i="1"/>
  <c r="E240" i="1"/>
  <c r="E16" i="1"/>
  <c r="C417" i="1"/>
  <c r="D356" i="1"/>
  <c r="E30" i="1"/>
  <c r="C171" i="1"/>
  <c r="C130" i="1"/>
  <c r="A450" i="1"/>
  <c r="C392" i="1"/>
  <c r="E246" i="1"/>
  <c r="A55" i="1"/>
  <c r="A35" i="1"/>
  <c r="E102" i="1"/>
  <c r="A284" i="1"/>
  <c r="D265" i="1"/>
  <c r="C57" i="1"/>
  <c r="E125" i="1"/>
  <c r="E457" i="1"/>
  <c r="A418" i="1"/>
  <c r="C247" i="1"/>
  <c r="C369" i="1"/>
  <c r="D54" i="1"/>
  <c r="E391" i="1"/>
  <c r="C482" i="1"/>
  <c r="C82" i="1"/>
  <c r="A401" i="1"/>
  <c r="D300" i="1"/>
  <c r="D373" i="1"/>
  <c r="E43" i="1"/>
  <c r="E48" i="1"/>
  <c r="C178" i="1"/>
  <c r="C176" i="1"/>
  <c r="E444" i="1"/>
  <c r="A305" i="1"/>
  <c r="A270" i="1"/>
  <c r="A493" i="1"/>
  <c r="E317" i="1"/>
  <c r="A471" i="1"/>
  <c r="C242" i="1"/>
  <c r="E373" i="1"/>
  <c r="C478" i="1"/>
  <c r="C77" i="1"/>
  <c r="A287" i="1"/>
  <c r="A247" i="1"/>
  <c r="D403" i="1"/>
  <c r="D496" i="1"/>
  <c r="D353" i="1"/>
  <c r="C290" i="1"/>
  <c r="A410" i="1"/>
  <c r="A483" i="1"/>
  <c r="D280" i="1"/>
  <c r="A185" i="1"/>
  <c r="E289" i="1"/>
  <c r="C59" i="1"/>
  <c r="A334" i="1"/>
  <c r="D446" i="1"/>
  <c r="A486" i="1"/>
  <c r="D486" i="1"/>
  <c r="D178" i="1"/>
  <c r="A344" i="1"/>
  <c r="A17" i="1"/>
  <c r="C393" i="1"/>
  <c r="C312" i="1"/>
  <c r="A167" i="1"/>
  <c r="D342" i="1"/>
  <c r="E163" i="1"/>
  <c r="C7" i="1"/>
  <c r="A339" i="1"/>
  <c r="D139" i="1"/>
  <c r="A45" i="1"/>
  <c r="C83" i="1"/>
  <c r="C125" i="1"/>
  <c r="D383" i="1"/>
  <c r="C277" i="1"/>
  <c r="A214" i="1"/>
  <c r="C202" i="1"/>
  <c r="D30" i="1"/>
  <c r="A474" i="1"/>
  <c r="E23" i="1"/>
  <c r="C450" i="1"/>
  <c r="C468" i="1"/>
  <c r="D389" i="1"/>
  <c r="E33" i="1"/>
  <c r="C29" i="1"/>
  <c r="C300" i="1"/>
  <c r="C352" i="1"/>
  <c r="E270" i="1"/>
  <c r="C303" i="1"/>
  <c r="C221" i="1"/>
  <c r="E174" i="1"/>
  <c r="E173" i="1"/>
  <c r="C274" i="1"/>
  <c r="C320" i="1"/>
  <c r="A439" i="1"/>
  <c r="D203" i="1"/>
  <c r="C150" i="1"/>
  <c r="A19" i="1"/>
  <c r="A74" i="1"/>
  <c r="D6" i="1"/>
  <c r="A251" i="1"/>
  <c r="C250" i="1"/>
  <c r="C385" i="1"/>
  <c r="C286" i="1"/>
  <c r="D368" i="1"/>
  <c r="A389" i="1"/>
  <c r="D29" i="1"/>
  <c r="D390" i="1"/>
  <c r="A465" i="1"/>
  <c r="E124" i="1"/>
  <c r="C16" i="1"/>
  <c r="C489" i="1"/>
  <c r="D239" i="1"/>
  <c r="E459" i="1"/>
  <c r="C416" i="1"/>
  <c r="C325" i="1"/>
  <c r="D133" i="1"/>
  <c r="E433" i="1"/>
  <c r="C105" i="1"/>
  <c r="C183" i="1"/>
  <c r="E41" i="1"/>
  <c r="E375" i="1"/>
  <c r="C218" i="1"/>
  <c r="C24" i="1"/>
  <c r="C279" i="1"/>
  <c r="A137" i="1"/>
  <c r="D261" i="1"/>
  <c r="A276" i="1"/>
  <c r="A22" i="1"/>
  <c r="C248" i="1"/>
  <c r="E381" i="1"/>
  <c r="D319" i="1"/>
  <c r="A374" i="1"/>
  <c r="A127" i="1"/>
  <c r="E217" i="1"/>
  <c r="A295" i="1"/>
  <c r="A47" i="1"/>
  <c r="C455" i="1"/>
  <c r="D414" i="1"/>
  <c r="E228" i="1"/>
  <c r="C310" i="1"/>
  <c r="C287" i="1"/>
  <c r="A216" i="1"/>
  <c r="C340" i="1"/>
  <c r="C73" i="1"/>
  <c r="A192" i="1"/>
  <c r="D180" i="1"/>
  <c r="A166" i="1"/>
  <c r="D132" i="1"/>
  <c r="D320" i="1"/>
  <c r="C415" i="1"/>
  <c r="E98" i="1"/>
  <c r="A345" i="1"/>
  <c r="A302" i="1"/>
  <c r="D100" i="1"/>
  <c r="E415" i="1"/>
  <c r="E303" i="1"/>
  <c r="C107" i="1"/>
  <c r="D117" i="1"/>
  <c r="D64" i="1"/>
  <c r="A95" i="1"/>
  <c r="E25" i="1"/>
  <c r="C396" i="1"/>
  <c r="E167" i="1"/>
  <c r="A157" i="1"/>
  <c r="A152" i="1"/>
  <c r="E235" i="1"/>
  <c r="C404" i="1"/>
  <c r="A147" i="1"/>
  <c r="A342" i="1"/>
  <c r="C167" i="1"/>
  <c r="C256" i="1"/>
  <c r="D442" i="1"/>
  <c r="A406" i="1"/>
  <c r="D204" i="1"/>
  <c r="C127" i="1"/>
  <c r="A264" i="1"/>
  <c r="E22" i="1"/>
  <c r="A50" i="1"/>
  <c r="C282" i="1"/>
  <c r="C367" i="1"/>
  <c r="C411" i="1"/>
  <c r="E213" i="1"/>
  <c r="A398" i="1"/>
  <c r="A57" i="1"/>
  <c r="C39" i="1"/>
  <c r="C194" i="1"/>
  <c r="A274" i="1"/>
  <c r="C382" i="1"/>
  <c r="A329" i="1"/>
  <c r="D141" i="1"/>
  <c r="A128" i="1"/>
  <c r="C9" i="1"/>
  <c r="C400" i="1"/>
  <c r="D357" i="1"/>
  <c r="E344" i="1"/>
  <c r="C95" i="1"/>
  <c r="C197" i="1"/>
  <c r="E482" i="1"/>
  <c r="E195" i="1"/>
  <c r="C195" i="1"/>
  <c r="C490" i="1"/>
  <c r="D246" i="1"/>
  <c r="E367" i="1"/>
  <c r="C186" i="1"/>
  <c r="C126" i="1"/>
  <c r="E67" i="1"/>
  <c r="E320" i="1"/>
  <c r="C128" i="1"/>
  <c r="C118" i="1"/>
  <c r="C311" i="1"/>
  <c r="A80" i="1"/>
  <c r="A455" i="1"/>
  <c r="A494" i="1"/>
  <c r="E273" i="1"/>
  <c r="C268" i="1"/>
  <c r="D61" i="1"/>
  <c r="C336" i="1"/>
  <c r="A366" i="1"/>
  <c r="E177" i="1"/>
  <c r="D499" i="1"/>
  <c r="A44" i="1"/>
  <c r="D410" i="1"/>
  <c r="C306" i="1"/>
  <c r="D262" i="1"/>
  <c r="E422" i="1"/>
  <c r="C20" i="1"/>
  <c r="C272" i="1"/>
  <c r="E333" i="1"/>
  <c r="E476" i="1"/>
  <c r="C18" i="1"/>
  <c r="C338" i="1"/>
  <c r="D372" i="1"/>
  <c r="E300" i="1"/>
  <c r="C318" i="1"/>
  <c r="C28" i="1"/>
  <c r="E68" i="1"/>
  <c r="E364" i="1"/>
  <c r="C67" i="1"/>
  <c r="C361" i="1"/>
  <c r="E218" i="1"/>
  <c r="D147" i="1"/>
  <c r="D377" i="1"/>
  <c r="A163" i="1"/>
  <c r="C246" i="1"/>
  <c r="A232" i="1"/>
  <c r="C486" i="1"/>
  <c r="C15" i="1"/>
  <c r="A64" i="1"/>
  <c r="A354" i="1"/>
  <c r="C476" i="1"/>
  <c r="E279" i="1"/>
  <c r="D393" i="1"/>
  <c r="A248" i="1"/>
  <c r="E251" i="1"/>
  <c r="E453" i="1"/>
  <c r="C388" i="1"/>
  <c r="C227" i="1"/>
  <c r="E455" i="1"/>
  <c r="C360" i="1"/>
  <c r="C337" i="1"/>
  <c r="C110" i="1"/>
  <c r="E304" i="1"/>
  <c r="E247" i="1"/>
  <c r="C408" i="1"/>
  <c r="C3" i="1"/>
  <c r="E411" i="1"/>
  <c r="C35" i="1"/>
  <c r="C289" i="1"/>
  <c r="A159" i="1"/>
  <c r="A140" i="1"/>
  <c r="C47" i="1"/>
  <c r="E404" i="1"/>
  <c r="A226" i="1"/>
  <c r="A442" i="1"/>
  <c r="E378" i="1"/>
  <c r="D492" i="1"/>
  <c r="A242" i="1"/>
  <c r="E267" i="1"/>
  <c r="E360" i="1"/>
  <c r="D63" i="1"/>
  <c r="E363" i="1"/>
  <c r="A437" i="1"/>
  <c r="E182" i="1"/>
  <c r="E24" i="1"/>
  <c r="E58" i="1"/>
  <c r="C99" i="1"/>
  <c r="C219" i="1"/>
  <c r="A297" i="1"/>
  <c r="A186" i="1"/>
  <c r="A156" i="1"/>
  <c r="E215" i="1"/>
  <c r="A103" i="1"/>
  <c r="E193" i="1"/>
  <c r="C152" i="1"/>
  <c r="C426" i="1"/>
  <c r="E425" i="1"/>
  <c r="A231" i="1"/>
  <c r="E226" i="1"/>
  <c r="C432" i="1"/>
  <c r="D453" i="1"/>
  <c r="D90" i="1"/>
  <c r="A153" i="1"/>
  <c r="E137" i="1"/>
  <c r="D215" i="1"/>
  <c r="A357" i="1"/>
  <c r="D489" i="1"/>
  <c r="D2" i="1"/>
  <c r="A396" i="1"/>
  <c r="E345" i="1"/>
  <c r="A155" i="1"/>
  <c r="D398" i="1"/>
  <c r="C185" i="1"/>
  <c r="A448" i="1"/>
  <c r="C33" i="1"/>
  <c r="A300" i="1"/>
  <c r="C395" i="1"/>
  <c r="C104" i="1"/>
  <c r="A67" i="1"/>
  <c r="E53" i="1"/>
  <c r="A228" i="1"/>
  <c r="E483" i="1"/>
  <c r="E238" i="1"/>
  <c r="C327" i="1"/>
  <c r="C384" i="1"/>
  <c r="E244" i="1"/>
  <c r="E222" i="1"/>
  <c r="C66" i="1"/>
  <c r="C159" i="1"/>
  <c r="E26" i="1"/>
  <c r="E169" i="1"/>
  <c r="C453" i="1"/>
  <c r="C466" i="1"/>
  <c r="E190" i="1"/>
  <c r="E329" i="1"/>
  <c r="C342" i="1"/>
  <c r="C273" i="1"/>
  <c r="D387" i="1"/>
  <c r="E133" i="1"/>
  <c r="D281" i="1"/>
  <c r="E369" i="1"/>
  <c r="A58" i="1"/>
  <c r="C198" i="1"/>
  <c r="E445" i="1"/>
  <c r="A234" i="1"/>
  <c r="A262" i="1"/>
  <c r="A51" i="1"/>
  <c r="C347" i="1"/>
  <c r="C348" i="1"/>
  <c r="A165" i="1"/>
  <c r="A249" i="1"/>
  <c r="E366" i="1"/>
  <c r="E358" i="1"/>
  <c r="C448" i="1"/>
  <c r="C437" i="1"/>
  <c r="E12" i="1"/>
  <c r="E211" i="1"/>
  <c r="C229" i="1"/>
  <c r="C401" i="1"/>
  <c r="E225" i="1"/>
  <c r="E157" i="1"/>
  <c r="C371" i="1"/>
  <c r="C153" i="1"/>
  <c r="E336" i="1"/>
  <c r="C26" i="1"/>
  <c r="C122" i="1"/>
  <c r="C78" i="1"/>
  <c r="C201" i="1"/>
  <c r="A355" i="1"/>
  <c r="C499" i="1"/>
  <c r="E178" i="1"/>
  <c r="A335" i="1"/>
  <c r="A183" i="1"/>
  <c r="D376" i="1"/>
  <c r="D243" i="1"/>
  <c r="E252" i="1"/>
  <c r="A145" i="1"/>
  <c r="A70" i="1"/>
  <c r="C464" i="1"/>
  <c r="D52" i="1"/>
  <c r="A404" i="1"/>
  <c r="E420" i="1"/>
  <c r="E37" i="1"/>
  <c r="C484" i="1"/>
  <c r="D345" i="1"/>
  <c r="E283" i="1"/>
  <c r="C205" i="1"/>
  <c r="C182" i="1"/>
  <c r="C297" i="1"/>
  <c r="E385" i="1"/>
  <c r="E379" i="1"/>
  <c r="C27" i="1"/>
  <c r="D83" i="1"/>
  <c r="E220" i="1"/>
  <c r="C58" i="1"/>
  <c r="C140" i="1"/>
  <c r="E281" i="1"/>
  <c r="C241" i="1"/>
  <c r="D329" i="1"/>
  <c r="C164" i="1"/>
  <c r="E139" i="1"/>
  <c r="C438" i="1"/>
  <c r="C55" i="1"/>
  <c r="C144" i="1"/>
  <c r="A215" i="1"/>
  <c r="C145" i="1"/>
  <c r="D91" i="1"/>
  <c r="C365" i="1"/>
  <c r="A237" i="1"/>
  <c r="D454" i="1"/>
  <c r="C460" i="1"/>
  <c r="C113" i="1"/>
  <c r="D71" i="1"/>
  <c r="A269" i="1"/>
  <c r="C56" i="1"/>
  <c r="E286" i="1"/>
  <c r="A363" i="1"/>
  <c r="E382" i="1"/>
  <c r="E141" i="1"/>
  <c r="C407" i="1"/>
  <c r="D45" i="1"/>
  <c r="E284" i="1"/>
  <c r="C399" i="1"/>
  <c r="C334" i="1"/>
  <c r="C406" i="1"/>
  <c r="E250" i="1"/>
  <c r="C339" i="1"/>
  <c r="C370" i="1"/>
  <c r="D34" i="1"/>
  <c r="E239" i="1"/>
  <c r="C190" i="1"/>
  <c r="C296" i="1"/>
  <c r="D170" i="1"/>
  <c r="D472" i="1"/>
  <c r="D483" i="1"/>
  <c r="D183" i="1"/>
  <c r="D207" i="1"/>
  <c r="D98" i="1"/>
  <c r="D309" i="1"/>
  <c r="D97" i="1"/>
  <c r="D263" i="1"/>
  <c r="D251" i="1"/>
  <c r="D423" i="1"/>
  <c r="D283" i="1"/>
  <c r="D193" i="1"/>
  <c r="D93" i="1"/>
  <c r="D67" i="1"/>
  <c r="D260" i="1"/>
  <c r="D101" i="1"/>
  <c r="D406" i="1"/>
  <c r="D340" i="1"/>
  <c r="D479" i="1"/>
  <c r="D49" i="1"/>
  <c r="D425" i="1"/>
  <c r="D160" i="1"/>
  <c r="D88" i="1"/>
  <c r="E332" i="1"/>
  <c r="C68" i="1"/>
  <c r="D238" i="1"/>
  <c r="C251" i="1"/>
  <c r="E38" i="1"/>
  <c r="C120" i="1"/>
  <c r="A221" i="1"/>
  <c r="C174" i="1"/>
  <c r="E414" i="1"/>
  <c r="A277" i="1"/>
  <c r="D136" i="1"/>
  <c r="D159" i="1"/>
  <c r="A488" i="1"/>
  <c r="D96" i="1"/>
  <c r="C238" i="1"/>
  <c r="C233" i="1"/>
  <c r="C44" i="1"/>
  <c r="A460" i="1"/>
  <c r="E403" i="1"/>
  <c r="C94" i="1"/>
  <c r="D153" i="1"/>
  <c r="E166" i="1"/>
  <c r="C315" i="1"/>
  <c r="C46" i="1"/>
  <c r="E91" i="1"/>
  <c r="E461" i="1"/>
  <c r="C162" i="1"/>
  <c r="C139" i="1"/>
  <c r="D341" i="1"/>
  <c r="E6" i="1"/>
  <c r="C283" i="1"/>
  <c r="C96" i="1"/>
  <c r="E135" i="1"/>
  <c r="E400" i="1"/>
  <c r="C212" i="1"/>
  <c r="C258" i="1"/>
  <c r="D498" i="1"/>
  <c r="D249" i="1"/>
  <c r="D351" i="1"/>
  <c r="D468" i="1"/>
  <c r="D299" i="1"/>
  <c r="D235" i="1"/>
  <c r="D350" i="1"/>
  <c r="D242" i="1"/>
  <c r="D392" i="1"/>
  <c r="D289" i="1"/>
  <c r="D158" i="1"/>
  <c r="D369" i="1"/>
  <c r="D19" i="1"/>
  <c r="D164" i="1"/>
  <c r="D25" i="1"/>
  <c r="D488" i="1"/>
  <c r="D330" i="1"/>
  <c r="D360" i="1"/>
  <c r="D224" i="1"/>
  <c r="D77" i="1"/>
  <c r="D286" i="1"/>
  <c r="D169" i="1"/>
  <c r="D134" i="1"/>
  <c r="D163" i="1"/>
  <c r="D461" i="1"/>
  <c r="D58" i="1"/>
  <c r="E489" i="1"/>
  <c r="E131" i="1"/>
  <c r="E316" i="1"/>
  <c r="E296" i="1"/>
  <c r="E56" i="1"/>
  <c r="E469" i="1"/>
  <c r="E93" i="1"/>
  <c r="E212" i="1"/>
  <c r="E429" i="1"/>
  <c r="E490" i="1"/>
  <c r="E208" i="1"/>
  <c r="E394" i="1"/>
  <c r="E183" i="1"/>
  <c r="E357" i="1"/>
  <c r="E119" i="1"/>
  <c r="E189" i="1"/>
  <c r="E107" i="1"/>
  <c r="C243" i="1"/>
  <c r="C377" i="1"/>
  <c r="C254" i="1"/>
  <c r="C38" i="1"/>
  <c r="C298" i="1"/>
  <c r="C421" i="1"/>
  <c r="C10" i="1"/>
  <c r="C141" i="1"/>
  <c r="C309" i="1"/>
  <c r="C389" i="1"/>
  <c r="C483" i="1"/>
  <c r="C14" i="1"/>
  <c r="C50" i="1"/>
  <c r="E66" i="1"/>
  <c r="C111" i="1"/>
  <c r="E350" i="1"/>
  <c r="C425" i="1"/>
  <c r="E47" i="1"/>
  <c r="C262" i="1"/>
  <c r="A223" i="1"/>
  <c r="A257" i="1"/>
  <c r="D384" i="1"/>
  <c r="A7" i="1"/>
  <c r="D343" i="1"/>
  <c r="C500" i="1"/>
  <c r="A107" i="1"/>
  <c r="C457" i="1"/>
  <c r="A197" i="1"/>
  <c r="D166" i="1"/>
  <c r="D445" i="1"/>
  <c r="E265" i="1"/>
  <c r="A265" i="1"/>
  <c r="C428" i="1"/>
  <c r="D85" i="1"/>
  <c r="E79" i="1"/>
  <c r="C412" i="1"/>
  <c r="C414" i="1"/>
  <c r="E36" i="1"/>
  <c r="E219" i="1"/>
  <c r="C475" i="1"/>
  <c r="C228" i="1"/>
  <c r="E393" i="1"/>
  <c r="E29" i="1"/>
  <c r="C155" i="1"/>
  <c r="C362" i="1"/>
  <c r="E491" i="1"/>
  <c r="E493" i="1"/>
  <c r="C131" i="1"/>
  <c r="C341" i="1"/>
  <c r="D152" i="1"/>
  <c r="D46" i="1"/>
  <c r="D86" i="1"/>
  <c r="D99" i="1"/>
  <c r="D478" i="1"/>
  <c r="D422" i="1"/>
  <c r="D31" i="1"/>
  <c r="D328" i="1"/>
  <c r="D28" i="1"/>
  <c r="D437" i="1"/>
  <c r="D4" i="1"/>
  <c r="D35" i="1"/>
  <c r="D18" i="1"/>
  <c r="D195" i="1"/>
  <c r="D112" i="1"/>
  <c r="D380" i="1"/>
  <c r="D460" i="1"/>
  <c r="D317" i="1"/>
  <c r="D497" i="1"/>
  <c r="D314" i="1"/>
  <c r="D259" i="1"/>
  <c r="D192" i="1"/>
  <c r="D109" i="1"/>
  <c r="D421" i="1"/>
  <c r="D388" i="1"/>
  <c r="E276" i="1"/>
  <c r="E472" i="1"/>
  <c r="E438" i="1"/>
  <c r="E172" i="1"/>
  <c r="E314" i="1"/>
  <c r="E96" i="1"/>
  <c r="E170" i="1"/>
  <c r="E318" i="1"/>
  <c r="E460" i="1"/>
  <c r="E325" i="1"/>
  <c r="E234" i="1"/>
  <c r="E155" i="1"/>
  <c r="E299" i="1"/>
  <c r="E399" i="1"/>
  <c r="E353" i="1"/>
  <c r="E384" i="1"/>
  <c r="E224" i="1"/>
  <c r="E272" i="1"/>
  <c r="C192" i="1"/>
  <c r="C463" i="1"/>
  <c r="C488" i="1"/>
  <c r="C252" i="1"/>
  <c r="C180" i="1"/>
  <c r="C158" i="1"/>
  <c r="C191" i="1"/>
  <c r="C319" i="1"/>
  <c r="C193" i="1"/>
  <c r="C280" i="1"/>
  <c r="C60" i="1"/>
  <c r="D225" i="1"/>
  <c r="E202" i="1"/>
  <c r="E94" i="1"/>
  <c r="E233" i="1"/>
  <c r="E278" i="1"/>
  <c r="E319" i="1"/>
  <c r="E495" i="1"/>
  <c r="E448" i="1"/>
  <c r="E181" i="1"/>
  <c r="C317" i="1"/>
  <c r="C294" i="1"/>
  <c r="C22" i="1"/>
  <c r="C458" i="1"/>
  <c r="C427" i="1"/>
  <c r="E479" i="1"/>
  <c r="C349" i="1"/>
  <c r="E161" i="1"/>
  <c r="C405" i="1"/>
  <c r="E243" i="1"/>
  <c r="C123" i="1"/>
  <c r="D315" i="1"/>
  <c r="C472" i="1"/>
  <c r="C446" i="1"/>
  <c r="D391" i="1"/>
  <c r="D354" i="1"/>
  <c r="A193" i="1"/>
  <c r="A82" i="1"/>
  <c r="D55" i="1"/>
  <c r="A317" i="1"/>
  <c r="D433" i="1"/>
  <c r="C211" i="1"/>
  <c r="D298" i="1"/>
  <c r="E380" i="1"/>
  <c r="A169" i="1"/>
  <c r="E488" i="1"/>
  <c r="E291" i="1"/>
  <c r="C259" i="1"/>
  <c r="C91" i="1"/>
  <c r="E236" i="1"/>
  <c r="C132" i="1"/>
  <c r="C222" i="1"/>
  <c r="C364" i="1"/>
  <c r="E282" i="1"/>
  <c r="E192" i="1"/>
  <c r="C62" i="1"/>
  <c r="D418" i="1"/>
  <c r="E312" i="1"/>
  <c r="C225" i="1"/>
  <c r="C210" i="1"/>
  <c r="C71" i="1"/>
  <c r="D374" i="1"/>
  <c r="D12" i="1"/>
  <c r="D198" i="1"/>
  <c r="D75" i="1"/>
  <c r="D199" i="1"/>
  <c r="D57" i="1"/>
  <c r="D221" i="1"/>
  <c r="D118" i="1"/>
  <c r="D123" i="1"/>
  <c r="D277" i="1"/>
  <c r="D462" i="1"/>
  <c r="D208" i="1"/>
  <c r="D145" i="1"/>
  <c r="D23" i="1"/>
  <c r="D386" i="1"/>
  <c r="D50" i="1"/>
  <c r="D237" i="1"/>
  <c r="D157" i="1"/>
  <c r="D494" i="1"/>
  <c r="D358" i="1"/>
  <c r="D482" i="1"/>
  <c r="D217" i="1"/>
  <c r="D270" i="1"/>
  <c r="D452" i="1"/>
  <c r="D417" i="1"/>
  <c r="E388" i="1"/>
  <c r="E480" i="1"/>
  <c r="E297" i="1"/>
  <c r="E185" i="1"/>
  <c r="E241" i="1"/>
  <c r="E55" i="1"/>
  <c r="E146" i="1"/>
  <c r="E74" i="1"/>
  <c r="E114" i="1"/>
  <c r="E372" i="1"/>
  <c r="E99" i="1"/>
  <c r="E31" i="1"/>
  <c r="E39" i="1"/>
  <c r="E419" i="1"/>
  <c r="E209" i="1"/>
  <c r="E258" i="1"/>
  <c r="E302" i="1"/>
  <c r="C321" i="1"/>
  <c r="C271" i="1"/>
  <c r="C267" i="1"/>
  <c r="C434" i="1"/>
  <c r="C151" i="1"/>
  <c r="C142" i="1"/>
  <c r="C74" i="1"/>
  <c r="C61" i="1"/>
  <c r="C166" i="1"/>
  <c r="C293" i="1"/>
  <c r="C346" i="1"/>
  <c r="D313" i="1"/>
  <c r="E321" i="1"/>
  <c r="E32" i="1"/>
  <c r="E7" i="1"/>
  <c r="E298" i="1"/>
  <c r="E10" i="1"/>
  <c r="E62" i="1"/>
  <c r="E262" i="1"/>
  <c r="E21" i="1"/>
  <c r="E88" i="1"/>
  <c r="C235" i="1"/>
  <c r="C308" i="1"/>
  <c r="C391" i="1"/>
  <c r="C331" i="1"/>
  <c r="B58" i="1"/>
  <c r="B461" i="1"/>
  <c r="B163" i="1"/>
  <c r="B134" i="1"/>
  <c r="B169" i="1"/>
  <c r="B286" i="1"/>
  <c r="B77" i="1"/>
  <c r="B224" i="1"/>
  <c r="B360" i="1"/>
  <c r="B330" i="1"/>
  <c r="B488" i="1"/>
  <c r="B25" i="1"/>
  <c r="B164" i="1"/>
  <c r="B19" i="1"/>
  <c r="B369" i="1"/>
  <c r="B158" i="1"/>
  <c r="B289" i="1"/>
  <c r="B392" i="1"/>
  <c r="B242" i="1"/>
  <c r="B350" i="1"/>
  <c r="B235" i="1"/>
  <c r="B299" i="1"/>
  <c r="B468" i="1"/>
  <c r="B351" i="1"/>
  <c r="B249" i="1"/>
  <c r="B498" i="1"/>
  <c r="B341" i="1"/>
  <c r="B298" i="1"/>
  <c r="B166" i="1"/>
  <c r="B159" i="1"/>
  <c r="B91" i="1"/>
  <c r="B83" i="1"/>
  <c r="B414" i="1"/>
  <c r="B243" i="1"/>
  <c r="B377" i="1"/>
  <c r="B372" i="1"/>
  <c r="B262" i="1"/>
  <c r="B15" i="1"/>
  <c r="B6" i="1"/>
  <c r="B203" i="1"/>
  <c r="B246" i="1"/>
  <c r="B30" i="1"/>
  <c r="B398" i="1"/>
  <c r="B489" i="1"/>
  <c r="B204" i="1"/>
  <c r="B442" i="1"/>
  <c r="B353" i="1"/>
  <c r="B64" i="1"/>
  <c r="B63" i="1"/>
  <c r="B352" i="1"/>
  <c r="B373" i="1"/>
  <c r="B53" i="1"/>
  <c r="B415" i="1"/>
  <c r="B436" i="1"/>
  <c r="B179" i="1"/>
  <c r="B412" i="1"/>
  <c r="B267" i="1"/>
  <c r="B218" i="1"/>
  <c r="B344" i="1"/>
  <c r="B5" i="1"/>
  <c r="B304" i="1"/>
  <c r="B104" i="1"/>
  <c r="B481" i="1"/>
  <c r="B253" i="1"/>
  <c r="B176" i="1"/>
  <c r="B269" i="1"/>
  <c r="B247" i="1"/>
  <c r="B274" i="1"/>
  <c r="B278" i="1"/>
  <c r="B491" i="1"/>
  <c r="B257" i="1"/>
  <c r="B65" i="1"/>
  <c r="B408" i="1"/>
  <c r="B8" i="1"/>
  <c r="B244" i="1"/>
  <c r="B21" i="1"/>
  <c r="B382" i="1"/>
  <c r="B500" i="1"/>
  <c r="B190" i="1"/>
  <c r="B307" i="1"/>
  <c r="B32" i="1"/>
  <c r="B44" i="1"/>
  <c r="B487" i="1"/>
  <c r="B395" i="1"/>
  <c r="B440" i="1"/>
  <c r="B106" i="1"/>
  <c r="B308" i="1"/>
  <c r="B275" i="1"/>
  <c r="B205" i="1"/>
  <c r="B33" i="1"/>
  <c r="B162" i="1"/>
  <c r="B348" i="1"/>
  <c r="B420" i="1"/>
  <c r="B131" i="1"/>
  <c r="B439" i="1"/>
  <c r="B248" i="1"/>
  <c r="B222" i="1"/>
  <c r="B273" i="1"/>
  <c r="B168" i="1"/>
  <c r="B230" i="1"/>
  <c r="B322" i="1"/>
  <c r="B388" i="1"/>
  <c r="B421" i="1"/>
  <c r="B109" i="1"/>
  <c r="B192" i="1"/>
  <c r="B259" i="1"/>
  <c r="B314" i="1"/>
  <c r="B497" i="1"/>
  <c r="B317" i="1"/>
  <c r="B460" i="1"/>
  <c r="B380" i="1"/>
  <c r="B112" i="1"/>
  <c r="B195" i="1"/>
  <c r="B18" i="1"/>
  <c r="B35" i="1"/>
  <c r="B4" i="1"/>
  <c r="B437" i="1"/>
  <c r="B28" i="1"/>
  <c r="B328" i="1"/>
  <c r="B31" i="1"/>
  <c r="B422" i="1"/>
  <c r="B478" i="1"/>
  <c r="B99" i="1"/>
  <c r="B86" i="1"/>
  <c r="B46" i="1"/>
  <c r="B152" i="1"/>
  <c r="B418" i="1"/>
  <c r="B153" i="1"/>
  <c r="B433" i="1"/>
  <c r="B454" i="1"/>
  <c r="B136" i="1"/>
  <c r="B315" i="1"/>
  <c r="B345" i="1"/>
  <c r="B393" i="1"/>
  <c r="B376" i="1"/>
  <c r="B356" i="1"/>
  <c r="B332" i="1"/>
  <c r="B29" i="1"/>
  <c r="B61" i="1"/>
  <c r="B151" i="1"/>
  <c r="B428" i="1"/>
  <c r="B357" i="1"/>
  <c r="B139" i="1"/>
  <c r="B226" i="1"/>
  <c r="B90" i="1"/>
  <c r="B453" i="1"/>
  <c r="B36" i="1"/>
  <c r="B403" i="1"/>
  <c r="B100" i="1"/>
  <c r="B132" i="1"/>
  <c r="B268" i="1"/>
  <c r="B451" i="1"/>
  <c r="B122" i="1"/>
  <c r="B367" i="1"/>
  <c r="B89" i="1"/>
  <c r="B434" i="1"/>
  <c r="B271" i="1"/>
  <c r="B171" i="1"/>
  <c r="B120" i="1"/>
  <c r="B231" i="1"/>
  <c r="B7" i="1"/>
  <c r="B477" i="1"/>
  <c r="B227" i="1"/>
  <c r="B194" i="1"/>
  <c r="B149" i="1"/>
  <c r="B371" i="1"/>
  <c r="B41" i="1"/>
  <c r="B471" i="1"/>
  <c r="B276" i="1"/>
  <c r="B189" i="1"/>
  <c r="B126" i="1"/>
  <c r="B240" i="1"/>
  <c r="B336" i="1"/>
  <c r="B124" i="1"/>
  <c r="B405" i="1"/>
  <c r="B485" i="1"/>
  <c r="B102" i="1"/>
  <c r="B258" i="1"/>
  <c r="B333" i="1"/>
  <c r="B13" i="1"/>
  <c r="B138" i="1"/>
  <c r="B323" i="1"/>
  <c r="B107" i="1"/>
  <c r="B144" i="1"/>
  <c r="B94" i="1"/>
  <c r="B125" i="1"/>
  <c r="B334" i="1"/>
  <c r="B252" i="1"/>
  <c r="B284" i="1"/>
  <c r="B108" i="1"/>
  <c r="B232" i="1"/>
  <c r="B305" i="1"/>
  <c r="B316" i="1"/>
  <c r="B214" i="1"/>
  <c r="B331" i="1"/>
  <c r="B288" i="1"/>
  <c r="B411" i="1"/>
  <c r="B465" i="1"/>
  <c r="B62" i="1"/>
  <c r="B417" i="1"/>
  <c r="B452" i="1"/>
  <c r="B270" i="1"/>
  <c r="B217" i="1"/>
  <c r="B482" i="1"/>
  <c r="B358" i="1"/>
  <c r="B494" i="1"/>
  <c r="B157" i="1"/>
  <c r="B237" i="1"/>
  <c r="B50" i="1"/>
  <c r="B386" i="1"/>
  <c r="B23" i="1"/>
  <c r="B145" i="1"/>
  <c r="B208" i="1"/>
  <c r="B462" i="1"/>
  <c r="B277" i="1"/>
  <c r="B123" i="1"/>
  <c r="B118" i="1"/>
  <c r="B221" i="1"/>
  <c r="B57" i="1"/>
  <c r="B199" i="1"/>
  <c r="B75" i="1"/>
  <c r="B198" i="1"/>
  <c r="B12" i="1"/>
  <c r="B374" i="1"/>
  <c r="B34" i="1"/>
  <c r="B85" i="1"/>
  <c r="B71" i="1"/>
  <c r="B96" i="1"/>
  <c r="B343" i="1"/>
  <c r="B384" i="1"/>
  <c r="B329" i="1"/>
  <c r="B52" i="1"/>
  <c r="B265" i="1"/>
  <c r="B147" i="1"/>
  <c r="B239" i="1"/>
  <c r="B410" i="1"/>
  <c r="B368" i="1"/>
  <c r="B281" i="1"/>
  <c r="B387" i="1"/>
  <c r="B103" i="1"/>
  <c r="B383" i="1"/>
  <c r="B2" i="1"/>
  <c r="B178" i="1"/>
  <c r="B429" i="1"/>
  <c r="B280" i="1"/>
  <c r="B72" i="1"/>
  <c r="B117" i="1"/>
  <c r="B320" i="1"/>
  <c r="B37" i="1"/>
  <c r="B300" i="1"/>
  <c r="B443" i="1"/>
  <c r="B197" i="1"/>
  <c r="B129" i="1"/>
  <c r="B148" i="1"/>
  <c r="B127" i="1"/>
  <c r="B407" i="1"/>
  <c r="B82" i="1"/>
  <c r="B339" i="1"/>
  <c r="B467" i="1"/>
  <c r="B413" i="1"/>
  <c r="B38" i="1"/>
  <c r="B223" i="1"/>
  <c r="B186" i="1"/>
  <c r="B337" i="1"/>
  <c r="B211" i="1"/>
  <c r="B379" i="1"/>
  <c r="B187" i="1"/>
  <c r="B264" i="1"/>
  <c r="B17" i="1"/>
  <c r="B220" i="1"/>
  <c r="B385" i="1"/>
  <c r="B290" i="1"/>
  <c r="B3" i="1"/>
  <c r="B229" i="1"/>
  <c r="B291" i="1"/>
  <c r="B321" i="1"/>
  <c r="B69" i="1"/>
  <c r="B295" i="1"/>
  <c r="B79" i="1"/>
  <c r="B335" i="1"/>
  <c r="B457" i="1"/>
  <c r="B241" i="1"/>
  <c r="B326" i="1"/>
  <c r="B236" i="1"/>
  <c r="B312" i="1"/>
  <c r="B456" i="1"/>
  <c r="B346" i="1"/>
  <c r="B272" i="1"/>
  <c r="B191" i="1"/>
  <c r="B361" i="1"/>
  <c r="B165" i="1"/>
  <c r="B212" i="1"/>
  <c r="B458" i="1"/>
  <c r="B177" i="1"/>
  <c r="B381" i="1"/>
  <c r="B115" i="1"/>
  <c r="B24" i="1"/>
  <c r="B285" i="1"/>
  <c r="B74" i="1"/>
  <c r="B225" i="1"/>
  <c r="B313" i="1"/>
  <c r="B88" i="1"/>
  <c r="B160" i="1"/>
  <c r="B425" i="1"/>
  <c r="B49" i="1"/>
  <c r="B479" i="1"/>
  <c r="B340" i="1"/>
  <c r="B406" i="1"/>
  <c r="B101" i="1"/>
  <c r="B260" i="1"/>
  <c r="B67" i="1"/>
  <c r="B93" i="1"/>
  <c r="B193" i="1"/>
  <c r="B283" i="1"/>
  <c r="B423" i="1"/>
  <c r="B251" i="1"/>
  <c r="B263" i="1"/>
  <c r="B97" i="1"/>
  <c r="B309" i="1"/>
  <c r="B98" i="1"/>
  <c r="B207" i="1"/>
  <c r="B183" i="1"/>
  <c r="B483" i="1"/>
  <c r="B472" i="1"/>
  <c r="B170" i="1"/>
  <c r="B45" i="1"/>
  <c r="B445" i="1"/>
  <c r="B55" i="1"/>
  <c r="B354" i="1"/>
  <c r="B391" i="1"/>
  <c r="B238" i="1"/>
  <c r="B54" i="1"/>
  <c r="B319" i="1"/>
  <c r="B261" i="1"/>
  <c r="B133" i="1"/>
  <c r="B390" i="1"/>
  <c r="B499" i="1"/>
  <c r="B455" i="1"/>
  <c r="B201" i="1"/>
  <c r="B389" i="1"/>
  <c r="B141" i="1"/>
  <c r="B342" i="1"/>
  <c r="B215" i="1"/>
  <c r="B486" i="1"/>
  <c r="B446" i="1"/>
  <c r="B496" i="1"/>
  <c r="B302" i="1"/>
  <c r="B492" i="1"/>
  <c r="B180" i="1"/>
  <c r="B42" i="1"/>
  <c r="B66" i="1"/>
  <c r="B60" i="1"/>
  <c r="B161" i="1"/>
  <c r="B9" i="1"/>
  <c r="B143" i="1"/>
  <c r="B73" i="1"/>
  <c r="B39" i="1"/>
  <c r="B349" i="1"/>
  <c r="B306" i="1"/>
  <c r="B140" i="1"/>
  <c r="B76" i="1"/>
  <c r="B27" i="1"/>
  <c r="B397" i="1"/>
  <c r="B68" i="1"/>
  <c r="B92" i="1"/>
  <c r="B254" i="1"/>
  <c r="B324" i="1"/>
  <c r="B292" i="1"/>
  <c r="B16" i="1"/>
  <c r="B48" i="1"/>
  <c r="B450" i="1"/>
  <c r="B81" i="1"/>
  <c r="B495" i="1"/>
  <c r="B130" i="1"/>
  <c r="B431" i="1"/>
  <c r="B402" i="1"/>
  <c r="B219" i="1"/>
  <c r="B370" i="1"/>
  <c r="B396" i="1"/>
  <c r="B469" i="1"/>
  <c r="B430" i="1"/>
  <c r="B318" i="1"/>
  <c r="B400" i="1"/>
  <c r="B155" i="1"/>
  <c r="B279" i="1"/>
  <c r="B196" i="1"/>
  <c r="B234" i="1"/>
  <c r="B476" i="1"/>
  <c r="B490" i="1"/>
  <c r="B399" i="1"/>
  <c r="B78" i="1"/>
  <c r="B303" i="1"/>
  <c r="B362" i="1"/>
  <c r="B184" i="1"/>
  <c r="B56" i="1"/>
  <c r="B327" i="1"/>
  <c r="B156" i="1"/>
  <c r="B366" i="1"/>
  <c r="B10" i="1"/>
  <c r="B359" i="1"/>
  <c r="B438" i="1"/>
  <c r="B475" i="1"/>
  <c r="B493" i="1"/>
  <c r="B111" i="1"/>
  <c r="B121" i="1"/>
  <c r="B416" i="1"/>
  <c r="B459" i="1"/>
  <c r="B128" i="1"/>
  <c r="B347" i="1"/>
  <c r="B426" i="1"/>
  <c r="B464" i="1"/>
  <c r="B210" i="1"/>
  <c r="B51" i="1"/>
  <c r="B419" i="1"/>
  <c r="B365" i="1"/>
  <c r="B441" i="1"/>
  <c r="B119" i="1"/>
  <c r="B363" i="1"/>
  <c r="B22" i="1"/>
  <c r="B480" i="1"/>
  <c r="B146" i="1"/>
  <c r="B296" i="1"/>
  <c r="B110" i="1"/>
  <c r="B70" i="1"/>
  <c r="B209" i="1"/>
  <c r="B80" i="1"/>
  <c r="B364" i="1"/>
  <c r="B26" i="1"/>
  <c r="B173" i="1"/>
  <c r="B448" i="1"/>
  <c r="B40" i="1"/>
  <c r="B47" i="1"/>
  <c r="B394" i="1"/>
  <c r="B150" i="1"/>
  <c r="B172" i="1"/>
  <c r="B105" i="1"/>
  <c r="B213" i="1"/>
  <c r="B59" i="1"/>
  <c r="B404" i="1"/>
  <c r="B182" i="1"/>
  <c r="B216" i="1"/>
  <c r="B266" i="1"/>
  <c r="B113" i="1"/>
  <c r="B484" i="1"/>
  <c r="B185" i="1"/>
  <c r="B463" i="1"/>
  <c r="B424" i="1"/>
  <c r="B84" i="1"/>
  <c r="B95" i="1"/>
  <c r="B355" i="1"/>
  <c r="B188" i="1"/>
  <c r="B14" i="1"/>
  <c r="B142" i="1"/>
  <c r="B206" i="1"/>
  <c r="B375" i="1"/>
  <c r="B181" i="1"/>
  <c r="B338" i="1"/>
  <c r="B409" i="1"/>
  <c r="B297" i="1"/>
  <c r="B449" i="1"/>
  <c r="B11" i="1"/>
  <c r="B301" i="1"/>
  <c r="B470" i="1"/>
  <c r="B474" i="1"/>
  <c r="B255" i="1"/>
  <c r="B310" i="1"/>
  <c r="B447" i="1"/>
  <c r="B401" i="1"/>
  <c r="B245" i="1"/>
  <c r="B137" i="1"/>
  <c r="B43" i="1"/>
  <c r="B293" i="1"/>
  <c r="B294" i="1"/>
  <c r="B378" i="1"/>
  <c r="B256" i="1"/>
  <c r="B311" i="1"/>
  <c r="B287" i="1"/>
  <c r="B466" i="1"/>
  <c r="B114" i="1"/>
  <c r="B20" i="1"/>
  <c r="B282" i="1"/>
  <c r="B154" i="1"/>
  <c r="B167" i="1"/>
  <c r="B473" i="1"/>
  <c r="B228" i="1"/>
  <c r="B174" i="1"/>
  <c r="B116" i="1"/>
  <c r="B87" i="1"/>
  <c r="B175" i="1"/>
  <c r="B435" i="1"/>
  <c r="B250" i="1"/>
  <c r="B135" i="1"/>
  <c r="B233" i="1"/>
  <c r="B202" i="1"/>
  <c r="B200" i="1"/>
  <c r="B444" i="1"/>
  <c r="B325" i="1"/>
  <c r="B427" i="1"/>
  <c r="B432" i="1"/>
  <c r="H432" i="1"/>
  <c r="H200" i="1"/>
  <c r="H250" i="1"/>
  <c r="H116" i="1"/>
  <c r="H167" i="1"/>
  <c r="H114" i="1"/>
  <c r="H256" i="1"/>
  <c r="H43" i="1"/>
  <c r="H447" i="1"/>
  <c r="H470" i="1"/>
  <c r="H297" i="1"/>
  <c r="H375" i="1"/>
  <c r="H188" i="1"/>
  <c r="H424" i="1"/>
  <c r="H113" i="1"/>
  <c r="H404" i="1"/>
  <c r="H172" i="1"/>
  <c r="H40" i="1"/>
  <c r="H364" i="1"/>
  <c r="H110" i="1"/>
  <c r="H22" i="1"/>
  <c r="H365" i="1"/>
  <c r="H464" i="1"/>
  <c r="H459" i="1"/>
  <c r="H493" i="1"/>
  <c r="H10" i="1"/>
  <c r="H56" i="1"/>
  <c r="H78" i="1"/>
  <c r="H234" i="1"/>
  <c r="H400" i="1"/>
  <c r="H396" i="1"/>
  <c r="H431" i="1"/>
  <c r="H450" i="1"/>
  <c r="H324" i="1"/>
  <c r="H397" i="1"/>
  <c r="H306" i="1"/>
  <c r="H143" i="1"/>
  <c r="H66" i="1"/>
  <c r="H302" i="1"/>
  <c r="H215" i="1"/>
  <c r="H201" i="1"/>
  <c r="H133" i="1"/>
  <c r="H238" i="1"/>
  <c r="H445" i="1"/>
  <c r="H483" i="1"/>
  <c r="H309" i="1"/>
  <c r="H423" i="1"/>
  <c r="H67" i="1"/>
  <c r="H340" i="1"/>
  <c r="H160" i="1"/>
  <c r="H74" i="1"/>
  <c r="H381" i="1"/>
  <c r="H165" i="1"/>
  <c r="H346" i="1"/>
  <c r="H326" i="1"/>
  <c r="H79" i="1"/>
  <c r="H291" i="1"/>
  <c r="H385" i="1"/>
  <c r="H187" i="1"/>
  <c r="H186" i="1"/>
  <c r="H467" i="1"/>
  <c r="H127" i="1"/>
  <c r="H443" i="1"/>
  <c r="H117" i="1"/>
  <c r="H178" i="1"/>
  <c r="H387" i="1"/>
  <c r="H239" i="1"/>
  <c r="H329" i="1"/>
  <c r="H71" i="1"/>
  <c r="H12" i="1"/>
  <c r="H57" i="1"/>
  <c r="H277" i="1"/>
  <c r="H23" i="1"/>
  <c r="H157" i="1"/>
  <c r="H217" i="1"/>
  <c r="H62" i="1"/>
  <c r="H331" i="1"/>
  <c r="H232" i="1"/>
  <c r="H334" i="1"/>
  <c r="H107" i="1"/>
  <c r="H333" i="1"/>
  <c r="H405" i="1"/>
  <c r="H126" i="1"/>
  <c r="H41" i="1"/>
  <c r="H227" i="1"/>
  <c r="H120" i="1"/>
  <c r="H89" i="1"/>
  <c r="H268" i="1"/>
  <c r="H36" i="1"/>
  <c r="H139" i="1"/>
  <c r="H61" i="1"/>
  <c r="H376" i="1"/>
  <c r="H136" i="1"/>
  <c r="H418" i="1"/>
  <c r="H99" i="1"/>
  <c r="H328" i="1"/>
  <c r="H35" i="1"/>
  <c r="H380" i="1"/>
  <c r="H314" i="1"/>
  <c r="H421" i="1"/>
  <c r="H168" i="1"/>
  <c r="H439" i="1"/>
  <c r="H162" i="1"/>
  <c r="H308" i="1"/>
  <c r="H487" i="1"/>
  <c r="H190" i="1"/>
  <c r="H244" i="1"/>
  <c r="H257" i="1"/>
  <c r="H247" i="1"/>
  <c r="H481" i="1"/>
  <c r="H344" i="1"/>
  <c r="H179" i="1"/>
  <c r="H373" i="1"/>
  <c r="H353" i="1"/>
  <c r="H398" i="1"/>
  <c r="H6" i="1"/>
  <c r="H377" i="1"/>
  <c r="H91" i="1"/>
  <c r="H341" i="1"/>
  <c r="H468" i="1"/>
  <c r="H242" i="1"/>
  <c r="H369" i="1"/>
  <c r="H488" i="1"/>
  <c r="H77" i="1"/>
  <c r="H427" i="1"/>
  <c r="H202" i="1"/>
  <c r="H435" i="1"/>
  <c r="H174" i="1"/>
  <c r="H154" i="1"/>
  <c r="H466" i="1"/>
  <c r="H378" i="1"/>
  <c r="H137" i="1"/>
  <c r="H310" i="1"/>
  <c r="H301" i="1"/>
  <c r="H409" i="1"/>
  <c r="H206" i="1"/>
  <c r="H355" i="1"/>
  <c r="H463" i="1"/>
  <c r="H266" i="1"/>
  <c r="H59" i="1"/>
  <c r="H150" i="1"/>
  <c r="H448" i="1"/>
  <c r="H80" i="1"/>
  <c r="H296" i="1"/>
  <c r="H363" i="1"/>
  <c r="H419" i="1"/>
  <c r="H426" i="1"/>
  <c r="H416" i="1"/>
  <c r="H475" i="1"/>
  <c r="H366" i="1"/>
  <c r="H184" i="1"/>
  <c r="H399" i="1"/>
  <c r="H196" i="1"/>
  <c r="H318" i="1"/>
  <c r="H370" i="1"/>
  <c r="H130" i="1"/>
  <c r="H48" i="1"/>
  <c r="H254" i="1"/>
  <c r="H27" i="1"/>
  <c r="H349" i="1"/>
  <c r="H9" i="1"/>
  <c r="H42" i="1"/>
  <c r="H496" i="1"/>
  <c r="H342" i="1"/>
  <c r="H455" i="1"/>
  <c r="H261" i="1"/>
  <c r="H391" i="1"/>
  <c r="H45" i="1"/>
  <c r="H183" i="1"/>
  <c r="H97" i="1"/>
  <c r="H283" i="1"/>
  <c r="H260" i="1"/>
  <c r="H479" i="1"/>
  <c r="H88" i="1"/>
  <c r="H285" i="1"/>
  <c r="H177" i="1"/>
  <c r="H361" i="1"/>
  <c r="H456" i="1"/>
  <c r="H241" i="1"/>
  <c r="H295" i="1"/>
  <c r="H229" i="1"/>
  <c r="H220" i="1"/>
  <c r="H379" i="1"/>
  <c r="H223" i="1"/>
  <c r="H339" i="1"/>
  <c r="H148" i="1"/>
  <c r="H300" i="1"/>
  <c r="H72" i="1"/>
  <c r="H2" i="1"/>
  <c r="H281" i="1"/>
  <c r="H147" i="1"/>
  <c r="H384" i="1"/>
  <c r="H85" i="1"/>
  <c r="H198" i="1"/>
  <c r="H221" i="1"/>
  <c r="H462" i="1"/>
  <c r="H386" i="1"/>
  <c r="H494" i="1"/>
  <c r="H270" i="1"/>
  <c r="H465" i="1"/>
  <c r="H214" i="1"/>
  <c r="H108" i="1"/>
  <c r="H125" i="1"/>
  <c r="H323" i="1"/>
  <c r="H258" i="1"/>
  <c r="H124" i="1"/>
  <c r="H189" i="1"/>
  <c r="H371" i="1"/>
  <c r="H477" i="1"/>
  <c r="H171" i="1"/>
  <c r="H367" i="1"/>
  <c r="H132" i="1"/>
  <c r="H453" i="1"/>
  <c r="H357" i="1"/>
  <c r="H29" i="1"/>
  <c r="H393" i="1"/>
  <c r="H454" i="1"/>
  <c r="H152" i="1"/>
  <c r="H478" i="1"/>
  <c r="H28" i="1"/>
  <c r="H18" i="1"/>
  <c r="H460" i="1"/>
  <c r="H259" i="1"/>
  <c r="H388" i="1"/>
  <c r="H273" i="1"/>
  <c r="H131" i="1"/>
  <c r="H33" i="1"/>
  <c r="H106" i="1"/>
  <c r="H44" i="1"/>
  <c r="H500" i="1"/>
  <c r="H8" i="1"/>
  <c r="H491" i="1"/>
  <c r="H269" i="1"/>
  <c r="H104" i="1"/>
  <c r="H218" i="1"/>
  <c r="H436" i="1"/>
  <c r="H352" i="1"/>
  <c r="H442" i="1"/>
  <c r="H30" i="1"/>
  <c r="H15" i="1"/>
  <c r="H243" i="1"/>
  <c r="H159" i="1"/>
  <c r="H498" i="1"/>
  <c r="H299" i="1"/>
  <c r="H392" i="1"/>
  <c r="H19" i="1"/>
  <c r="H330" i="1"/>
  <c r="H286" i="1"/>
  <c r="H461" i="1"/>
  <c r="H360" i="1"/>
  <c r="H58" i="1"/>
  <c r="H325" i="1"/>
  <c r="H233" i="1"/>
  <c r="H175" i="1"/>
  <c r="H228" i="1"/>
  <c r="H282" i="1"/>
  <c r="H287" i="1"/>
  <c r="H294" i="1"/>
  <c r="H245" i="1"/>
  <c r="H255" i="1"/>
  <c r="H11" i="1"/>
  <c r="H338" i="1"/>
  <c r="H142" i="1"/>
  <c r="H95" i="1"/>
  <c r="H185" i="1"/>
  <c r="H216" i="1"/>
  <c r="H213" i="1"/>
  <c r="H394" i="1"/>
  <c r="H173" i="1"/>
  <c r="H209" i="1"/>
  <c r="H146" i="1"/>
  <c r="H119" i="1"/>
  <c r="H51" i="1"/>
  <c r="H347" i="1"/>
  <c r="H121" i="1"/>
  <c r="H438" i="1"/>
  <c r="H156" i="1"/>
  <c r="H362" i="1"/>
  <c r="H490" i="1"/>
  <c r="H279" i="1"/>
  <c r="H430" i="1"/>
  <c r="H219" i="1"/>
  <c r="H495" i="1"/>
  <c r="H16" i="1"/>
  <c r="H92" i="1"/>
  <c r="H76" i="1"/>
  <c r="H39" i="1"/>
  <c r="H161" i="1"/>
  <c r="H180" i="1"/>
  <c r="H446" i="1"/>
  <c r="H141" i="1"/>
  <c r="H499" i="1"/>
  <c r="H319" i="1"/>
  <c r="H354" i="1"/>
  <c r="H170" i="1"/>
  <c r="H207" i="1"/>
  <c r="H263" i="1"/>
  <c r="H193" i="1"/>
  <c r="H101" i="1"/>
  <c r="H49" i="1"/>
  <c r="H313" i="1"/>
  <c r="H24" i="1"/>
  <c r="H458" i="1"/>
  <c r="H191" i="1"/>
  <c r="H312" i="1"/>
  <c r="H457" i="1"/>
  <c r="H69" i="1"/>
  <c r="H3" i="1"/>
  <c r="H17" i="1"/>
  <c r="H211" i="1"/>
  <c r="H38" i="1"/>
  <c r="H82" i="1"/>
  <c r="H129" i="1"/>
  <c r="H37" i="1"/>
  <c r="H280" i="1"/>
  <c r="H383" i="1"/>
  <c r="H368" i="1"/>
  <c r="H265" i="1"/>
  <c r="H343" i="1"/>
  <c r="H34" i="1"/>
  <c r="H75" i="1"/>
  <c r="H118" i="1"/>
  <c r="H208" i="1"/>
  <c r="H50" i="1"/>
  <c r="H358" i="1"/>
  <c r="H452" i="1"/>
  <c r="H411" i="1"/>
  <c r="H316" i="1"/>
  <c r="H284" i="1"/>
  <c r="H94" i="1"/>
  <c r="H138" i="1"/>
  <c r="H102" i="1"/>
  <c r="H336" i="1"/>
  <c r="H276" i="1"/>
  <c r="H149" i="1"/>
  <c r="H7" i="1"/>
  <c r="H271" i="1"/>
  <c r="H122" i="1"/>
  <c r="H100" i="1"/>
  <c r="H90" i="1"/>
  <c r="H428" i="1"/>
  <c r="H332" i="1"/>
  <c r="H345" i="1"/>
  <c r="H433" i="1"/>
  <c r="H46" i="1"/>
  <c r="H422" i="1"/>
  <c r="H437" i="1"/>
  <c r="H195" i="1"/>
  <c r="H317" i="1"/>
  <c r="H192" i="1"/>
  <c r="H322" i="1"/>
  <c r="H222" i="1"/>
  <c r="H420" i="1"/>
  <c r="H205" i="1"/>
  <c r="H440" i="1"/>
  <c r="H32" i="1"/>
  <c r="H382" i="1"/>
  <c r="H408" i="1"/>
  <c r="H278" i="1"/>
  <c r="H176" i="1"/>
  <c r="H304" i="1"/>
  <c r="H267" i="1"/>
  <c r="H415" i="1"/>
  <c r="H63" i="1"/>
  <c r="H204" i="1"/>
  <c r="H246" i="1"/>
  <c r="H262" i="1"/>
  <c r="H414" i="1"/>
  <c r="H166" i="1"/>
  <c r="H249" i="1"/>
  <c r="H235" i="1"/>
  <c r="H289" i="1"/>
  <c r="H164" i="1"/>
  <c r="H169" i="1"/>
  <c r="H444" i="1"/>
  <c r="H135" i="1"/>
  <c r="H87" i="1"/>
  <c r="H473" i="1"/>
  <c r="H20" i="1"/>
  <c r="H311" i="1"/>
  <c r="H293" i="1"/>
  <c r="H401" i="1"/>
  <c r="H474" i="1"/>
  <c r="H449" i="1"/>
  <c r="H181" i="1"/>
  <c r="H14" i="1"/>
  <c r="H84" i="1"/>
  <c r="H484" i="1"/>
  <c r="H182" i="1"/>
  <c r="H105" i="1"/>
  <c r="H47" i="1"/>
  <c r="H26" i="1"/>
  <c r="H70" i="1"/>
  <c r="H480" i="1"/>
  <c r="H441" i="1"/>
  <c r="H210" i="1"/>
  <c r="H128" i="1"/>
  <c r="H111" i="1"/>
  <c r="H359" i="1"/>
  <c r="H327" i="1"/>
  <c r="H303" i="1"/>
  <c r="H476" i="1"/>
  <c r="H155" i="1"/>
  <c r="H469" i="1"/>
  <c r="H402" i="1"/>
  <c r="H81" i="1"/>
  <c r="H292" i="1"/>
  <c r="H68" i="1"/>
  <c r="H140" i="1"/>
  <c r="H73" i="1"/>
  <c r="H60" i="1"/>
  <c r="H492" i="1"/>
  <c r="H486" i="1"/>
  <c r="H389" i="1"/>
  <c r="H390" i="1"/>
  <c r="H54" i="1"/>
  <c r="H55" i="1"/>
  <c r="H472" i="1"/>
  <c r="H98" i="1"/>
  <c r="H251" i="1"/>
  <c r="H93" i="1"/>
  <c r="H406" i="1"/>
  <c r="H425" i="1"/>
  <c r="H225" i="1"/>
  <c r="H115" i="1"/>
  <c r="H212" i="1"/>
  <c r="H272" i="1"/>
  <c r="H236" i="1"/>
  <c r="H335" i="1"/>
  <c r="H321" i="1"/>
  <c r="H290" i="1"/>
  <c r="H264" i="1"/>
  <c r="H337" i="1"/>
  <c r="H413" i="1"/>
  <c r="H407" i="1"/>
  <c r="H197" i="1"/>
  <c r="H320" i="1"/>
  <c r="H429" i="1"/>
  <c r="H103" i="1"/>
  <c r="H410" i="1"/>
  <c r="H52" i="1"/>
  <c r="H96" i="1"/>
  <c r="H374" i="1"/>
  <c r="H199" i="1"/>
  <c r="H123" i="1"/>
  <c r="H145" i="1"/>
  <c r="H237" i="1"/>
  <c r="H482" i="1"/>
  <c r="H417" i="1"/>
  <c r="H288" i="1"/>
  <c r="H305" i="1"/>
  <c r="H252" i="1"/>
  <c r="H144" i="1"/>
  <c r="H13" i="1"/>
  <c r="H485" i="1"/>
  <c r="H240" i="1"/>
  <c r="H471" i="1"/>
  <c r="H194" i="1"/>
  <c r="H231" i="1"/>
  <c r="H434" i="1"/>
  <c r="H451" i="1"/>
  <c r="H403" i="1"/>
  <c r="H226" i="1"/>
  <c r="H151" i="1"/>
  <c r="H356" i="1"/>
  <c r="H315" i="1"/>
  <c r="H153" i="1"/>
  <c r="H86" i="1"/>
  <c r="H31" i="1"/>
  <c r="H4" i="1"/>
  <c r="H112" i="1"/>
  <c r="H497" i="1"/>
  <c r="H109" i="1"/>
  <c r="H230" i="1"/>
  <c r="H248" i="1"/>
  <c r="H348" i="1"/>
  <c r="H275" i="1"/>
  <c r="H395" i="1"/>
  <c r="H307" i="1"/>
  <c r="H21" i="1"/>
  <c r="H65" i="1"/>
  <c r="H274" i="1"/>
  <c r="H253" i="1"/>
  <c r="H5" i="1"/>
  <c r="H412" i="1"/>
  <c r="H53" i="1"/>
  <c r="H64" i="1"/>
  <c r="H489" i="1"/>
  <c r="H203" i="1"/>
  <c r="H372" i="1"/>
  <c r="H83" i="1"/>
  <c r="H298" i="1"/>
  <c r="H351" i="1"/>
  <c r="H350" i="1"/>
  <c r="H158" i="1"/>
  <c r="H25" i="1"/>
  <c r="H224" i="1"/>
  <c r="H134" i="1"/>
  <c r="H163" i="1"/>
  <c r="G313" i="1" l="1"/>
  <c r="G417" i="1"/>
  <c r="G452" i="1"/>
  <c r="G270" i="1"/>
  <c r="G217" i="1"/>
  <c r="G482" i="1"/>
  <c r="G358" i="1"/>
  <c r="G494" i="1"/>
  <c r="G157" i="1"/>
  <c r="G237" i="1"/>
  <c r="G50" i="1"/>
  <c r="G386" i="1"/>
  <c r="G23" i="1"/>
  <c r="G145" i="1"/>
  <c r="G208" i="1"/>
  <c r="G462" i="1"/>
  <c r="G277" i="1"/>
  <c r="G123" i="1"/>
  <c r="G118" i="1"/>
  <c r="G221" i="1"/>
  <c r="G57" i="1"/>
  <c r="G199" i="1"/>
  <c r="G75" i="1"/>
  <c r="G198" i="1"/>
  <c r="G12" i="1"/>
  <c r="G374" i="1"/>
  <c r="G418" i="1"/>
  <c r="G298" i="1"/>
  <c r="G433" i="1"/>
  <c r="G55" i="1"/>
  <c r="G354" i="1"/>
  <c r="G391" i="1"/>
  <c r="G315" i="1"/>
  <c r="G225" i="1"/>
  <c r="G388" i="1"/>
  <c r="G421" i="1"/>
  <c r="G109" i="1"/>
  <c r="G192" i="1"/>
  <c r="G259" i="1"/>
  <c r="G314" i="1"/>
  <c r="G497" i="1"/>
  <c r="G317" i="1"/>
  <c r="G460" i="1"/>
  <c r="G380" i="1"/>
  <c r="G112" i="1"/>
  <c r="G195" i="1"/>
  <c r="G18" i="1"/>
  <c r="G35" i="1"/>
  <c r="G4" i="1"/>
  <c r="G437" i="1"/>
  <c r="G28" i="1"/>
  <c r="G328" i="1"/>
  <c r="G31" i="1"/>
  <c r="G422" i="1"/>
  <c r="G478" i="1"/>
  <c r="G99" i="1"/>
  <c r="G86" i="1"/>
  <c r="G46" i="1"/>
  <c r="G152" i="1"/>
  <c r="G85" i="1"/>
  <c r="G445" i="1"/>
  <c r="G166" i="1"/>
  <c r="G343" i="1"/>
  <c r="G384" i="1"/>
  <c r="G58" i="1"/>
  <c r="G461" i="1"/>
  <c r="G163" i="1"/>
  <c r="G134" i="1"/>
  <c r="G169" i="1"/>
  <c r="G286" i="1"/>
  <c r="G77" i="1"/>
  <c r="G224" i="1"/>
  <c r="G360" i="1"/>
  <c r="G330" i="1"/>
  <c r="G488" i="1"/>
  <c r="G25" i="1"/>
  <c r="G164" i="1"/>
  <c r="G19" i="1"/>
  <c r="G369" i="1"/>
  <c r="G158" i="1"/>
  <c r="G289" i="1"/>
  <c r="G392" i="1"/>
  <c r="G242" i="1"/>
  <c r="G350" i="1"/>
  <c r="G235" i="1"/>
  <c r="G299" i="1"/>
  <c r="G468" i="1"/>
  <c r="G351" i="1"/>
  <c r="G249" i="1"/>
  <c r="G498" i="1"/>
  <c r="G341" i="1"/>
  <c r="G153" i="1"/>
  <c r="G96" i="1"/>
  <c r="G159" i="1"/>
  <c r="G136" i="1"/>
  <c r="G238" i="1"/>
  <c r="G88" i="1"/>
  <c r="G160" i="1"/>
  <c r="G425" i="1"/>
  <c r="G49" i="1"/>
  <c r="G479" i="1"/>
  <c r="G340" i="1"/>
  <c r="G406" i="1"/>
  <c r="G101" i="1"/>
  <c r="G260" i="1"/>
  <c r="G67" i="1"/>
  <c r="G93" i="1"/>
  <c r="G193" i="1"/>
  <c r="G283" i="1"/>
  <c r="G423" i="1"/>
  <c r="G251" i="1"/>
  <c r="G263" i="1"/>
  <c r="G97" i="1"/>
  <c r="G309" i="1"/>
  <c r="G98" i="1"/>
  <c r="G207" i="1"/>
  <c r="G183" i="1"/>
  <c r="G483" i="1"/>
  <c r="G472" i="1"/>
  <c r="G170" i="1"/>
  <c r="G34" i="1"/>
  <c r="G45" i="1"/>
  <c r="G363" i="1"/>
  <c r="G71" i="1"/>
  <c r="G454" i="1"/>
  <c r="G91" i="1"/>
  <c r="G329" i="1"/>
  <c r="G83" i="1"/>
  <c r="G345" i="1"/>
  <c r="G404" i="1"/>
  <c r="G52" i="1"/>
  <c r="G243" i="1"/>
  <c r="G376" i="1"/>
  <c r="G355" i="1"/>
  <c r="G51" i="1"/>
  <c r="G281" i="1"/>
  <c r="G387" i="1"/>
  <c r="G228" i="1"/>
  <c r="G448" i="1"/>
  <c r="G398" i="1"/>
  <c r="G2" i="1"/>
  <c r="G489" i="1"/>
  <c r="G215" i="1"/>
  <c r="G90" i="1"/>
  <c r="G453" i="1"/>
  <c r="G297" i="1"/>
  <c r="G63" i="1"/>
  <c r="G492" i="1"/>
  <c r="G393" i="1"/>
  <c r="G377" i="1"/>
  <c r="G147" i="1"/>
  <c r="G372" i="1"/>
  <c r="G262" i="1"/>
  <c r="G410" i="1"/>
  <c r="G499" i="1"/>
  <c r="G61" i="1"/>
  <c r="G246" i="1"/>
  <c r="G357" i="1"/>
  <c r="G128" i="1"/>
  <c r="G141" i="1"/>
  <c r="G204" i="1"/>
  <c r="G442" i="1"/>
  <c r="G64" i="1"/>
  <c r="G117" i="1"/>
  <c r="G100" i="1"/>
  <c r="G320" i="1"/>
  <c r="G132" i="1"/>
  <c r="G180" i="1"/>
  <c r="G216" i="1"/>
  <c r="G414" i="1"/>
  <c r="G47" i="1"/>
  <c r="G319" i="1"/>
  <c r="G22" i="1"/>
  <c r="G261" i="1"/>
  <c r="G137" i="1"/>
  <c r="G133" i="1"/>
  <c r="G239" i="1"/>
  <c r="G390" i="1"/>
  <c r="G29" i="1"/>
  <c r="G368" i="1"/>
  <c r="G6" i="1"/>
  <c r="G203" i="1"/>
  <c r="G389" i="1"/>
  <c r="G474" i="1"/>
  <c r="G30" i="1"/>
  <c r="G383" i="1"/>
  <c r="G139" i="1"/>
  <c r="G342" i="1"/>
  <c r="G167" i="1"/>
  <c r="G178" i="1"/>
  <c r="G486" i="1"/>
  <c r="G446" i="1"/>
  <c r="G280" i="1"/>
  <c r="G353" i="1"/>
  <c r="G496" i="1"/>
  <c r="G403" i="1"/>
  <c r="G287" i="1"/>
  <c r="G373" i="1"/>
  <c r="G300" i="1"/>
  <c r="G401" i="1"/>
  <c r="G54" i="1"/>
  <c r="G265" i="1"/>
  <c r="G356" i="1"/>
  <c r="G332" i="1"/>
  <c r="G116" i="1"/>
  <c r="G15" i="1"/>
  <c r="G455" i="1"/>
  <c r="G151" i="1"/>
  <c r="G201" i="1"/>
  <c r="G428" i="1"/>
  <c r="G103" i="1"/>
  <c r="G464" i="1"/>
  <c r="G175" i="1"/>
  <c r="G226" i="1"/>
  <c r="G429" i="1"/>
  <c r="G470" i="1"/>
  <c r="G419" i="1"/>
  <c r="G36" i="1"/>
  <c r="G72" i="1"/>
  <c r="G302" i="1"/>
  <c r="G352" i="1"/>
  <c r="G451" i="1"/>
  <c r="G268" i="1"/>
  <c r="G53" i="1"/>
  <c r="G122" i="1"/>
  <c r="G436" i="1"/>
  <c r="G129" i="1"/>
  <c r="G412" i="1"/>
  <c r="G105" i="1"/>
  <c r="G427" i="1"/>
  <c r="G267" i="1"/>
  <c r="G407" i="1"/>
  <c r="G5" i="1"/>
  <c r="G140" i="1"/>
  <c r="G104" i="1"/>
  <c r="G227" i="1"/>
  <c r="G27" i="1"/>
  <c r="G253" i="1"/>
  <c r="G176" i="1"/>
  <c r="G324" i="1"/>
  <c r="G278" i="1"/>
  <c r="G264" i="1"/>
  <c r="G491" i="1"/>
  <c r="G257" i="1"/>
  <c r="G202" i="1"/>
  <c r="G240" i="1"/>
  <c r="G385" i="1"/>
  <c r="G290" i="1"/>
  <c r="G405" i="1"/>
  <c r="G244" i="1"/>
  <c r="G402" i="1"/>
  <c r="G258" i="1"/>
  <c r="G44" i="1"/>
  <c r="G487" i="1"/>
  <c r="G121" i="1"/>
  <c r="G60" i="1"/>
  <c r="G367" i="1"/>
  <c r="G89" i="1"/>
  <c r="G148" i="1"/>
  <c r="G434" i="1"/>
  <c r="G271" i="1"/>
  <c r="G347" i="1"/>
  <c r="G171" i="1"/>
  <c r="G39" i="1"/>
  <c r="G120" i="1"/>
  <c r="G339" i="1"/>
  <c r="G306" i="1"/>
  <c r="G7" i="1"/>
  <c r="G76" i="1"/>
  <c r="G194" i="1"/>
  <c r="G337" i="1"/>
  <c r="G371" i="1"/>
  <c r="G247" i="1"/>
  <c r="G471" i="1"/>
  <c r="G189" i="1"/>
  <c r="G17" i="1"/>
  <c r="G220" i="1"/>
  <c r="G336" i="1"/>
  <c r="G81" i="1"/>
  <c r="G124" i="1"/>
  <c r="G495" i="1"/>
  <c r="G466" i="1"/>
  <c r="G321" i="1"/>
  <c r="G213" i="1"/>
  <c r="G241" i="1"/>
  <c r="G255" i="1"/>
  <c r="G37" i="1"/>
  <c r="G42" i="1"/>
  <c r="G443" i="1"/>
  <c r="G415" i="1"/>
  <c r="G9" i="1"/>
  <c r="G143" i="1"/>
  <c r="G73" i="1"/>
  <c r="G218" i="1"/>
  <c r="G344" i="1"/>
  <c r="G349" i="1"/>
  <c r="G231" i="1"/>
  <c r="G467" i="1"/>
  <c r="G304" i="1"/>
  <c r="G413" i="1"/>
  <c r="G154" i="1"/>
  <c r="G223" i="1"/>
  <c r="G397" i="1"/>
  <c r="G186" i="1"/>
  <c r="G68" i="1"/>
  <c r="G394" i="1"/>
  <c r="G254" i="1"/>
  <c r="G364" i="1"/>
  <c r="G187" i="1"/>
  <c r="G48" i="1"/>
  <c r="G338" i="1"/>
  <c r="G65" i="1"/>
  <c r="G8" i="1"/>
  <c r="G3" i="1"/>
  <c r="G130" i="1"/>
  <c r="G485" i="1"/>
  <c r="G21" i="1"/>
  <c r="G291" i="1"/>
  <c r="G382" i="1"/>
  <c r="G500" i="1"/>
  <c r="G426" i="1"/>
  <c r="G113" i="1"/>
  <c r="G307" i="1"/>
  <c r="G66" i="1"/>
  <c r="G416" i="1"/>
  <c r="G197" i="1"/>
  <c r="G161" i="1"/>
  <c r="G179" i="1"/>
  <c r="G127" i="1"/>
  <c r="G82" i="1"/>
  <c r="G282" i="1"/>
  <c r="G477" i="1"/>
  <c r="G38" i="1"/>
  <c r="G481" i="1"/>
  <c r="G174" i="1"/>
  <c r="G149" i="1"/>
  <c r="G301" i="1"/>
  <c r="G269" i="1"/>
  <c r="G92" i="1"/>
  <c r="G211" i="1"/>
  <c r="G41" i="1"/>
  <c r="G379" i="1"/>
  <c r="G274" i="1"/>
  <c r="G276" i="1"/>
  <c r="G435" i="1"/>
  <c r="G292" i="1"/>
  <c r="G16" i="1"/>
  <c r="G126" i="1"/>
  <c r="G450" i="1"/>
  <c r="G408" i="1"/>
  <c r="G229" i="1"/>
  <c r="G431" i="1"/>
  <c r="G102" i="1"/>
  <c r="G69" i="1"/>
  <c r="G295" i="1"/>
  <c r="G13" i="1"/>
  <c r="G323" i="1"/>
  <c r="G440" i="1"/>
  <c r="G236" i="1"/>
  <c r="G106" i="1"/>
  <c r="G308" i="1"/>
  <c r="G200" i="1"/>
  <c r="G252" i="1"/>
  <c r="G275" i="1"/>
  <c r="G346" i="1"/>
  <c r="G205" i="1"/>
  <c r="G490" i="1"/>
  <c r="G348" i="1"/>
  <c r="G212" i="1"/>
  <c r="G458" i="1"/>
  <c r="G184" i="1"/>
  <c r="G177" i="1"/>
  <c r="G56" i="1"/>
  <c r="G222" i="1"/>
  <c r="G285" i="1"/>
  <c r="G135" i="1"/>
  <c r="G438" i="1"/>
  <c r="G294" i="1"/>
  <c r="G84" i="1"/>
  <c r="G493" i="1"/>
  <c r="G11" i="1"/>
  <c r="G396" i="1"/>
  <c r="G79" i="1"/>
  <c r="G469" i="1"/>
  <c r="G430" i="1"/>
  <c r="G107" i="1"/>
  <c r="G400" i="1"/>
  <c r="G326" i="1"/>
  <c r="G312" i="1"/>
  <c r="G196" i="1"/>
  <c r="G173" i="1"/>
  <c r="G191" i="1"/>
  <c r="G162" i="1"/>
  <c r="G399" i="1"/>
  <c r="G20" i="1"/>
  <c r="G78" i="1"/>
  <c r="G165" i="1"/>
  <c r="G420" i="1"/>
  <c r="G303" i="1"/>
  <c r="G214" i="1"/>
  <c r="G432" i="1"/>
  <c r="G331" i="1"/>
  <c r="G325" i="1"/>
  <c r="G310" i="1"/>
  <c r="G248" i="1"/>
  <c r="G381" i="1"/>
  <c r="G115" i="1"/>
  <c r="G273" i="1"/>
  <c r="G62" i="1"/>
  <c r="G359" i="1"/>
  <c r="G185" i="1"/>
  <c r="G322" i="1"/>
  <c r="G110" i="1"/>
  <c r="G424" i="1"/>
  <c r="G475" i="1"/>
  <c r="G256" i="1"/>
  <c r="G80" i="1"/>
  <c r="G111" i="1"/>
  <c r="G311" i="1"/>
  <c r="G333" i="1"/>
  <c r="G138" i="1"/>
  <c r="G14" i="1"/>
  <c r="G318" i="1"/>
  <c r="G144" i="1"/>
  <c r="G395" i="1"/>
  <c r="G125" i="1"/>
  <c r="G233" i="1"/>
  <c r="G456" i="1"/>
  <c r="G284" i="1"/>
  <c r="G476" i="1"/>
  <c r="G232" i="1"/>
  <c r="G131" i="1"/>
  <c r="G362" i="1"/>
  <c r="G288" i="1"/>
  <c r="G40" i="1"/>
  <c r="G142" i="1"/>
  <c r="G327" i="1"/>
  <c r="G156" i="1"/>
  <c r="G230" i="1"/>
  <c r="G250" i="1"/>
  <c r="G209" i="1"/>
  <c r="G95" i="1"/>
  <c r="G219" i="1"/>
  <c r="G441" i="1"/>
  <c r="G190" i="1"/>
  <c r="G370" i="1"/>
  <c r="G32" i="1"/>
  <c r="G473" i="1"/>
  <c r="G335" i="1"/>
  <c r="G457" i="1"/>
  <c r="G94" i="1"/>
  <c r="G155" i="1"/>
  <c r="G279" i="1"/>
  <c r="G334" i="1"/>
  <c r="G234" i="1"/>
  <c r="G272" i="1"/>
  <c r="G108" i="1"/>
  <c r="G33" i="1"/>
  <c r="G361" i="1"/>
  <c r="G305" i="1"/>
  <c r="G316" i="1"/>
  <c r="G449" i="1"/>
  <c r="G439" i="1"/>
  <c r="G87" i="1"/>
  <c r="G411" i="1"/>
  <c r="G465" i="1"/>
  <c r="G24" i="1"/>
  <c r="G168" i="1"/>
  <c r="G366" i="1"/>
  <c r="G375" i="1"/>
  <c r="G10" i="1"/>
  <c r="G74" i="1"/>
  <c r="G293" i="1"/>
  <c r="G463" i="1"/>
  <c r="G70" i="1"/>
  <c r="G378" i="1"/>
  <c r="G146" i="1"/>
</calcChain>
</file>

<file path=xl/sharedStrings.xml><?xml version="1.0" encoding="utf-8"?>
<sst xmlns="http://schemas.openxmlformats.org/spreadsheetml/2006/main" count="1386" uniqueCount="409">
  <si>
    <t>CollectionName</t>
  </si>
  <si>
    <t>CallNumber</t>
  </si>
  <si>
    <t>Title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</si>
  <si>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</si>
  <si>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</si>
  <si>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</si>
  <si>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</si>
  <si>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</si>
  <si>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</si>
  <si>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</si>
  <si>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</si>
  <si>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</si>
  <si>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</si>
  <si>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</si>
  <si>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</si>
  <si>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</si>
  <si>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</si>
  <si>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</si>
  <si>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</si>
  <si>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</si>
  <si>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</si>
  <si>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</si>
  <si>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</si>
  <si>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</si>
  <si>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</si>
  <si>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</si>
  <si>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</si>
  <si>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</si>
  <si>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</si>
  <si>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</si>
  <si>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</si>
  <si>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</si>
  <si>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</si>
  <si>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</si>
  <si>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</si>
  <si>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</si>
  <si>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</si>
  <si>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</si>
  <si>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</si>
  <si>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</si>
  <si>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</si>
  <si>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</si>
  <si>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</si>
  <si>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</si>
  <si>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</si>
  <si>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</si>
  <si>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</si>
  <si>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</si>
  <si>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</si>
  <si>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</si>
  <si>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</si>
  <si>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</si>
  <si>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</si>
  <si>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</si>
  <si>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</si>
  <si>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</si>
  <si>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</si>
  <si>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</si>
  <si>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</si>
  <si>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</si>
  <si>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</si>
  <si>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</si>
  <si>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</si>
  <si>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</si>
  <si>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</si>
  <si>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</si>
  <si>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</si>
  <si>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</si>
  <si>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</si>
  <si>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</si>
  <si>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</si>
  <si>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</si>
  <si>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</si>
  <si>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</si>
  <si>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</si>
  <si>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</si>
  <si>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Juvenile Magazines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</si>
  <si>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</si>
  <si>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</si>
  <si>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</si>
  <si>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</si>
  <si>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</si>
  <si>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</si>
  <si>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</si>
  <si>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</si>
  <si>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Board Books</t>
  </si>
  <si>
    <t xml:space="preserve">Childcare </t>
  </si>
  <si>
    <t>Children's Paperbacks</t>
  </si>
  <si>
    <t>DVD Educational</t>
  </si>
  <si>
    <t>Easy Non-Fiction</t>
  </si>
  <si>
    <t>English as a second language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</si>
  <si>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</si>
  <si>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</si>
  <si>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</si>
  <si>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</si>
  <si>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</si>
  <si>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</si>
  <si>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Spanish Language Paperbacks</t>
  </si>
  <si>
    <t>Teen Biography</t>
  </si>
  <si>
    <t>Teen Classics Paperbacks</t>
  </si>
  <si>
    <t>Teen Explore</t>
  </si>
  <si>
    <t>Teen Large Type</t>
  </si>
  <si>
    <t>Teen Nonfiction</t>
  </si>
  <si>
    <t>Teen Paperbacks</t>
  </si>
  <si>
    <t/>
  </si>
  <si>
    <t>Join</t>
  </si>
  <si>
    <t>CollectionName
Primary</t>
  </si>
  <si>
    <t>CollectionName
Secondary</t>
  </si>
  <si>
    <t>DVD</t>
  </si>
  <si>
    <t xml:space="preserve"> Action</t>
  </si>
  <si>
    <t xml:space="preserve"> Comedy</t>
  </si>
  <si>
    <t xml:space="preserve"> Drama</t>
  </si>
  <si>
    <t xml:space="preserve"> Educational</t>
  </si>
  <si>
    <t xml:space="preserve"> Family</t>
  </si>
  <si>
    <t xml:space="preserve"> Fantasy</t>
  </si>
  <si>
    <t xml:space="preserve"> Foreign</t>
  </si>
  <si>
    <t xml:space="preserve"> Horror</t>
  </si>
  <si>
    <t xml:space="preserve"> Musical</t>
  </si>
  <si>
    <t xml:space="preserve"> Mystery</t>
  </si>
  <si>
    <t xml:space="preserve"> Science Fiction</t>
  </si>
  <si>
    <t xml:space="preserve"> Suspense</t>
  </si>
  <si>
    <t xml:space="preserve"> Television Series</t>
  </si>
  <si>
    <t xml:space="preserve"> War</t>
  </si>
  <si>
    <t xml:space="preserve"> Western</t>
  </si>
  <si>
    <t xml:space="preserve"> Audiobook</t>
  </si>
  <si>
    <t xml:space="preserve"> Countdown</t>
  </si>
  <si>
    <t xml:space="preserve"> Non-Fiction</t>
  </si>
  <si>
    <t xml:space="preserve"> Sci Fi</t>
  </si>
  <si>
    <t>International</t>
  </si>
  <si>
    <t xml:space="preserve"> Chinese</t>
  </si>
  <si>
    <t xml:space="preserve"> Japanese</t>
  </si>
  <si>
    <t xml:space="preserve"> Korean</t>
  </si>
  <si>
    <t xml:space="preserve"> Russian</t>
  </si>
  <si>
    <t xml:space="preserve"> Spanish</t>
  </si>
  <si>
    <t xml:space="preserve"> Tagalog</t>
  </si>
  <si>
    <t xml:space="preserve"> Vietnamese</t>
  </si>
  <si>
    <t>Juvenile</t>
  </si>
  <si>
    <t xml:space="preserve"> Biography</t>
  </si>
  <si>
    <t xml:space="preserve"> Compact Disc</t>
  </si>
  <si>
    <t xml:space="preserve"> DVD</t>
  </si>
  <si>
    <t xml:space="preserve"> DVD Educational</t>
  </si>
  <si>
    <t xml:space="preserve"> Fiction</t>
  </si>
  <si>
    <t xml:space="preserve"> Large Type</t>
  </si>
  <si>
    <t xml:space="preserve"> Magazine</t>
  </si>
  <si>
    <t xml:space="preserve"> Nonfiction</t>
  </si>
  <si>
    <t>Teen</t>
  </si>
  <si>
    <t xml:space="preserve"> Classics Paperbacks</t>
  </si>
  <si>
    <t xml:space="preserve"> Explore</t>
  </si>
  <si>
    <t xml:space="preserve"> Magazines</t>
  </si>
  <si>
    <t xml:space="preserve"> Paperbacks</t>
  </si>
  <si>
    <t>Sort by Rank</t>
  </si>
  <si>
    <t>Sort A-Z (0-9)</t>
  </si>
  <si>
    <t>Library Use Only</t>
  </si>
  <si>
    <t>CallNumber Masks</t>
  </si>
  <si>
    <t>J *</t>
  </si>
  <si>
    <t>TEEN *</t>
  </si>
  <si>
    <t>INTL-*</t>
  </si>
  <si>
    <t>CD BIO *</t>
  </si>
  <si>
    <t>CD FIC *</t>
  </si>
  <si>
    <t>CD [alpha]*</t>
  </si>
  <si>
    <t>CD [numeric]*</t>
  </si>
  <si>
    <t>International Teen</t>
  </si>
  <si>
    <t>International Juvenile</t>
  </si>
  <si>
    <t>International Easy</t>
  </si>
  <si>
    <t>Descriptive Name</t>
  </si>
  <si>
    <t xml:space="preserve">J </t>
  </si>
  <si>
    <t>Description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</si>
  <si>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</si>
  <si>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</si>
  <si>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</si>
  <si>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</si>
  <si>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</si>
  <si>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</si>
  <si>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</si>
  <si>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</si>
  <si>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</si>
  <si>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</si>
  <si>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</si>
  <si>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</si>
  <si>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</si>
  <si>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</si>
  <si>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</si>
  <si>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</si>
  <si>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</si>
  <si>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</si>
  <si>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</si>
  <si>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</si>
  <si>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</si>
  <si>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</si>
  <si>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</si>
  <si>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</si>
  <si>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</si>
  <si>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</si>
  <si>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</si>
  <si>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</si>
  <si>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</si>
  <si>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</si>
  <si>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</si>
  <si>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</si>
  <si>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</si>
  <si>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</si>
  <si>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</si>
  <si>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</si>
  <si>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</si>
  <si>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</si>
  <si>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</si>
  <si>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</si>
  <si>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</si>
  <si>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</si>
  <si>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</si>
  <si>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</si>
  <si>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</si>
  <si>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</si>
  <si>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</si>
  <si>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</si>
  <si>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</si>
  <si>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</si>
  <si>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</si>
  <si>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</si>
  <si>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</si>
  <si>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</si>
  <si>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</si>
  <si>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</si>
  <si>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</si>
  <si>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</si>
  <si>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</si>
  <si>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</si>
  <si>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</si>
  <si>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</si>
  <si>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</si>
  <si>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</si>
  <si>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</si>
  <si>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</si>
  <si>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</si>
  <si>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</si>
  <si>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</si>
  <si>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</si>
  <si>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</si>
  <si>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</si>
  <si>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</si>
  <si>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</si>
  <si>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</si>
  <si>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</si>
  <si>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</si>
  <si>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</si>
  <si>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</si>
  <si>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</si>
  <si>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</si>
  <si>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</si>
  <si>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</si>
  <si>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</si>
  <si>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</si>
  <si>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</si>
  <si>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Audiobooks</t>
  </si>
  <si>
    <t>CD</t>
  </si>
  <si>
    <t>Adult CD Non-Fiction</t>
  </si>
  <si>
    <t>Adult CD Biography</t>
  </si>
  <si>
    <t>Adult DVD</t>
  </si>
  <si>
    <t>DVD &lt;genre&gt;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</si>
  <si>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</si>
  <si>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</si>
  <si>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</si>
  <si>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</si>
  <si>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</si>
  <si>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</si>
  <si>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</si>
  <si>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</si>
  <si>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</si>
  <si>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</si>
  <si>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</si>
  <si>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</si>
  <si>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</si>
  <si>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</si>
  <si>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</si>
  <si>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</si>
  <si>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</si>
  <si>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</si>
  <si>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</si>
  <si>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</si>
  <si>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</si>
  <si>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</si>
  <si>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</si>
  <si>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</si>
  <si>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</si>
  <si>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</si>
  <si>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</si>
  <si>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</si>
  <si>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</si>
  <si>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</si>
  <si>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</si>
  <si>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</si>
  <si>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</si>
  <si>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</si>
  <si>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</si>
  <si>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</si>
  <si>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</si>
  <si>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</si>
  <si>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</si>
  <si>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</si>
  <si>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</si>
  <si>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</si>
  <si>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</si>
  <si>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</si>
  <si>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</si>
  <si>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</si>
  <si>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</si>
  <si>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</si>
  <si>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</si>
  <si>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</si>
  <si>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</si>
  <si>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</si>
  <si>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</si>
  <si>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</si>
  <si>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</si>
  <si>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</si>
  <si>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</si>
  <si>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</si>
  <si>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</si>
  <si>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</si>
  <si>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</si>
  <si>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</si>
  <si>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</si>
  <si>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</si>
  <si>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</si>
  <si>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</si>
  <si>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</si>
  <si>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</si>
  <si>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</si>
  <si>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</si>
  <si>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</si>
  <si>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</si>
  <si>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</si>
  <si>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</si>
  <si>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</si>
  <si>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</si>
  <si>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</si>
  <si>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</si>
  <si>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</si>
  <si>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</si>
  <si>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</si>
  <si>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</si>
  <si>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</si>
  <si>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</si>
  <si>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</si>
  <si>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</si>
  <si>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</si>
  <si>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</si>
  <si>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</si>
  <si>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</si>
  <si>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</si>
  <si>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</si>
  <si>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</si>
  <si>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</si>
  <si>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</si>
  <si>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</si>
  <si>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</si>
  <si>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</si>
  <si>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</si>
  <si>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</si>
  <si>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</si>
  <si>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no collection</t>
  </si>
  <si>
    <t>MAGAZINE</t>
  </si>
  <si>
    <t>Teen Explore books</t>
  </si>
  <si>
    <t>No collection</t>
  </si>
  <si>
    <t>TEEN EXPLORE</t>
  </si>
  <si>
    <t>Adult Paperback</t>
  </si>
  <si>
    <t>APBK</t>
  </si>
  <si>
    <t>Teen Paperback</t>
  </si>
  <si>
    <t>TPBK</t>
  </si>
  <si>
    <t>Easy Fiction</t>
  </si>
  <si>
    <t>Collection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</si>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</sst>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5" fillId="0" borderId="4" xfId="0" applyFont="1" applyBorder="1" applyAlignment="1">
      <alignment wrapText="1"/>
    </xf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Border="1" applyAlignment="1" applyProtection="1">
      <alignment vertical="top" wrapText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6" fillId="3" borderId="9" xfId="0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/>
    <xf numFmtId="0" fontId="0" fillId="0" borderId="0" xfId="0" applyBorder="1"/>
    <xf numFmtId="0" fontId="5" fillId="0" borderId="11" xfId="0" applyFont="1" applyBorder="1"/>
    <xf numFmtId="0" fontId="9" fillId="0" borderId="0" xfId="0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 applyAlignment="1" applyProtection="1"/>
    <xf numFmtId="0" fontId="9" fillId="0" borderId="0" xfId="0" applyFont="1" applyAlignment="1">
      <alignment horizontal="right" wrapText="1"/>
    </xf>
    <xf numFmtId="0" fontId="0" fillId="0" borderId="0" xfId="0" applyAlignment="1">
      <alignment wrapText="1"/>
    </xf>
    <xf numFmtId="0" fontId="9" fillId="0" borderId="12" xfId="0" applyFont="1" applyBorder="1" applyAlignment="1">
      <alignment horizontal="right" wrapText="1"/>
    </xf>
    <xf numFmtId="0" fontId="9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right"/>
    </xf>
    <xf numFmtId="0" fontId="9" fillId="0" borderId="0" xfId="0" applyFont="1" applyBorder="1" applyAlignment="1">
      <alignment horizontal="right"/>
    </xf>
    <xf numFmtId="0" fontId="0" fillId="0" borderId="0" xfId="0" applyNumberFormat="1" applyBorder="1" applyAlignment="1">
      <alignment horizontal="right"/>
    </xf>
    <xf numFmtId="0" fontId="9" fillId="0" borderId="0" xfId="0" applyFont="1" applyAlignment="1">
      <alignment wrapText="1"/>
    </xf>
    <xf numFmtId="0" fontId="1" fillId="0" borderId="0" xfId="2"/>
    <xf numFmtId="0" fontId="1" fillId="4" borderId="0" xfId="2" applyFill="1"/>
    <xf numFmtId="0" fontId="1" fillId="0" borderId="0" xfId="2" applyAlignment="1">
      <alignment wrapText="1"/>
    </xf>
    <xf numFmtId="0" fontId="1" fillId="0" borderId="0" xfId="2" applyFill="1" applyAlignment="1">
      <alignment wrapText="1"/>
    </xf>
    <xf numFmtId="0" fontId="1" fillId="0" borderId="0" xfId="2" applyFont="1" applyFill="1" applyBorder="1"/>
    <xf numFmtId="0" fontId="1" fillId="0" borderId="0" xfId="2" applyFont="1" applyFill="1" applyBorder="1" applyAlignment="1">
      <alignment wrapText="1"/>
    </xf>
    <xf numFmtId="0" fontId="10" fillId="0" borderId="0" xfId="2" applyFont="1" applyFill="1" applyBorder="1"/>
  </cellXfs>
  <cellStyles count="3">
    <cellStyle name="Normal" xfId="0" builtinId="0"/>
    <cellStyle name="Normal 2" xfId="1"/>
    <cellStyle name="Normal 3" xfId="2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1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</xdr:row>
          <xdr:rowOff>38100</xdr:rowOff>
        </xdr:from>
        <xdr:to>
          <xdr:col>10</xdr:col>
          <xdr:colOff>289560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4</xdr:row>
      <xdr:rowOff>85725</xdr:rowOff>
    </xdr:from>
    <xdr:to>
      <xdr:col>10</xdr:col>
      <xdr:colOff>447675</xdr:colOff>
      <xdr:row>6</xdr:row>
      <xdr:rowOff>76200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8069580" y="1457325"/>
          <a:ext cx="1697355" cy="676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6</xdr:row>
          <xdr:rowOff>182880</xdr:rowOff>
        </xdr:from>
        <xdr:to>
          <xdr:col>10</xdr:col>
          <xdr:colOff>53340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lake\Desktop\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  <sheetDataSet>
      <sheetData sheetId="0">
        <row r="2">
          <cell r="A2" t="str">
            <v>SNO RTF daily report1</v>
          </cell>
        </row>
        <row r="5">
          <cell r="A5" t="str">
            <v>CollectionName</v>
          </cell>
          <cell r="B5" t="str">
            <v>Item Barcode</v>
          </cell>
          <cell r="C5" t="str">
            <v>Shelf Location</v>
          </cell>
          <cell r="D5" t="str">
            <v>CallNumber</v>
          </cell>
          <cell r="E5" t="str">
            <v>Author</v>
          </cell>
          <cell r="F5" t="str">
            <v>Title</v>
          </cell>
          <cell r="G5" t="str">
            <v>PublicationYear</v>
          </cell>
        </row>
        <row r="6">
          <cell r="A6" t="str">
            <v>Compact Disc</v>
          </cell>
          <cell r="D6" t="str">
            <v>CD H FRA906</v>
          </cell>
          <cell r="E6" t="str">
            <v>Franklin, Aretha.</v>
          </cell>
          <cell r="F6" t="str">
            <v>Amazing grace</v>
          </cell>
          <cell r="G6">
            <v>2000</v>
          </cell>
        </row>
        <row r="7">
          <cell r="A7" t="str">
            <v>Compact Disc</v>
          </cell>
          <cell r="D7" t="str">
            <v>CD K FRE42</v>
          </cell>
          <cell r="F7" t="str">
            <v>Freaky Friday original soundtrack.</v>
          </cell>
          <cell r="G7">
            <v>2003</v>
          </cell>
        </row>
        <row r="8">
          <cell r="A8" t="str">
            <v>Compact Disc</v>
          </cell>
          <cell r="D8" t="str">
            <v>CD M MCC2470</v>
          </cell>
          <cell r="E8" t="str">
            <v>McCartney, Jesse, 1987-</v>
          </cell>
          <cell r="F8" t="str">
            <v>Beautiful soul</v>
          </cell>
          <cell r="G8">
            <v>2004</v>
          </cell>
        </row>
        <row r="9">
          <cell r="A9" t="str">
            <v>Compact Disc</v>
          </cell>
          <cell r="D9" t="str">
            <v>CD MA NEO6578</v>
          </cell>
          <cell r="E9" t="str">
            <v>Neon Trees (Musical group)</v>
          </cell>
          <cell r="F9" t="str">
            <v>Picture show</v>
          </cell>
          <cell r="G9">
            <v>2012</v>
          </cell>
        </row>
        <row r="10">
          <cell r="A10" t="str">
            <v>Compact Disc</v>
          </cell>
          <cell r="D10" t="str">
            <v>CD U CHE7445</v>
          </cell>
          <cell r="E10" t="str">
            <v>Chesney, Kenny.</v>
          </cell>
          <cell r="F10" t="str">
            <v>Hemingway's whiskey</v>
          </cell>
          <cell r="G10">
            <v>2010</v>
          </cell>
        </row>
        <row r="11">
          <cell r="A11" t="str">
            <v>DVD Drama</v>
          </cell>
          <cell r="D11" t="str">
            <v>DVD BEHINDT</v>
          </cell>
          <cell r="F11" t="str">
            <v>Behind the candelabra</v>
          </cell>
          <cell r="G11">
            <v>2013</v>
          </cell>
        </row>
        <row r="12">
          <cell r="A12" t="str">
            <v>DVD Drama</v>
          </cell>
          <cell r="D12" t="str">
            <v>DVD HUNTER</v>
          </cell>
          <cell r="F12" t="str">
            <v>The hunter</v>
          </cell>
          <cell r="G12">
            <v>2012</v>
          </cell>
        </row>
        <row r="13">
          <cell r="A13" t="str">
            <v>DVD Educational</v>
          </cell>
          <cell r="D13" t="str">
            <v>DVD-ED 209 CUL3490</v>
          </cell>
          <cell r="F13" t="str">
            <v>Cults dangerous devotion</v>
          </cell>
          <cell r="G13">
            <v>2009</v>
          </cell>
        </row>
        <row r="14">
          <cell r="A14" t="str">
            <v>DVD Educational</v>
          </cell>
          <cell r="D14" t="str">
            <v>DVD-ED 338.4762 SIL601</v>
          </cell>
          <cell r="F14" t="str">
            <v>Silicon Valley</v>
          </cell>
          <cell r="G14">
            <v>2013</v>
          </cell>
        </row>
        <row r="15">
          <cell r="A15" t="str">
            <v>DVD Educational</v>
          </cell>
          <cell r="D15" t="str">
            <v>DVD-ED 512 ALG108</v>
          </cell>
          <cell r="F15" t="str">
            <v>Algebra I DVD series. A1, Introduction to real numbers and variables</v>
          </cell>
          <cell r="G15">
            <v>2007</v>
          </cell>
        </row>
        <row r="16">
          <cell r="A16" t="str">
            <v>DVD Educational</v>
          </cell>
          <cell r="D16" t="str">
            <v>DVD-ED 782.4216 HEA559</v>
          </cell>
          <cell r="F16" t="str">
            <v>Heart, alive in Seattle</v>
          </cell>
          <cell r="G16">
            <v>2003</v>
          </cell>
        </row>
        <row r="17">
          <cell r="A17" t="str">
            <v>DVD Television Series</v>
          </cell>
          <cell r="D17" t="str">
            <v>DVD DOC5706</v>
          </cell>
          <cell r="F17" t="str">
            <v>Doctor Who. Dalek war</v>
          </cell>
          <cell r="G17">
            <v>2010</v>
          </cell>
        </row>
        <row r="18">
          <cell r="A18" t="str">
            <v>Easy Countdown</v>
          </cell>
          <cell r="D18" t="str">
            <v>E 398.8 MY VERY</v>
          </cell>
          <cell r="F18" t="str">
            <v>My very first Mother Goose</v>
          </cell>
          <cell r="G18">
            <v>1996</v>
          </cell>
        </row>
        <row r="19">
          <cell r="A19" t="str">
            <v>Easy Countdown</v>
          </cell>
          <cell r="D19" t="str">
            <v>E BURNING</v>
          </cell>
          <cell r="E19" t="str">
            <v>Burningham, John.</v>
          </cell>
          <cell r="F19" t="str">
            <v>Mr. Gumpy's outing</v>
          </cell>
          <cell r="G19">
            <v>1970</v>
          </cell>
        </row>
        <row r="20">
          <cell r="A20" t="str">
            <v>Easy Countdown</v>
          </cell>
          <cell r="D20" t="str">
            <v>E SHANNON</v>
          </cell>
          <cell r="E20" t="str">
            <v>Shannon, David, 1959-</v>
          </cell>
          <cell r="F20" t="str">
            <v>No, David!</v>
          </cell>
          <cell r="G20">
            <v>1998</v>
          </cell>
        </row>
        <row r="21">
          <cell r="A21" t="str">
            <v>Fiction</v>
          </cell>
          <cell r="D21" t="str">
            <v>FIC FITZGER</v>
          </cell>
          <cell r="E21" t="str">
            <v>Fitzgerald, F. Scott (Francis Scott), 1896-1940.</v>
          </cell>
          <cell r="F21" t="str">
            <v>This side of paradise</v>
          </cell>
          <cell r="G21">
            <v>1996</v>
          </cell>
        </row>
        <row r="22">
          <cell r="A22" t="str">
            <v>Fiction</v>
          </cell>
          <cell r="D22" t="str">
            <v>FIC GALENOR</v>
          </cell>
          <cell r="E22" t="str">
            <v>Galenorn, Yasmine, 1961-</v>
          </cell>
          <cell r="F22" t="str">
            <v>Night seeker</v>
          </cell>
          <cell r="G22">
            <v>2012</v>
          </cell>
        </row>
        <row r="23">
          <cell r="A23" t="str">
            <v>Fiction</v>
          </cell>
          <cell r="D23" t="str">
            <v>FIC JOHNSON</v>
          </cell>
          <cell r="E23" t="str">
            <v>Johnson, Dorothy M.</v>
          </cell>
          <cell r="F23" t="str">
            <v>Indian country</v>
          </cell>
          <cell r="G23">
            <v>1995</v>
          </cell>
        </row>
        <row r="24">
          <cell r="A24" t="str">
            <v>Fiction</v>
          </cell>
          <cell r="D24" t="str">
            <v>FIC PANZERA</v>
          </cell>
          <cell r="E24" t="str">
            <v>Panzera, Darlene.</v>
          </cell>
          <cell r="F24" t="str">
            <v>Sweet on you</v>
          </cell>
          <cell r="G24">
            <v>2013</v>
          </cell>
        </row>
        <row r="25">
          <cell r="A25" t="str">
            <v>Fiction</v>
          </cell>
          <cell r="D25" t="str">
            <v>FIC SHORS</v>
          </cell>
          <cell r="E25" t="str">
            <v>Shors, John, 1969-</v>
          </cell>
          <cell r="F25" t="str">
            <v>Beside a burning sea</v>
          </cell>
          <cell r="G25">
            <v>2008</v>
          </cell>
        </row>
        <row r="26">
          <cell r="A26" t="str">
            <v>Fiction Mystery</v>
          </cell>
          <cell r="D26" t="str">
            <v>FIC BENN</v>
          </cell>
          <cell r="E26" t="str">
            <v>Benn, James R.</v>
          </cell>
          <cell r="F26" t="str">
            <v>A blind goddess</v>
          </cell>
          <cell r="G26">
            <v>2013</v>
          </cell>
        </row>
        <row r="27">
          <cell r="A27" t="str">
            <v>Fiction Mystery</v>
          </cell>
          <cell r="C27" t="str">
            <v>New Books</v>
          </cell>
          <cell r="D27" t="str">
            <v>FIC DAHEIM</v>
          </cell>
          <cell r="E27" t="str">
            <v>Daheim, Mary.</v>
          </cell>
          <cell r="F27" t="str">
            <v>The Alpine yeoman</v>
          </cell>
          <cell r="G27">
            <v>2014</v>
          </cell>
        </row>
        <row r="28">
          <cell r="A28" t="str">
            <v>Fiction Mystery</v>
          </cell>
          <cell r="D28" t="str">
            <v>FIC FRENCH</v>
          </cell>
          <cell r="E28" t="str">
            <v>French, Tana.</v>
          </cell>
          <cell r="F28" t="str">
            <v>Faithful Place</v>
          </cell>
          <cell r="G28">
            <v>2010</v>
          </cell>
        </row>
        <row r="29">
          <cell r="A29" t="str">
            <v>Juvenile Compact Disc</v>
          </cell>
          <cell r="D29" t="str">
            <v>J CD OM ACO307</v>
          </cell>
          <cell r="F29" t="str">
            <v>Acoustic dreamland Putumayo kids.</v>
          </cell>
          <cell r="G29">
            <v>2011</v>
          </cell>
        </row>
        <row r="30">
          <cell r="A30" t="str">
            <v>Juvenile Compact Disc</v>
          </cell>
          <cell r="D30" t="str">
            <v>J CD OM BERKNER</v>
          </cell>
          <cell r="E30" t="str">
            <v>Berkner, Laurie, composer, performer.</v>
          </cell>
          <cell r="F30" t="str">
            <v>Laurie Berkner lullabies.</v>
          </cell>
          <cell r="G30">
            <v>2014</v>
          </cell>
        </row>
        <row r="31">
          <cell r="A31" t="str">
            <v>Juvenile Compact Disc</v>
          </cell>
          <cell r="D31" t="str">
            <v>J CD OM CAL2419</v>
          </cell>
          <cell r="F31" t="str">
            <v>Calming world lullabies</v>
          </cell>
          <cell r="G31">
            <v>2012</v>
          </cell>
        </row>
        <row r="32">
          <cell r="A32" t="str">
            <v>Juvenile Compact Disc</v>
          </cell>
          <cell r="D32" t="str">
            <v>J CD OM HOT1120</v>
          </cell>
          <cell r="E32" t="str">
            <v>Hot Peas 'n Butter (Musical group), performer.</v>
          </cell>
          <cell r="F32" t="str">
            <v>Hot peas 'n butter. Volume 6, Catchin' some peaz the lullabies.</v>
          </cell>
          <cell r="G32">
            <v>2012</v>
          </cell>
        </row>
        <row r="33">
          <cell r="A33" t="str">
            <v>Juvenile Compact Disc</v>
          </cell>
          <cell r="D33" t="str">
            <v>J CD OM JON638</v>
          </cell>
          <cell r="E33" t="str">
            <v>Jones, Dean, musician.</v>
          </cell>
          <cell r="F33" t="str">
            <v>Napper's delight</v>
          </cell>
          <cell r="G33">
            <v>2007</v>
          </cell>
        </row>
        <row r="34">
          <cell r="A34" t="str">
            <v>Juvenile Compact Disc</v>
          </cell>
          <cell r="D34" t="str">
            <v>J CD OM MY FIRS</v>
          </cell>
          <cell r="F34" t="str">
            <v>My first orchestra album</v>
          </cell>
          <cell r="G34">
            <v>2013</v>
          </cell>
        </row>
        <row r="35">
          <cell r="A35" t="str">
            <v>Juvenile Compact Disc</v>
          </cell>
          <cell r="D35" t="str">
            <v>J CD OM MYF8213</v>
          </cell>
          <cell r="F35" t="str">
            <v>My first lullaby album</v>
          </cell>
          <cell r="G35">
            <v>2012</v>
          </cell>
        </row>
        <row r="36">
          <cell r="A36" t="str">
            <v>Juvenile Compact Disc</v>
          </cell>
          <cell r="D36" t="str">
            <v>J CD OM PALMER</v>
          </cell>
          <cell r="E36" t="str">
            <v>Palmer, Hap, 1942-</v>
          </cell>
          <cell r="F36" t="str">
            <v>So big activity songs for little ones</v>
          </cell>
          <cell r="G36">
            <v>1994</v>
          </cell>
        </row>
        <row r="37">
          <cell r="A37" t="str">
            <v>Juvenile Compact Disc</v>
          </cell>
          <cell r="D37" t="str">
            <v>J CD OM ROC9693</v>
          </cell>
          <cell r="F37" t="str">
            <v>Rockabye baby!. more lullaby renditions of U2</v>
          </cell>
          <cell r="G37">
            <v>2012</v>
          </cell>
        </row>
        <row r="38">
          <cell r="A38" t="str">
            <v>Juvenile DVD</v>
          </cell>
          <cell r="D38" t="str">
            <v>J DVD THO1694</v>
          </cell>
          <cell r="F38" t="str">
            <v>Thomas &amp; friends. Merry Christmas Thomas</v>
          </cell>
          <cell r="G38">
            <v>2011</v>
          </cell>
        </row>
        <row r="39">
          <cell r="A39" t="str">
            <v>Juvenile Fiction</v>
          </cell>
          <cell r="D39" t="str">
            <v>J NAPOLI</v>
          </cell>
          <cell r="E39" t="str">
            <v>Napoli, Donna Jo, 1948-</v>
          </cell>
          <cell r="F39" t="str">
            <v>Ugly</v>
          </cell>
          <cell r="G39">
            <v>2006</v>
          </cell>
        </row>
        <row r="40">
          <cell r="A40" t="str">
            <v>Juvenile Fiction</v>
          </cell>
          <cell r="D40" t="str">
            <v>J SUTHERL</v>
          </cell>
          <cell r="E40" t="str">
            <v>Sutherland, Tui, 1978-</v>
          </cell>
          <cell r="F40" t="str">
            <v>The hidden kingdom</v>
          </cell>
          <cell r="G40">
            <v>2013</v>
          </cell>
        </row>
        <row r="41">
          <cell r="A41" t="str">
            <v>Juvenile Magazine</v>
          </cell>
          <cell r="C41" t="str">
            <v>In Library Use Only</v>
          </cell>
          <cell r="F41" t="str">
            <v>Discovery girls. v. 14 no. 5  (Aug./Sep. 2014)</v>
          </cell>
          <cell r="G41">
            <v>2000</v>
          </cell>
        </row>
        <row r="42">
          <cell r="A42" t="str">
            <v>Magazine</v>
          </cell>
          <cell r="C42" t="str">
            <v>In Library Use Only</v>
          </cell>
          <cell r="F42" t="str">
            <v>Elle. Vol. 29 No. 12  (August 2014)</v>
          </cell>
          <cell r="G42">
            <v>1985</v>
          </cell>
        </row>
        <row r="43">
          <cell r="A43" t="str">
            <v>Magazine</v>
          </cell>
          <cell r="C43" t="str">
            <v>In Library Use Only</v>
          </cell>
          <cell r="F43" t="str">
            <v>Print. v. 68 no. 4  (Aug. 2014)</v>
          </cell>
          <cell r="G43">
            <v>1940</v>
          </cell>
        </row>
        <row r="44">
          <cell r="A44" t="str">
            <v>Magazine</v>
          </cell>
          <cell r="C44" t="str">
            <v>In Library Use Only</v>
          </cell>
          <cell r="F44" t="str">
            <v>Arts and activities. v. 155 no. 5  (June 2014)</v>
          </cell>
          <cell r="G44">
            <v>1955</v>
          </cell>
        </row>
        <row r="45">
          <cell r="A45" t="str">
            <v>Magazine</v>
          </cell>
          <cell r="C45" t="str">
            <v>In Library Use Only</v>
          </cell>
          <cell r="F45" t="str">
            <v>Birds &amp; blooms. Vol. 20 No. 4  (August/September 2014)</v>
          </cell>
          <cell r="G45">
            <v>1995</v>
          </cell>
        </row>
        <row r="46">
          <cell r="A46" t="str">
            <v>Magazine</v>
          </cell>
          <cell r="C46" t="str">
            <v>In Library Use Only</v>
          </cell>
          <cell r="F46" t="str">
            <v>Taunton's fine cooking. Issue 130  (August/September 2014)</v>
          </cell>
          <cell r="G46">
            <v>1994</v>
          </cell>
        </row>
        <row r="47">
          <cell r="A47" t="str">
            <v>Magazine</v>
          </cell>
          <cell r="C47" t="str">
            <v>In Library Use Only</v>
          </cell>
          <cell r="F47" t="str">
            <v>Puget Sound consumers' checkbook. v. 5 no. 4  (Spring/Summer 2014)</v>
          </cell>
          <cell r="G47">
            <v>2003</v>
          </cell>
        </row>
        <row r="48">
          <cell r="A48" t="str">
            <v>Magazine</v>
          </cell>
          <cell r="C48" t="str">
            <v>In Library Use Only</v>
          </cell>
          <cell r="F48" t="str">
            <v>Beadwork. v. 17 no. 5  (Aug./Sep. 2014)</v>
          </cell>
          <cell r="G48">
            <v>1998</v>
          </cell>
        </row>
        <row r="49">
          <cell r="A49" t="str">
            <v>Magazine</v>
          </cell>
          <cell r="C49" t="str">
            <v>In Library Use Only</v>
          </cell>
          <cell r="F49" t="str">
            <v>Discover Britain. no. 177  (July/Aug. 2014)</v>
          </cell>
          <cell r="G49">
            <v>2011</v>
          </cell>
        </row>
        <row r="50">
          <cell r="A50" t="str">
            <v>Magazine</v>
          </cell>
          <cell r="C50" t="str">
            <v>In Library Use Only</v>
          </cell>
          <cell r="F50" t="str">
            <v>Vogue. Vol. 204 No. 8  (Aug. 2014)</v>
          </cell>
          <cell r="G50">
            <v>1892</v>
          </cell>
        </row>
        <row r="51">
          <cell r="A51" t="str">
            <v>Magazine</v>
          </cell>
          <cell r="C51" t="str">
            <v>In Library Use Only</v>
          </cell>
          <cell r="F51" t="str">
            <v>Northwest fly fishing. v. 16 no. 4  (July/Aug. 2014)</v>
          </cell>
        </row>
        <row r="52">
          <cell r="A52" t="str">
            <v>Magazine</v>
          </cell>
          <cell r="C52" t="str">
            <v>In Library Use Only</v>
          </cell>
          <cell r="F52" t="str">
            <v>Washington trails : a publication of Washington Trails Association. v. 49 no. 4  (July/Aug. 2014)</v>
          </cell>
          <cell r="G52">
            <v>2001</v>
          </cell>
        </row>
        <row r="53">
          <cell r="A53" t="str">
            <v>Magazine</v>
          </cell>
          <cell r="C53" t="str">
            <v>In Library Use Only</v>
          </cell>
          <cell r="F53" t="str">
            <v>Natural solutions. no. 164  (June 2014)</v>
          </cell>
          <cell r="G53">
            <v>2008</v>
          </cell>
        </row>
        <row r="54">
          <cell r="A54" t="str">
            <v>Magazine</v>
          </cell>
          <cell r="C54" t="str">
            <v>In Library Use Only</v>
          </cell>
          <cell r="F54" t="str">
            <v>Urban farm. Volume 6 Number 4  (July/August 2014)</v>
          </cell>
          <cell r="G54">
            <v>2009</v>
          </cell>
        </row>
        <row r="55">
          <cell r="A55" t="str">
            <v>Magazine</v>
          </cell>
          <cell r="C55" t="str">
            <v>In Library Use Only</v>
          </cell>
          <cell r="F55" t="str">
            <v>Horse &amp; rider v. 53 no. 8  (Aug. 2014)</v>
          </cell>
          <cell r="G55">
            <v>1968</v>
          </cell>
        </row>
        <row r="56">
          <cell r="A56" t="str">
            <v>Magazine</v>
          </cell>
          <cell r="C56" t="str">
            <v>In Library Use Only</v>
          </cell>
          <cell r="F56" t="str">
            <v>Shape v. 33 no. 10  (July/Aug. 2014)</v>
          </cell>
        </row>
        <row r="57">
          <cell r="A57" t="str">
            <v>Magazine</v>
          </cell>
          <cell r="C57" t="str">
            <v>In Library Use Only</v>
          </cell>
          <cell r="F57" t="str">
            <v>Fine homebuilding no. 245  (Aug./Sep. 2014)</v>
          </cell>
          <cell r="G57">
            <v>1981</v>
          </cell>
        </row>
        <row r="58">
          <cell r="A58" t="str">
            <v>Magazine</v>
          </cell>
          <cell r="C58" t="str">
            <v>In Library Use Only</v>
          </cell>
          <cell r="F58" t="str">
            <v>House beautiful. v. 156 no. 6  (July/Aug. 2014)</v>
          </cell>
          <cell r="G58">
            <v>1896</v>
          </cell>
        </row>
        <row r="59">
          <cell r="A59" t="str">
            <v>Magazine</v>
          </cell>
          <cell r="C59" t="str">
            <v>In Library Use Only</v>
          </cell>
          <cell r="F59" t="str">
            <v>Men's health. v. 29 no. 7  (Sep. 2014)</v>
          </cell>
          <cell r="G59">
            <v>1987</v>
          </cell>
        </row>
        <row r="60">
          <cell r="A60" t="str">
            <v>Magazine</v>
          </cell>
          <cell r="C60" t="str">
            <v>In Library Use Only</v>
          </cell>
          <cell r="F60" t="str">
            <v>Altered couture. v. 9 no. 3  (Aug./Oct. 2014)</v>
          </cell>
          <cell r="G60">
            <v>2006</v>
          </cell>
        </row>
        <row r="61">
          <cell r="A61" t="str">
            <v>Magazine</v>
          </cell>
          <cell r="C61" t="str">
            <v>In Library Use Only</v>
          </cell>
          <cell r="F61" t="str">
            <v>Fons and Porter's for the love of quilting. v. 19 no. 3  (July/Aug. 2014)</v>
          </cell>
          <cell r="G61">
            <v>1999</v>
          </cell>
        </row>
        <row r="62">
          <cell r="A62" t="str">
            <v>Magazine</v>
          </cell>
          <cell r="C62" t="str">
            <v>In Library Use Only</v>
          </cell>
          <cell r="F62" t="str">
            <v>Salmon trout steelheader v. 47 no. 10  (Aug. 2014)</v>
          </cell>
          <cell r="G62">
            <v>1967</v>
          </cell>
        </row>
        <row r="63">
          <cell r="A63" t="str">
            <v>Magazine</v>
          </cell>
          <cell r="C63" t="str">
            <v>In Library Use Only</v>
          </cell>
          <cell r="F63" t="str">
            <v>Model airplane news Vol. 142 No. 10  (October 2014)</v>
          </cell>
          <cell r="G63">
            <v>1935</v>
          </cell>
        </row>
        <row r="64">
          <cell r="A64" t="str">
            <v>Magazine</v>
          </cell>
          <cell r="C64" t="str">
            <v>In Library Use Only</v>
          </cell>
          <cell r="F64" t="str">
            <v>People. v. 82 no. 7  (Aug. 18 2014)</v>
          </cell>
          <cell r="G64">
            <v>1974</v>
          </cell>
        </row>
        <row r="65">
          <cell r="A65" t="str">
            <v>Magazine</v>
          </cell>
          <cell r="C65" t="str">
            <v>In Library Use Only</v>
          </cell>
          <cell r="F65" t="str">
            <v>Travel smart. (Apr. 15 2014)</v>
          </cell>
          <cell r="G65">
            <v>1976</v>
          </cell>
        </row>
        <row r="66">
          <cell r="A66" t="str">
            <v>Magazine</v>
          </cell>
          <cell r="C66" t="str">
            <v>In Library Use Only</v>
          </cell>
          <cell r="F66" t="str">
            <v>Bookmarks. No. 71  (July/August 2014)</v>
          </cell>
          <cell r="G66">
            <v>2002</v>
          </cell>
        </row>
        <row r="67">
          <cell r="A67" t="str">
            <v>Magazine</v>
          </cell>
          <cell r="C67" t="str">
            <v>In Library Use Only</v>
          </cell>
          <cell r="F67" t="str">
            <v>Health. v. 28 no. 6  (July/Aug. 2014)</v>
          </cell>
          <cell r="G67">
            <v>1992</v>
          </cell>
        </row>
        <row r="68">
          <cell r="A68" t="str">
            <v>Nonfiction</v>
          </cell>
          <cell r="D68" t="str">
            <v>234.5 SMEDES</v>
          </cell>
          <cell r="E68" t="str">
            <v>Smedes, Lewis B.</v>
          </cell>
          <cell r="F68" t="str">
            <v>Forgive and forget : healing the hurts we don't deserve</v>
          </cell>
          <cell r="G68">
            <v>1996</v>
          </cell>
        </row>
        <row r="69">
          <cell r="A69" t="str">
            <v>Nonfiction</v>
          </cell>
          <cell r="D69" t="str">
            <v>296.72 KEDAR</v>
          </cell>
          <cell r="E69" t="str">
            <v>Kedar, Karyn D., 1957-</v>
          </cell>
          <cell r="F69" t="str">
            <v>The bridge to forgiveness : stories and prayers for finding God and restoring wholeness</v>
          </cell>
          <cell r="G69">
            <v>2007</v>
          </cell>
        </row>
        <row r="70">
          <cell r="A70" t="str">
            <v>Nonfiction</v>
          </cell>
          <cell r="D70" t="str">
            <v>516 BHATT</v>
          </cell>
          <cell r="E70" t="str">
            <v>Bhatt, Sonal, author.</v>
          </cell>
          <cell r="F70" t="str">
            <v>Geometry</v>
          </cell>
          <cell r="G70">
            <v>2014</v>
          </cell>
        </row>
        <row r="71">
          <cell r="A71" t="str">
            <v>Nonfiction</v>
          </cell>
          <cell r="D71" t="str">
            <v>598.0723 ZALESKY</v>
          </cell>
          <cell r="E71" t="str">
            <v>Zalesky, Philip H.</v>
          </cell>
          <cell r="F71" t="str">
            <v>Birding in Snohomish County</v>
          </cell>
          <cell r="G71">
            <v>2001</v>
          </cell>
        </row>
        <row r="72">
          <cell r="A72" t="str">
            <v>Nonfiction</v>
          </cell>
          <cell r="D72" t="str">
            <v>641.5 MCGEE</v>
          </cell>
          <cell r="E72" t="str">
            <v>McGee, Harold.</v>
          </cell>
          <cell r="F72" t="str">
            <v>On food and cooking : the science and lore of the kitchen</v>
          </cell>
          <cell r="G72">
            <v>2004</v>
          </cell>
        </row>
        <row r="73">
          <cell r="A73" t="str">
            <v>Nonfiction</v>
          </cell>
          <cell r="D73" t="str">
            <v>641.5638 HEALTHY</v>
          </cell>
          <cell r="F73" t="str">
            <v>Healthy slow cooker cookbook : 200 low-fuss, good-for-you recipes</v>
          </cell>
          <cell r="G73">
            <v>2012</v>
          </cell>
        </row>
        <row r="74">
          <cell r="A74" t="str">
            <v>Nonfiction</v>
          </cell>
          <cell r="D74" t="str">
            <v>759.13 VALLEJO</v>
          </cell>
          <cell r="E74" t="str">
            <v>Vallejo, Boris.</v>
          </cell>
          <cell r="F74" t="str">
            <v>Imaginistix : the art of Boris Vallejo and Julie Bell</v>
          </cell>
          <cell r="G74">
            <v>2007</v>
          </cell>
        </row>
        <row r="75">
          <cell r="A75" t="str">
            <v>Nonfiction</v>
          </cell>
          <cell r="D75" t="str">
            <v>781.11 CAMPBEL</v>
          </cell>
          <cell r="E75" t="str">
            <v>Campbell, Don G., 1946-</v>
          </cell>
          <cell r="F75" t="str">
            <v>Healing at the speed of sound : how what we hear transforms our brains and our lives</v>
          </cell>
          <cell r="G75">
            <v>2011</v>
          </cell>
        </row>
        <row r="76">
          <cell r="A76" t="str">
            <v>Nonfiction</v>
          </cell>
          <cell r="D76" t="str">
            <v>910.9164 BENEDET</v>
          </cell>
          <cell r="E76" t="str">
            <v>Benedetto, William R.</v>
          </cell>
          <cell r="F76" t="str">
            <v>Sailing into the abyss : a true story of extreme heroism on the high seas</v>
          </cell>
          <cell r="G76">
            <v>2005</v>
          </cell>
        </row>
        <row r="77">
          <cell r="A77" t="str">
            <v>Nonfiction</v>
          </cell>
          <cell r="D77" t="str">
            <v>938.0709 WATERFI</v>
          </cell>
          <cell r="E77" t="str">
            <v>Waterfield, Robin, 1952-</v>
          </cell>
          <cell r="F77" t="str">
            <v>Dividing the spoils : the war for Alexander the Great's empire</v>
          </cell>
          <cell r="G77">
            <v>2011</v>
          </cell>
        </row>
        <row r="78">
          <cell r="A78" t="str">
            <v>Nonfiction</v>
          </cell>
          <cell r="D78" t="str">
            <v>973.932 SASLOW</v>
          </cell>
          <cell r="E78" t="str">
            <v>Saslow, Eli.</v>
          </cell>
          <cell r="F78" t="str">
            <v>Ten letters : the stories Americans tell their president</v>
          </cell>
          <cell r="G78">
            <v>2011</v>
          </cell>
        </row>
        <row r="79">
          <cell r="A79" t="str">
            <v>Teen Fiction</v>
          </cell>
          <cell r="D79" t="str">
            <v>TEEN ZUSAK</v>
          </cell>
          <cell r="E79" t="str">
            <v>Zusak, Markus.</v>
          </cell>
          <cell r="F79" t="str">
            <v>Getting the girl</v>
          </cell>
          <cell r="G79">
            <v>2004</v>
          </cell>
        </row>
      </sheetData>
    </sheetDataSet>
  </externalBook>
</externalLink>
</file>

<file path=xl/tables/table1.xml><?xml version="1.0" encoding="utf-8"?>
<table xmlns="http://schemas.openxmlformats.org/spreadsheetml/2006/main" id="3" name="CollName_Simplifier_Table" displayName="CollName_Simplifier_Table" ref="B15:C35" totalsRowShown="0" headerRowDxfId="13" headerRowBorderDxfId="12" tableBorderDxfId="11">
  <autoFilter ref="B15:C35"/>
  <tableColumns count="2">
    <tableColumn id="1" name="CollectionName"/>
    <tableColumn id="2" name="Descrip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C1:H97" totalsRowShown="0" headerRowDxfId="9">
  <tableColumns count="6">
    <tableColumn id="3" name="CollectionName" dataDxfId="8"/>
    <tableColumn id="6" name="CollectionName_x000a_Primary" dataDxfId="7"/>
    <tableColumn id="7" name="CollectionName_x000a_Secondary" dataDxfId="6"/>
    <tableColumn id="5" name="Join" dataDxfId="5">
      <calculatedColumnFormula>Table4[[#This Row],[CollectionName]]&amp;Table4[[#This Row],[Location]]</calculatedColumnFormula>
    </tableColumn>
    <tableColumn id="14" name="Descriptive Name" dataDxfId="4"/>
    <tableColumn id="4" name="Locatio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Rank_Table" displayName="Rank_Table" ref="A1:A97" totalsRowShown="0" headerRowDxfId="10">
  <autoFilter ref="A1:A97">
    <filterColumn colId="0" hiddenButton="1"/>
  </autoFilter>
  <tableColumns count="1">
    <tableColumn id="1" name="R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L1:M49" totalsRowShown="0" headerRowDxfId="2">
  <autoFilter ref="L1:M49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4"/>
  <sheetViews>
    <sheetView tabSelected="1" workbookViewId="0"/>
  </sheetViews>
  <sheetFormatPr defaultRowHeight="14.4" x14ac:dyDescent="0.3"/>
  <cols>
    <col min="1" max="1" width="18.6640625" style="38" bestFit="1" customWidth="1"/>
    <col min="2" max="2" width="29.6640625" style="38" customWidth="1"/>
    <col min="3" max="3" width="15.6640625" style="38" bestFit="1" customWidth="1"/>
    <col min="4" max="4" width="14.6640625" style="38" bestFit="1" customWidth="1"/>
    <col min="5" max="5" width="33.77734375" style="38" bestFit="1" customWidth="1"/>
    <col min="6" max="16384" width="8.88671875" style="38"/>
  </cols>
  <sheetData>
    <row r="1" spans="1:5" ht="18" x14ac:dyDescent="0.35">
      <c r="A1" s="40" t="s">
        <v>166</v>
      </c>
      <c r="B1" s="40" t="s">
        <v>370</v>
      </c>
      <c r="C1" s="40" t="s">
        <v>167</v>
      </c>
      <c r="D1" s="40" t="s">
        <v>168</v>
      </c>
      <c r="E1" s="40" t="s">
        <v>408</v>
      </c>
    </row>
    <row r="2" spans="1:5" x14ac:dyDescent="0.3">
      <c r="A2" s="38" t="s">
        <v>369</v>
      </c>
      <c r="B2" s="38" t="s">
        <v>66</v>
      </c>
      <c r="C2" s="38" t="s">
        <v>169</v>
      </c>
      <c r="E2" s="38" t="s">
        <v>371</v>
      </c>
    </row>
    <row r="3" spans="1:5" x14ac:dyDescent="0.3">
      <c r="A3" s="38" t="s">
        <v>170</v>
      </c>
      <c r="B3" s="38" t="s">
        <v>66</v>
      </c>
      <c r="C3" s="38" t="s">
        <v>169</v>
      </c>
      <c r="D3" s="38" t="s">
        <v>171</v>
      </c>
      <c r="E3" s="38" t="s">
        <v>372</v>
      </c>
    </row>
    <row r="4" spans="1:5" x14ac:dyDescent="0.3">
      <c r="A4" s="38" t="s">
        <v>89</v>
      </c>
      <c r="B4" s="38" t="s">
        <v>89</v>
      </c>
      <c r="C4" s="38" t="s">
        <v>169</v>
      </c>
      <c r="D4" s="38">
        <v>999.99</v>
      </c>
      <c r="E4" s="38" t="s">
        <v>373</v>
      </c>
    </row>
    <row r="5" spans="1:5" x14ac:dyDescent="0.3">
      <c r="A5" s="38" t="s">
        <v>172</v>
      </c>
      <c r="B5" s="38" t="s">
        <v>89</v>
      </c>
      <c r="C5" s="38" t="s">
        <v>173</v>
      </c>
      <c r="D5" s="38" t="s">
        <v>174</v>
      </c>
      <c r="E5" s="38" t="s">
        <v>374</v>
      </c>
    </row>
    <row r="6" spans="1:5" ht="28.8" x14ac:dyDescent="0.3">
      <c r="A6" s="39" t="s">
        <v>175</v>
      </c>
      <c r="B6" s="39" t="s">
        <v>68</v>
      </c>
      <c r="C6" s="38" t="s">
        <v>176</v>
      </c>
      <c r="D6" s="38" t="s">
        <v>177</v>
      </c>
      <c r="E6" s="38" t="s">
        <v>375</v>
      </c>
    </row>
    <row r="7" spans="1:5" ht="28.8" x14ac:dyDescent="0.3">
      <c r="A7" s="39" t="s">
        <v>178</v>
      </c>
      <c r="B7" s="39" t="s">
        <v>68</v>
      </c>
      <c r="C7" s="38" t="s">
        <v>176</v>
      </c>
      <c r="D7" s="38">
        <v>999.99</v>
      </c>
      <c r="E7" s="38" t="s">
        <v>376</v>
      </c>
    </row>
    <row r="8" spans="1:5" ht="28.8" x14ac:dyDescent="0.3">
      <c r="A8" s="39" t="s">
        <v>179</v>
      </c>
      <c r="B8" s="39" t="s">
        <v>68</v>
      </c>
      <c r="C8" s="38" t="s">
        <v>176</v>
      </c>
      <c r="D8" s="38" t="s">
        <v>174</v>
      </c>
      <c r="E8" s="38" t="s">
        <v>377</v>
      </c>
    </row>
    <row r="9" spans="1:5" x14ac:dyDescent="0.3">
      <c r="A9" s="39" t="s">
        <v>180</v>
      </c>
      <c r="B9" s="39" t="s">
        <v>70</v>
      </c>
      <c r="C9" s="38" t="s">
        <v>181</v>
      </c>
      <c r="E9" s="38" t="s">
        <v>378</v>
      </c>
    </row>
    <row r="10" spans="1:5" x14ac:dyDescent="0.3">
      <c r="A10" s="39" t="s">
        <v>182</v>
      </c>
      <c r="B10" s="39" t="s">
        <v>71</v>
      </c>
      <c r="C10" s="38" t="s">
        <v>183</v>
      </c>
      <c r="E10" s="38" t="s">
        <v>378</v>
      </c>
    </row>
    <row r="11" spans="1:5" x14ac:dyDescent="0.3">
      <c r="A11" s="39" t="s">
        <v>184</v>
      </c>
      <c r="B11" s="39" t="s">
        <v>69</v>
      </c>
      <c r="C11" s="38" t="s">
        <v>185</v>
      </c>
      <c r="E11" s="38" t="s">
        <v>378</v>
      </c>
    </row>
    <row r="12" spans="1:5" x14ac:dyDescent="0.3">
      <c r="A12" s="39" t="s">
        <v>186</v>
      </c>
      <c r="B12" s="39" t="s">
        <v>80</v>
      </c>
      <c r="C12" s="38" t="s">
        <v>187</v>
      </c>
      <c r="E12" s="38" t="s">
        <v>378</v>
      </c>
    </row>
    <row r="13" spans="1:5" x14ac:dyDescent="0.3">
      <c r="A13" s="39" t="s">
        <v>188</v>
      </c>
      <c r="B13" s="39" t="s">
        <v>72</v>
      </c>
      <c r="C13" s="38" t="s">
        <v>189</v>
      </c>
      <c r="E13" s="38" t="s">
        <v>378</v>
      </c>
    </row>
    <row r="14" spans="1:5" ht="28.8" x14ac:dyDescent="0.3">
      <c r="A14" s="39" t="s">
        <v>190</v>
      </c>
      <c r="B14" s="39" t="s">
        <v>74</v>
      </c>
      <c r="C14" s="38" t="s">
        <v>191</v>
      </c>
      <c r="E14" s="38" t="s">
        <v>378</v>
      </c>
    </row>
    <row r="15" spans="1:5" ht="28.8" x14ac:dyDescent="0.3">
      <c r="A15" s="39" t="s">
        <v>192</v>
      </c>
      <c r="B15" s="39" t="s">
        <v>70</v>
      </c>
      <c r="C15" s="38" t="s">
        <v>181</v>
      </c>
      <c r="D15" s="38">
        <v>999.99</v>
      </c>
      <c r="E15" s="38" t="s">
        <v>373</v>
      </c>
    </row>
    <row r="16" spans="1:5" ht="28.8" x14ac:dyDescent="0.3">
      <c r="A16" s="39" t="s">
        <v>193</v>
      </c>
      <c r="B16" s="39" t="s">
        <v>71</v>
      </c>
      <c r="C16" s="38" t="s">
        <v>183</v>
      </c>
      <c r="D16" s="38">
        <v>999.99</v>
      </c>
      <c r="E16" s="38" t="s">
        <v>373</v>
      </c>
    </row>
    <row r="17" spans="1:5" ht="28.8" x14ac:dyDescent="0.3">
      <c r="A17" s="39" t="s">
        <v>194</v>
      </c>
      <c r="B17" s="39" t="s">
        <v>69</v>
      </c>
      <c r="C17" s="38" t="s">
        <v>195</v>
      </c>
      <c r="D17" s="38">
        <v>999.99</v>
      </c>
      <c r="E17" s="38" t="s">
        <v>373</v>
      </c>
    </row>
    <row r="18" spans="1:5" ht="28.8" x14ac:dyDescent="0.3">
      <c r="A18" s="39" t="s">
        <v>196</v>
      </c>
      <c r="B18" s="39" t="s">
        <v>80</v>
      </c>
      <c r="C18" s="38" t="s">
        <v>197</v>
      </c>
      <c r="D18" s="38">
        <v>999.99</v>
      </c>
      <c r="E18" s="38" t="s">
        <v>373</v>
      </c>
    </row>
    <row r="19" spans="1:5" ht="28.8" x14ac:dyDescent="0.3">
      <c r="A19" s="39" t="s">
        <v>198</v>
      </c>
      <c r="B19" s="39" t="s">
        <v>72</v>
      </c>
      <c r="C19" s="38" t="s">
        <v>199</v>
      </c>
      <c r="D19" s="38">
        <v>999.99</v>
      </c>
      <c r="E19" s="38" t="s">
        <v>373</v>
      </c>
    </row>
    <row r="20" spans="1:5" ht="28.8" x14ac:dyDescent="0.3">
      <c r="A20" s="39" t="s">
        <v>200</v>
      </c>
      <c r="B20" s="39" t="s">
        <v>74</v>
      </c>
      <c r="C20" s="38" t="s">
        <v>201</v>
      </c>
      <c r="D20" s="38">
        <v>999.99</v>
      </c>
      <c r="E20" s="38" t="s">
        <v>373</v>
      </c>
    </row>
    <row r="21" spans="1:5" x14ac:dyDescent="0.3">
      <c r="A21" s="39" t="s">
        <v>202</v>
      </c>
      <c r="B21" s="39" t="s">
        <v>62</v>
      </c>
      <c r="C21" s="38" t="s">
        <v>203</v>
      </c>
      <c r="E21" s="38" t="s">
        <v>379</v>
      </c>
    </row>
    <row r="22" spans="1:5" x14ac:dyDescent="0.3">
      <c r="A22" s="39" t="s">
        <v>204</v>
      </c>
      <c r="B22" s="39" t="s">
        <v>62</v>
      </c>
      <c r="C22" s="38" t="s">
        <v>165</v>
      </c>
      <c r="D22" s="38" t="s">
        <v>205</v>
      </c>
      <c r="E22" s="38" t="s">
        <v>380</v>
      </c>
    </row>
    <row r="23" spans="1:5" x14ac:dyDescent="0.3">
      <c r="A23" s="39" t="s">
        <v>206</v>
      </c>
      <c r="B23" s="39" t="s">
        <v>95</v>
      </c>
      <c r="C23" s="38" t="s">
        <v>203</v>
      </c>
      <c r="D23" s="38">
        <v>999.99</v>
      </c>
      <c r="E23" s="38" t="s">
        <v>373</v>
      </c>
    </row>
    <row r="24" spans="1:5" x14ac:dyDescent="0.3">
      <c r="A24" s="39" t="s">
        <v>207</v>
      </c>
      <c r="B24" s="39" t="s">
        <v>79</v>
      </c>
      <c r="C24" s="38" t="s">
        <v>208</v>
      </c>
      <c r="D24" s="38" t="s">
        <v>177</v>
      </c>
      <c r="E24" s="38" t="s">
        <v>381</v>
      </c>
    </row>
    <row r="25" spans="1:5" ht="28.8" x14ac:dyDescent="0.3">
      <c r="A25" s="39" t="s">
        <v>209</v>
      </c>
      <c r="B25" s="39" t="s">
        <v>79</v>
      </c>
      <c r="C25" s="38" t="s">
        <v>208</v>
      </c>
      <c r="D25" s="38">
        <v>999.99</v>
      </c>
      <c r="E25" s="38" t="s">
        <v>382</v>
      </c>
    </row>
    <row r="26" spans="1:5" ht="28.8" x14ac:dyDescent="0.3">
      <c r="A26" s="39" t="s">
        <v>210</v>
      </c>
      <c r="B26" s="39" t="s">
        <v>79</v>
      </c>
      <c r="C26" s="38" t="s">
        <v>208</v>
      </c>
      <c r="D26" s="38" t="s">
        <v>174</v>
      </c>
      <c r="E26" s="38" t="s">
        <v>383</v>
      </c>
    </row>
    <row r="27" spans="1:5" ht="28.8" x14ac:dyDescent="0.3">
      <c r="A27" s="39" t="s">
        <v>211</v>
      </c>
      <c r="B27" s="39" t="s">
        <v>63</v>
      </c>
      <c r="C27" s="38" t="s">
        <v>212</v>
      </c>
      <c r="E27" s="38" t="s">
        <v>384</v>
      </c>
    </row>
    <row r="28" spans="1:5" x14ac:dyDescent="0.3">
      <c r="A28" s="39" t="s">
        <v>213</v>
      </c>
      <c r="B28" s="39" t="s">
        <v>92</v>
      </c>
      <c r="C28" s="38" t="s">
        <v>214</v>
      </c>
      <c r="D28" s="38">
        <v>999.99</v>
      </c>
      <c r="E28" s="38" t="s">
        <v>385</v>
      </c>
    </row>
    <row r="29" spans="1:5" x14ac:dyDescent="0.3">
      <c r="A29" s="39" t="s">
        <v>215</v>
      </c>
      <c r="B29" s="39" t="s">
        <v>93</v>
      </c>
      <c r="C29" s="38" t="s">
        <v>216</v>
      </c>
      <c r="E29" s="38" t="s">
        <v>386</v>
      </c>
    </row>
    <row r="30" spans="1:5" ht="28.8" x14ac:dyDescent="0.3">
      <c r="A30" s="39" t="s">
        <v>217</v>
      </c>
      <c r="B30" s="39" t="s">
        <v>93</v>
      </c>
      <c r="C30" s="38" t="s">
        <v>216</v>
      </c>
      <c r="D30" s="38">
        <v>999.99</v>
      </c>
      <c r="E30" s="38" t="s">
        <v>387</v>
      </c>
    </row>
    <row r="31" spans="1:5" x14ac:dyDescent="0.3">
      <c r="A31" s="39" t="s">
        <v>218</v>
      </c>
      <c r="B31" s="39" t="s">
        <v>93</v>
      </c>
      <c r="C31" s="38" t="s">
        <v>216</v>
      </c>
      <c r="D31" s="38" t="s">
        <v>174</v>
      </c>
      <c r="E31" s="38" t="s">
        <v>388</v>
      </c>
    </row>
    <row r="32" spans="1:5" x14ac:dyDescent="0.3">
      <c r="A32" s="39" t="s">
        <v>219</v>
      </c>
      <c r="B32" s="39" t="s">
        <v>91</v>
      </c>
      <c r="C32" s="38" t="s">
        <v>203</v>
      </c>
      <c r="D32" s="38" t="s">
        <v>174</v>
      </c>
      <c r="E32" s="38" t="s">
        <v>388</v>
      </c>
    </row>
    <row r="33" spans="1:5" ht="28.8" x14ac:dyDescent="0.3">
      <c r="A33" s="39" t="s">
        <v>220</v>
      </c>
      <c r="B33" s="39" t="s">
        <v>70</v>
      </c>
      <c r="C33" s="38" t="s">
        <v>221</v>
      </c>
      <c r="E33" s="38" t="s">
        <v>379</v>
      </c>
    </row>
    <row r="34" spans="1:5" ht="28.8" x14ac:dyDescent="0.3">
      <c r="A34" s="39" t="s">
        <v>222</v>
      </c>
      <c r="B34" s="39" t="s">
        <v>71</v>
      </c>
      <c r="C34" s="38" t="s">
        <v>223</v>
      </c>
      <c r="E34" s="38" t="s">
        <v>379</v>
      </c>
    </row>
    <row r="35" spans="1:5" ht="28.8" x14ac:dyDescent="0.3">
      <c r="A35" s="39" t="s">
        <v>224</v>
      </c>
      <c r="B35" s="39" t="s">
        <v>69</v>
      </c>
      <c r="C35" s="38" t="s">
        <v>225</v>
      </c>
      <c r="E35" s="38" t="s">
        <v>379</v>
      </c>
    </row>
    <row r="36" spans="1:5" ht="28.8" x14ac:dyDescent="0.3">
      <c r="A36" s="39" t="s">
        <v>226</v>
      </c>
      <c r="B36" s="39" t="s">
        <v>80</v>
      </c>
      <c r="C36" s="38" t="s">
        <v>227</v>
      </c>
      <c r="E36" s="38" t="s">
        <v>379</v>
      </c>
    </row>
    <row r="37" spans="1:5" ht="28.8" x14ac:dyDescent="0.3">
      <c r="A37" s="39" t="s">
        <v>228</v>
      </c>
      <c r="B37" s="39" t="s">
        <v>72</v>
      </c>
      <c r="C37" s="38" t="s">
        <v>229</v>
      </c>
      <c r="E37" s="38" t="s">
        <v>379</v>
      </c>
    </row>
    <row r="38" spans="1:5" ht="28.8" x14ac:dyDescent="0.3">
      <c r="A38" s="39" t="s">
        <v>230</v>
      </c>
      <c r="B38" s="39" t="s">
        <v>74</v>
      </c>
      <c r="C38" s="38" t="s">
        <v>231</v>
      </c>
      <c r="E38" s="38" t="s">
        <v>379</v>
      </c>
    </row>
    <row r="39" spans="1:5" ht="28.8" x14ac:dyDescent="0.3">
      <c r="A39" s="39" t="s">
        <v>232</v>
      </c>
      <c r="B39" s="39" t="s">
        <v>70</v>
      </c>
      <c r="C39" s="38" t="s">
        <v>221</v>
      </c>
      <c r="D39" s="38">
        <v>999.99</v>
      </c>
      <c r="E39" s="38" t="s">
        <v>373</v>
      </c>
    </row>
    <row r="40" spans="1:5" ht="28.8" x14ac:dyDescent="0.3">
      <c r="A40" s="39" t="s">
        <v>233</v>
      </c>
      <c r="B40" s="39" t="s">
        <v>71</v>
      </c>
      <c r="C40" s="38" t="s">
        <v>223</v>
      </c>
      <c r="D40" s="38">
        <v>999.99</v>
      </c>
      <c r="E40" s="38" t="s">
        <v>373</v>
      </c>
    </row>
    <row r="41" spans="1:5" ht="28.8" x14ac:dyDescent="0.3">
      <c r="A41" s="39" t="s">
        <v>234</v>
      </c>
      <c r="B41" s="39" t="s">
        <v>69</v>
      </c>
      <c r="C41" s="38" t="s">
        <v>225</v>
      </c>
      <c r="D41" s="38">
        <v>999.99</v>
      </c>
      <c r="E41" s="38" t="s">
        <v>373</v>
      </c>
    </row>
    <row r="42" spans="1:5" ht="28.8" x14ac:dyDescent="0.3">
      <c r="A42" s="39" t="s">
        <v>235</v>
      </c>
      <c r="B42" s="39" t="s">
        <v>80</v>
      </c>
      <c r="C42" s="38" t="s">
        <v>227</v>
      </c>
      <c r="D42" s="38">
        <v>999.99</v>
      </c>
      <c r="E42" s="38" t="s">
        <v>373</v>
      </c>
    </row>
    <row r="43" spans="1:5" ht="28.8" x14ac:dyDescent="0.3">
      <c r="A43" s="39" t="s">
        <v>236</v>
      </c>
      <c r="B43" s="39" t="s">
        <v>72</v>
      </c>
      <c r="C43" s="38" t="s">
        <v>229</v>
      </c>
      <c r="D43" s="38">
        <v>999.99</v>
      </c>
      <c r="E43" s="38" t="s">
        <v>373</v>
      </c>
    </row>
    <row r="44" spans="1:5" ht="28.8" x14ac:dyDescent="0.3">
      <c r="A44" s="39" t="s">
        <v>237</v>
      </c>
      <c r="B44" s="39" t="s">
        <v>74</v>
      </c>
      <c r="C44" s="38" t="s">
        <v>231</v>
      </c>
      <c r="D44" s="38">
        <v>999.99</v>
      </c>
      <c r="E44" s="38" t="s">
        <v>373</v>
      </c>
    </row>
    <row r="45" spans="1:5" ht="28.8" x14ac:dyDescent="0.3">
      <c r="A45" s="39" t="s">
        <v>238</v>
      </c>
      <c r="B45" s="39" t="s">
        <v>70</v>
      </c>
      <c r="C45" s="38" t="s">
        <v>221</v>
      </c>
      <c r="D45" s="38" t="s">
        <v>174</v>
      </c>
      <c r="E45" s="38" t="s">
        <v>388</v>
      </c>
    </row>
    <row r="46" spans="1:5" ht="28.8" x14ac:dyDescent="0.3">
      <c r="A46" s="39" t="s">
        <v>239</v>
      </c>
      <c r="B46" s="39" t="s">
        <v>71</v>
      </c>
      <c r="C46" s="38" t="s">
        <v>223</v>
      </c>
      <c r="D46" s="38" t="s">
        <v>174</v>
      </c>
      <c r="E46" s="38" t="s">
        <v>388</v>
      </c>
    </row>
    <row r="47" spans="1:5" ht="28.8" x14ac:dyDescent="0.3">
      <c r="A47" s="39" t="s">
        <v>240</v>
      </c>
      <c r="B47" s="39" t="s">
        <v>69</v>
      </c>
      <c r="C47" s="38" t="s">
        <v>225</v>
      </c>
      <c r="D47" s="38" t="s">
        <v>174</v>
      </c>
      <c r="E47" s="38" t="s">
        <v>388</v>
      </c>
    </row>
    <row r="48" spans="1:5" ht="28.8" x14ac:dyDescent="0.3">
      <c r="A48" s="39" t="s">
        <v>241</v>
      </c>
      <c r="B48" s="39" t="s">
        <v>80</v>
      </c>
      <c r="C48" s="38" t="s">
        <v>227</v>
      </c>
      <c r="D48" s="38" t="s">
        <v>174</v>
      </c>
      <c r="E48" s="38" t="s">
        <v>388</v>
      </c>
    </row>
    <row r="49" spans="1:5" ht="28.8" x14ac:dyDescent="0.3">
      <c r="A49" s="39" t="s">
        <v>242</v>
      </c>
      <c r="B49" s="39" t="s">
        <v>72</v>
      </c>
      <c r="C49" s="38" t="s">
        <v>229</v>
      </c>
      <c r="D49" s="38" t="s">
        <v>174</v>
      </c>
      <c r="E49" s="38" t="s">
        <v>388</v>
      </c>
    </row>
    <row r="50" spans="1:5" ht="28.8" x14ac:dyDescent="0.3">
      <c r="A50" s="39" t="s">
        <v>243</v>
      </c>
      <c r="B50" s="39" t="s">
        <v>74</v>
      </c>
      <c r="C50" s="38" t="s">
        <v>231</v>
      </c>
      <c r="D50" s="38" t="s">
        <v>174</v>
      </c>
      <c r="E50" s="38" t="s">
        <v>388</v>
      </c>
    </row>
    <row r="51" spans="1:5" x14ac:dyDescent="0.3">
      <c r="A51" s="39" t="s">
        <v>244</v>
      </c>
      <c r="B51" s="39" t="s">
        <v>64</v>
      </c>
      <c r="C51" s="38" t="s">
        <v>208</v>
      </c>
      <c r="D51" s="38" t="s">
        <v>245</v>
      </c>
      <c r="E51" s="38" t="s">
        <v>389</v>
      </c>
    </row>
    <row r="52" spans="1:5" x14ac:dyDescent="0.3">
      <c r="A52" s="39" t="s">
        <v>244</v>
      </c>
      <c r="B52" s="39" t="s">
        <v>64</v>
      </c>
      <c r="C52" s="38" t="s">
        <v>208</v>
      </c>
      <c r="D52" s="38" t="s">
        <v>246</v>
      </c>
      <c r="E52" s="38" t="s">
        <v>389</v>
      </c>
    </row>
    <row r="53" spans="1:5" x14ac:dyDescent="0.3">
      <c r="A53" s="39" t="s">
        <v>247</v>
      </c>
      <c r="B53" s="39" t="s">
        <v>96</v>
      </c>
      <c r="C53" s="38" t="s">
        <v>248</v>
      </c>
      <c r="D53" s="38">
        <v>999.99</v>
      </c>
      <c r="E53" s="38" t="s">
        <v>373</v>
      </c>
    </row>
    <row r="54" spans="1:5" x14ac:dyDescent="0.3">
      <c r="A54" s="39" t="s">
        <v>249</v>
      </c>
      <c r="B54" s="39" t="s">
        <v>60</v>
      </c>
      <c r="D54" s="38" t="s">
        <v>177</v>
      </c>
      <c r="E54" s="38" t="s">
        <v>390</v>
      </c>
    </row>
    <row r="55" spans="1:5" x14ac:dyDescent="0.3">
      <c r="A55" s="39" t="s">
        <v>250</v>
      </c>
      <c r="B55" s="39" t="s">
        <v>55</v>
      </c>
      <c r="D55" s="38">
        <v>999.99</v>
      </c>
      <c r="E55" s="38" t="s">
        <v>391</v>
      </c>
    </row>
    <row r="56" spans="1:5" x14ac:dyDescent="0.3">
      <c r="A56" s="39" t="s">
        <v>251</v>
      </c>
      <c r="B56" s="39" t="s">
        <v>56</v>
      </c>
      <c r="D56" s="38" t="s">
        <v>174</v>
      </c>
      <c r="E56" s="38" t="s">
        <v>388</v>
      </c>
    </row>
    <row r="57" spans="1:5" x14ac:dyDescent="0.3">
      <c r="A57" s="39" t="s">
        <v>252</v>
      </c>
      <c r="B57" s="39" t="s">
        <v>253</v>
      </c>
      <c r="C57" s="38" t="s">
        <v>254</v>
      </c>
      <c r="D57" s="38" t="s">
        <v>177</v>
      </c>
      <c r="E57" s="38" t="s">
        <v>392</v>
      </c>
    </row>
    <row r="58" spans="1:5" x14ac:dyDescent="0.3">
      <c r="A58" s="39" t="s">
        <v>255</v>
      </c>
      <c r="B58" s="39" t="s">
        <v>253</v>
      </c>
      <c r="C58" s="38" t="s">
        <v>254</v>
      </c>
      <c r="D58" s="38">
        <v>999.99</v>
      </c>
      <c r="E58" s="38" t="s">
        <v>393</v>
      </c>
    </row>
    <row r="59" spans="1:5" x14ac:dyDescent="0.3">
      <c r="A59" s="39" t="s">
        <v>256</v>
      </c>
      <c r="B59" s="39" t="s">
        <v>253</v>
      </c>
      <c r="C59" s="38" t="s">
        <v>254</v>
      </c>
      <c r="D59" s="38" t="s">
        <v>174</v>
      </c>
      <c r="E59" s="38" t="s">
        <v>394</v>
      </c>
    </row>
    <row r="60" spans="1:5" x14ac:dyDescent="0.3">
      <c r="A60" s="39" t="s">
        <v>257</v>
      </c>
      <c r="B60" s="39" t="s">
        <v>258</v>
      </c>
      <c r="C60" s="38" t="s">
        <v>108</v>
      </c>
      <c r="E60" s="38" t="s">
        <v>395</v>
      </c>
    </row>
    <row r="61" spans="1:5" x14ac:dyDescent="0.3">
      <c r="A61" s="39" t="s">
        <v>259</v>
      </c>
      <c r="B61" s="39" t="s">
        <v>88</v>
      </c>
      <c r="C61" s="38" t="s">
        <v>260</v>
      </c>
      <c r="D61" s="38">
        <v>999.99</v>
      </c>
      <c r="E61" s="38" t="s">
        <v>396</v>
      </c>
    </row>
    <row r="62" spans="1:5" ht="28.8" x14ac:dyDescent="0.3">
      <c r="A62" s="39" t="s">
        <v>261</v>
      </c>
      <c r="B62" s="39" t="s">
        <v>59</v>
      </c>
      <c r="C62" s="38" t="s">
        <v>262</v>
      </c>
      <c r="E62" s="38" t="s">
        <v>397</v>
      </c>
    </row>
    <row r="63" spans="1:5" ht="28.8" x14ac:dyDescent="0.3">
      <c r="A63" s="39" t="s">
        <v>263</v>
      </c>
      <c r="B63" s="39" t="s">
        <v>59</v>
      </c>
      <c r="C63" s="38" t="s">
        <v>262</v>
      </c>
      <c r="D63" s="38">
        <v>999.99</v>
      </c>
      <c r="E63" s="38" t="s">
        <v>398</v>
      </c>
    </row>
    <row r="64" spans="1:5" ht="28.8" x14ac:dyDescent="0.3">
      <c r="A64" s="39" t="s">
        <v>264</v>
      </c>
      <c r="B64" s="39" t="s">
        <v>59</v>
      </c>
      <c r="C64" s="38" t="s">
        <v>262</v>
      </c>
      <c r="D64" s="38" t="s">
        <v>174</v>
      </c>
      <c r="E64" s="38" t="s">
        <v>388</v>
      </c>
    </row>
    <row r="65" spans="1:5" x14ac:dyDescent="0.3">
      <c r="A65" s="39" t="s">
        <v>265</v>
      </c>
      <c r="B65" s="39" t="s">
        <v>75</v>
      </c>
      <c r="C65" s="38" t="s">
        <v>254</v>
      </c>
      <c r="D65" s="38" t="s">
        <v>266</v>
      </c>
      <c r="E65" s="38" t="s">
        <v>399</v>
      </c>
    </row>
    <row r="66" spans="1:5" x14ac:dyDescent="0.3">
      <c r="A66" s="39" t="s">
        <v>265</v>
      </c>
      <c r="B66" s="39" t="s">
        <v>75</v>
      </c>
      <c r="C66" s="38" t="s">
        <v>254</v>
      </c>
      <c r="D66" s="38" t="s">
        <v>267</v>
      </c>
      <c r="E66" s="38" t="s">
        <v>399</v>
      </c>
    </row>
    <row r="67" spans="1:5" x14ac:dyDescent="0.3">
      <c r="A67" s="39" t="s">
        <v>265</v>
      </c>
      <c r="B67" s="39" t="s">
        <v>75</v>
      </c>
      <c r="C67" s="38" t="s">
        <v>254</v>
      </c>
      <c r="D67" s="38" t="s">
        <v>268</v>
      </c>
      <c r="E67" s="38" t="s">
        <v>399</v>
      </c>
    </row>
    <row r="68" spans="1:5" x14ac:dyDescent="0.3">
      <c r="A68" s="39" t="s">
        <v>265</v>
      </c>
      <c r="B68" s="39" t="s">
        <v>75</v>
      </c>
      <c r="C68" s="38" t="s">
        <v>254</v>
      </c>
      <c r="D68" s="38" t="s">
        <v>269</v>
      </c>
      <c r="E68" s="38" t="s">
        <v>399</v>
      </c>
    </row>
    <row r="69" spans="1:5" x14ac:dyDescent="0.3">
      <c r="A69" s="39" t="s">
        <v>265</v>
      </c>
      <c r="B69" s="39" t="s">
        <v>75</v>
      </c>
      <c r="C69" s="38" t="s">
        <v>254</v>
      </c>
      <c r="D69" s="38" t="s">
        <v>270</v>
      </c>
      <c r="E69" s="38" t="s">
        <v>399</v>
      </c>
    </row>
    <row r="70" spans="1:5" x14ac:dyDescent="0.3">
      <c r="A70" s="39" t="s">
        <v>265</v>
      </c>
      <c r="B70" s="39" t="s">
        <v>75</v>
      </c>
      <c r="C70" s="38" t="s">
        <v>254</v>
      </c>
      <c r="D70" s="38" t="s">
        <v>271</v>
      </c>
      <c r="E70" s="38" t="s">
        <v>399</v>
      </c>
    </row>
    <row r="71" spans="1:5" x14ac:dyDescent="0.3">
      <c r="A71" s="39" t="s">
        <v>265</v>
      </c>
      <c r="B71" s="39" t="s">
        <v>75</v>
      </c>
      <c r="C71" s="38" t="s">
        <v>254</v>
      </c>
      <c r="D71" s="38" t="s">
        <v>272</v>
      </c>
      <c r="E71" s="38" t="s">
        <v>399</v>
      </c>
    </row>
    <row r="72" spans="1:5" x14ac:dyDescent="0.3">
      <c r="A72" s="39" t="s">
        <v>265</v>
      </c>
      <c r="B72" s="39" t="s">
        <v>75</v>
      </c>
      <c r="C72" s="38" t="s">
        <v>254</v>
      </c>
      <c r="D72" s="38" t="s">
        <v>273</v>
      </c>
      <c r="E72" s="38" t="s">
        <v>399</v>
      </c>
    </row>
    <row r="73" spans="1:5" x14ac:dyDescent="0.3">
      <c r="A73" s="39" t="s">
        <v>265</v>
      </c>
      <c r="B73" s="39" t="s">
        <v>75</v>
      </c>
      <c r="C73" s="38" t="s">
        <v>254</v>
      </c>
      <c r="D73" s="38" t="s">
        <v>274</v>
      </c>
      <c r="E73" s="38" t="s">
        <v>399</v>
      </c>
    </row>
    <row r="74" spans="1:5" x14ac:dyDescent="0.3">
      <c r="A74" s="39" t="s">
        <v>265</v>
      </c>
      <c r="B74" s="39" t="s">
        <v>75</v>
      </c>
      <c r="C74" s="38" t="s">
        <v>254</v>
      </c>
      <c r="D74" s="38" t="s">
        <v>275</v>
      </c>
      <c r="E74" s="38" t="s">
        <v>399</v>
      </c>
    </row>
    <row r="75" spans="1:5" x14ac:dyDescent="0.3">
      <c r="A75" s="39" t="s">
        <v>265</v>
      </c>
      <c r="B75" s="39" t="s">
        <v>75</v>
      </c>
      <c r="C75" s="38" t="s">
        <v>254</v>
      </c>
      <c r="D75" s="38" t="s">
        <v>276</v>
      </c>
      <c r="E75" s="38" t="s">
        <v>399</v>
      </c>
    </row>
    <row r="76" spans="1:5" x14ac:dyDescent="0.3">
      <c r="A76" s="39" t="s">
        <v>265</v>
      </c>
      <c r="B76" s="39" t="s">
        <v>75</v>
      </c>
      <c r="C76" s="38" t="s">
        <v>254</v>
      </c>
      <c r="D76" s="38" t="s">
        <v>169</v>
      </c>
      <c r="E76" s="38" t="s">
        <v>399</v>
      </c>
    </row>
    <row r="77" spans="1:5" x14ac:dyDescent="0.3">
      <c r="A77" s="39" t="s">
        <v>265</v>
      </c>
      <c r="B77" s="39" t="s">
        <v>75</v>
      </c>
      <c r="C77" s="38" t="s">
        <v>254</v>
      </c>
      <c r="D77" s="38" t="s">
        <v>277</v>
      </c>
      <c r="E77" s="38" t="s">
        <v>399</v>
      </c>
    </row>
    <row r="78" spans="1:5" x14ac:dyDescent="0.3">
      <c r="A78" s="39" t="s">
        <v>265</v>
      </c>
      <c r="B78" s="39" t="s">
        <v>75</v>
      </c>
      <c r="C78" s="38" t="s">
        <v>254</v>
      </c>
      <c r="D78" s="38" t="s">
        <v>278</v>
      </c>
      <c r="E78" s="38" t="s">
        <v>399</v>
      </c>
    </row>
    <row r="79" spans="1:5" x14ac:dyDescent="0.3">
      <c r="A79" s="39" t="s">
        <v>265</v>
      </c>
      <c r="B79" s="39" t="s">
        <v>75</v>
      </c>
      <c r="C79" s="38" t="s">
        <v>254</v>
      </c>
      <c r="D79" s="38" t="s">
        <v>279</v>
      </c>
      <c r="E79" s="38" t="s">
        <v>399</v>
      </c>
    </row>
    <row r="80" spans="1:5" x14ac:dyDescent="0.3">
      <c r="A80" s="39" t="s">
        <v>265</v>
      </c>
      <c r="B80" s="39" t="s">
        <v>75</v>
      </c>
      <c r="C80" s="38" t="s">
        <v>254</v>
      </c>
      <c r="D80" s="38" t="s">
        <v>280</v>
      </c>
      <c r="E80" s="38" t="s">
        <v>399</v>
      </c>
    </row>
    <row r="81" spans="1:5" x14ac:dyDescent="0.3">
      <c r="A81" s="39" t="s">
        <v>265</v>
      </c>
      <c r="B81" s="39" t="s">
        <v>75</v>
      </c>
      <c r="C81" s="38" t="s">
        <v>254</v>
      </c>
      <c r="D81" s="38" t="s">
        <v>281</v>
      </c>
      <c r="E81" s="38" t="s">
        <v>399</v>
      </c>
    </row>
    <row r="82" spans="1:5" x14ac:dyDescent="0.3">
      <c r="A82" s="39" t="s">
        <v>265</v>
      </c>
      <c r="B82" s="39" t="s">
        <v>75</v>
      </c>
      <c r="C82" s="38" t="s">
        <v>254</v>
      </c>
      <c r="D82" s="38" t="s">
        <v>282</v>
      </c>
      <c r="E82" s="38" t="s">
        <v>399</v>
      </c>
    </row>
    <row r="83" spans="1:5" x14ac:dyDescent="0.3">
      <c r="A83" s="39" t="s">
        <v>265</v>
      </c>
      <c r="B83" s="39" t="s">
        <v>75</v>
      </c>
      <c r="C83" s="38" t="s">
        <v>254</v>
      </c>
      <c r="D83" s="38" t="s">
        <v>283</v>
      </c>
      <c r="E83" s="38" t="s">
        <v>399</v>
      </c>
    </row>
    <row r="84" spans="1:5" x14ac:dyDescent="0.3">
      <c r="A84" s="39" t="s">
        <v>265</v>
      </c>
      <c r="B84" s="39" t="s">
        <v>75</v>
      </c>
      <c r="C84" s="38" t="s">
        <v>254</v>
      </c>
      <c r="D84" s="38" t="s">
        <v>284</v>
      </c>
      <c r="E84" s="38" t="s">
        <v>399</v>
      </c>
    </row>
    <row r="85" spans="1:5" x14ac:dyDescent="0.3">
      <c r="A85" s="39" t="s">
        <v>265</v>
      </c>
      <c r="B85" s="39" t="s">
        <v>75</v>
      </c>
      <c r="C85" s="38" t="s">
        <v>254</v>
      </c>
      <c r="D85" s="38" t="s">
        <v>285</v>
      </c>
      <c r="E85" s="38" t="s">
        <v>399</v>
      </c>
    </row>
    <row r="86" spans="1:5" x14ac:dyDescent="0.3">
      <c r="A86" s="39" t="s">
        <v>265</v>
      </c>
      <c r="B86" s="39" t="s">
        <v>75</v>
      </c>
      <c r="C86" s="38" t="s">
        <v>254</v>
      </c>
      <c r="D86" s="38" t="s">
        <v>286</v>
      </c>
      <c r="E86" s="38" t="s">
        <v>399</v>
      </c>
    </row>
    <row r="87" spans="1:5" x14ac:dyDescent="0.3">
      <c r="A87" s="39" t="s">
        <v>265</v>
      </c>
      <c r="B87" s="39" t="s">
        <v>75</v>
      </c>
      <c r="C87" s="38" t="s">
        <v>254</v>
      </c>
      <c r="D87" s="38" t="s">
        <v>287</v>
      </c>
      <c r="E87" s="38" t="s">
        <v>399</v>
      </c>
    </row>
    <row r="88" spans="1:5" x14ac:dyDescent="0.3">
      <c r="A88" s="39" t="s">
        <v>265</v>
      </c>
      <c r="B88" s="39" t="s">
        <v>75</v>
      </c>
      <c r="C88" s="38" t="s">
        <v>254</v>
      </c>
      <c r="D88" s="38" t="s">
        <v>288</v>
      </c>
      <c r="E88" s="38" t="s">
        <v>399</v>
      </c>
    </row>
    <row r="89" spans="1:5" x14ac:dyDescent="0.3">
      <c r="A89" s="39" t="s">
        <v>265</v>
      </c>
      <c r="B89" s="39" t="s">
        <v>75</v>
      </c>
      <c r="C89" s="38" t="s">
        <v>254</v>
      </c>
      <c r="D89" s="38" t="s">
        <v>289</v>
      </c>
      <c r="E89" s="38" t="s">
        <v>399</v>
      </c>
    </row>
    <row r="90" spans="1:5" x14ac:dyDescent="0.3">
      <c r="A90" s="39" t="s">
        <v>265</v>
      </c>
      <c r="B90" s="39" t="s">
        <v>75</v>
      </c>
      <c r="C90" s="38" t="s">
        <v>254</v>
      </c>
      <c r="D90" s="38" t="s">
        <v>290</v>
      </c>
      <c r="E90" s="38" t="s">
        <v>399</v>
      </c>
    </row>
    <row r="91" spans="1:5" x14ac:dyDescent="0.3">
      <c r="A91" s="39" t="s">
        <v>265</v>
      </c>
      <c r="B91" s="39" t="s">
        <v>75</v>
      </c>
      <c r="C91" s="38" t="s">
        <v>254</v>
      </c>
      <c r="D91" s="38" t="s">
        <v>291</v>
      </c>
      <c r="E91" s="38" t="s">
        <v>399</v>
      </c>
    </row>
    <row r="92" spans="1:5" x14ac:dyDescent="0.3">
      <c r="A92" s="39" t="s">
        <v>265</v>
      </c>
      <c r="B92" s="39" t="s">
        <v>75</v>
      </c>
      <c r="C92" s="38" t="s">
        <v>254</v>
      </c>
      <c r="D92" s="39" t="s">
        <v>292</v>
      </c>
      <c r="E92" s="38" t="s">
        <v>399</v>
      </c>
    </row>
    <row r="93" spans="1:5" x14ac:dyDescent="0.3">
      <c r="A93" s="39" t="s">
        <v>293</v>
      </c>
      <c r="B93" s="39" t="s">
        <v>294</v>
      </c>
      <c r="C93" s="38" t="s">
        <v>295</v>
      </c>
      <c r="D93" s="38">
        <v>999.99</v>
      </c>
      <c r="E93" s="38" t="s">
        <v>373</v>
      </c>
    </row>
    <row r="94" spans="1:5" x14ac:dyDescent="0.3">
      <c r="A94" s="39" t="s">
        <v>296</v>
      </c>
      <c r="B94" s="39" t="s">
        <v>96</v>
      </c>
      <c r="C94" s="38" t="s">
        <v>297</v>
      </c>
      <c r="D94" s="38">
        <v>999.99</v>
      </c>
      <c r="E94" s="38" t="s">
        <v>400</v>
      </c>
    </row>
    <row r="95" spans="1:5" x14ac:dyDescent="0.3">
      <c r="A95" s="39" t="s">
        <v>298</v>
      </c>
      <c r="B95" s="39" t="s">
        <v>70</v>
      </c>
      <c r="C95" s="38" t="s">
        <v>299</v>
      </c>
      <c r="D95" s="38" t="s">
        <v>300</v>
      </c>
      <c r="E95" s="38" t="s">
        <v>390</v>
      </c>
    </row>
    <row r="96" spans="1:5" ht="28.8" x14ac:dyDescent="0.3">
      <c r="A96" s="39" t="s">
        <v>301</v>
      </c>
      <c r="B96" s="39" t="s">
        <v>71</v>
      </c>
      <c r="C96" s="38" t="s">
        <v>302</v>
      </c>
      <c r="D96" s="38" t="s">
        <v>300</v>
      </c>
      <c r="E96" s="38" t="s">
        <v>390</v>
      </c>
    </row>
    <row r="97" spans="1:5" x14ac:dyDescent="0.3">
      <c r="A97" s="39" t="s">
        <v>303</v>
      </c>
      <c r="B97" s="39" t="s">
        <v>69</v>
      </c>
      <c r="C97" s="38" t="s">
        <v>304</v>
      </c>
      <c r="D97" s="38" t="s">
        <v>300</v>
      </c>
      <c r="E97" s="38" t="s">
        <v>390</v>
      </c>
    </row>
    <row r="98" spans="1:5" x14ac:dyDescent="0.3">
      <c r="A98" s="39" t="s">
        <v>305</v>
      </c>
      <c r="B98" s="39" t="s">
        <v>80</v>
      </c>
      <c r="C98" s="38" t="s">
        <v>306</v>
      </c>
      <c r="D98" s="38" t="s">
        <v>300</v>
      </c>
      <c r="E98" s="38" t="s">
        <v>390</v>
      </c>
    </row>
    <row r="99" spans="1:5" x14ac:dyDescent="0.3">
      <c r="A99" s="39" t="s">
        <v>307</v>
      </c>
      <c r="B99" s="39" t="s">
        <v>72</v>
      </c>
      <c r="C99" s="38" t="s">
        <v>308</v>
      </c>
      <c r="D99" s="38" t="s">
        <v>300</v>
      </c>
      <c r="E99" s="38" t="s">
        <v>390</v>
      </c>
    </row>
    <row r="100" spans="1:5" ht="28.8" x14ac:dyDescent="0.3">
      <c r="A100" s="39" t="s">
        <v>309</v>
      </c>
      <c r="B100" s="39" t="s">
        <v>74</v>
      </c>
      <c r="C100" s="38" t="s">
        <v>310</v>
      </c>
      <c r="D100" s="38" t="s">
        <v>300</v>
      </c>
      <c r="E100" s="38" t="s">
        <v>390</v>
      </c>
    </row>
    <row r="101" spans="1:5" ht="28.8" x14ac:dyDescent="0.3">
      <c r="A101" s="39" t="s">
        <v>311</v>
      </c>
      <c r="B101" s="39" t="s">
        <v>70</v>
      </c>
      <c r="C101" s="38" t="s">
        <v>299</v>
      </c>
      <c r="D101" s="38">
        <v>999.99</v>
      </c>
      <c r="E101" s="38" t="s">
        <v>391</v>
      </c>
    </row>
    <row r="102" spans="1:5" ht="28.8" x14ac:dyDescent="0.3">
      <c r="A102" s="39" t="s">
        <v>312</v>
      </c>
      <c r="B102" s="39" t="s">
        <v>71</v>
      </c>
      <c r="C102" s="38" t="s">
        <v>302</v>
      </c>
      <c r="D102" s="38">
        <v>999.99</v>
      </c>
      <c r="E102" s="38" t="s">
        <v>391</v>
      </c>
    </row>
    <row r="103" spans="1:5" ht="28.8" x14ac:dyDescent="0.3">
      <c r="A103" s="39" t="s">
        <v>313</v>
      </c>
      <c r="B103" s="39" t="s">
        <v>69</v>
      </c>
      <c r="C103" s="38" t="s">
        <v>304</v>
      </c>
      <c r="D103" s="38">
        <v>999.99</v>
      </c>
      <c r="E103" s="38" t="s">
        <v>391</v>
      </c>
    </row>
    <row r="104" spans="1:5" ht="28.8" x14ac:dyDescent="0.3">
      <c r="A104" s="39" t="s">
        <v>314</v>
      </c>
      <c r="B104" s="39" t="s">
        <v>80</v>
      </c>
      <c r="C104" s="38" t="s">
        <v>306</v>
      </c>
      <c r="D104" s="38">
        <v>999.99</v>
      </c>
      <c r="E104" s="38" t="s">
        <v>391</v>
      </c>
    </row>
    <row r="105" spans="1:5" ht="28.8" x14ac:dyDescent="0.3">
      <c r="A105" s="39" t="s">
        <v>315</v>
      </c>
      <c r="B105" s="39" t="s">
        <v>72</v>
      </c>
      <c r="C105" s="38" t="s">
        <v>308</v>
      </c>
      <c r="D105" s="38">
        <v>999.99</v>
      </c>
      <c r="E105" s="38" t="s">
        <v>391</v>
      </c>
    </row>
    <row r="106" spans="1:5" ht="28.8" x14ac:dyDescent="0.3">
      <c r="A106" s="39" t="s">
        <v>316</v>
      </c>
      <c r="B106" s="39" t="s">
        <v>74</v>
      </c>
      <c r="C106" s="38" t="s">
        <v>310</v>
      </c>
      <c r="D106" s="38">
        <v>999.99</v>
      </c>
      <c r="E106" s="38" t="s">
        <v>391</v>
      </c>
    </row>
    <row r="107" spans="1:5" ht="28.8" x14ac:dyDescent="0.3">
      <c r="A107" s="39" t="s">
        <v>317</v>
      </c>
      <c r="B107" s="39" t="s">
        <v>70</v>
      </c>
      <c r="C107" s="38" t="s">
        <v>299</v>
      </c>
      <c r="D107" s="38" t="s">
        <v>174</v>
      </c>
      <c r="E107" s="38" t="s">
        <v>388</v>
      </c>
    </row>
    <row r="108" spans="1:5" ht="28.8" x14ac:dyDescent="0.3">
      <c r="A108" s="39" t="s">
        <v>318</v>
      </c>
      <c r="B108" s="39" t="s">
        <v>71</v>
      </c>
      <c r="C108" s="38" t="s">
        <v>302</v>
      </c>
      <c r="D108" s="38" t="s">
        <v>174</v>
      </c>
      <c r="E108" s="38" t="s">
        <v>388</v>
      </c>
    </row>
    <row r="109" spans="1:5" ht="28.8" x14ac:dyDescent="0.3">
      <c r="A109" s="39" t="s">
        <v>319</v>
      </c>
      <c r="B109" s="39" t="s">
        <v>69</v>
      </c>
      <c r="C109" s="38" t="s">
        <v>304</v>
      </c>
      <c r="D109" s="38" t="s">
        <v>174</v>
      </c>
      <c r="E109" s="38" t="s">
        <v>388</v>
      </c>
    </row>
    <row r="110" spans="1:5" ht="28.8" x14ac:dyDescent="0.3">
      <c r="A110" s="39" t="s">
        <v>320</v>
      </c>
      <c r="B110" s="39" t="s">
        <v>80</v>
      </c>
      <c r="C110" s="38" t="s">
        <v>306</v>
      </c>
      <c r="D110" s="38" t="s">
        <v>174</v>
      </c>
      <c r="E110" s="38" t="s">
        <v>388</v>
      </c>
    </row>
    <row r="111" spans="1:5" ht="28.8" x14ac:dyDescent="0.3">
      <c r="A111" s="39" t="s">
        <v>321</v>
      </c>
      <c r="B111" s="39" t="s">
        <v>72</v>
      </c>
      <c r="C111" s="38" t="s">
        <v>308</v>
      </c>
      <c r="D111" s="38" t="s">
        <v>174</v>
      </c>
      <c r="E111" s="38" t="s">
        <v>388</v>
      </c>
    </row>
    <row r="112" spans="1:5" ht="28.8" x14ac:dyDescent="0.3">
      <c r="A112" s="39" t="s">
        <v>322</v>
      </c>
      <c r="B112" s="39" t="s">
        <v>74</v>
      </c>
      <c r="C112" s="38" t="s">
        <v>310</v>
      </c>
      <c r="D112" s="38" t="s">
        <v>174</v>
      </c>
      <c r="E112" s="38" t="s">
        <v>388</v>
      </c>
    </row>
    <row r="113" spans="1:5" x14ac:dyDescent="0.3">
      <c r="A113" s="39" t="s">
        <v>58</v>
      </c>
      <c r="B113" s="39" t="s">
        <v>58</v>
      </c>
      <c r="C113" s="38" t="s">
        <v>323</v>
      </c>
      <c r="E113" s="38" t="s">
        <v>401</v>
      </c>
    </row>
    <row r="114" spans="1:5" x14ac:dyDescent="0.3">
      <c r="A114" s="39" t="s">
        <v>324</v>
      </c>
      <c r="B114" s="39" t="s">
        <v>102</v>
      </c>
      <c r="C114" s="38" t="s">
        <v>323</v>
      </c>
      <c r="D114" s="38">
        <v>999.99</v>
      </c>
      <c r="E114" s="38" t="s">
        <v>402</v>
      </c>
    </row>
    <row r="115" spans="1:5" x14ac:dyDescent="0.3">
      <c r="A115" s="39" t="s">
        <v>98</v>
      </c>
      <c r="B115" s="39" t="s">
        <v>98</v>
      </c>
      <c r="C115" s="38" t="s">
        <v>323</v>
      </c>
      <c r="D115" s="38" t="s">
        <v>174</v>
      </c>
      <c r="E115" s="38" t="s">
        <v>374</v>
      </c>
    </row>
    <row r="116" spans="1:5" ht="28.8" x14ac:dyDescent="0.3">
      <c r="A116" s="39" t="s">
        <v>325</v>
      </c>
      <c r="B116" s="39" t="s">
        <v>57</v>
      </c>
      <c r="C116" s="38" t="s">
        <v>326</v>
      </c>
      <c r="D116" s="38" t="s">
        <v>177</v>
      </c>
      <c r="E116" s="38" t="s">
        <v>403</v>
      </c>
    </row>
    <row r="117" spans="1:5" ht="28.8" x14ac:dyDescent="0.3">
      <c r="A117" s="39" t="s">
        <v>327</v>
      </c>
      <c r="B117" s="39" t="s">
        <v>57</v>
      </c>
      <c r="C117" s="38" t="s">
        <v>326</v>
      </c>
      <c r="D117" s="38">
        <v>999.99</v>
      </c>
      <c r="E117" s="38" t="s">
        <v>404</v>
      </c>
    </row>
    <row r="118" spans="1:5" ht="28.8" x14ac:dyDescent="0.3">
      <c r="A118" s="39" t="s">
        <v>328</v>
      </c>
      <c r="B118" s="39" t="s">
        <v>57</v>
      </c>
      <c r="C118" s="38" t="s">
        <v>326</v>
      </c>
      <c r="D118" s="38" t="s">
        <v>174</v>
      </c>
      <c r="E118" s="38" t="s">
        <v>405</v>
      </c>
    </row>
    <row r="119" spans="1:5" ht="28.8" x14ac:dyDescent="0.3">
      <c r="A119" s="39" t="s">
        <v>329</v>
      </c>
      <c r="B119" s="39" t="s">
        <v>101</v>
      </c>
      <c r="C119" s="38" t="s">
        <v>330</v>
      </c>
      <c r="E119" s="38" t="s">
        <v>397</v>
      </c>
    </row>
    <row r="120" spans="1:5" ht="28.8" x14ac:dyDescent="0.3">
      <c r="A120" s="39" t="s">
        <v>331</v>
      </c>
      <c r="B120" s="39" t="s">
        <v>101</v>
      </c>
      <c r="C120" s="38" t="s">
        <v>330</v>
      </c>
      <c r="D120" s="38">
        <v>999.99</v>
      </c>
      <c r="E120" s="38" t="s">
        <v>406</v>
      </c>
    </row>
    <row r="121" spans="1:5" ht="28.8" x14ac:dyDescent="0.3">
      <c r="A121" s="39" t="s">
        <v>332</v>
      </c>
      <c r="B121" s="39" t="s">
        <v>101</v>
      </c>
      <c r="C121" s="38" t="s">
        <v>330</v>
      </c>
      <c r="D121" s="38" t="s">
        <v>174</v>
      </c>
      <c r="E121" s="38" t="s">
        <v>407</v>
      </c>
    </row>
    <row r="122" spans="1:5" x14ac:dyDescent="0.3">
      <c r="A122" s="39" t="s">
        <v>333</v>
      </c>
      <c r="B122" s="39" t="s">
        <v>96</v>
      </c>
      <c r="C122" s="38" t="s">
        <v>334</v>
      </c>
      <c r="D122" s="38">
        <v>999.99</v>
      </c>
      <c r="E122" s="38" t="s">
        <v>373</v>
      </c>
    </row>
    <row r="123" spans="1:5" x14ac:dyDescent="0.3">
      <c r="A123" s="39" t="s">
        <v>335</v>
      </c>
      <c r="B123" s="39" t="s">
        <v>70</v>
      </c>
      <c r="C123" s="38" t="s">
        <v>336</v>
      </c>
      <c r="E123" s="38" t="s">
        <v>401</v>
      </c>
    </row>
    <row r="124" spans="1:5" ht="28.8" x14ac:dyDescent="0.3">
      <c r="A124" s="39" t="s">
        <v>337</v>
      </c>
      <c r="B124" s="39" t="s">
        <v>71</v>
      </c>
      <c r="C124" s="38" t="s">
        <v>338</v>
      </c>
      <c r="E124" s="38" t="s">
        <v>401</v>
      </c>
    </row>
    <row r="125" spans="1:5" x14ac:dyDescent="0.3">
      <c r="A125" s="39" t="s">
        <v>339</v>
      </c>
      <c r="B125" s="39" t="s">
        <v>69</v>
      </c>
      <c r="C125" s="38" t="s">
        <v>340</v>
      </c>
      <c r="E125" s="38" t="s">
        <v>401</v>
      </c>
    </row>
    <row r="126" spans="1:5" x14ac:dyDescent="0.3">
      <c r="A126" s="39" t="s">
        <v>341</v>
      </c>
      <c r="B126" s="39" t="s">
        <v>80</v>
      </c>
      <c r="C126" s="38" t="s">
        <v>342</v>
      </c>
      <c r="E126" s="38" t="s">
        <v>401</v>
      </c>
    </row>
    <row r="127" spans="1:5" x14ac:dyDescent="0.3">
      <c r="A127" s="39" t="s">
        <v>343</v>
      </c>
      <c r="B127" s="39" t="s">
        <v>72</v>
      </c>
      <c r="C127" s="38" t="s">
        <v>344</v>
      </c>
      <c r="E127" s="38" t="s">
        <v>401</v>
      </c>
    </row>
    <row r="128" spans="1:5" ht="28.8" x14ac:dyDescent="0.3">
      <c r="A128" s="39" t="s">
        <v>345</v>
      </c>
      <c r="B128" s="39" t="s">
        <v>74</v>
      </c>
      <c r="C128" s="38" t="s">
        <v>346</v>
      </c>
      <c r="E128" s="38" t="s">
        <v>401</v>
      </c>
    </row>
    <row r="129" spans="1:5" ht="28.8" x14ac:dyDescent="0.3">
      <c r="A129" s="39" t="s">
        <v>347</v>
      </c>
      <c r="B129" s="39" t="s">
        <v>70</v>
      </c>
      <c r="C129" s="38" t="s">
        <v>336</v>
      </c>
      <c r="D129" s="38">
        <v>999.99</v>
      </c>
      <c r="E129" s="38" t="s">
        <v>402</v>
      </c>
    </row>
    <row r="130" spans="1:5" ht="28.8" x14ac:dyDescent="0.3">
      <c r="A130" s="39" t="s">
        <v>348</v>
      </c>
      <c r="B130" s="39" t="s">
        <v>71</v>
      </c>
      <c r="C130" s="38" t="s">
        <v>338</v>
      </c>
      <c r="D130" s="38">
        <v>999.99</v>
      </c>
      <c r="E130" s="38" t="s">
        <v>402</v>
      </c>
    </row>
    <row r="131" spans="1:5" ht="28.8" x14ac:dyDescent="0.3">
      <c r="A131" s="39" t="s">
        <v>349</v>
      </c>
      <c r="B131" s="39" t="s">
        <v>69</v>
      </c>
      <c r="C131" s="38" t="s">
        <v>340</v>
      </c>
      <c r="D131" s="38">
        <v>999.99</v>
      </c>
      <c r="E131" s="38" t="s">
        <v>402</v>
      </c>
    </row>
    <row r="132" spans="1:5" ht="28.8" x14ac:dyDescent="0.3">
      <c r="A132" s="39" t="s">
        <v>350</v>
      </c>
      <c r="B132" s="39" t="s">
        <v>80</v>
      </c>
      <c r="C132" s="38" t="s">
        <v>342</v>
      </c>
      <c r="D132" s="38">
        <v>999.99</v>
      </c>
      <c r="E132" s="38" t="s">
        <v>402</v>
      </c>
    </row>
    <row r="133" spans="1:5" ht="28.8" x14ac:dyDescent="0.3">
      <c r="A133" s="39" t="s">
        <v>351</v>
      </c>
      <c r="B133" s="39" t="s">
        <v>72</v>
      </c>
      <c r="C133" s="38" t="s">
        <v>344</v>
      </c>
      <c r="D133" s="38">
        <v>999.99</v>
      </c>
      <c r="E133" s="38" t="s">
        <v>402</v>
      </c>
    </row>
    <row r="134" spans="1:5" ht="28.8" x14ac:dyDescent="0.3">
      <c r="A134" s="39" t="s">
        <v>352</v>
      </c>
      <c r="B134" s="39" t="s">
        <v>74</v>
      </c>
      <c r="C134" s="38" t="s">
        <v>346</v>
      </c>
      <c r="D134" s="38">
        <v>999.99</v>
      </c>
      <c r="E134" s="38" t="s">
        <v>402</v>
      </c>
    </row>
    <row r="135" spans="1:5" ht="28.8" x14ac:dyDescent="0.3">
      <c r="A135" s="39" t="s">
        <v>353</v>
      </c>
      <c r="B135" s="39" t="s">
        <v>70</v>
      </c>
      <c r="C135" s="38" t="s">
        <v>354</v>
      </c>
      <c r="D135" s="38" t="s">
        <v>174</v>
      </c>
      <c r="E135" s="38" t="s">
        <v>388</v>
      </c>
    </row>
    <row r="136" spans="1:5" ht="28.8" x14ac:dyDescent="0.3">
      <c r="A136" s="39" t="s">
        <v>355</v>
      </c>
      <c r="B136" s="39" t="s">
        <v>71</v>
      </c>
      <c r="C136" s="38" t="s">
        <v>338</v>
      </c>
      <c r="D136" s="38" t="s">
        <v>174</v>
      </c>
      <c r="E136" s="38" t="s">
        <v>388</v>
      </c>
    </row>
    <row r="137" spans="1:5" ht="28.8" x14ac:dyDescent="0.3">
      <c r="A137" s="39" t="s">
        <v>356</v>
      </c>
      <c r="B137" s="39" t="s">
        <v>69</v>
      </c>
      <c r="C137" s="38" t="s">
        <v>340</v>
      </c>
      <c r="D137" s="38" t="s">
        <v>174</v>
      </c>
      <c r="E137" s="38" t="s">
        <v>388</v>
      </c>
    </row>
    <row r="138" spans="1:5" ht="28.8" x14ac:dyDescent="0.3">
      <c r="A138" s="39" t="s">
        <v>357</v>
      </c>
      <c r="B138" s="39" t="s">
        <v>80</v>
      </c>
      <c r="C138" s="38" t="s">
        <v>342</v>
      </c>
      <c r="D138" s="38" t="s">
        <v>174</v>
      </c>
      <c r="E138" s="38" t="s">
        <v>388</v>
      </c>
    </row>
    <row r="139" spans="1:5" ht="28.8" x14ac:dyDescent="0.3">
      <c r="A139" s="39" t="s">
        <v>358</v>
      </c>
      <c r="B139" s="39" t="s">
        <v>72</v>
      </c>
      <c r="C139" s="38" t="s">
        <v>344</v>
      </c>
      <c r="D139" s="38" t="s">
        <v>174</v>
      </c>
      <c r="E139" s="38" t="s">
        <v>388</v>
      </c>
    </row>
    <row r="140" spans="1:5" ht="28.8" x14ac:dyDescent="0.3">
      <c r="A140" s="39" t="s">
        <v>359</v>
      </c>
      <c r="B140" s="39" t="s">
        <v>74</v>
      </c>
      <c r="C140" s="38" t="s">
        <v>346</v>
      </c>
      <c r="D140" s="38" t="s">
        <v>174</v>
      </c>
      <c r="E140" s="38" t="s">
        <v>388</v>
      </c>
    </row>
    <row r="141" spans="1:5" x14ac:dyDescent="0.3">
      <c r="A141" s="39" t="s">
        <v>361</v>
      </c>
      <c r="B141" s="39" t="s">
        <v>77</v>
      </c>
      <c r="C141" s="38" t="s">
        <v>361</v>
      </c>
      <c r="E141" s="38" t="s">
        <v>372</v>
      </c>
    </row>
    <row r="142" spans="1:5" x14ac:dyDescent="0.3">
      <c r="A142" s="39" t="s">
        <v>362</v>
      </c>
      <c r="B142" s="39" t="s">
        <v>363</v>
      </c>
      <c r="C142" s="38" t="s">
        <v>364</v>
      </c>
      <c r="E142" s="38" t="s">
        <v>372</v>
      </c>
    </row>
    <row r="143" spans="1:5" x14ac:dyDescent="0.3">
      <c r="A143" s="38" t="s">
        <v>365</v>
      </c>
      <c r="B143" s="39" t="s">
        <v>360</v>
      </c>
      <c r="C143" s="38" t="s">
        <v>366</v>
      </c>
      <c r="E143" s="38" t="s">
        <v>372</v>
      </c>
    </row>
    <row r="144" spans="1:5" x14ac:dyDescent="0.3">
      <c r="A144" s="38" t="s">
        <v>367</v>
      </c>
      <c r="B144" s="39" t="s">
        <v>360</v>
      </c>
      <c r="C144" s="38" t="s">
        <v>368</v>
      </c>
      <c r="E144" s="38" t="s">
        <v>372</v>
      </c>
    </row>
  </sheetData>
  <conditionalFormatting sqref="F2:F144">
    <cfRule type="duplicateValues" dxfId="1" priority="1"/>
  </conditionalFormatting>
  <printOptions headings="1" gridLines="1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500"/>
  <sheetViews>
    <sheetView showGridLines="0" showZeros="0" zoomScale="85" zoomScaleNormal="85" workbookViewId="0">
      <pane ySplit="1" topLeftCell="A2" activePane="bottomLeft" state="frozenSplit"/>
      <selection pane="bottomLeft" activeCell="A2" sqref="A2"/>
    </sheetView>
  </sheetViews>
  <sheetFormatPr defaultColWidth="9.109375" defaultRowHeight="27" customHeight="1" x14ac:dyDescent="0.25"/>
  <cols>
    <col min="1" max="1" width="13.109375" style="11" bestFit="1" customWidth="1"/>
    <col min="2" max="2" width="25.5546875" style="12" bestFit="1" customWidth="1"/>
    <col min="3" max="3" width="55.6640625" style="12" customWidth="1"/>
    <col min="4" max="4" width="22.5546875" style="12" customWidth="1"/>
    <col min="5" max="5" width="5.109375" style="12" bestFit="1" customWidth="1"/>
    <col min="6" max="6" width="17.88671875" style="11" customWidth="1"/>
    <col min="7" max="8" width="13.109375" style="11" customWidth="1"/>
    <col min="9" max="9" width="17.88671875" style="11" customWidth="1"/>
    <col min="10" max="16384" width="9.109375" style="11"/>
  </cols>
  <sheetData>
    <row r="1" spans="1:8" s="9" customFormat="1" ht="27" customHeight="1" x14ac:dyDescent="0.25">
      <c r="A1" s="7" t="s">
        <v>53</v>
      </c>
      <c r="B1" s="7" t="s">
        <v>1</v>
      </c>
      <c r="C1" s="7" t="s">
        <v>2</v>
      </c>
      <c r="D1" s="7" t="s">
        <v>0</v>
      </c>
      <c r="E1" s="7" t="s">
        <v>54</v>
      </c>
      <c r="F1" s="8"/>
      <c r="G1" s="9" t="s">
        <v>150</v>
      </c>
      <c r="H1" s="9" t="s">
        <v>151</v>
      </c>
    </row>
    <row r="2" spans="1:8" ht="27" customHeight="1" x14ac:dyDescent="0.25">
      <c r="A2" s="10" t="str">
        <f ca="1">TEXT( INDIRECT( ADDRESS( ROW() + Row_Offset, INDIRECT( "Column_Number_" &amp; A$1), 4,1, tabname) ), "")</f>
        <v/>
      </c>
      <c r="B2" s="10" t="str">
        <f ca="1">TEXT(  IFERROR( VLOOKUP( $D2, CollName_Simplifier_Table[], 2, FALSE),"") &amp;
        INDIRECT( ADDRESS( ROW() + Row_Offset, INDIRECT( "Column_Number_" &amp; $B$1), 4,1, tabname) ), "")</f>
        <v>CD H FRA906</v>
      </c>
      <c r="C2" s="10" t="str">
        <f ca="1">TEXT( INDIRECT( ADDRESS( ROW() + Row_Offset, INDIRECT( "Column_Number_" &amp; C$1), 4,1, tabname) ), "")</f>
        <v>Amazing grace</v>
      </c>
      <c r="D2" s="10" t="str">
        <f ca="1">TEXT( INDIRECT( ADDRESS( ROW() + Row_Offset, INDIRECT( "Column_Number_" &amp; D$1), 4,1, tabname) ), "")</f>
        <v>Compact Disc</v>
      </c>
      <c r="E2" s="10" t="str">
        <f ca="1">TEXT( INDIRECT( ADDRESS( ROW() + Row_Offset, INDIRECT( "Column_Number_" &amp; E$1), 4,1, tabname) ), "####")</f>
        <v>2000</v>
      </c>
      <c r="F2" s="15"/>
      <c r="G2" s="21">
        <f ca="1">IFERROR(INDEX(Rank_Table[],MATCH($D2&amp;$A2,Table4[Join],0)),"")</f>
        <v>74</v>
      </c>
      <c r="H2" s="11" t="str">
        <f ca="1">IF(AND(D2="Juvenile Audiobook",LEFT(B2,8)="J CD BIO"),RIGHT(B2,LEN(B2)-9),
IF(AND(D2="Juvenile Audiobook",LEFT(B2,8)="J CD FIC"),B2,
IF(D2="Juvenile Audiobook",RIGHT(B2,LEN(B2)-5),
IF(AND(D2="Teen Audiobook",LEFT(B2,11)="TEEN CD BIO"),RIGHT(B2,LEN(B2)-12),
IF(AND(D2="Teen Audiobook",LEFT(B2,11)="TEEN CD FIC"),B2,
IF(D2="Juvenile Audiobook",RIGHT(B2,LEN(B2)-8),
IF(D2="Juvenile Nonfiction",RIGHT(B2,LEN(B2)-2),
IF(D2="Teen Nonfiction",RIGHT(B2,LEN(B2)-5),
IF(AND(D2="Audiobook",
              NOT(OR(Contains($B2,"CD BIO"),Contains($B2,"CD FIC")))),RIGHT(B2,LEN(B2)-3),
IF(D2="Juvenile Biography",RIGHT(B2,LEN(B2)-2),
IF(D2="Teen Biography",RIGHT(B2,LEN(B2)-5),
IF(AND(D2="Audiobook",
              IFERROR(FIND("BIO",$B2)&gt;0,FALSE)),RIGHT(B2,LEN(B2)-3),
IF(D2="Juvenile Large Type","J "&amp;RIGHT(B2,LEN(B2)-11),
IF(D2="Teen Large Type","TEEN "&amp;RIGHT(B2,LEN(B2)-14),
IF(D2="Reference",RIGHT(B2,LEN(B2)-4),
IF(D2="DVD Educational",RIGHT(B2,LEN(B2)-7),
IF(D2="Juvenile DVD Educational",RIGHT(B2,LEN(B2)-9),
B2)))))))))))))))))</f>
        <v>CD H FRA906</v>
      </c>
    </row>
    <row r="3" spans="1:8" ht="27" customHeight="1" x14ac:dyDescent="0.25">
      <c r="A3" s="10" t="str">
        <f ca="1">TEXT( INDIRECT( ADDRESS( ROW() + Row_Offset, INDIRECT( "Column_Number_" &amp; A$1), 4,1, tabname) ), "")</f>
        <v/>
      </c>
      <c r="B3" s="10" t="str">
        <f ca="1">TEXT(  IFERROR( VLOOKUP( $D3, CollName_Simplifier_Table[], 2, FALSE),"") &amp;
        INDIRECT( ADDRESS( ROW() + Row_Offset, INDIRECT( "Column_Number_" &amp; $B$1), 4,1, tabname) ), "")</f>
        <v>CD K FRE42</v>
      </c>
      <c r="C3" s="10" t="str">
        <f ca="1">TEXT( INDIRECT( ADDRESS( ROW() + Row_Offset, INDIRECT( "Column_Number_" &amp; C$1), 4,1, tabname) ), "")</f>
        <v>Freaky Friday original soundtrack.</v>
      </c>
      <c r="D3" s="10" t="str">
        <f ca="1">TEXT( INDIRECT( ADDRESS( ROW() + Row_Offset, INDIRECT( "Column_Number_" &amp; D$1), 4,1, tabname) ), "")</f>
        <v>Compact Disc</v>
      </c>
      <c r="E3" s="10" t="str">
        <f ca="1">TEXT( INDIRECT( ADDRESS( ROW() + Row_Offset, INDIRECT( "Column_Number_" &amp; E$1), 4,1, tabname) ), "####")</f>
        <v>2003</v>
      </c>
      <c r="F3" s="15"/>
      <c r="G3" s="21">
        <f ca="1">IFERROR(INDEX(Rank_Table[],MATCH($D3&amp;$A3,Table4[Join],0)),"")</f>
        <v>74</v>
      </c>
      <c r="H3" s="11" t="str">
        <f ca="1">IF(AND(D3="Juvenile Audiobook",LEFT(B3,8)="J CD BIO"),RIGHT(B3,LEN(B3)-9),
IF(AND(D3="Juvenile Audiobook",LEFT(B3,8)="J CD FIC"),B3,
IF(D3="Juvenile Audiobook",RIGHT(B3,LEN(B3)-5),
IF(AND(D3="Teen Audiobook",LEFT(B3,11)="TEEN CD BIO"),RIGHT(B3,LEN(B3)-12),
IF(AND(D3="Teen Audiobook",LEFT(B3,11)="TEEN CD FIC"),B3,
IF(D3="Juvenile Audiobook",RIGHT(B3,LEN(B3)-8),
IF(D3="Juvenile Nonfiction",RIGHT(B3,LEN(B3)-2),
IF(D3="Teen Nonfiction",RIGHT(B3,LEN(B3)-5),
IF(AND(D3="Audiobook",
              NOT(OR(Contains($B3,"CD BIO"),Contains($B3,"CD FIC")))),RIGHT(B3,LEN(B3)-3),
IF(D3="Juvenile Biography",RIGHT(B3,LEN(B3)-2),
IF(D3="Teen Biography",RIGHT(B3,LEN(B3)-5),
IF(AND(D3="Audiobook",
              IFERROR(FIND("BIO",$B3)&gt;0,FALSE)),RIGHT(B3,LEN(B3)-3),
IF(D3="Juvenile Large Type","J "&amp;RIGHT(B3,LEN(B3)-11),
IF(D3="Teen Large Type","TEEN "&amp;RIGHT(B3,LEN(B3)-14),
IF(D3="Reference",RIGHT(B3,LEN(B3)-4),
IF(D3="DVD Educational",RIGHT(B3,LEN(B3)-7),
IF(D3="Juvenile DVD Educational",RIGHT(B3,LEN(B3)-9),
B3)))))))))))))))))</f>
        <v>CD K FRE42</v>
      </c>
    </row>
    <row r="4" spans="1:8" ht="27" customHeight="1" x14ac:dyDescent="0.25">
      <c r="A4" s="10" t="str">
        <f ca="1">TEXT( INDIRECT( ADDRESS( ROW() + Row_Offset, INDIRECT( "Column_Number_" &amp; A$1), 4,1, tabname) ), "")</f>
        <v/>
      </c>
      <c r="B4" s="10" t="str">
        <f ca="1">TEXT(  IFERROR( VLOOKUP( $D4, CollName_Simplifier_Table[], 2, FALSE),"") &amp;
        INDIRECT( ADDRESS( ROW() + Row_Offset, INDIRECT( "Column_Number_" &amp; $B$1), 4,1, tabname) ), "")</f>
        <v>CD M MCC2470</v>
      </c>
      <c r="C4" s="10" t="str">
        <f ca="1">TEXT( INDIRECT( ADDRESS( ROW() + Row_Offset, INDIRECT( "Column_Number_" &amp; C$1), 4,1, tabname) ), "")</f>
        <v>Beautiful soul</v>
      </c>
      <c r="D4" s="10" t="str">
        <f ca="1">TEXT( INDIRECT( ADDRESS( ROW() + Row_Offset, INDIRECT( "Column_Number_" &amp; D$1), 4,1, tabname) ), "")</f>
        <v>Compact Disc</v>
      </c>
      <c r="E4" s="10" t="str">
        <f ca="1">TEXT( INDIRECT( ADDRESS( ROW() + Row_Offset, INDIRECT( "Column_Number_" &amp; E$1), 4,1, tabname) ), "####")</f>
        <v>2004</v>
      </c>
      <c r="F4" s="15"/>
      <c r="G4" s="21">
        <f ca="1">IFERROR(INDEX(Rank_Table[],MATCH($D4&amp;$A4,Table4[Join],0)),"")</f>
        <v>74</v>
      </c>
      <c r="H4" s="11" t="str">
        <f ca="1">IF(AND(D4="Juvenile Audiobook",LEFT(B4,8)="J CD BIO"),RIGHT(B4,LEN(B4)-9),
IF(AND(D4="Juvenile Audiobook",LEFT(B4,8)="J CD FIC"),B4,
IF(D4="Juvenile Audiobook",RIGHT(B4,LEN(B4)-5),
IF(AND(D4="Teen Audiobook",LEFT(B4,11)="TEEN CD BIO"),RIGHT(B4,LEN(B4)-12),
IF(AND(D4="Teen Audiobook",LEFT(B4,11)="TEEN CD FIC"),B4,
IF(D4="Juvenile Audiobook",RIGHT(B4,LEN(B4)-8),
IF(D4="Juvenile Nonfiction",RIGHT(B4,LEN(B4)-2),
IF(D4="Teen Nonfiction",RIGHT(B4,LEN(B4)-5),
IF(AND(D4="Audiobook",
              NOT(OR(Contains($B4,"CD BIO"),Contains($B4,"CD FIC")))),RIGHT(B4,LEN(B4)-3),
IF(D4="Juvenile Biography",RIGHT(B4,LEN(B4)-2),
IF(D4="Teen Biography",RIGHT(B4,LEN(B4)-5),
IF(AND(D4="Audiobook",
              IFERROR(FIND("BIO",$B4)&gt;0,FALSE)),RIGHT(B4,LEN(B4)-3),
IF(D4="Juvenile Large Type","J "&amp;RIGHT(B4,LEN(B4)-11),
IF(D4="Teen Large Type","TEEN "&amp;RIGHT(B4,LEN(B4)-14),
IF(D4="Reference",RIGHT(B4,LEN(B4)-4),
IF(D4="DVD Educational",RIGHT(B4,LEN(B4)-7),
IF(D4="Juvenile DVD Educational",RIGHT(B4,LEN(B4)-9),
B4)))))))))))))))))</f>
        <v>CD M MCC2470</v>
      </c>
    </row>
    <row r="5" spans="1:8" ht="27" customHeight="1" x14ac:dyDescent="0.25">
      <c r="A5" s="10" t="str">
        <f ca="1">TEXT( INDIRECT( ADDRESS( ROW() + Row_Offset, INDIRECT( "Column_Number_" &amp; A$1), 4,1, tabname) ), "")</f>
        <v/>
      </c>
      <c r="B5" s="10" t="str">
        <f ca="1">TEXT(  IFERROR( VLOOKUP( $D5, CollName_Simplifier_Table[], 2, FALSE),"") &amp;
        INDIRECT( ADDRESS( ROW() + Row_Offset, INDIRECT( "Column_Number_" &amp; $B$1), 4,1, tabname) ), "")</f>
        <v>CD MA NEO6578</v>
      </c>
      <c r="C5" s="10" t="str">
        <f ca="1">TEXT( INDIRECT( ADDRESS( ROW() + Row_Offset, INDIRECT( "Column_Number_" &amp; C$1), 4,1, tabname) ), "")</f>
        <v>Picture show</v>
      </c>
      <c r="D5" s="10" t="str">
        <f ca="1">TEXT( INDIRECT( ADDRESS( ROW() + Row_Offset, INDIRECT( "Column_Number_" &amp; D$1), 4,1, tabname) ), "")</f>
        <v>Compact Disc</v>
      </c>
      <c r="E5" s="10" t="str">
        <f ca="1">TEXT( INDIRECT( ADDRESS( ROW() + Row_Offset, INDIRECT( "Column_Number_" &amp; E$1), 4,1, tabname) ), "####")</f>
        <v>2012</v>
      </c>
      <c r="F5" s="15"/>
      <c r="G5" s="21">
        <f ca="1">IFERROR(INDEX(Rank_Table[],MATCH($D5&amp;$A5,Table4[Join],0)),"")</f>
        <v>74</v>
      </c>
      <c r="H5" s="11" t="str">
        <f ca="1">IF(AND(D5="Juvenile Audiobook",LEFT(B5,8)="J CD BIO"),RIGHT(B5,LEN(B5)-9),
IF(AND(D5="Juvenile Audiobook",LEFT(B5,8)="J CD FIC"),B5,
IF(D5="Juvenile Audiobook",RIGHT(B5,LEN(B5)-5),
IF(AND(D5="Teen Audiobook",LEFT(B5,11)="TEEN CD BIO"),RIGHT(B5,LEN(B5)-12),
IF(AND(D5="Teen Audiobook",LEFT(B5,11)="TEEN CD FIC"),B5,
IF(D5="Juvenile Audiobook",RIGHT(B5,LEN(B5)-8),
IF(D5="Juvenile Nonfiction",RIGHT(B5,LEN(B5)-2),
IF(D5="Teen Nonfiction",RIGHT(B5,LEN(B5)-5),
IF(AND(D5="Audiobook",
              NOT(OR(Contains($B5,"CD BIO"),Contains($B5,"CD FIC")))),RIGHT(B5,LEN(B5)-3),
IF(D5="Juvenile Biography",RIGHT(B5,LEN(B5)-2),
IF(D5="Teen Biography",RIGHT(B5,LEN(B5)-5),
IF(AND(D5="Audiobook",
              IFERROR(FIND("BIO",$B5)&gt;0,FALSE)),RIGHT(B5,LEN(B5)-3),
IF(D5="Juvenile Large Type","J "&amp;RIGHT(B5,LEN(B5)-11),
IF(D5="Teen Large Type","TEEN "&amp;RIGHT(B5,LEN(B5)-14),
IF(D5="Reference",RIGHT(B5,LEN(B5)-4),
IF(D5="DVD Educational",RIGHT(B5,LEN(B5)-7),
IF(D5="Juvenile DVD Educational",RIGHT(B5,LEN(B5)-9),
B5)))))))))))))))))</f>
        <v>CD MA NEO6578</v>
      </c>
    </row>
    <row r="6" spans="1:8" ht="27" customHeight="1" x14ac:dyDescent="0.25">
      <c r="A6" s="10" t="str">
        <f ca="1">TEXT( INDIRECT( ADDRESS( ROW() + Row_Offset, INDIRECT( "Column_Number_" &amp; A$1), 4,1, tabname) ), "")</f>
        <v/>
      </c>
      <c r="B6" s="10" t="str">
        <f ca="1">TEXT(  IFERROR( VLOOKUP( $D6, CollName_Simplifier_Table[], 2, FALSE),"") &amp;
        INDIRECT( ADDRESS( ROW() + Row_Offset, INDIRECT( "Column_Number_" &amp; $B$1), 4,1, tabname) ), "")</f>
        <v>CD U CHE7445</v>
      </c>
      <c r="C6" s="10" t="str">
        <f ca="1">TEXT( INDIRECT( ADDRESS( ROW() + Row_Offset, INDIRECT( "Column_Number_" &amp; C$1), 4,1, tabname) ), "")</f>
        <v>Hemingway's whiskey</v>
      </c>
      <c r="D6" s="10" t="str">
        <f ca="1">TEXT( INDIRECT( ADDRESS( ROW() + Row_Offset, INDIRECT( "Column_Number_" &amp; D$1), 4,1, tabname) ), "")</f>
        <v>Compact Disc</v>
      </c>
      <c r="E6" s="10" t="str">
        <f ca="1">TEXT( INDIRECT( ADDRESS( ROW() + Row_Offset, INDIRECT( "Column_Number_" &amp; E$1), 4,1, tabname) ), "####")</f>
        <v>2010</v>
      </c>
      <c r="F6" s="15"/>
      <c r="G6" s="21">
        <f ca="1">IFERROR(INDEX(Rank_Table[],MATCH($D6&amp;$A6,Table4[Join],0)),"")</f>
        <v>74</v>
      </c>
      <c r="H6" s="11" t="str">
        <f ca="1">IF(AND(D6="Juvenile Audiobook",LEFT(B6,8)="J CD BIO"),RIGHT(B6,LEN(B6)-9),
IF(AND(D6="Juvenile Audiobook",LEFT(B6,8)="J CD FIC"),B6,
IF(D6="Juvenile Audiobook",RIGHT(B6,LEN(B6)-5),
IF(AND(D6="Teen Audiobook",LEFT(B6,11)="TEEN CD BIO"),RIGHT(B6,LEN(B6)-12),
IF(AND(D6="Teen Audiobook",LEFT(B6,11)="TEEN CD FIC"),B6,
IF(D6="Juvenile Audiobook",RIGHT(B6,LEN(B6)-8),
IF(D6="Juvenile Nonfiction",RIGHT(B6,LEN(B6)-2),
IF(D6="Teen Nonfiction",RIGHT(B6,LEN(B6)-5),
IF(AND(D6="Audiobook",
              NOT(OR(Contains($B6,"CD BIO"),Contains($B6,"CD FIC")))),RIGHT(B6,LEN(B6)-3),
IF(D6="Juvenile Biography",RIGHT(B6,LEN(B6)-2),
IF(D6="Teen Biography",RIGHT(B6,LEN(B6)-5),
IF(AND(D6="Audiobook",
              IFERROR(FIND("BIO",$B6)&gt;0,FALSE)),RIGHT(B6,LEN(B6)-3),
IF(D6="Juvenile Large Type","J "&amp;RIGHT(B6,LEN(B6)-11),
IF(D6="Teen Large Type","TEEN "&amp;RIGHT(B6,LEN(B6)-14),
IF(D6="Reference",RIGHT(B6,LEN(B6)-4),
IF(D6="DVD Educational",RIGHT(B6,LEN(B6)-7),
IF(D6="Juvenile DVD Educational",RIGHT(B6,LEN(B6)-9),
B6)))))))))))))))))</f>
        <v>CD U CHE7445</v>
      </c>
    </row>
    <row r="7" spans="1:8" ht="27" customHeight="1" x14ac:dyDescent="0.25">
      <c r="A7" s="10" t="str">
        <f ca="1">TEXT( INDIRECT( ADDRESS( ROW() + Row_Offset, INDIRECT( "Column_Number_" &amp; A$1), 4,1, tabname) ), "")</f>
        <v/>
      </c>
      <c r="B7" s="10" t="str">
        <f ca="1">TEXT(  IFERROR( VLOOKUP( $D7, CollName_Simplifier_Table[], 2, FALSE),"") &amp;
        INDIRECT( ADDRESS( ROW() + Row_Offset, INDIRECT( "Column_Number_" &amp; $B$1), 4,1, tabname) ), "")</f>
        <v>Drama DVD BEHINDT</v>
      </c>
      <c r="C7" s="10" t="str">
        <f ca="1">TEXT( INDIRECT( ADDRESS( ROW() + Row_Offset, INDIRECT( "Column_Number_" &amp; C$1), 4,1, tabname) ), "")</f>
        <v>Behind the candelabra</v>
      </c>
      <c r="D7" s="10" t="str">
        <f ca="1">TEXT( INDIRECT( ADDRESS( ROW() + Row_Offset, INDIRECT( "Column_Number_" &amp; D$1), 4,1, tabname) ), "")</f>
        <v>DVD Drama</v>
      </c>
      <c r="E7" s="10" t="str">
        <f ca="1">TEXT( INDIRECT( ADDRESS( ROW() + Row_Offset, INDIRECT( "Column_Number_" &amp; E$1), 4,1, tabname) ), "####")</f>
        <v>2013</v>
      </c>
      <c r="F7" s="15"/>
      <c r="G7" s="21">
        <f ca="1">IFERROR(INDEX(Rank_Table[],MATCH($D7&amp;$A7,Table4[Join],0)),"")</f>
        <v>62</v>
      </c>
      <c r="H7" s="11" t="str">
        <f ca="1">IF(AND(D7="Juvenile Audiobook",LEFT(B7,8)="J CD BIO"),RIGHT(B7,LEN(B7)-9),
IF(AND(D7="Juvenile Audiobook",LEFT(B7,8)="J CD FIC"),B7,
IF(D7="Juvenile Audiobook",RIGHT(B7,LEN(B7)-5),
IF(AND(D7="Teen Audiobook",LEFT(B7,11)="TEEN CD BIO"),RIGHT(B7,LEN(B7)-12),
IF(AND(D7="Teen Audiobook",LEFT(B7,11)="TEEN CD FIC"),B7,
IF(D7="Juvenile Audiobook",RIGHT(B7,LEN(B7)-8),
IF(D7="Juvenile Nonfiction",RIGHT(B7,LEN(B7)-2),
IF(D7="Teen Nonfiction",RIGHT(B7,LEN(B7)-5),
IF(AND(D7="Audiobook",
              NOT(OR(Contains($B7,"CD BIO"),Contains($B7,"CD FIC")))),RIGHT(B7,LEN(B7)-3),
IF(D7="Juvenile Biography",RIGHT(B7,LEN(B7)-2),
IF(D7="Teen Biography",RIGHT(B7,LEN(B7)-5),
IF(AND(D7="Audiobook",
              IFERROR(FIND("BIO",$B7)&gt;0,FALSE)),RIGHT(B7,LEN(B7)-3),
IF(D7="Juvenile Large Type","J "&amp;RIGHT(B7,LEN(B7)-11),
IF(D7="Teen Large Type","TEEN "&amp;RIGHT(B7,LEN(B7)-14),
IF(D7="Reference",RIGHT(B7,LEN(B7)-4),
IF(D7="DVD Educational",RIGHT(B7,LEN(B7)-7),
IF(D7="Juvenile DVD Educational",RIGHT(B7,LEN(B7)-9),
B7)))))))))))))))))</f>
        <v>Drama DVD BEHINDT</v>
      </c>
    </row>
    <row r="8" spans="1:8" ht="27" customHeight="1" x14ac:dyDescent="0.25">
      <c r="A8" s="10" t="str">
        <f ca="1">TEXT( INDIRECT( ADDRESS( ROW() + Row_Offset, INDIRECT( "Column_Number_" &amp; A$1), 4,1, tabname) ), "")</f>
        <v/>
      </c>
      <c r="B8" s="10" t="str">
        <f ca="1">TEXT(  IFERROR( VLOOKUP( $D8, CollName_Simplifier_Table[], 2, FALSE),"") &amp;
        INDIRECT( ADDRESS( ROW() + Row_Offset, INDIRECT( "Column_Number_" &amp; $B$1), 4,1, tabname) ), "")</f>
        <v>Drama DVD HUNTER</v>
      </c>
      <c r="C8" s="10" t="str">
        <f ca="1">TEXT( INDIRECT( ADDRESS( ROW() + Row_Offset, INDIRECT( "Column_Number_" &amp; C$1), 4,1, tabname) ), "")</f>
        <v>The hunter</v>
      </c>
      <c r="D8" s="10" t="str">
        <f ca="1">TEXT( INDIRECT( ADDRESS( ROW() + Row_Offset, INDIRECT( "Column_Number_" &amp; D$1), 4,1, tabname) ), "")</f>
        <v>DVD Drama</v>
      </c>
      <c r="E8" s="10" t="str">
        <f ca="1">TEXT( INDIRECT( ADDRESS( ROW() + Row_Offset, INDIRECT( "Column_Number_" &amp; E$1), 4,1, tabname) ), "####")</f>
        <v>2012</v>
      </c>
      <c r="F8" s="15"/>
      <c r="G8" s="21">
        <f ca="1">IFERROR(INDEX(Rank_Table[],MATCH($D8&amp;$A8,Table4[Join],0)),"")</f>
        <v>62</v>
      </c>
      <c r="H8" s="11" t="str">
        <f ca="1">IF(AND(D8="Juvenile Audiobook",LEFT(B8,8)="J CD BIO"),RIGHT(B8,LEN(B8)-9),
IF(AND(D8="Juvenile Audiobook",LEFT(B8,8)="J CD FIC"),B8,
IF(D8="Juvenile Audiobook",RIGHT(B8,LEN(B8)-5),
IF(AND(D8="Teen Audiobook",LEFT(B8,11)="TEEN CD BIO"),RIGHT(B8,LEN(B8)-12),
IF(AND(D8="Teen Audiobook",LEFT(B8,11)="TEEN CD FIC"),B8,
IF(D8="Juvenile Audiobook",RIGHT(B8,LEN(B8)-8),
IF(D8="Juvenile Nonfiction",RIGHT(B8,LEN(B8)-2),
IF(D8="Teen Nonfiction",RIGHT(B8,LEN(B8)-5),
IF(AND(D8="Audiobook",
              NOT(OR(Contains($B8,"CD BIO"),Contains($B8,"CD FIC")))),RIGHT(B8,LEN(B8)-3),
IF(D8="Juvenile Biography",RIGHT(B8,LEN(B8)-2),
IF(D8="Teen Biography",RIGHT(B8,LEN(B8)-5),
IF(AND(D8="Audiobook",
              IFERROR(FIND("BIO",$B8)&gt;0,FALSE)),RIGHT(B8,LEN(B8)-3),
IF(D8="Juvenile Large Type","J "&amp;RIGHT(B8,LEN(B8)-11),
IF(D8="Teen Large Type","TEEN "&amp;RIGHT(B8,LEN(B8)-14),
IF(D8="Reference",RIGHT(B8,LEN(B8)-4),
IF(D8="DVD Educational",RIGHT(B8,LEN(B8)-7),
IF(D8="Juvenile DVD Educational",RIGHT(B8,LEN(B8)-9),
B8)))))))))))))))))</f>
        <v>Drama DVD HUNTER</v>
      </c>
    </row>
    <row r="9" spans="1:8" ht="27" customHeight="1" x14ac:dyDescent="0.25">
      <c r="A9" s="10" t="str">
        <f ca="1">TEXT( INDIRECT( ADDRESS( ROW() + Row_Offset, INDIRECT( "Column_Number_" &amp; A$1), 4,1, tabname) ), "")</f>
        <v/>
      </c>
      <c r="B9" s="10" t="str">
        <f ca="1">TEXT(  IFERROR( VLOOKUP( $D9, CollName_Simplifier_Table[], 2, FALSE),"") &amp;
        INDIRECT( ADDRESS( ROW() + Row_Offset, INDIRECT( "Column_Number_" &amp; $B$1), 4,1, tabname) ), "")</f>
        <v>DVD-ED 209 CUL3490</v>
      </c>
      <c r="C9" s="10" t="str">
        <f ca="1">TEXT( INDIRECT( ADDRESS( ROW() + Row_Offset, INDIRECT( "Column_Number_" &amp; C$1), 4,1, tabname) ), "")</f>
        <v>Cults dangerous devotion</v>
      </c>
      <c r="D9" s="10" t="str">
        <f ca="1">TEXT( INDIRECT( ADDRESS( ROW() + Row_Offset, INDIRECT( "Column_Number_" &amp; D$1), 4,1, tabname) ), "")</f>
        <v>DVD Educational</v>
      </c>
      <c r="E9" s="10" t="str">
        <f ca="1">TEXT( INDIRECT( ADDRESS( ROW() + Row_Offset, INDIRECT( "Column_Number_" &amp; E$1), 4,1, tabname) ), "####")</f>
        <v>2009</v>
      </c>
      <c r="F9" s="15"/>
      <c r="G9" s="21">
        <f ca="1">IFERROR(INDEX(Rank_Table[],MATCH($D9&amp;$A9,Table4[Join],0)),"")</f>
        <v>5</v>
      </c>
      <c r="H9" s="11" t="str">
        <f ca="1">IF(AND(D9="Juvenile Audiobook",LEFT(B9,8)="J CD BIO"),RIGHT(B9,LEN(B9)-9),
IF(AND(D9="Juvenile Audiobook",LEFT(B9,8)="J CD FIC"),B9,
IF(D9="Juvenile Audiobook",RIGHT(B9,LEN(B9)-5),
IF(AND(D9="Teen Audiobook",LEFT(B9,11)="TEEN CD BIO"),RIGHT(B9,LEN(B9)-12),
IF(AND(D9="Teen Audiobook",LEFT(B9,11)="TEEN CD FIC"),B9,
IF(D9="Juvenile Audiobook",RIGHT(B9,LEN(B9)-8),
IF(D9="Juvenile Nonfiction",RIGHT(B9,LEN(B9)-2),
IF(D9="Teen Nonfiction",RIGHT(B9,LEN(B9)-5),
IF(AND(D9="Audiobook",
              NOT(OR(Contains($B9,"CD BIO"),Contains($B9,"CD FIC")))),RIGHT(B9,LEN(B9)-3),
IF(D9="Juvenile Biography",RIGHT(B9,LEN(B9)-2),
IF(D9="Teen Biography",RIGHT(B9,LEN(B9)-5),
IF(AND(D9="Audiobook",
              IFERROR(FIND("BIO",$B9)&gt;0,FALSE)),RIGHT(B9,LEN(B9)-3),
IF(D9="Juvenile Large Type","J "&amp;RIGHT(B9,LEN(B9)-11),
IF(D9="Teen Large Type","TEEN "&amp;RIGHT(B9,LEN(B9)-14),
IF(D9="Reference",RIGHT(B9,LEN(B9)-4),
IF(D9="DVD Educational",RIGHT(B9,LEN(B9)-7),
IF(D9="Juvenile DVD Educational",RIGHT(B9,LEN(B9)-9),
B9)))))))))))))))))</f>
        <v>209 CUL3490</v>
      </c>
    </row>
    <row r="10" spans="1:8" ht="27" customHeight="1" x14ac:dyDescent="0.25">
      <c r="A10" s="10" t="str">
        <f ca="1">TEXT( INDIRECT( ADDRESS( ROW() + Row_Offset, INDIRECT( "Column_Number_" &amp; A$1), 4,1, tabname) ), "")</f>
        <v/>
      </c>
      <c r="B10" s="10" t="str">
        <f ca="1">TEXT(  IFERROR( VLOOKUP( $D10, CollName_Simplifier_Table[], 2, FALSE),"") &amp;
        INDIRECT( ADDRESS( ROW() + Row_Offset, INDIRECT( "Column_Number_" &amp; $B$1), 4,1, tabname) ), "")</f>
        <v>DVD-ED 338.4762 SIL601</v>
      </c>
      <c r="C10" s="10" t="str">
        <f ca="1">TEXT( INDIRECT( ADDRESS( ROW() + Row_Offset, INDIRECT( "Column_Number_" &amp; C$1), 4,1, tabname) ), "")</f>
        <v>Silicon Valley</v>
      </c>
      <c r="D10" s="10" t="str">
        <f ca="1">TEXT( INDIRECT( ADDRESS( ROW() + Row_Offset, INDIRECT( "Column_Number_" &amp; D$1), 4,1, tabname) ), "")</f>
        <v>DVD Educational</v>
      </c>
      <c r="E10" s="10" t="str">
        <f ca="1">TEXT( INDIRECT( ADDRESS( ROW() + Row_Offset, INDIRECT( "Column_Number_" &amp; E$1), 4,1, tabname) ), "####")</f>
        <v>2013</v>
      </c>
      <c r="F10" s="15"/>
      <c r="G10" s="21">
        <f ca="1">IFERROR(INDEX(Rank_Table[],MATCH($D10&amp;$A10,Table4[Join],0)),"")</f>
        <v>5</v>
      </c>
      <c r="H10" s="11" t="str">
        <f ca="1">IF(AND(D10="Juvenile Audiobook",LEFT(B10,8)="J CD BIO"),RIGHT(B10,LEN(B10)-9),
IF(AND(D10="Juvenile Audiobook",LEFT(B10,8)="J CD FIC"),B10,
IF(D10="Juvenile Audiobook",RIGHT(B10,LEN(B10)-5),
IF(AND(D10="Teen Audiobook",LEFT(B10,11)="TEEN CD BIO"),RIGHT(B10,LEN(B10)-12),
IF(AND(D10="Teen Audiobook",LEFT(B10,11)="TEEN CD FIC"),B10,
IF(D10="Juvenile Audiobook",RIGHT(B10,LEN(B10)-8),
IF(D10="Juvenile Nonfiction",RIGHT(B10,LEN(B10)-2),
IF(D10="Teen Nonfiction",RIGHT(B10,LEN(B10)-5),
IF(AND(D10="Audiobook",
              NOT(OR(Contains($B10,"CD BIO"),Contains($B10,"CD FIC")))),RIGHT(B10,LEN(B10)-3),
IF(D10="Juvenile Biography",RIGHT(B10,LEN(B10)-2),
IF(D10="Teen Biography",RIGHT(B10,LEN(B10)-5),
IF(AND(D10="Audiobook",
              IFERROR(FIND("BIO",$B10)&gt;0,FALSE)),RIGHT(B10,LEN(B10)-3),
IF(D10="Juvenile Large Type","J "&amp;RIGHT(B10,LEN(B10)-11),
IF(D10="Teen Large Type","TEEN "&amp;RIGHT(B10,LEN(B10)-14),
IF(D10="Reference",RIGHT(B10,LEN(B10)-4),
IF(D10="DVD Educational",RIGHT(B10,LEN(B10)-7),
IF(D10="Juvenile DVD Educational",RIGHT(B10,LEN(B10)-9),
B10)))))))))))))))))</f>
        <v>338.4762 SIL601</v>
      </c>
    </row>
    <row r="11" spans="1:8" ht="27" customHeight="1" x14ac:dyDescent="0.25">
      <c r="A11" s="10" t="str">
        <f ca="1">TEXT( INDIRECT( ADDRESS( ROW() + Row_Offset, INDIRECT( "Column_Number_" &amp; A$1), 4,1, tabname) ), "")</f>
        <v/>
      </c>
      <c r="B11" s="10" t="str">
        <f ca="1">TEXT(  IFERROR( VLOOKUP( $D11, CollName_Simplifier_Table[], 2, FALSE),"") &amp;
        INDIRECT( ADDRESS( ROW() + Row_Offset, INDIRECT( "Column_Number_" &amp; $B$1), 4,1, tabname) ), "")</f>
        <v>DVD-ED 512 ALG108</v>
      </c>
      <c r="C11" s="10" t="str">
        <f ca="1">TEXT( INDIRECT( ADDRESS( ROW() + Row_Offset, INDIRECT( "Column_Number_" &amp; C$1), 4,1, tabname) ), "")</f>
        <v>Algebra I DVD series. A1, Introduction to real numbers and variables</v>
      </c>
      <c r="D11" s="10" t="str">
        <f ca="1">TEXT( INDIRECT( ADDRESS( ROW() + Row_Offset, INDIRECT( "Column_Number_" &amp; D$1), 4,1, tabname) ), "")</f>
        <v>DVD Educational</v>
      </c>
      <c r="E11" s="10" t="str">
        <f ca="1">TEXT( INDIRECT( ADDRESS( ROW() + Row_Offset, INDIRECT( "Column_Number_" &amp; E$1), 4,1, tabname) ), "####")</f>
        <v>2007</v>
      </c>
      <c r="F11" s="15"/>
      <c r="G11" s="21">
        <f ca="1">IFERROR(INDEX(Rank_Table[],MATCH($D11&amp;$A11,Table4[Join],0)),"")</f>
        <v>5</v>
      </c>
      <c r="H11" s="11" t="str">
        <f ca="1">IF(AND(D11="Juvenile Audiobook",LEFT(B11,8)="J CD BIO"),RIGHT(B11,LEN(B11)-9),
IF(AND(D11="Juvenile Audiobook",LEFT(B11,8)="J CD FIC"),B11,
IF(D11="Juvenile Audiobook",RIGHT(B11,LEN(B11)-5),
IF(AND(D11="Teen Audiobook",LEFT(B11,11)="TEEN CD BIO"),RIGHT(B11,LEN(B11)-12),
IF(AND(D11="Teen Audiobook",LEFT(B11,11)="TEEN CD FIC"),B11,
IF(D11="Juvenile Audiobook",RIGHT(B11,LEN(B11)-8),
IF(D11="Juvenile Nonfiction",RIGHT(B11,LEN(B11)-2),
IF(D11="Teen Nonfiction",RIGHT(B11,LEN(B11)-5),
IF(AND(D11="Audiobook",
              NOT(OR(Contains($B11,"CD BIO"),Contains($B11,"CD FIC")))),RIGHT(B11,LEN(B11)-3),
IF(D11="Juvenile Biography",RIGHT(B11,LEN(B11)-2),
IF(D11="Teen Biography",RIGHT(B11,LEN(B11)-5),
IF(AND(D11="Audiobook",
              IFERROR(FIND("BIO",$B11)&gt;0,FALSE)),RIGHT(B11,LEN(B11)-3),
IF(D11="Juvenile Large Type","J "&amp;RIGHT(B11,LEN(B11)-11),
IF(D11="Teen Large Type","TEEN "&amp;RIGHT(B11,LEN(B11)-14),
IF(D11="Reference",RIGHT(B11,LEN(B11)-4),
IF(D11="DVD Educational",RIGHT(B11,LEN(B11)-7),
IF(D11="Juvenile DVD Educational",RIGHT(B11,LEN(B11)-9),
B11)))))))))))))))))</f>
        <v>512 ALG108</v>
      </c>
    </row>
    <row r="12" spans="1:8" ht="27" customHeight="1" x14ac:dyDescent="0.25">
      <c r="A12" s="10" t="str">
        <f ca="1">TEXT( INDIRECT( ADDRESS( ROW() + Row_Offset, INDIRECT( "Column_Number_" &amp; A$1), 4,1, tabname) ), "")</f>
        <v/>
      </c>
      <c r="B12" s="10" t="str">
        <f ca="1">TEXT(  IFERROR( VLOOKUP( $D12, CollName_Simplifier_Table[], 2, FALSE),"") &amp;
        INDIRECT( ADDRESS( ROW() + Row_Offset, INDIRECT( "Column_Number_" &amp; $B$1), 4,1, tabname) ), "")</f>
        <v>DVD-ED 782.4216 HEA559</v>
      </c>
      <c r="C12" s="10" t="str">
        <f ca="1">TEXT( INDIRECT( ADDRESS( ROW() + Row_Offset, INDIRECT( "Column_Number_" &amp; C$1), 4,1, tabname) ), "")</f>
        <v>Heart, alive in Seattle</v>
      </c>
      <c r="D12" s="10" t="str">
        <f ca="1">TEXT( INDIRECT( ADDRESS( ROW() + Row_Offset, INDIRECT( "Column_Number_" &amp; D$1), 4,1, tabname) ), "")</f>
        <v>DVD Educational</v>
      </c>
      <c r="E12" s="10" t="str">
        <f ca="1">TEXT( INDIRECT( ADDRESS( ROW() + Row_Offset, INDIRECT( "Column_Number_" &amp; E$1), 4,1, tabname) ), "####")</f>
        <v>2003</v>
      </c>
      <c r="F12" s="15"/>
      <c r="G12" s="21">
        <f ca="1">IFERROR(INDEX(Rank_Table[],MATCH($D12&amp;$A12,Table4[Join],0)),"")</f>
        <v>5</v>
      </c>
      <c r="H12" s="11" t="str">
        <f ca="1">IF(AND(D12="Juvenile Audiobook",LEFT(B12,8)="J CD BIO"),RIGHT(B12,LEN(B12)-9),
IF(AND(D12="Juvenile Audiobook",LEFT(B12,8)="J CD FIC"),B12,
IF(D12="Juvenile Audiobook",RIGHT(B12,LEN(B12)-5),
IF(AND(D12="Teen Audiobook",LEFT(B12,11)="TEEN CD BIO"),RIGHT(B12,LEN(B12)-12),
IF(AND(D12="Teen Audiobook",LEFT(B12,11)="TEEN CD FIC"),B12,
IF(D12="Juvenile Audiobook",RIGHT(B12,LEN(B12)-8),
IF(D12="Juvenile Nonfiction",RIGHT(B12,LEN(B12)-2),
IF(D12="Teen Nonfiction",RIGHT(B12,LEN(B12)-5),
IF(AND(D12="Audiobook",
              NOT(OR(Contains($B12,"CD BIO"),Contains($B12,"CD FIC")))),RIGHT(B12,LEN(B12)-3),
IF(D12="Juvenile Biography",RIGHT(B12,LEN(B12)-2),
IF(D12="Teen Biography",RIGHT(B12,LEN(B12)-5),
IF(AND(D12="Audiobook",
              IFERROR(FIND("BIO",$B12)&gt;0,FALSE)),RIGHT(B12,LEN(B12)-3),
IF(D12="Juvenile Large Type","J "&amp;RIGHT(B12,LEN(B12)-11),
IF(D12="Teen Large Type","TEEN "&amp;RIGHT(B12,LEN(B12)-14),
IF(D12="Reference",RIGHT(B12,LEN(B12)-4),
IF(D12="DVD Educational",RIGHT(B12,LEN(B12)-7),
IF(D12="Juvenile DVD Educational",RIGHT(B12,LEN(B12)-9),
B12)))))))))))))))))</f>
        <v>782.4216 HEA559</v>
      </c>
    </row>
    <row r="13" spans="1:8" ht="27" customHeight="1" x14ac:dyDescent="0.25">
      <c r="A13" s="10" t="str">
        <f ca="1">TEXT( INDIRECT( ADDRESS( ROW() + Row_Offset, INDIRECT( "Column_Number_" &amp; A$1), 4,1, tabname) ), "")</f>
        <v/>
      </c>
      <c r="B13" s="10" t="str">
        <f ca="1">TEXT(  IFERROR( VLOOKUP( $D13, CollName_Simplifier_Table[], 2, FALSE),"") &amp;
        INDIRECT( ADDRESS( ROW() + Row_Offset, INDIRECT( "Column_Number_" &amp; $B$1), 4,1, tabname) ), "")</f>
        <v>TV DVD DOC5706</v>
      </c>
      <c r="C13" s="10" t="str">
        <f ca="1">TEXT( INDIRECT( ADDRESS( ROW() + Row_Offset, INDIRECT( "Column_Number_" &amp; C$1), 4,1, tabname) ), "")</f>
        <v>Doctor Who. Dalek war</v>
      </c>
      <c r="D13" s="10" t="str">
        <f ca="1">TEXT( INDIRECT( ADDRESS( ROW() + Row_Offset, INDIRECT( "Column_Number_" &amp; D$1), 4,1, tabname) ), "")</f>
        <v>DVD Television Series</v>
      </c>
      <c r="E13" s="10" t="str">
        <f ca="1">TEXT( INDIRECT( ADDRESS( ROW() + Row_Offset, INDIRECT( "Column_Number_" &amp; E$1), 4,1, tabname) ), "####")</f>
        <v>2010</v>
      </c>
      <c r="F13" s="15"/>
      <c r="G13" s="21">
        <f ca="1">IFERROR(INDEX(Rank_Table[],MATCH($D13&amp;$A13,Table4[Join],0)),"")</f>
        <v>71</v>
      </c>
      <c r="H13" s="11" t="str">
        <f ca="1">IF(AND(D13="Juvenile Audiobook",LEFT(B13,8)="J CD BIO"),RIGHT(B13,LEN(B13)-9),
IF(AND(D13="Juvenile Audiobook",LEFT(B13,8)="J CD FIC"),B13,
IF(D13="Juvenile Audiobook",RIGHT(B13,LEN(B13)-5),
IF(AND(D13="Teen Audiobook",LEFT(B13,11)="TEEN CD BIO"),RIGHT(B13,LEN(B13)-12),
IF(AND(D13="Teen Audiobook",LEFT(B13,11)="TEEN CD FIC"),B13,
IF(D13="Juvenile Audiobook",RIGHT(B13,LEN(B13)-8),
IF(D13="Juvenile Nonfiction",RIGHT(B13,LEN(B13)-2),
IF(D13="Teen Nonfiction",RIGHT(B13,LEN(B13)-5),
IF(AND(D13="Audiobook",
              NOT(OR(Contains($B13,"CD BIO"),Contains($B13,"CD FIC")))),RIGHT(B13,LEN(B13)-3),
IF(D13="Juvenile Biography",RIGHT(B13,LEN(B13)-2),
IF(D13="Teen Biography",RIGHT(B13,LEN(B13)-5),
IF(AND(D13="Audiobook",
              IFERROR(FIND("BIO",$B13)&gt;0,FALSE)),RIGHT(B13,LEN(B13)-3),
IF(D13="Juvenile Large Type","J "&amp;RIGHT(B13,LEN(B13)-11),
IF(D13="Teen Large Type","TEEN "&amp;RIGHT(B13,LEN(B13)-14),
IF(D13="Reference",RIGHT(B13,LEN(B13)-4),
IF(D13="DVD Educational",RIGHT(B13,LEN(B13)-7),
IF(D13="Juvenile DVD Educational",RIGHT(B13,LEN(B13)-9),
B13)))))))))))))))))</f>
        <v>TV DVD DOC5706</v>
      </c>
    </row>
    <row r="14" spans="1:8" ht="27" customHeight="1" x14ac:dyDescent="0.25">
      <c r="A14" s="10" t="str">
        <f ca="1">TEXT( INDIRECT( ADDRESS( ROW() + Row_Offset, INDIRECT( "Column_Number_" &amp; A$1), 4,1, tabname) ), "")</f>
        <v/>
      </c>
      <c r="B14" s="10" t="str">
        <f ca="1">TEXT(  IFERROR( VLOOKUP( $D14, CollName_Simplifier_Table[], 2, FALSE),"") &amp;
        INDIRECT( ADDRESS( ROW() + Row_Offset, INDIRECT( "Column_Number_" &amp; $B$1), 4,1, tabname) ), "")</f>
        <v>E 398.8 MY VERY</v>
      </c>
      <c r="C14" s="10" t="str">
        <f ca="1">TEXT( INDIRECT( ADDRESS( ROW() + Row_Offset, INDIRECT( "Column_Number_" &amp; C$1), 4,1, tabname) ), "")</f>
        <v>My very first Mother Goose</v>
      </c>
      <c r="D14" s="10" t="str">
        <f ca="1">TEXT( INDIRECT( ADDRESS( ROW() + Row_Offset, INDIRECT( "Column_Number_" &amp; D$1), 4,1, tabname) ), "")</f>
        <v>Easy Countdown</v>
      </c>
      <c r="E14" s="10" t="str">
        <f ca="1">TEXT( INDIRECT( ADDRESS( ROW() + Row_Offset, INDIRECT( "Column_Number_" &amp; E$1), 4,1, tabname) ), "####")</f>
        <v>1996</v>
      </c>
      <c r="F14" s="15"/>
      <c r="G14" s="21">
        <f ca="1">IFERROR(INDEX(Rank_Table[],MATCH($D14&amp;$A14,Table4[Join],0)),"")</f>
        <v>28</v>
      </c>
      <c r="H14" s="11" t="str">
        <f ca="1">IF(AND(D14="Juvenile Audiobook",LEFT(B14,8)="J CD BIO"),RIGHT(B14,LEN(B14)-9),
IF(AND(D14="Juvenile Audiobook",LEFT(B14,8)="J CD FIC"),B14,
IF(D14="Juvenile Audiobook",RIGHT(B14,LEN(B14)-5),
IF(AND(D14="Teen Audiobook",LEFT(B14,11)="TEEN CD BIO"),RIGHT(B14,LEN(B14)-12),
IF(AND(D14="Teen Audiobook",LEFT(B14,11)="TEEN CD FIC"),B14,
IF(D14="Juvenile Audiobook",RIGHT(B14,LEN(B14)-8),
IF(D14="Juvenile Nonfiction",RIGHT(B14,LEN(B14)-2),
IF(D14="Teen Nonfiction",RIGHT(B14,LEN(B14)-5),
IF(AND(D14="Audiobook",
              NOT(OR(Contains($B14,"CD BIO"),Contains($B14,"CD FIC")))),RIGHT(B14,LEN(B14)-3),
IF(D14="Juvenile Biography",RIGHT(B14,LEN(B14)-2),
IF(D14="Teen Biography",RIGHT(B14,LEN(B14)-5),
IF(AND(D14="Audiobook",
              IFERROR(FIND("BIO",$B14)&gt;0,FALSE)),RIGHT(B14,LEN(B14)-3),
IF(D14="Juvenile Large Type","J "&amp;RIGHT(B14,LEN(B14)-11),
IF(D14="Teen Large Type","TEEN "&amp;RIGHT(B14,LEN(B14)-14),
IF(D14="Reference",RIGHT(B14,LEN(B14)-4),
IF(D14="DVD Educational",RIGHT(B14,LEN(B14)-7),
IF(D14="Juvenile DVD Educational",RIGHT(B14,LEN(B14)-9),
B14)))))))))))))))))</f>
        <v>E 398.8 MY VERY</v>
      </c>
    </row>
    <row r="15" spans="1:8" ht="27" customHeight="1" x14ac:dyDescent="0.25">
      <c r="A15" s="10" t="str">
        <f ca="1">TEXT( INDIRECT( ADDRESS( ROW() + Row_Offset, INDIRECT( "Column_Number_" &amp; A$1), 4,1, tabname) ), "")</f>
        <v/>
      </c>
      <c r="B15" s="10" t="str">
        <f ca="1">TEXT(  IFERROR( VLOOKUP( $D15, CollName_Simplifier_Table[], 2, FALSE),"") &amp;
        INDIRECT( ADDRESS( ROW() + Row_Offset, INDIRECT( "Column_Number_" &amp; $B$1), 4,1, tabname) ), "")</f>
        <v>E BURNING</v>
      </c>
      <c r="C15" s="10" t="str">
        <f ca="1">TEXT( INDIRECT( ADDRESS( ROW() + Row_Offset, INDIRECT( "Column_Number_" &amp; C$1), 4,1, tabname) ), "")</f>
        <v>Mr. Gumpy's outing</v>
      </c>
      <c r="D15" s="10" t="str">
        <f ca="1">TEXT( INDIRECT( ADDRESS( ROW() + Row_Offset, INDIRECT( "Column_Number_" &amp; D$1), 4,1, tabname) ), "")</f>
        <v>Easy Countdown</v>
      </c>
      <c r="E15" s="10" t="str">
        <f ca="1">TEXT( INDIRECT( ADDRESS( ROW() + Row_Offset, INDIRECT( "Column_Number_" &amp; E$1), 4,1, tabname) ), "####")</f>
        <v>1970</v>
      </c>
      <c r="F15" s="15"/>
      <c r="G15" s="21">
        <f ca="1">IFERROR(INDEX(Rank_Table[],MATCH($D15&amp;$A15,Table4[Join],0)),"")</f>
        <v>28</v>
      </c>
      <c r="H15" s="11" t="str">
        <f ca="1">IF(AND(D15="Juvenile Audiobook",LEFT(B15,8)="J CD BIO"),RIGHT(B15,LEN(B15)-9),
IF(AND(D15="Juvenile Audiobook",LEFT(B15,8)="J CD FIC"),B15,
IF(D15="Juvenile Audiobook",RIGHT(B15,LEN(B15)-5),
IF(AND(D15="Teen Audiobook",LEFT(B15,11)="TEEN CD BIO"),RIGHT(B15,LEN(B15)-12),
IF(AND(D15="Teen Audiobook",LEFT(B15,11)="TEEN CD FIC"),B15,
IF(D15="Juvenile Audiobook",RIGHT(B15,LEN(B15)-8),
IF(D15="Juvenile Nonfiction",RIGHT(B15,LEN(B15)-2),
IF(D15="Teen Nonfiction",RIGHT(B15,LEN(B15)-5),
IF(AND(D15="Audiobook",
              NOT(OR(Contains($B15,"CD BIO"),Contains($B15,"CD FIC")))),RIGHT(B15,LEN(B15)-3),
IF(D15="Juvenile Biography",RIGHT(B15,LEN(B15)-2),
IF(D15="Teen Biography",RIGHT(B15,LEN(B15)-5),
IF(AND(D15="Audiobook",
              IFERROR(FIND("BIO",$B15)&gt;0,FALSE)),RIGHT(B15,LEN(B15)-3),
IF(D15="Juvenile Large Type","J "&amp;RIGHT(B15,LEN(B15)-11),
IF(D15="Teen Large Type","TEEN "&amp;RIGHT(B15,LEN(B15)-14),
IF(D15="Reference",RIGHT(B15,LEN(B15)-4),
IF(D15="DVD Educational",RIGHT(B15,LEN(B15)-7),
IF(D15="Juvenile DVD Educational",RIGHT(B15,LEN(B15)-9),
B15)))))))))))))))))</f>
        <v>E BURNING</v>
      </c>
    </row>
    <row r="16" spans="1:8" ht="27" customHeight="1" x14ac:dyDescent="0.25">
      <c r="A16" s="10" t="str">
        <f ca="1">TEXT( INDIRECT( ADDRESS( ROW() + Row_Offset, INDIRECT( "Column_Number_" &amp; A$1), 4,1, tabname) ), "")</f>
        <v/>
      </c>
      <c r="B16" s="10" t="str">
        <f ca="1">TEXT(  IFERROR( VLOOKUP( $D16, CollName_Simplifier_Table[], 2, FALSE),"") &amp;
        INDIRECT( ADDRESS( ROW() + Row_Offset, INDIRECT( "Column_Number_" &amp; $B$1), 4,1, tabname) ), "")</f>
        <v>E SHANNON</v>
      </c>
      <c r="C16" s="10" t="str">
        <f ca="1">TEXT( INDIRECT( ADDRESS( ROW() + Row_Offset, INDIRECT( "Column_Number_" &amp; C$1), 4,1, tabname) ), "")</f>
        <v>No, David!</v>
      </c>
      <c r="D16" s="10" t="str">
        <f ca="1">TEXT( INDIRECT( ADDRESS( ROW() + Row_Offset, INDIRECT( "Column_Number_" &amp; D$1), 4,1, tabname) ), "")</f>
        <v>Easy Countdown</v>
      </c>
      <c r="E16" s="10" t="str">
        <f ca="1">TEXT( INDIRECT( ADDRESS( ROW() + Row_Offset, INDIRECT( "Column_Number_" &amp; E$1), 4,1, tabname) ), "####")</f>
        <v>1998</v>
      </c>
      <c r="F16" s="15"/>
      <c r="G16" s="21">
        <f ca="1">IFERROR(INDEX(Rank_Table[],MATCH($D16&amp;$A16,Table4[Join],0)),"")</f>
        <v>28</v>
      </c>
      <c r="H16" s="11" t="str">
        <f ca="1">IF(AND(D16="Juvenile Audiobook",LEFT(B16,8)="J CD BIO"),RIGHT(B16,LEN(B16)-9),
IF(AND(D16="Juvenile Audiobook",LEFT(B16,8)="J CD FIC"),B16,
IF(D16="Juvenile Audiobook",RIGHT(B16,LEN(B16)-5),
IF(AND(D16="Teen Audiobook",LEFT(B16,11)="TEEN CD BIO"),RIGHT(B16,LEN(B16)-12),
IF(AND(D16="Teen Audiobook",LEFT(B16,11)="TEEN CD FIC"),B16,
IF(D16="Juvenile Audiobook",RIGHT(B16,LEN(B16)-8),
IF(D16="Juvenile Nonfiction",RIGHT(B16,LEN(B16)-2),
IF(D16="Teen Nonfiction",RIGHT(B16,LEN(B16)-5),
IF(AND(D16="Audiobook",
              NOT(OR(Contains($B16,"CD BIO"),Contains($B16,"CD FIC")))),RIGHT(B16,LEN(B16)-3),
IF(D16="Juvenile Biography",RIGHT(B16,LEN(B16)-2),
IF(D16="Teen Biography",RIGHT(B16,LEN(B16)-5),
IF(AND(D16="Audiobook",
              IFERROR(FIND("BIO",$B16)&gt;0,FALSE)),RIGHT(B16,LEN(B16)-3),
IF(D16="Juvenile Large Type","J "&amp;RIGHT(B16,LEN(B16)-11),
IF(D16="Teen Large Type","TEEN "&amp;RIGHT(B16,LEN(B16)-14),
IF(D16="Reference",RIGHT(B16,LEN(B16)-4),
IF(D16="DVD Educational",RIGHT(B16,LEN(B16)-7),
IF(D16="Juvenile DVD Educational",RIGHT(B16,LEN(B16)-9),
B16)))))))))))))))))</f>
        <v>E SHANNON</v>
      </c>
    </row>
    <row r="17" spans="1:8" ht="27" customHeight="1" x14ac:dyDescent="0.25">
      <c r="A17" s="10" t="str">
        <f ca="1">TEXT( INDIRECT( ADDRESS( ROW() + Row_Offset, INDIRECT( "Column_Number_" &amp; A$1), 4,1, tabname) ), "")</f>
        <v/>
      </c>
      <c r="B17" s="10" t="str">
        <f ca="1">TEXT(  IFERROR( VLOOKUP( $D17, CollName_Simplifier_Table[], 2, FALSE),"") &amp;
        INDIRECT( ADDRESS( ROW() + Row_Offset, INDIRECT( "Column_Number_" &amp; $B$1), 4,1, tabname) ), "")</f>
        <v>FIC FITZGER</v>
      </c>
      <c r="C17" s="10" t="str">
        <f ca="1">TEXT( INDIRECT( ADDRESS( ROW() + Row_Offset, INDIRECT( "Column_Number_" &amp; C$1), 4,1, tabname) ), "")</f>
        <v>This side of paradise</v>
      </c>
      <c r="D17" s="10" t="str">
        <f ca="1">TEXT( INDIRECT( ADDRESS( ROW() + Row_Offset, INDIRECT( "Column_Number_" &amp; D$1), 4,1, tabname) ), "")</f>
        <v>Fiction</v>
      </c>
      <c r="E17" s="10" t="str">
        <f ca="1">TEXT( INDIRECT( ADDRESS( ROW() + Row_Offset, INDIRECT( "Column_Number_" &amp; E$1), 4,1, tabname) ), "####")</f>
        <v>1996</v>
      </c>
      <c r="F17" s="15"/>
      <c r="G17" s="21">
        <f ca="1">IFERROR(INDEX(Rank_Table[],MATCH($D17&amp;$A17,Table4[Join],0)),"")</f>
        <v>18</v>
      </c>
      <c r="H17" s="11" t="str">
        <f ca="1">IF(AND(D17="Juvenile Audiobook",LEFT(B17,8)="J CD BIO"),RIGHT(B17,LEN(B17)-9),
IF(AND(D17="Juvenile Audiobook",LEFT(B17,8)="J CD FIC"),B17,
IF(D17="Juvenile Audiobook",RIGHT(B17,LEN(B17)-5),
IF(AND(D17="Teen Audiobook",LEFT(B17,11)="TEEN CD BIO"),RIGHT(B17,LEN(B17)-12),
IF(AND(D17="Teen Audiobook",LEFT(B17,11)="TEEN CD FIC"),B17,
IF(D17="Juvenile Audiobook",RIGHT(B17,LEN(B17)-8),
IF(D17="Juvenile Nonfiction",RIGHT(B17,LEN(B17)-2),
IF(D17="Teen Nonfiction",RIGHT(B17,LEN(B17)-5),
IF(AND(D17="Audiobook",
              NOT(OR(Contains($B17,"CD BIO"),Contains($B17,"CD FIC")))),RIGHT(B17,LEN(B17)-3),
IF(D17="Juvenile Biography",RIGHT(B17,LEN(B17)-2),
IF(D17="Teen Biography",RIGHT(B17,LEN(B17)-5),
IF(AND(D17="Audiobook",
              IFERROR(FIND("BIO",$B17)&gt;0,FALSE)),RIGHT(B17,LEN(B17)-3),
IF(D17="Juvenile Large Type","J "&amp;RIGHT(B17,LEN(B17)-11),
IF(D17="Teen Large Type","TEEN "&amp;RIGHT(B17,LEN(B17)-14),
IF(D17="Reference",RIGHT(B17,LEN(B17)-4),
IF(D17="DVD Educational",RIGHT(B17,LEN(B17)-7),
IF(D17="Juvenile DVD Educational",RIGHT(B17,LEN(B17)-9),
B17)))))))))))))))))</f>
        <v>FIC FITZGER</v>
      </c>
    </row>
    <row r="18" spans="1:8" ht="27" customHeight="1" x14ac:dyDescent="0.25">
      <c r="A18" s="10" t="str">
        <f ca="1">TEXT( INDIRECT( ADDRESS( ROW() + Row_Offset, INDIRECT( "Column_Number_" &amp; A$1), 4,1, tabname) ), "")</f>
        <v/>
      </c>
      <c r="B18" s="10" t="str">
        <f ca="1">TEXT(  IFERROR( VLOOKUP( $D18, CollName_Simplifier_Table[], 2, FALSE),"") &amp;
        INDIRECT( ADDRESS( ROW() + Row_Offset, INDIRECT( "Column_Number_" &amp; $B$1), 4,1, tabname) ), "")</f>
        <v>FIC GALENOR</v>
      </c>
      <c r="C18" s="10" t="str">
        <f ca="1">TEXT( INDIRECT( ADDRESS( ROW() + Row_Offset, INDIRECT( "Column_Number_" &amp; C$1), 4,1, tabname) ), "")</f>
        <v>Night seeker</v>
      </c>
      <c r="D18" s="10" t="str">
        <f ca="1">TEXT( INDIRECT( ADDRESS( ROW() + Row_Offset, INDIRECT( "Column_Number_" &amp; D$1), 4,1, tabname) ), "")</f>
        <v>Fiction</v>
      </c>
      <c r="E18" s="10" t="str">
        <f ca="1">TEXT( INDIRECT( ADDRESS( ROW() + Row_Offset, INDIRECT( "Column_Number_" &amp; E$1), 4,1, tabname) ), "####")</f>
        <v>2012</v>
      </c>
      <c r="F18" s="15"/>
      <c r="G18" s="21">
        <f ca="1">IFERROR(INDEX(Rank_Table[],MATCH($D18&amp;$A18,Table4[Join],0)),"")</f>
        <v>18</v>
      </c>
      <c r="H18" s="11" t="str">
        <f ca="1">IF(AND(D18="Juvenile Audiobook",LEFT(B18,8)="J CD BIO"),RIGHT(B18,LEN(B18)-9),
IF(AND(D18="Juvenile Audiobook",LEFT(B18,8)="J CD FIC"),B18,
IF(D18="Juvenile Audiobook",RIGHT(B18,LEN(B18)-5),
IF(AND(D18="Teen Audiobook",LEFT(B18,11)="TEEN CD BIO"),RIGHT(B18,LEN(B18)-12),
IF(AND(D18="Teen Audiobook",LEFT(B18,11)="TEEN CD FIC"),B18,
IF(D18="Juvenile Audiobook",RIGHT(B18,LEN(B18)-8),
IF(D18="Juvenile Nonfiction",RIGHT(B18,LEN(B18)-2),
IF(D18="Teen Nonfiction",RIGHT(B18,LEN(B18)-5),
IF(AND(D18="Audiobook",
              NOT(OR(Contains($B18,"CD BIO"),Contains($B18,"CD FIC")))),RIGHT(B18,LEN(B18)-3),
IF(D18="Juvenile Biography",RIGHT(B18,LEN(B18)-2),
IF(D18="Teen Biography",RIGHT(B18,LEN(B18)-5),
IF(AND(D18="Audiobook",
              IFERROR(FIND("BIO",$B18)&gt;0,FALSE)),RIGHT(B18,LEN(B18)-3),
IF(D18="Juvenile Large Type","J "&amp;RIGHT(B18,LEN(B18)-11),
IF(D18="Teen Large Type","TEEN "&amp;RIGHT(B18,LEN(B18)-14),
IF(D18="Reference",RIGHT(B18,LEN(B18)-4),
IF(D18="DVD Educational",RIGHT(B18,LEN(B18)-7),
IF(D18="Juvenile DVD Educational",RIGHT(B18,LEN(B18)-9),
B18)))))))))))))))))</f>
        <v>FIC GALENOR</v>
      </c>
    </row>
    <row r="19" spans="1:8" ht="27" customHeight="1" x14ac:dyDescent="0.25">
      <c r="A19" s="10" t="str">
        <f ca="1">TEXT( INDIRECT( ADDRESS( ROW() + Row_Offset, INDIRECT( "Column_Number_" &amp; A$1), 4,1, tabname) ), "")</f>
        <v/>
      </c>
      <c r="B19" s="10" t="str">
        <f ca="1">TEXT(  IFERROR( VLOOKUP( $D19, CollName_Simplifier_Table[], 2, FALSE),"") &amp;
        INDIRECT( ADDRESS( ROW() + Row_Offset, INDIRECT( "Column_Number_" &amp; $B$1), 4,1, tabname) ), "")</f>
        <v>FIC JOHNSON</v>
      </c>
      <c r="C19" s="10" t="str">
        <f ca="1">TEXT( INDIRECT( ADDRESS( ROW() + Row_Offset, INDIRECT( "Column_Number_" &amp; C$1), 4,1, tabname) ), "")</f>
        <v>Indian country</v>
      </c>
      <c r="D19" s="10" t="str">
        <f ca="1">TEXT( INDIRECT( ADDRESS( ROW() + Row_Offset, INDIRECT( "Column_Number_" &amp; D$1), 4,1, tabname) ), "")</f>
        <v>Fiction</v>
      </c>
      <c r="E19" s="10" t="str">
        <f ca="1">TEXT( INDIRECT( ADDRESS( ROW() + Row_Offset, INDIRECT( "Column_Number_" &amp; E$1), 4,1, tabname) ), "####")</f>
        <v>1995</v>
      </c>
      <c r="F19" s="15"/>
      <c r="G19" s="21">
        <f ca="1">IFERROR(INDEX(Rank_Table[],MATCH($D19&amp;$A19,Table4[Join],0)),"")</f>
        <v>18</v>
      </c>
      <c r="H19" s="11" t="str">
        <f ca="1">IF(AND(D19="Juvenile Audiobook",LEFT(B19,8)="J CD BIO"),RIGHT(B19,LEN(B19)-9),
IF(AND(D19="Juvenile Audiobook",LEFT(B19,8)="J CD FIC"),B19,
IF(D19="Juvenile Audiobook",RIGHT(B19,LEN(B19)-5),
IF(AND(D19="Teen Audiobook",LEFT(B19,11)="TEEN CD BIO"),RIGHT(B19,LEN(B19)-12),
IF(AND(D19="Teen Audiobook",LEFT(B19,11)="TEEN CD FIC"),B19,
IF(D19="Juvenile Audiobook",RIGHT(B19,LEN(B19)-8),
IF(D19="Juvenile Nonfiction",RIGHT(B19,LEN(B19)-2),
IF(D19="Teen Nonfiction",RIGHT(B19,LEN(B19)-5),
IF(AND(D19="Audiobook",
              NOT(OR(Contains($B19,"CD BIO"),Contains($B19,"CD FIC")))),RIGHT(B19,LEN(B19)-3),
IF(D19="Juvenile Biography",RIGHT(B19,LEN(B19)-2),
IF(D19="Teen Biography",RIGHT(B19,LEN(B19)-5),
IF(AND(D19="Audiobook",
              IFERROR(FIND("BIO",$B19)&gt;0,FALSE)),RIGHT(B19,LEN(B19)-3),
IF(D19="Juvenile Large Type","J "&amp;RIGHT(B19,LEN(B19)-11),
IF(D19="Teen Large Type","TEEN "&amp;RIGHT(B19,LEN(B19)-14),
IF(D19="Reference",RIGHT(B19,LEN(B19)-4),
IF(D19="DVD Educational",RIGHT(B19,LEN(B19)-7),
IF(D19="Juvenile DVD Educational",RIGHT(B19,LEN(B19)-9),
B19)))))))))))))))))</f>
        <v>FIC JOHNSON</v>
      </c>
    </row>
    <row r="20" spans="1:8" ht="27" customHeight="1" x14ac:dyDescent="0.25">
      <c r="A20" s="10" t="str">
        <f ca="1">TEXT( INDIRECT( ADDRESS( ROW() + Row_Offset, INDIRECT( "Column_Number_" &amp; A$1), 4,1, tabname) ), "")</f>
        <v/>
      </c>
      <c r="B20" s="10" t="str">
        <f ca="1">TEXT(  IFERROR( VLOOKUP( $D20, CollName_Simplifier_Table[], 2, FALSE),"") &amp;
        INDIRECT( ADDRESS( ROW() + Row_Offset, INDIRECT( "Column_Number_" &amp; $B$1), 4,1, tabname) ), "")</f>
        <v>FIC PANZERA</v>
      </c>
      <c r="C20" s="10" t="str">
        <f ca="1">TEXT( INDIRECT( ADDRESS( ROW() + Row_Offset, INDIRECT( "Column_Number_" &amp; C$1), 4,1, tabname) ), "")</f>
        <v>Sweet on you</v>
      </c>
      <c r="D20" s="10" t="str">
        <f ca="1">TEXT( INDIRECT( ADDRESS( ROW() + Row_Offset, INDIRECT( "Column_Number_" &amp; D$1), 4,1, tabname) ), "")</f>
        <v>Fiction</v>
      </c>
      <c r="E20" s="10" t="str">
        <f ca="1">TEXT( INDIRECT( ADDRESS( ROW() + Row_Offset, INDIRECT( "Column_Number_" &amp; E$1), 4,1, tabname) ), "####")</f>
        <v>2013</v>
      </c>
      <c r="F20" s="15"/>
      <c r="G20" s="21">
        <f ca="1">IFERROR(INDEX(Rank_Table[],MATCH($D20&amp;$A20,Table4[Join],0)),"")</f>
        <v>18</v>
      </c>
      <c r="H20" s="11" t="str">
        <f ca="1">IF(AND(D20="Juvenile Audiobook",LEFT(B20,8)="J CD BIO"),RIGHT(B20,LEN(B20)-9),
IF(AND(D20="Juvenile Audiobook",LEFT(B20,8)="J CD FIC"),B20,
IF(D20="Juvenile Audiobook",RIGHT(B20,LEN(B20)-5),
IF(AND(D20="Teen Audiobook",LEFT(B20,11)="TEEN CD BIO"),RIGHT(B20,LEN(B20)-12),
IF(AND(D20="Teen Audiobook",LEFT(B20,11)="TEEN CD FIC"),B20,
IF(D20="Juvenile Audiobook",RIGHT(B20,LEN(B20)-8),
IF(D20="Juvenile Nonfiction",RIGHT(B20,LEN(B20)-2),
IF(D20="Teen Nonfiction",RIGHT(B20,LEN(B20)-5),
IF(AND(D20="Audiobook",
              NOT(OR(Contains($B20,"CD BIO"),Contains($B20,"CD FIC")))),RIGHT(B20,LEN(B20)-3),
IF(D20="Juvenile Biography",RIGHT(B20,LEN(B20)-2),
IF(D20="Teen Biography",RIGHT(B20,LEN(B20)-5),
IF(AND(D20="Audiobook",
              IFERROR(FIND("BIO",$B20)&gt;0,FALSE)),RIGHT(B20,LEN(B20)-3),
IF(D20="Juvenile Large Type","J "&amp;RIGHT(B20,LEN(B20)-11),
IF(D20="Teen Large Type","TEEN "&amp;RIGHT(B20,LEN(B20)-14),
IF(D20="Reference",RIGHT(B20,LEN(B20)-4),
IF(D20="DVD Educational",RIGHT(B20,LEN(B20)-7),
IF(D20="Juvenile DVD Educational",RIGHT(B20,LEN(B20)-9),
B20)))))))))))))))))</f>
        <v>FIC PANZERA</v>
      </c>
    </row>
    <row r="21" spans="1:8" ht="27" customHeight="1" x14ac:dyDescent="0.25">
      <c r="A21" s="10" t="str">
        <f ca="1">TEXT( INDIRECT( ADDRESS( ROW() + Row_Offset, INDIRECT( "Column_Number_" &amp; A$1), 4,1, tabname) ), "")</f>
        <v/>
      </c>
      <c r="B21" s="10" t="str">
        <f ca="1">TEXT(  IFERROR( VLOOKUP( $D21, CollName_Simplifier_Table[], 2, FALSE),"") &amp;
        INDIRECT( ADDRESS( ROW() + Row_Offset, INDIRECT( "Column_Number_" &amp; $B$1), 4,1, tabname) ), "")</f>
        <v>FIC SHORS</v>
      </c>
      <c r="C21" s="10" t="str">
        <f ca="1">TEXT( INDIRECT( ADDRESS( ROW() + Row_Offset, INDIRECT( "Column_Number_" &amp; C$1), 4,1, tabname) ), "")</f>
        <v>Beside a burning sea</v>
      </c>
      <c r="D21" s="10" t="str">
        <f ca="1">TEXT( INDIRECT( ADDRESS( ROW() + Row_Offset, INDIRECT( "Column_Number_" &amp; D$1), 4,1, tabname) ), "")</f>
        <v>Fiction</v>
      </c>
      <c r="E21" s="10" t="str">
        <f ca="1">TEXT( INDIRECT( ADDRESS( ROW() + Row_Offset, INDIRECT( "Column_Number_" &amp; E$1), 4,1, tabname) ), "####")</f>
        <v>2008</v>
      </c>
      <c r="F21" s="15"/>
      <c r="G21" s="21">
        <f ca="1">IFERROR(INDEX(Rank_Table[],MATCH($D21&amp;$A21,Table4[Join],0)),"")</f>
        <v>18</v>
      </c>
      <c r="H21" s="11" t="str">
        <f ca="1">IF(AND(D21="Juvenile Audiobook",LEFT(B21,8)="J CD BIO"),RIGHT(B21,LEN(B21)-9),
IF(AND(D21="Juvenile Audiobook",LEFT(B21,8)="J CD FIC"),B21,
IF(D21="Juvenile Audiobook",RIGHT(B21,LEN(B21)-5),
IF(AND(D21="Teen Audiobook",LEFT(B21,11)="TEEN CD BIO"),RIGHT(B21,LEN(B21)-12),
IF(AND(D21="Teen Audiobook",LEFT(B21,11)="TEEN CD FIC"),B21,
IF(D21="Juvenile Audiobook",RIGHT(B21,LEN(B21)-8),
IF(D21="Juvenile Nonfiction",RIGHT(B21,LEN(B21)-2),
IF(D21="Teen Nonfiction",RIGHT(B21,LEN(B21)-5),
IF(AND(D21="Audiobook",
              NOT(OR(Contains($B21,"CD BIO"),Contains($B21,"CD FIC")))),RIGHT(B21,LEN(B21)-3),
IF(D21="Juvenile Biography",RIGHT(B21,LEN(B21)-2),
IF(D21="Teen Biography",RIGHT(B21,LEN(B21)-5),
IF(AND(D21="Audiobook",
              IFERROR(FIND("BIO",$B21)&gt;0,FALSE)),RIGHT(B21,LEN(B21)-3),
IF(D21="Juvenile Large Type","J "&amp;RIGHT(B21,LEN(B21)-11),
IF(D21="Teen Large Type","TEEN "&amp;RIGHT(B21,LEN(B21)-14),
IF(D21="Reference",RIGHT(B21,LEN(B21)-4),
IF(D21="DVD Educational",RIGHT(B21,LEN(B21)-7),
IF(D21="Juvenile DVD Educational",RIGHT(B21,LEN(B21)-9),
B21)))))))))))))))))</f>
        <v>FIC SHORS</v>
      </c>
    </row>
    <row r="22" spans="1:8" ht="27" customHeight="1" x14ac:dyDescent="0.25">
      <c r="A22" s="10" t="str">
        <f ca="1">TEXT( INDIRECT( ADDRESS( ROW() + Row_Offset, INDIRECT( "Column_Number_" &amp; A$1), 4,1, tabname) ), "")</f>
        <v/>
      </c>
      <c r="B22" s="10" t="str">
        <f ca="1">TEXT(  IFERROR( VLOOKUP( $D22, CollName_Simplifier_Table[], 2, FALSE),"") &amp;
        INDIRECT( ADDRESS( ROW() + Row_Offset, INDIRECT( "Column_Number_" &amp; $B$1), 4,1, tabname) ), "")</f>
        <v>Mystery FIC BENN</v>
      </c>
      <c r="C22" s="10" t="str">
        <f ca="1">TEXT( INDIRECT( ADDRESS( ROW() + Row_Offset, INDIRECT( "Column_Number_" &amp; C$1), 4,1, tabname) ), "")</f>
        <v>A blind goddess</v>
      </c>
      <c r="D22" s="10" t="str">
        <f ca="1">TEXT( INDIRECT( ADDRESS( ROW() + Row_Offset, INDIRECT( "Column_Number_" &amp; D$1), 4,1, tabname) ), "")</f>
        <v>Fiction Mystery</v>
      </c>
      <c r="E22" s="10" t="str">
        <f ca="1">TEXT( INDIRECT( ADDRESS( ROW() + Row_Offset, INDIRECT( "Column_Number_" &amp; E$1), 4,1, tabname) ), "####")</f>
        <v>2013</v>
      </c>
      <c r="F22" s="15"/>
      <c r="G22" s="21">
        <f ca="1">IFERROR(INDEX(Rank_Table[],MATCH($D22&amp;$A22,Table4[Join],0)),"")</f>
        <v>21</v>
      </c>
      <c r="H22" s="11" t="str">
        <f ca="1">IF(AND(D22="Juvenile Audiobook",LEFT(B22,8)="J CD BIO"),RIGHT(B22,LEN(B22)-9),
IF(AND(D22="Juvenile Audiobook",LEFT(B22,8)="J CD FIC"),B22,
IF(D22="Juvenile Audiobook",RIGHT(B22,LEN(B22)-5),
IF(AND(D22="Teen Audiobook",LEFT(B22,11)="TEEN CD BIO"),RIGHT(B22,LEN(B22)-12),
IF(AND(D22="Teen Audiobook",LEFT(B22,11)="TEEN CD FIC"),B22,
IF(D22="Juvenile Audiobook",RIGHT(B22,LEN(B22)-8),
IF(D22="Juvenile Nonfiction",RIGHT(B22,LEN(B22)-2),
IF(D22="Teen Nonfiction",RIGHT(B22,LEN(B22)-5),
IF(AND(D22="Audiobook",
              NOT(OR(Contains($B22,"CD BIO"),Contains($B22,"CD FIC")))),RIGHT(B22,LEN(B22)-3),
IF(D22="Juvenile Biography",RIGHT(B22,LEN(B22)-2),
IF(D22="Teen Biography",RIGHT(B22,LEN(B22)-5),
IF(AND(D22="Audiobook",
              IFERROR(FIND("BIO",$B22)&gt;0,FALSE)),RIGHT(B22,LEN(B22)-3),
IF(D22="Juvenile Large Type","J "&amp;RIGHT(B22,LEN(B22)-11),
IF(D22="Teen Large Type","TEEN "&amp;RIGHT(B22,LEN(B22)-14),
IF(D22="Reference",RIGHT(B22,LEN(B22)-4),
IF(D22="DVD Educational",RIGHT(B22,LEN(B22)-7),
IF(D22="Juvenile DVD Educational",RIGHT(B22,LEN(B22)-9),
B22)))))))))))))))))</f>
        <v>Mystery FIC BENN</v>
      </c>
    </row>
    <row r="23" spans="1:8" ht="27" customHeight="1" x14ac:dyDescent="0.25">
      <c r="A23" s="10" t="str">
        <f ca="1">TEXT( INDIRECT( ADDRESS( ROW() + Row_Offset, INDIRECT( "Column_Number_" &amp; A$1), 4,1, tabname) ), "")</f>
        <v>New Books</v>
      </c>
      <c r="B23" s="10" t="str">
        <f ca="1">TEXT(  IFERROR( VLOOKUP( $D23, CollName_Simplifier_Table[], 2, FALSE),"") &amp;
        INDIRECT( ADDRESS( ROW() + Row_Offset, INDIRECT( "Column_Number_" &amp; $B$1), 4,1, tabname) ), "")</f>
        <v>Mystery FIC DAHEIM</v>
      </c>
      <c r="C23" s="10" t="str">
        <f ca="1">TEXT( INDIRECT( ADDRESS( ROW() + Row_Offset, INDIRECT( "Column_Number_" &amp; C$1), 4,1, tabname) ), "")</f>
        <v>The Alpine yeoman</v>
      </c>
      <c r="D23" s="10" t="str">
        <f ca="1">TEXT( INDIRECT( ADDRESS( ROW() + Row_Offset, INDIRECT( "Column_Number_" &amp; D$1), 4,1, tabname) ), "")</f>
        <v>Fiction Mystery</v>
      </c>
      <c r="E23" s="10" t="str">
        <f ca="1">TEXT( INDIRECT( ADDRESS( ROW() + Row_Offset, INDIRECT( "Column_Number_" &amp; E$1), 4,1, tabname) ), "####")</f>
        <v>2014</v>
      </c>
      <c r="F23" s="15"/>
      <c r="G23" s="21">
        <f ca="1">IFERROR(INDEX(Rank_Table[],MATCH($D23&amp;$A23,Table4[Join],0)),"")</f>
        <v>51</v>
      </c>
      <c r="H23" s="11" t="str">
        <f ca="1">IF(AND(D23="Juvenile Audiobook",LEFT(B23,8)="J CD BIO"),RIGHT(B23,LEN(B23)-9),
IF(AND(D23="Juvenile Audiobook",LEFT(B23,8)="J CD FIC"),B23,
IF(D23="Juvenile Audiobook",RIGHT(B23,LEN(B23)-5),
IF(AND(D23="Teen Audiobook",LEFT(B23,11)="TEEN CD BIO"),RIGHT(B23,LEN(B23)-12),
IF(AND(D23="Teen Audiobook",LEFT(B23,11)="TEEN CD FIC"),B23,
IF(D23="Juvenile Audiobook",RIGHT(B23,LEN(B23)-8),
IF(D23="Juvenile Nonfiction",RIGHT(B23,LEN(B23)-2),
IF(D23="Teen Nonfiction",RIGHT(B23,LEN(B23)-5),
IF(AND(D23="Audiobook",
              NOT(OR(Contains($B23,"CD BIO"),Contains($B23,"CD FIC")))),RIGHT(B23,LEN(B23)-3),
IF(D23="Juvenile Biography",RIGHT(B23,LEN(B23)-2),
IF(D23="Teen Biography",RIGHT(B23,LEN(B23)-5),
IF(AND(D23="Audiobook",
              IFERROR(FIND("BIO",$B23)&gt;0,FALSE)),RIGHT(B23,LEN(B23)-3),
IF(D23="Juvenile Large Type","J "&amp;RIGHT(B23,LEN(B23)-11),
IF(D23="Teen Large Type","TEEN "&amp;RIGHT(B23,LEN(B23)-14),
IF(D23="Reference",RIGHT(B23,LEN(B23)-4),
IF(D23="DVD Educational",RIGHT(B23,LEN(B23)-7),
IF(D23="Juvenile DVD Educational",RIGHT(B23,LEN(B23)-9),
B23)))))))))))))))))</f>
        <v>Mystery FIC DAHEIM</v>
      </c>
    </row>
    <row r="24" spans="1:8" ht="27" customHeight="1" x14ac:dyDescent="0.25">
      <c r="A24" s="10" t="str">
        <f ca="1">TEXT( INDIRECT( ADDRESS( ROW() + Row_Offset, INDIRECT( "Column_Number_" &amp; A$1), 4,1, tabname) ), "")</f>
        <v/>
      </c>
      <c r="B24" s="10" t="str">
        <f ca="1">TEXT(  IFERROR( VLOOKUP( $D24, CollName_Simplifier_Table[], 2, FALSE),"") &amp;
        INDIRECT( ADDRESS( ROW() + Row_Offset, INDIRECT( "Column_Number_" &amp; $B$1), 4,1, tabname) ), "")</f>
        <v>Mystery FIC FRENCH</v>
      </c>
      <c r="C24" s="10" t="str">
        <f ca="1">TEXT( INDIRECT( ADDRESS( ROW() + Row_Offset, INDIRECT( "Column_Number_" &amp; C$1), 4,1, tabname) ), "")</f>
        <v>Faithful Place</v>
      </c>
      <c r="D24" s="10" t="str">
        <f ca="1">TEXT( INDIRECT( ADDRESS( ROW() + Row_Offset, INDIRECT( "Column_Number_" &amp; D$1), 4,1, tabname) ), "")</f>
        <v>Fiction Mystery</v>
      </c>
      <c r="E24" s="10" t="str">
        <f ca="1">TEXT( INDIRECT( ADDRESS( ROW() + Row_Offset, INDIRECT( "Column_Number_" &amp; E$1), 4,1, tabname) ), "####")</f>
        <v>2010</v>
      </c>
      <c r="F24" s="15"/>
      <c r="G24" s="21">
        <f ca="1">IFERROR(INDEX(Rank_Table[],MATCH($D24&amp;$A24,Table4[Join],0)),"")</f>
        <v>21</v>
      </c>
      <c r="H24" s="11" t="str">
        <f ca="1">IF(AND(D24="Juvenile Audiobook",LEFT(B24,8)="J CD BIO"),RIGHT(B24,LEN(B24)-9),
IF(AND(D24="Juvenile Audiobook",LEFT(B24,8)="J CD FIC"),B24,
IF(D24="Juvenile Audiobook",RIGHT(B24,LEN(B24)-5),
IF(AND(D24="Teen Audiobook",LEFT(B24,11)="TEEN CD BIO"),RIGHT(B24,LEN(B24)-12),
IF(AND(D24="Teen Audiobook",LEFT(B24,11)="TEEN CD FIC"),B24,
IF(D24="Juvenile Audiobook",RIGHT(B24,LEN(B24)-8),
IF(D24="Juvenile Nonfiction",RIGHT(B24,LEN(B24)-2),
IF(D24="Teen Nonfiction",RIGHT(B24,LEN(B24)-5),
IF(AND(D24="Audiobook",
              NOT(OR(Contains($B24,"CD BIO"),Contains($B24,"CD FIC")))),RIGHT(B24,LEN(B24)-3),
IF(D24="Juvenile Biography",RIGHT(B24,LEN(B24)-2),
IF(D24="Teen Biography",RIGHT(B24,LEN(B24)-5),
IF(AND(D24="Audiobook",
              IFERROR(FIND("BIO",$B24)&gt;0,FALSE)),RIGHT(B24,LEN(B24)-3),
IF(D24="Juvenile Large Type","J "&amp;RIGHT(B24,LEN(B24)-11),
IF(D24="Teen Large Type","TEEN "&amp;RIGHT(B24,LEN(B24)-14),
IF(D24="Reference",RIGHT(B24,LEN(B24)-4),
IF(D24="DVD Educational",RIGHT(B24,LEN(B24)-7),
IF(D24="Juvenile DVD Educational",RIGHT(B24,LEN(B24)-9),
B24)))))))))))))))))</f>
        <v>Mystery FIC FRENCH</v>
      </c>
    </row>
    <row r="25" spans="1:8" ht="27" customHeight="1" x14ac:dyDescent="0.25">
      <c r="A25" s="10" t="str">
        <f ca="1">TEXT( INDIRECT( ADDRESS( ROW() + Row_Offset, INDIRECT( "Column_Number_" &amp; A$1), 4,1, tabname) ), "")</f>
        <v/>
      </c>
      <c r="B25" s="10" t="str">
        <f ca="1">TEXT(  IFERROR( VLOOKUP( $D25, CollName_Simplifier_Table[], 2, FALSE),"") &amp;
        INDIRECT( ADDRESS( ROW() + Row_Offset, INDIRECT( "Column_Number_" &amp; $B$1), 4,1, tabname) ), "")</f>
        <v>J CD OM ACO307</v>
      </c>
      <c r="C25" s="10" t="str">
        <f ca="1">TEXT( INDIRECT( ADDRESS( ROW() + Row_Offset, INDIRECT( "Column_Number_" &amp; C$1), 4,1, tabname) ), "")</f>
        <v>Acoustic dreamland Putumayo kids.</v>
      </c>
      <c r="D25" s="10" t="str">
        <f ca="1">TEXT( INDIRECT( ADDRESS( ROW() + Row_Offset, INDIRECT( "Column_Number_" &amp; D$1), 4,1, tabname) ), "")</f>
        <v>Juvenile Compact Disc</v>
      </c>
      <c r="E25" s="10" t="str">
        <f ca="1">TEXT( INDIRECT( ADDRESS( ROW() + Row_Offset, INDIRECT( "Column_Number_" &amp; E$1), 4,1, tabname) ), "####")</f>
        <v>2011</v>
      </c>
      <c r="F25" s="15"/>
      <c r="G25" s="21">
        <f ca="1">IFERROR(INDEX(Rank_Table[],MATCH($D25&amp;$A25,Table4[Join],0)),"")</f>
        <v>27</v>
      </c>
      <c r="H25" s="11" t="str">
        <f ca="1">IF(AND(D25="Juvenile Audiobook",LEFT(B25,8)="J CD BIO"),RIGHT(B25,LEN(B25)-9),
IF(AND(D25="Juvenile Audiobook",LEFT(B25,8)="J CD FIC"),B25,
IF(D25="Juvenile Audiobook",RIGHT(B25,LEN(B25)-5),
IF(AND(D25="Teen Audiobook",LEFT(B25,11)="TEEN CD BIO"),RIGHT(B25,LEN(B25)-12),
IF(AND(D25="Teen Audiobook",LEFT(B25,11)="TEEN CD FIC"),B25,
IF(D25="Juvenile Audiobook",RIGHT(B25,LEN(B25)-8),
IF(D25="Juvenile Nonfiction",RIGHT(B25,LEN(B25)-2),
IF(D25="Teen Nonfiction",RIGHT(B25,LEN(B25)-5),
IF(AND(D25="Audiobook",
              NOT(OR(Contains($B25,"CD BIO"),Contains($B25,"CD FIC")))),RIGHT(B25,LEN(B25)-3),
IF(D25="Juvenile Biography",RIGHT(B25,LEN(B25)-2),
IF(D25="Teen Biography",RIGHT(B25,LEN(B25)-5),
IF(AND(D25="Audiobook",
              IFERROR(FIND("BIO",$B25)&gt;0,FALSE)),RIGHT(B25,LEN(B25)-3),
IF(D25="Juvenile Large Type","J "&amp;RIGHT(B25,LEN(B25)-11),
IF(D25="Teen Large Type","TEEN "&amp;RIGHT(B25,LEN(B25)-14),
IF(D25="Reference",RIGHT(B25,LEN(B25)-4),
IF(D25="DVD Educational",RIGHT(B25,LEN(B25)-7),
IF(D25="Juvenile DVD Educational",RIGHT(B25,LEN(B25)-9),
B25)))))))))))))))))</f>
        <v>J CD OM ACO307</v>
      </c>
    </row>
    <row r="26" spans="1:8" ht="27" customHeight="1" x14ac:dyDescent="0.25">
      <c r="A26" s="10" t="str">
        <f ca="1">TEXT( INDIRECT( ADDRESS( ROW() + Row_Offset, INDIRECT( "Column_Number_" &amp; A$1), 4,1, tabname) ), "")</f>
        <v/>
      </c>
      <c r="B26" s="10" t="str">
        <f ca="1">TEXT(  IFERROR( VLOOKUP( $D26, CollName_Simplifier_Table[], 2, FALSE),"") &amp;
        INDIRECT( ADDRESS( ROW() + Row_Offset, INDIRECT( "Column_Number_" &amp; $B$1), 4,1, tabname) ), "")</f>
        <v>J CD OM BERKNER</v>
      </c>
      <c r="C26" s="10" t="str">
        <f ca="1">TEXT( INDIRECT( ADDRESS( ROW() + Row_Offset, INDIRECT( "Column_Number_" &amp; C$1), 4,1, tabname) ), "")</f>
        <v>Laurie Berkner lullabies.</v>
      </c>
      <c r="D26" s="10" t="str">
        <f ca="1">TEXT( INDIRECT( ADDRESS( ROW() + Row_Offset, INDIRECT( "Column_Number_" &amp; D$1), 4,1, tabname) ), "")</f>
        <v>Juvenile Compact Disc</v>
      </c>
      <c r="E26" s="10" t="str">
        <f ca="1">TEXT( INDIRECT( ADDRESS( ROW() + Row_Offset, INDIRECT( "Column_Number_" &amp; E$1), 4,1, tabname) ), "####")</f>
        <v>2014</v>
      </c>
      <c r="F26" s="15"/>
      <c r="G26" s="21">
        <f ca="1">IFERROR(INDEX(Rank_Table[],MATCH($D26&amp;$A26,Table4[Join],0)),"")</f>
        <v>27</v>
      </c>
      <c r="H26" s="11" t="str">
        <f ca="1">IF(AND(D26="Juvenile Audiobook",LEFT(B26,8)="J CD BIO"),RIGHT(B26,LEN(B26)-9),
IF(AND(D26="Juvenile Audiobook",LEFT(B26,8)="J CD FIC"),B26,
IF(D26="Juvenile Audiobook",RIGHT(B26,LEN(B26)-5),
IF(AND(D26="Teen Audiobook",LEFT(B26,11)="TEEN CD BIO"),RIGHT(B26,LEN(B26)-12),
IF(AND(D26="Teen Audiobook",LEFT(B26,11)="TEEN CD FIC"),B26,
IF(D26="Juvenile Audiobook",RIGHT(B26,LEN(B26)-8),
IF(D26="Juvenile Nonfiction",RIGHT(B26,LEN(B26)-2),
IF(D26="Teen Nonfiction",RIGHT(B26,LEN(B26)-5),
IF(AND(D26="Audiobook",
              NOT(OR(Contains($B26,"CD BIO"),Contains($B26,"CD FIC")))),RIGHT(B26,LEN(B26)-3),
IF(D26="Juvenile Biography",RIGHT(B26,LEN(B26)-2),
IF(D26="Teen Biography",RIGHT(B26,LEN(B26)-5),
IF(AND(D26="Audiobook",
              IFERROR(FIND("BIO",$B26)&gt;0,FALSE)),RIGHT(B26,LEN(B26)-3),
IF(D26="Juvenile Large Type","J "&amp;RIGHT(B26,LEN(B26)-11),
IF(D26="Teen Large Type","TEEN "&amp;RIGHT(B26,LEN(B26)-14),
IF(D26="Reference",RIGHT(B26,LEN(B26)-4),
IF(D26="DVD Educational",RIGHT(B26,LEN(B26)-7),
IF(D26="Juvenile DVD Educational",RIGHT(B26,LEN(B26)-9),
B26)))))))))))))))))</f>
        <v>J CD OM BERKNER</v>
      </c>
    </row>
    <row r="27" spans="1:8" ht="27" customHeight="1" x14ac:dyDescent="0.25">
      <c r="A27" s="10" t="str">
        <f ca="1">TEXT( INDIRECT( ADDRESS( ROW() + Row_Offset, INDIRECT( "Column_Number_" &amp; A$1), 4,1, tabname) ), "")</f>
        <v/>
      </c>
      <c r="B27" s="10" t="str">
        <f ca="1">TEXT(  IFERROR( VLOOKUP( $D27, CollName_Simplifier_Table[], 2, FALSE),"") &amp;
        INDIRECT( ADDRESS( ROW() + Row_Offset, INDIRECT( "Column_Number_" &amp; $B$1), 4,1, tabname) ), "")</f>
        <v>J CD OM CAL2419</v>
      </c>
      <c r="C27" s="10" t="str">
        <f ca="1">TEXT( INDIRECT( ADDRESS( ROW() + Row_Offset, INDIRECT( "Column_Number_" &amp; C$1), 4,1, tabname) ), "")</f>
        <v>Calming world lullabies</v>
      </c>
      <c r="D27" s="10" t="str">
        <f ca="1">TEXT( INDIRECT( ADDRESS( ROW() + Row_Offset, INDIRECT( "Column_Number_" &amp; D$1), 4,1, tabname) ), "")</f>
        <v>Juvenile Compact Disc</v>
      </c>
      <c r="E27" s="10" t="str">
        <f ca="1">TEXT( INDIRECT( ADDRESS( ROW() + Row_Offset, INDIRECT( "Column_Number_" &amp; E$1), 4,1, tabname) ), "####")</f>
        <v>2012</v>
      </c>
      <c r="F27" s="15"/>
      <c r="G27" s="21">
        <f ca="1">IFERROR(INDEX(Rank_Table[],MATCH($D27&amp;$A27,Table4[Join],0)),"")</f>
        <v>27</v>
      </c>
      <c r="H27" s="11" t="str">
        <f ca="1">IF(AND(D27="Juvenile Audiobook",LEFT(B27,8)="J CD BIO"),RIGHT(B27,LEN(B27)-9),
IF(AND(D27="Juvenile Audiobook",LEFT(B27,8)="J CD FIC"),B27,
IF(D27="Juvenile Audiobook",RIGHT(B27,LEN(B27)-5),
IF(AND(D27="Teen Audiobook",LEFT(B27,11)="TEEN CD BIO"),RIGHT(B27,LEN(B27)-12),
IF(AND(D27="Teen Audiobook",LEFT(B27,11)="TEEN CD FIC"),B27,
IF(D27="Juvenile Audiobook",RIGHT(B27,LEN(B27)-8),
IF(D27="Juvenile Nonfiction",RIGHT(B27,LEN(B27)-2),
IF(D27="Teen Nonfiction",RIGHT(B27,LEN(B27)-5),
IF(AND(D27="Audiobook",
              NOT(OR(Contains($B27,"CD BIO"),Contains($B27,"CD FIC")))),RIGHT(B27,LEN(B27)-3),
IF(D27="Juvenile Biography",RIGHT(B27,LEN(B27)-2),
IF(D27="Teen Biography",RIGHT(B27,LEN(B27)-5),
IF(AND(D27="Audiobook",
              IFERROR(FIND("BIO",$B27)&gt;0,FALSE)),RIGHT(B27,LEN(B27)-3),
IF(D27="Juvenile Large Type","J "&amp;RIGHT(B27,LEN(B27)-11),
IF(D27="Teen Large Type","TEEN "&amp;RIGHT(B27,LEN(B27)-14),
IF(D27="Reference",RIGHT(B27,LEN(B27)-4),
IF(D27="DVD Educational",RIGHT(B27,LEN(B27)-7),
IF(D27="Juvenile DVD Educational",RIGHT(B27,LEN(B27)-9),
B27)))))))))))))))))</f>
        <v>J CD OM CAL2419</v>
      </c>
    </row>
    <row r="28" spans="1:8" ht="27" customHeight="1" x14ac:dyDescent="0.25">
      <c r="A28" s="10" t="str">
        <f ca="1">TEXT( INDIRECT( ADDRESS( ROW() + Row_Offset, INDIRECT( "Column_Number_" &amp; A$1), 4,1, tabname) ), "")</f>
        <v/>
      </c>
      <c r="B28" s="10" t="str">
        <f ca="1">TEXT(  IFERROR( VLOOKUP( $D28, CollName_Simplifier_Table[], 2, FALSE),"") &amp;
        INDIRECT( ADDRESS( ROW() + Row_Offset, INDIRECT( "Column_Number_" &amp; $B$1), 4,1, tabname) ), "")</f>
        <v>J CD OM HOT1120</v>
      </c>
      <c r="C28" s="10" t="str">
        <f ca="1">TEXT( INDIRECT( ADDRESS( ROW() + Row_Offset, INDIRECT( "Column_Number_" &amp; C$1), 4,1, tabname) ), "")</f>
        <v>Hot peas 'n butter. Volume 6, Catchin' some peaz the lullabies.</v>
      </c>
      <c r="D28" s="10" t="str">
        <f ca="1">TEXT( INDIRECT( ADDRESS( ROW() + Row_Offset, INDIRECT( "Column_Number_" &amp; D$1), 4,1, tabname) ), "")</f>
        <v>Juvenile Compact Disc</v>
      </c>
      <c r="E28" s="10" t="str">
        <f ca="1">TEXT( INDIRECT( ADDRESS( ROW() + Row_Offset, INDIRECT( "Column_Number_" &amp; E$1), 4,1, tabname) ), "####")</f>
        <v>2012</v>
      </c>
      <c r="F28" s="15"/>
      <c r="G28" s="21">
        <f ca="1">IFERROR(INDEX(Rank_Table[],MATCH($D28&amp;$A28,Table4[Join],0)),"")</f>
        <v>27</v>
      </c>
      <c r="H28" s="11" t="str">
        <f ca="1">IF(AND(D28="Juvenile Audiobook",LEFT(B28,8)="J CD BIO"),RIGHT(B28,LEN(B28)-9),
IF(AND(D28="Juvenile Audiobook",LEFT(B28,8)="J CD FIC"),B28,
IF(D28="Juvenile Audiobook",RIGHT(B28,LEN(B28)-5),
IF(AND(D28="Teen Audiobook",LEFT(B28,11)="TEEN CD BIO"),RIGHT(B28,LEN(B28)-12),
IF(AND(D28="Teen Audiobook",LEFT(B28,11)="TEEN CD FIC"),B28,
IF(D28="Juvenile Audiobook",RIGHT(B28,LEN(B28)-8),
IF(D28="Juvenile Nonfiction",RIGHT(B28,LEN(B28)-2),
IF(D28="Teen Nonfiction",RIGHT(B28,LEN(B28)-5),
IF(AND(D28="Audiobook",
              NOT(OR(Contains($B28,"CD BIO"),Contains($B28,"CD FIC")))),RIGHT(B28,LEN(B28)-3),
IF(D28="Juvenile Biography",RIGHT(B28,LEN(B28)-2),
IF(D28="Teen Biography",RIGHT(B28,LEN(B28)-5),
IF(AND(D28="Audiobook",
              IFERROR(FIND("BIO",$B28)&gt;0,FALSE)),RIGHT(B28,LEN(B28)-3),
IF(D28="Juvenile Large Type","J "&amp;RIGHT(B28,LEN(B28)-11),
IF(D28="Teen Large Type","TEEN "&amp;RIGHT(B28,LEN(B28)-14),
IF(D28="Reference",RIGHT(B28,LEN(B28)-4),
IF(D28="DVD Educational",RIGHT(B28,LEN(B28)-7),
IF(D28="Juvenile DVD Educational",RIGHT(B28,LEN(B28)-9),
B28)))))))))))))))))</f>
        <v>J CD OM HOT1120</v>
      </c>
    </row>
    <row r="29" spans="1:8" ht="27" customHeight="1" x14ac:dyDescent="0.25">
      <c r="A29" s="10" t="str">
        <f ca="1">TEXT( INDIRECT( ADDRESS( ROW() + Row_Offset, INDIRECT( "Column_Number_" &amp; A$1), 4,1, tabname) ), "")</f>
        <v/>
      </c>
      <c r="B29" s="10" t="str">
        <f ca="1">TEXT(  IFERROR( VLOOKUP( $D29, CollName_Simplifier_Table[], 2, FALSE),"") &amp;
        INDIRECT( ADDRESS( ROW() + Row_Offset, INDIRECT( "Column_Number_" &amp; $B$1), 4,1, tabname) ), "")</f>
        <v>J CD OM JON638</v>
      </c>
      <c r="C29" s="10" t="str">
        <f ca="1">TEXT( INDIRECT( ADDRESS( ROW() + Row_Offset, INDIRECT( "Column_Number_" &amp; C$1), 4,1, tabname) ), "")</f>
        <v>Napper's delight</v>
      </c>
      <c r="D29" s="10" t="str">
        <f ca="1">TEXT( INDIRECT( ADDRESS( ROW() + Row_Offset, INDIRECT( "Column_Number_" &amp; D$1), 4,1, tabname) ), "")</f>
        <v>Juvenile Compact Disc</v>
      </c>
      <c r="E29" s="10" t="str">
        <f ca="1">TEXT( INDIRECT( ADDRESS( ROW() + Row_Offset, INDIRECT( "Column_Number_" &amp; E$1), 4,1, tabname) ), "####")</f>
        <v>2007</v>
      </c>
      <c r="F29" s="15"/>
      <c r="G29" s="21">
        <f ca="1">IFERROR(INDEX(Rank_Table[],MATCH($D29&amp;$A29,Table4[Join],0)),"")</f>
        <v>27</v>
      </c>
      <c r="H29" s="11" t="str">
        <f ca="1">IF(AND(D29="Juvenile Audiobook",LEFT(B29,8)="J CD BIO"),RIGHT(B29,LEN(B29)-9),
IF(AND(D29="Juvenile Audiobook",LEFT(B29,8)="J CD FIC"),B29,
IF(D29="Juvenile Audiobook",RIGHT(B29,LEN(B29)-5),
IF(AND(D29="Teen Audiobook",LEFT(B29,11)="TEEN CD BIO"),RIGHT(B29,LEN(B29)-12),
IF(AND(D29="Teen Audiobook",LEFT(B29,11)="TEEN CD FIC"),B29,
IF(D29="Juvenile Audiobook",RIGHT(B29,LEN(B29)-8),
IF(D29="Juvenile Nonfiction",RIGHT(B29,LEN(B29)-2),
IF(D29="Teen Nonfiction",RIGHT(B29,LEN(B29)-5),
IF(AND(D29="Audiobook",
              NOT(OR(Contains($B29,"CD BIO"),Contains($B29,"CD FIC")))),RIGHT(B29,LEN(B29)-3),
IF(D29="Juvenile Biography",RIGHT(B29,LEN(B29)-2),
IF(D29="Teen Biography",RIGHT(B29,LEN(B29)-5),
IF(AND(D29="Audiobook",
              IFERROR(FIND("BIO",$B29)&gt;0,FALSE)),RIGHT(B29,LEN(B29)-3),
IF(D29="Juvenile Large Type","J "&amp;RIGHT(B29,LEN(B29)-11),
IF(D29="Teen Large Type","TEEN "&amp;RIGHT(B29,LEN(B29)-14),
IF(D29="Reference",RIGHT(B29,LEN(B29)-4),
IF(D29="DVD Educational",RIGHT(B29,LEN(B29)-7),
IF(D29="Juvenile DVD Educational",RIGHT(B29,LEN(B29)-9),
B29)))))))))))))))))</f>
        <v>J CD OM JON638</v>
      </c>
    </row>
    <row r="30" spans="1:8" ht="27" customHeight="1" x14ac:dyDescent="0.25">
      <c r="A30" s="10" t="str">
        <f ca="1">TEXT( INDIRECT( ADDRESS( ROW() + Row_Offset, INDIRECT( "Column_Number_" &amp; A$1), 4,1, tabname) ), "")</f>
        <v/>
      </c>
      <c r="B30" s="10" t="str">
        <f ca="1">TEXT(  IFERROR( VLOOKUP( $D30, CollName_Simplifier_Table[], 2, FALSE),"") &amp;
        INDIRECT( ADDRESS( ROW() + Row_Offset, INDIRECT( "Column_Number_" &amp; $B$1), 4,1, tabname) ), "")</f>
        <v>J CD OM MY FIRS</v>
      </c>
      <c r="C30" s="10" t="str">
        <f ca="1">TEXT( INDIRECT( ADDRESS( ROW() + Row_Offset, INDIRECT( "Column_Number_" &amp; C$1), 4,1, tabname) ), "")</f>
        <v>My first orchestra album</v>
      </c>
      <c r="D30" s="10" t="str">
        <f ca="1">TEXT( INDIRECT( ADDRESS( ROW() + Row_Offset, INDIRECT( "Column_Number_" &amp; D$1), 4,1, tabname) ), "")</f>
        <v>Juvenile Compact Disc</v>
      </c>
      <c r="E30" s="10" t="str">
        <f ca="1">TEXT( INDIRECT( ADDRESS( ROW() + Row_Offset, INDIRECT( "Column_Number_" &amp; E$1), 4,1, tabname) ), "####")</f>
        <v>2013</v>
      </c>
      <c r="F30" s="15"/>
      <c r="G30" s="21">
        <f ca="1">IFERROR(INDEX(Rank_Table[],MATCH($D30&amp;$A30,Table4[Join],0)),"")</f>
        <v>27</v>
      </c>
      <c r="H30" s="11" t="str">
        <f ca="1">IF(AND(D30="Juvenile Audiobook",LEFT(B30,8)="J CD BIO"),RIGHT(B30,LEN(B30)-9),
IF(AND(D30="Juvenile Audiobook",LEFT(B30,8)="J CD FIC"),B30,
IF(D30="Juvenile Audiobook",RIGHT(B30,LEN(B30)-5),
IF(AND(D30="Teen Audiobook",LEFT(B30,11)="TEEN CD BIO"),RIGHT(B30,LEN(B30)-12),
IF(AND(D30="Teen Audiobook",LEFT(B30,11)="TEEN CD FIC"),B30,
IF(D30="Juvenile Audiobook",RIGHT(B30,LEN(B30)-8),
IF(D30="Juvenile Nonfiction",RIGHT(B30,LEN(B30)-2),
IF(D30="Teen Nonfiction",RIGHT(B30,LEN(B30)-5),
IF(AND(D30="Audiobook",
              NOT(OR(Contains($B30,"CD BIO"),Contains($B30,"CD FIC")))),RIGHT(B30,LEN(B30)-3),
IF(D30="Juvenile Biography",RIGHT(B30,LEN(B30)-2),
IF(D30="Teen Biography",RIGHT(B30,LEN(B30)-5),
IF(AND(D30="Audiobook",
              IFERROR(FIND("BIO",$B30)&gt;0,FALSE)),RIGHT(B30,LEN(B30)-3),
IF(D30="Juvenile Large Type","J "&amp;RIGHT(B30,LEN(B30)-11),
IF(D30="Teen Large Type","TEEN "&amp;RIGHT(B30,LEN(B30)-14),
IF(D30="Reference",RIGHT(B30,LEN(B30)-4),
IF(D30="DVD Educational",RIGHT(B30,LEN(B30)-7),
IF(D30="Juvenile DVD Educational",RIGHT(B30,LEN(B30)-9),
B30)))))))))))))))))</f>
        <v>J CD OM MY FIRS</v>
      </c>
    </row>
    <row r="31" spans="1:8" ht="27" customHeight="1" x14ac:dyDescent="0.25">
      <c r="A31" s="10" t="str">
        <f ca="1">TEXT( INDIRECT( ADDRESS( ROW() + Row_Offset, INDIRECT( "Column_Number_" &amp; A$1), 4,1, tabname) ), "")</f>
        <v/>
      </c>
      <c r="B31" s="10" t="str">
        <f ca="1">TEXT(  IFERROR( VLOOKUP( $D31, CollName_Simplifier_Table[], 2, FALSE),"") &amp;
        INDIRECT( ADDRESS( ROW() + Row_Offset, INDIRECT( "Column_Number_" &amp; $B$1), 4,1, tabname) ), "")</f>
        <v>J CD OM MYF8213</v>
      </c>
      <c r="C31" s="10" t="str">
        <f ca="1">TEXT( INDIRECT( ADDRESS( ROW() + Row_Offset, INDIRECT( "Column_Number_" &amp; C$1), 4,1, tabname) ), "")</f>
        <v>My first lullaby album</v>
      </c>
      <c r="D31" s="10" t="str">
        <f ca="1">TEXT( INDIRECT( ADDRESS( ROW() + Row_Offset, INDIRECT( "Column_Number_" &amp; D$1), 4,1, tabname) ), "")</f>
        <v>Juvenile Compact Disc</v>
      </c>
      <c r="E31" s="10" t="str">
        <f ca="1">TEXT( INDIRECT( ADDRESS( ROW() + Row_Offset, INDIRECT( "Column_Number_" &amp; E$1), 4,1, tabname) ), "####")</f>
        <v>2012</v>
      </c>
      <c r="F31" s="15"/>
      <c r="G31" s="21">
        <f ca="1">IFERROR(INDEX(Rank_Table[],MATCH($D31&amp;$A31,Table4[Join],0)),"")</f>
        <v>27</v>
      </c>
      <c r="H31" s="11" t="str">
        <f ca="1">IF(AND(D31="Juvenile Audiobook",LEFT(B31,8)="J CD BIO"),RIGHT(B31,LEN(B31)-9),
IF(AND(D31="Juvenile Audiobook",LEFT(B31,8)="J CD FIC"),B31,
IF(D31="Juvenile Audiobook",RIGHT(B31,LEN(B31)-5),
IF(AND(D31="Teen Audiobook",LEFT(B31,11)="TEEN CD BIO"),RIGHT(B31,LEN(B31)-12),
IF(AND(D31="Teen Audiobook",LEFT(B31,11)="TEEN CD FIC"),B31,
IF(D31="Juvenile Audiobook",RIGHT(B31,LEN(B31)-8),
IF(D31="Juvenile Nonfiction",RIGHT(B31,LEN(B31)-2),
IF(D31="Teen Nonfiction",RIGHT(B31,LEN(B31)-5),
IF(AND(D31="Audiobook",
              NOT(OR(Contains($B31,"CD BIO"),Contains($B31,"CD FIC")))),RIGHT(B31,LEN(B31)-3),
IF(D31="Juvenile Biography",RIGHT(B31,LEN(B31)-2),
IF(D31="Teen Biography",RIGHT(B31,LEN(B31)-5),
IF(AND(D31="Audiobook",
              IFERROR(FIND("BIO",$B31)&gt;0,FALSE)),RIGHT(B31,LEN(B31)-3),
IF(D31="Juvenile Large Type","J "&amp;RIGHT(B31,LEN(B31)-11),
IF(D31="Teen Large Type","TEEN "&amp;RIGHT(B31,LEN(B31)-14),
IF(D31="Reference",RIGHT(B31,LEN(B31)-4),
IF(D31="DVD Educational",RIGHT(B31,LEN(B31)-7),
IF(D31="Juvenile DVD Educational",RIGHT(B31,LEN(B31)-9),
B31)))))))))))))))))</f>
        <v>J CD OM MYF8213</v>
      </c>
    </row>
    <row r="32" spans="1:8" ht="27" customHeight="1" x14ac:dyDescent="0.25">
      <c r="A32" s="10" t="str">
        <f ca="1">TEXT( INDIRECT( ADDRESS( ROW() + Row_Offset, INDIRECT( "Column_Number_" &amp; A$1), 4,1, tabname) ), "")</f>
        <v/>
      </c>
      <c r="B32" s="10" t="str">
        <f ca="1">TEXT(  IFERROR( VLOOKUP( $D32, CollName_Simplifier_Table[], 2, FALSE),"") &amp;
        INDIRECT( ADDRESS( ROW() + Row_Offset, INDIRECT( "Column_Number_" &amp; $B$1), 4,1, tabname) ), "")</f>
        <v>J CD OM PALMER</v>
      </c>
      <c r="C32" s="10" t="str">
        <f ca="1">TEXT( INDIRECT( ADDRESS( ROW() + Row_Offset, INDIRECT( "Column_Number_" &amp; C$1), 4,1, tabname) ), "")</f>
        <v>So big activity songs for little ones</v>
      </c>
      <c r="D32" s="10" t="str">
        <f ca="1">TEXT( INDIRECT( ADDRESS( ROW() + Row_Offset, INDIRECT( "Column_Number_" &amp; D$1), 4,1, tabname) ), "")</f>
        <v>Juvenile Compact Disc</v>
      </c>
      <c r="E32" s="10" t="str">
        <f ca="1">TEXT( INDIRECT( ADDRESS( ROW() + Row_Offset, INDIRECT( "Column_Number_" &amp; E$1), 4,1, tabname) ), "####")</f>
        <v>1994</v>
      </c>
      <c r="F32" s="15"/>
      <c r="G32" s="21">
        <f ca="1">IFERROR(INDEX(Rank_Table[],MATCH($D32&amp;$A32,Table4[Join],0)),"")</f>
        <v>27</v>
      </c>
      <c r="H32" s="11" t="str">
        <f ca="1">IF(AND(D32="Juvenile Audiobook",LEFT(B32,8)="J CD BIO"),RIGHT(B32,LEN(B32)-9),
IF(AND(D32="Juvenile Audiobook",LEFT(B32,8)="J CD FIC"),B32,
IF(D32="Juvenile Audiobook",RIGHT(B32,LEN(B32)-5),
IF(AND(D32="Teen Audiobook",LEFT(B32,11)="TEEN CD BIO"),RIGHT(B32,LEN(B32)-12),
IF(AND(D32="Teen Audiobook",LEFT(B32,11)="TEEN CD FIC"),B32,
IF(D32="Juvenile Audiobook",RIGHT(B32,LEN(B32)-8),
IF(D32="Juvenile Nonfiction",RIGHT(B32,LEN(B32)-2),
IF(D32="Teen Nonfiction",RIGHT(B32,LEN(B32)-5),
IF(AND(D32="Audiobook",
              NOT(OR(Contains($B32,"CD BIO"),Contains($B32,"CD FIC")))),RIGHT(B32,LEN(B32)-3),
IF(D32="Juvenile Biography",RIGHT(B32,LEN(B32)-2),
IF(D32="Teen Biography",RIGHT(B32,LEN(B32)-5),
IF(AND(D32="Audiobook",
              IFERROR(FIND("BIO",$B32)&gt;0,FALSE)),RIGHT(B32,LEN(B32)-3),
IF(D32="Juvenile Large Type","J "&amp;RIGHT(B32,LEN(B32)-11),
IF(D32="Teen Large Type","TEEN "&amp;RIGHT(B32,LEN(B32)-14),
IF(D32="Reference",RIGHT(B32,LEN(B32)-4),
IF(D32="DVD Educational",RIGHT(B32,LEN(B32)-7),
IF(D32="Juvenile DVD Educational",RIGHT(B32,LEN(B32)-9),
B32)))))))))))))))))</f>
        <v>J CD OM PALMER</v>
      </c>
    </row>
    <row r="33" spans="1:8" ht="27" customHeight="1" x14ac:dyDescent="0.25">
      <c r="A33" s="10" t="str">
        <f ca="1">TEXT( INDIRECT( ADDRESS( ROW() + Row_Offset, INDIRECT( "Column_Number_" &amp; A$1), 4,1, tabname) ), "")</f>
        <v/>
      </c>
      <c r="B33" s="10" t="str">
        <f ca="1">TEXT(  IFERROR( VLOOKUP( $D33, CollName_Simplifier_Table[], 2, FALSE),"") &amp;
        INDIRECT( ADDRESS( ROW() + Row_Offset, INDIRECT( "Column_Number_" &amp; $B$1), 4,1, tabname) ), "")</f>
        <v>J CD OM ROC9693</v>
      </c>
      <c r="C33" s="10" t="str">
        <f ca="1">TEXT( INDIRECT( ADDRESS( ROW() + Row_Offset, INDIRECT( "Column_Number_" &amp; C$1), 4,1, tabname) ), "")</f>
        <v>Rockabye baby!. more lullaby renditions of U2</v>
      </c>
      <c r="D33" s="10" t="str">
        <f ca="1">TEXT( INDIRECT( ADDRESS( ROW() + Row_Offset, INDIRECT( "Column_Number_" &amp; D$1), 4,1, tabname) ), "")</f>
        <v>Juvenile Compact Disc</v>
      </c>
      <c r="E33" s="10" t="str">
        <f ca="1">TEXT( INDIRECT( ADDRESS( ROW() + Row_Offset, INDIRECT( "Column_Number_" &amp; E$1), 4,1, tabname) ), "####")</f>
        <v>2012</v>
      </c>
      <c r="F33" s="15"/>
      <c r="G33" s="21">
        <f ca="1">IFERROR(INDEX(Rank_Table[],MATCH($D33&amp;$A33,Table4[Join],0)),"")</f>
        <v>27</v>
      </c>
      <c r="H33" s="11" t="str">
        <f ca="1">IF(AND(D33="Juvenile Audiobook",LEFT(B33,8)="J CD BIO"),RIGHT(B33,LEN(B33)-9),
IF(AND(D33="Juvenile Audiobook",LEFT(B33,8)="J CD FIC"),B33,
IF(D33="Juvenile Audiobook",RIGHT(B33,LEN(B33)-5),
IF(AND(D33="Teen Audiobook",LEFT(B33,11)="TEEN CD BIO"),RIGHT(B33,LEN(B33)-12),
IF(AND(D33="Teen Audiobook",LEFT(B33,11)="TEEN CD FIC"),B33,
IF(D33="Juvenile Audiobook",RIGHT(B33,LEN(B33)-8),
IF(D33="Juvenile Nonfiction",RIGHT(B33,LEN(B33)-2),
IF(D33="Teen Nonfiction",RIGHT(B33,LEN(B33)-5),
IF(AND(D33="Audiobook",
              NOT(OR(Contains($B33,"CD BIO"),Contains($B33,"CD FIC")))),RIGHT(B33,LEN(B33)-3),
IF(D33="Juvenile Biography",RIGHT(B33,LEN(B33)-2),
IF(D33="Teen Biography",RIGHT(B33,LEN(B33)-5),
IF(AND(D33="Audiobook",
              IFERROR(FIND("BIO",$B33)&gt;0,FALSE)),RIGHT(B33,LEN(B33)-3),
IF(D33="Juvenile Large Type","J "&amp;RIGHT(B33,LEN(B33)-11),
IF(D33="Teen Large Type","TEEN "&amp;RIGHT(B33,LEN(B33)-14),
IF(D33="Reference",RIGHT(B33,LEN(B33)-4),
IF(D33="DVD Educational",RIGHT(B33,LEN(B33)-7),
IF(D33="Juvenile DVD Educational",RIGHT(B33,LEN(B33)-9),
B33)))))))))))))))))</f>
        <v>J CD OM ROC9693</v>
      </c>
    </row>
    <row r="34" spans="1:8" ht="27" customHeight="1" x14ac:dyDescent="0.25">
      <c r="A34" s="10" t="str">
        <f ca="1">TEXT( INDIRECT( ADDRESS( ROW() + Row_Offset, INDIRECT( "Column_Number_" &amp; A$1), 4,1, tabname) ), "")</f>
        <v/>
      </c>
      <c r="B34" s="10" t="str">
        <f ca="1">TEXT(  IFERROR( VLOOKUP( $D34, CollName_Simplifier_Table[], 2, FALSE),"") &amp;
        INDIRECT( ADDRESS( ROW() + Row_Offset, INDIRECT( "Column_Number_" &amp; $B$1), 4,1, tabname) ), "")</f>
        <v>J DVD THO1694</v>
      </c>
      <c r="C34" s="10" t="str">
        <f ca="1">TEXT( INDIRECT( ADDRESS( ROW() + Row_Offset, INDIRECT( "Column_Number_" &amp; C$1), 4,1, tabname) ), "")</f>
        <v>Thomas &amp; friends. Merry Christmas Thomas</v>
      </c>
      <c r="D34" s="10" t="str">
        <f ca="1">TEXT( INDIRECT( ADDRESS( ROW() + Row_Offset, INDIRECT( "Column_Number_" &amp; D$1), 4,1, tabname) ), "")</f>
        <v>Juvenile DVD</v>
      </c>
      <c r="E34" s="10" t="str">
        <f ca="1">TEXT( INDIRECT( ADDRESS( ROW() + Row_Offset, INDIRECT( "Column_Number_" &amp; E$1), 4,1, tabname) ), "####")</f>
        <v>2011</v>
      </c>
      <c r="F34" s="15"/>
      <c r="G34" s="21">
        <f ca="1">IFERROR(INDEX(Rank_Table[],MATCH($D34&amp;$A34,Table4[Join],0)),"")</f>
        <v>26</v>
      </c>
      <c r="H34" s="11" t="str">
        <f ca="1">IF(AND(D34="Juvenile Audiobook",LEFT(B34,8)="J CD BIO"),RIGHT(B34,LEN(B34)-9),
IF(AND(D34="Juvenile Audiobook",LEFT(B34,8)="J CD FIC"),B34,
IF(D34="Juvenile Audiobook",RIGHT(B34,LEN(B34)-5),
IF(AND(D34="Teen Audiobook",LEFT(B34,11)="TEEN CD BIO"),RIGHT(B34,LEN(B34)-12),
IF(AND(D34="Teen Audiobook",LEFT(B34,11)="TEEN CD FIC"),B34,
IF(D34="Juvenile Audiobook",RIGHT(B34,LEN(B34)-8),
IF(D34="Juvenile Nonfiction",RIGHT(B34,LEN(B34)-2),
IF(D34="Teen Nonfiction",RIGHT(B34,LEN(B34)-5),
IF(AND(D34="Audiobook",
              NOT(OR(Contains($B34,"CD BIO"),Contains($B34,"CD FIC")))),RIGHT(B34,LEN(B34)-3),
IF(D34="Juvenile Biography",RIGHT(B34,LEN(B34)-2),
IF(D34="Teen Biography",RIGHT(B34,LEN(B34)-5),
IF(AND(D34="Audiobook",
              IFERROR(FIND("BIO",$B34)&gt;0,FALSE)),RIGHT(B34,LEN(B34)-3),
IF(D34="Juvenile Large Type","J "&amp;RIGHT(B34,LEN(B34)-11),
IF(D34="Teen Large Type","TEEN "&amp;RIGHT(B34,LEN(B34)-14),
IF(D34="Reference",RIGHT(B34,LEN(B34)-4),
IF(D34="DVD Educational",RIGHT(B34,LEN(B34)-7),
IF(D34="Juvenile DVD Educational",RIGHT(B34,LEN(B34)-9),
B34)))))))))))))))))</f>
        <v>J DVD THO1694</v>
      </c>
    </row>
    <row r="35" spans="1:8" ht="27" customHeight="1" x14ac:dyDescent="0.25">
      <c r="A35" s="10" t="str">
        <f ca="1">TEXT( INDIRECT( ADDRESS( ROW() + Row_Offset, INDIRECT( "Column_Number_" &amp; A$1), 4,1, tabname) ), "")</f>
        <v/>
      </c>
      <c r="B35" s="10" t="str">
        <f ca="1">TEXT(  IFERROR( VLOOKUP( $D35, CollName_Simplifier_Table[], 2, FALSE),"") &amp;
        INDIRECT( ADDRESS( ROW() + Row_Offset, INDIRECT( "Column_Number_" &amp; $B$1), 4,1, tabname) ), "")</f>
        <v>J NAPOLI</v>
      </c>
      <c r="C35" s="10" t="str">
        <f ca="1">TEXT( INDIRECT( ADDRESS( ROW() + Row_Offset, INDIRECT( "Column_Number_" &amp; C$1), 4,1, tabname) ), "")</f>
        <v>Ugly</v>
      </c>
      <c r="D35" s="10" t="str">
        <f ca="1">TEXT( INDIRECT( ADDRESS( ROW() + Row_Offset, INDIRECT( "Column_Number_" &amp; D$1), 4,1, tabname) ), "")</f>
        <v>Juvenile Fiction</v>
      </c>
      <c r="E35" s="10" t="str">
        <f ca="1">TEXT( INDIRECT( ADDRESS( ROW() + Row_Offset, INDIRECT( "Column_Number_" &amp; E$1), 4,1, tabname) ), "####")</f>
        <v>2006</v>
      </c>
      <c r="F35" s="15"/>
      <c r="G35" s="21">
        <f ca="1">IFERROR(INDEX(Rank_Table[],MATCH($D35&amp;$A35,Table4[Join],0)),"")</f>
        <v>23</v>
      </c>
      <c r="H35" s="11" t="str">
        <f ca="1">IF(AND(D35="Juvenile Audiobook",LEFT(B35,8)="J CD BIO"),RIGHT(B35,LEN(B35)-9),
IF(AND(D35="Juvenile Audiobook",LEFT(B35,8)="J CD FIC"),B35,
IF(D35="Juvenile Audiobook",RIGHT(B35,LEN(B35)-5),
IF(AND(D35="Teen Audiobook",LEFT(B35,11)="TEEN CD BIO"),RIGHT(B35,LEN(B35)-12),
IF(AND(D35="Teen Audiobook",LEFT(B35,11)="TEEN CD FIC"),B35,
IF(D35="Juvenile Audiobook",RIGHT(B35,LEN(B35)-8),
IF(D35="Juvenile Nonfiction",RIGHT(B35,LEN(B35)-2),
IF(D35="Teen Nonfiction",RIGHT(B35,LEN(B35)-5),
IF(AND(D35="Audiobook",
              NOT(OR(Contains($B35,"CD BIO"),Contains($B35,"CD FIC")))),RIGHT(B35,LEN(B35)-3),
IF(D35="Juvenile Biography",RIGHT(B35,LEN(B35)-2),
IF(D35="Teen Biography",RIGHT(B35,LEN(B35)-5),
IF(AND(D35="Audiobook",
              IFERROR(FIND("BIO",$B35)&gt;0,FALSE)),RIGHT(B35,LEN(B35)-3),
IF(D35="Juvenile Large Type","J "&amp;RIGHT(B35,LEN(B35)-11),
IF(D35="Teen Large Type","TEEN "&amp;RIGHT(B35,LEN(B35)-14),
IF(D35="Reference",RIGHT(B35,LEN(B35)-4),
IF(D35="DVD Educational",RIGHT(B35,LEN(B35)-7),
IF(D35="Juvenile DVD Educational",RIGHT(B35,LEN(B35)-9),
B35)))))))))))))))))</f>
        <v>J NAPOLI</v>
      </c>
    </row>
    <row r="36" spans="1:8" ht="27" customHeight="1" x14ac:dyDescent="0.25">
      <c r="A36" s="10" t="str">
        <f ca="1">TEXT( INDIRECT( ADDRESS( ROW() + Row_Offset, INDIRECT( "Column_Number_" &amp; A$1), 4,1, tabname) ), "")</f>
        <v/>
      </c>
      <c r="B36" s="10" t="str">
        <f ca="1">TEXT(  IFERROR( VLOOKUP( $D36, CollName_Simplifier_Table[], 2, FALSE),"") &amp;
        INDIRECT( ADDRESS( ROW() + Row_Offset, INDIRECT( "Column_Number_" &amp; $B$1), 4,1, tabname) ), "")</f>
        <v>J SUTHERL</v>
      </c>
      <c r="C36" s="10" t="str">
        <f ca="1">TEXT( INDIRECT( ADDRESS( ROW() + Row_Offset, INDIRECT( "Column_Number_" &amp; C$1), 4,1, tabname) ), "")</f>
        <v>The hidden kingdom</v>
      </c>
      <c r="D36" s="10" t="str">
        <f ca="1">TEXT( INDIRECT( ADDRESS( ROW() + Row_Offset, INDIRECT( "Column_Number_" &amp; D$1), 4,1, tabname) ), "")</f>
        <v>Juvenile Fiction</v>
      </c>
      <c r="E36" s="10" t="str">
        <f ca="1">TEXT( INDIRECT( ADDRESS( ROW() + Row_Offset, INDIRECT( "Column_Number_" &amp; E$1), 4,1, tabname) ), "####")</f>
        <v>2013</v>
      </c>
      <c r="F36" s="15"/>
      <c r="G36" s="21">
        <f ca="1">IFERROR(INDEX(Rank_Table[],MATCH($D36&amp;$A36,Table4[Join],0)),"")</f>
        <v>23</v>
      </c>
      <c r="H36" s="11" t="str">
        <f ca="1">IF(AND(D36="Juvenile Audiobook",LEFT(B36,8)="J CD BIO"),RIGHT(B36,LEN(B36)-9),
IF(AND(D36="Juvenile Audiobook",LEFT(B36,8)="J CD FIC"),B36,
IF(D36="Juvenile Audiobook",RIGHT(B36,LEN(B36)-5),
IF(AND(D36="Teen Audiobook",LEFT(B36,11)="TEEN CD BIO"),RIGHT(B36,LEN(B36)-12),
IF(AND(D36="Teen Audiobook",LEFT(B36,11)="TEEN CD FIC"),B36,
IF(D36="Juvenile Audiobook",RIGHT(B36,LEN(B36)-8),
IF(D36="Juvenile Nonfiction",RIGHT(B36,LEN(B36)-2),
IF(D36="Teen Nonfiction",RIGHT(B36,LEN(B36)-5),
IF(AND(D36="Audiobook",
              NOT(OR(Contains($B36,"CD BIO"),Contains($B36,"CD FIC")))),RIGHT(B36,LEN(B36)-3),
IF(D36="Juvenile Biography",RIGHT(B36,LEN(B36)-2),
IF(D36="Teen Biography",RIGHT(B36,LEN(B36)-5),
IF(AND(D36="Audiobook",
              IFERROR(FIND("BIO",$B36)&gt;0,FALSE)),RIGHT(B36,LEN(B36)-3),
IF(D36="Juvenile Large Type","J "&amp;RIGHT(B36,LEN(B36)-11),
IF(D36="Teen Large Type","TEEN "&amp;RIGHT(B36,LEN(B36)-14),
IF(D36="Reference",RIGHT(B36,LEN(B36)-4),
IF(D36="DVD Educational",RIGHT(B36,LEN(B36)-7),
IF(D36="Juvenile DVD Educational",RIGHT(B36,LEN(B36)-9),
B36)))))))))))))))))</f>
        <v>J SUTHERL</v>
      </c>
    </row>
    <row r="37" spans="1:8" ht="27" customHeight="1" x14ac:dyDescent="0.25">
      <c r="A37" s="10" t="str">
        <f ca="1">TEXT( INDIRECT( ADDRESS( ROW() + Row_Offset, INDIRECT( "Column_Number_" &amp; A$1), 4,1, tabname) ), "")</f>
        <v>In Library Use Only</v>
      </c>
      <c r="B37" s="10" t="str">
        <f ca="1">TEXT(  IFERROR( VLOOKUP( $D37, CollName_Simplifier_Table[], 2, FALSE),"") &amp;
        INDIRECT( ADDRESS( ROW() + Row_Offset, INDIRECT( "Column_Number_" &amp; $B$1), 4,1, tabname) ), "")</f>
        <v/>
      </c>
      <c r="C37" s="10" t="str">
        <f ca="1">TEXT( INDIRECT( ADDRESS( ROW() + Row_Offset, INDIRECT( "Column_Number_" &amp; C$1), 4,1, tabname) ), "")</f>
        <v>Discovery girls. v. 14 no. 5  (Aug./Sep. 2014)</v>
      </c>
      <c r="D37" s="10" t="str">
        <f ca="1">TEXT( INDIRECT( ADDRESS( ROW() + Row_Offset, INDIRECT( "Column_Number_" &amp; D$1), 4,1, tabname) ), "")</f>
        <v>Juvenile Magazine</v>
      </c>
      <c r="E37" s="10" t="str">
        <f ca="1">TEXT( INDIRECT( ADDRESS( ROW() + Row_Offset, INDIRECT( "Column_Number_" &amp; E$1), 4,1, tabname) ), "####")</f>
        <v>2000</v>
      </c>
      <c r="F37" s="15"/>
      <c r="G37" s="21">
        <f ca="1">IFERROR(INDEX(Rank_Table[],MATCH($D37&amp;$A37,Table4[Join],0)),"")</f>
        <v>94</v>
      </c>
      <c r="H37" s="11" t="str">
        <f ca="1">IF(AND(D37="Juvenile Audiobook",LEFT(B37,8)="J CD BIO"),RIGHT(B37,LEN(B37)-9),
IF(AND(D37="Juvenile Audiobook",LEFT(B37,8)="J CD FIC"),B37,
IF(D37="Juvenile Audiobook",RIGHT(B37,LEN(B37)-5),
IF(AND(D37="Teen Audiobook",LEFT(B37,11)="TEEN CD BIO"),RIGHT(B37,LEN(B37)-12),
IF(AND(D37="Teen Audiobook",LEFT(B37,11)="TEEN CD FIC"),B37,
IF(D37="Juvenile Audiobook",RIGHT(B37,LEN(B37)-8),
IF(D37="Juvenile Nonfiction",RIGHT(B37,LEN(B37)-2),
IF(D37="Teen Nonfiction",RIGHT(B37,LEN(B37)-5),
IF(AND(D37="Audiobook",
              NOT(OR(Contains($B37,"CD BIO"),Contains($B37,"CD FIC")))),RIGHT(B37,LEN(B37)-3),
IF(D37="Juvenile Biography",RIGHT(B37,LEN(B37)-2),
IF(D37="Teen Biography",RIGHT(B37,LEN(B37)-5),
IF(AND(D37="Audiobook",
              IFERROR(FIND("BIO",$B37)&gt;0,FALSE)),RIGHT(B37,LEN(B37)-3),
IF(D37="Juvenile Large Type","J "&amp;RIGHT(B37,LEN(B37)-11),
IF(D37="Teen Large Type","TEEN "&amp;RIGHT(B37,LEN(B37)-14),
IF(D37="Reference",RIGHT(B37,LEN(B37)-4),
IF(D37="DVD Educational",RIGHT(B37,LEN(B37)-7),
IF(D37="Juvenile DVD Educational",RIGHT(B37,LEN(B37)-9),
B37)))))))))))))))))</f>
        <v/>
      </c>
    </row>
    <row r="38" spans="1:8" ht="27" customHeight="1" x14ac:dyDescent="0.25">
      <c r="A38" s="10" t="str">
        <f ca="1">TEXT( INDIRECT( ADDRESS( ROW() + Row_Offset, INDIRECT( "Column_Number_" &amp; A$1), 4,1, tabname) ), "")</f>
        <v>In Library Use Only</v>
      </c>
      <c r="B38" s="10" t="str">
        <f ca="1">TEXT(  IFERROR( VLOOKUP( $D38, CollName_Simplifier_Table[], 2, FALSE),"") &amp;
        INDIRECT( ADDRESS( ROW() + Row_Offset, INDIRECT( "Column_Number_" &amp; $B$1), 4,1, tabname) ), "")</f>
        <v/>
      </c>
      <c r="C38" s="10" t="str">
        <f ca="1">TEXT( INDIRECT( ADDRESS( ROW() + Row_Offset, INDIRECT( "Column_Number_" &amp; C$1), 4,1, tabname) ), "")</f>
        <v>Elle. Vol. 29 No. 12  (August 2014)</v>
      </c>
      <c r="D38" s="10" t="str">
        <f ca="1">TEXT( INDIRECT( ADDRESS( ROW() + Row_Offset, INDIRECT( "Column_Number_" &amp; D$1), 4,1, tabname) ), "")</f>
        <v>Magazine</v>
      </c>
      <c r="E38" s="10" t="str">
        <f ca="1">TEXT( INDIRECT( ADDRESS( ROW() + Row_Offset, INDIRECT( "Column_Number_" &amp; E$1), 4,1, tabname) ), "####")</f>
        <v>1985</v>
      </c>
      <c r="F38" s="15"/>
      <c r="G38" s="21">
        <f ca="1">IFERROR(INDEX(Rank_Table[],MATCH($D38&amp;$A38,Table4[Join],0)),"")</f>
        <v>95</v>
      </c>
      <c r="H38" s="11" t="str">
        <f ca="1">IF(AND(D38="Juvenile Audiobook",LEFT(B38,8)="J CD BIO"),RIGHT(B38,LEN(B38)-9),
IF(AND(D38="Juvenile Audiobook",LEFT(B38,8)="J CD FIC"),B38,
IF(D38="Juvenile Audiobook",RIGHT(B38,LEN(B38)-5),
IF(AND(D38="Teen Audiobook",LEFT(B38,11)="TEEN CD BIO"),RIGHT(B38,LEN(B38)-12),
IF(AND(D38="Teen Audiobook",LEFT(B38,11)="TEEN CD FIC"),B38,
IF(D38="Juvenile Audiobook",RIGHT(B38,LEN(B38)-8),
IF(D38="Juvenile Nonfiction",RIGHT(B38,LEN(B38)-2),
IF(D38="Teen Nonfiction",RIGHT(B38,LEN(B38)-5),
IF(AND(D38="Audiobook",
              NOT(OR(Contains($B38,"CD BIO"),Contains($B38,"CD FIC")))),RIGHT(B38,LEN(B38)-3),
IF(D38="Juvenile Biography",RIGHT(B38,LEN(B38)-2),
IF(D38="Teen Biography",RIGHT(B38,LEN(B38)-5),
IF(AND(D38="Audiobook",
              IFERROR(FIND("BIO",$B38)&gt;0,FALSE)),RIGHT(B38,LEN(B38)-3),
IF(D38="Juvenile Large Type","J "&amp;RIGHT(B38,LEN(B38)-11),
IF(D38="Teen Large Type","TEEN "&amp;RIGHT(B38,LEN(B38)-14),
IF(D38="Reference",RIGHT(B38,LEN(B38)-4),
IF(D38="DVD Educational",RIGHT(B38,LEN(B38)-7),
IF(D38="Juvenile DVD Educational",RIGHT(B38,LEN(B38)-9),
B38)))))))))))))))))</f>
        <v/>
      </c>
    </row>
    <row r="39" spans="1:8" ht="27" customHeight="1" x14ac:dyDescent="0.25">
      <c r="A39" s="10" t="str">
        <f ca="1">TEXT( INDIRECT( ADDRESS( ROW() + Row_Offset, INDIRECT( "Column_Number_" &amp; A$1), 4,1, tabname) ), "")</f>
        <v>In Library Use Only</v>
      </c>
      <c r="B39" s="10" t="str">
        <f ca="1">TEXT(  IFERROR( VLOOKUP( $D39, CollName_Simplifier_Table[], 2, FALSE),"") &amp;
        INDIRECT( ADDRESS( ROW() + Row_Offset, INDIRECT( "Column_Number_" &amp; $B$1), 4,1, tabname) ), "")</f>
        <v/>
      </c>
      <c r="C39" s="10" t="str">
        <f ca="1">TEXT( INDIRECT( ADDRESS( ROW() + Row_Offset, INDIRECT( "Column_Number_" &amp; C$1), 4,1, tabname) ), "")</f>
        <v>Print. v. 68 no. 4  (Aug. 2014)</v>
      </c>
      <c r="D39" s="10" t="str">
        <f ca="1">TEXT( INDIRECT( ADDRESS( ROW() + Row_Offset, INDIRECT( "Column_Number_" &amp; D$1), 4,1, tabname) ), "")</f>
        <v>Magazine</v>
      </c>
      <c r="E39" s="10" t="str">
        <f ca="1">TEXT( INDIRECT( ADDRESS( ROW() + Row_Offset, INDIRECT( "Column_Number_" &amp; E$1), 4,1, tabname) ), "####")</f>
        <v>1940</v>
      </c>
      <c r="F39" s="15"/>
      <c r="G39" s="21">
        <f ca="1">IFERROR(INDEX(Rank_Table[],MATCH($D39&amp;$A39,Table4[Join],0)),"")</f>
        <v>95</v>
      </c>
      <c r="H39" s="11" t="str">
        <f ca="1">IF(AND(D39="Juvenile Audiobook",LEFT(B39,8)="J CD BIO"),RIGHT(B39,LEN(B39)-9),
IF(AND(D39="Juvenile Audiobook",LEFT(B39,8)="J CD FIC"),B39,
IF(D39="Juvenile Audiobook",RIGHT(B39,LEN(B39)-5),
IF(AND(D39="Teen Audiobook",LEFT(B39,11)="TEEN CD BIO"),RIGHT(B39,LEN(B39)-12),
IF(AND(D39="Teen Audiobook",LEFT(B39,11)="TEEN CD FIC"),B39,
IF(D39="Juvenile Audiobook",RIGHT(B39,LEN(B39)-8),
IF(D39="Juvenile Nonfiction",RIGHT(B39,LEN(B39)-2),
IF(D39="Teen Nonfiction",RIGHT(B39,LEN(B39)-5),
IF(AND(D39="Audiobook",
              NOT(OR(Contains($B39,"CD BIO"),Contains($B39,"CD FIC")))),RIGHT(B39,LEN(B39)-3),
IF(D39="Juvenile Biography",RIGHT(B39,LEN(B39)-2),
IF(D39="Teen Biography",RIGHT(B39,LEN(B39)-5),
IF(AND(D39="Audiobook",
              IFERROR(FIND("BIO",$B39)&gt;0,FALSE)),RIGHT(B39,LEN(B39)-3),
IF(D39="Juvenile Large Type","J "&amp;RIGHT(B39,LEN(B39)-11),
IF(D39="Teen Large Type","TEEN "&amp;RIGHT(B39,LEN(B39)-14),
IF(D39="Reference",RIGHT(B39,LEN(B39)-4),
IF(D39="DVD Educational",RIGHT(B39,LEN(B39)-7),
IF(D39="Juvenile DVD Educational",RIGHT(B39,LEN(B39)-9),
B39)))))))))))))))))</f>
        <v/>
      </c>
    </row>
    <row r="40" spans="1:8" ht="27" customHeight="1" x14ac:dyDescent="0.25">
      <c r="A40" s="10" t="str">
        <f ca="1">TEXT( INDIRECT( ADDRESS( ROW() + Row_Offset, INDIRECT( "Column_Number_" &amp; A$1), 4,1, tabname) ), "")</f>
        <v>In Library Use Only</v>
      </c>
      <c r="B40" s="10" t="str">
        <f ca="1">TEXT(  IFERROR( VLOOKUP( $D40, CollName_Simplifier_Table[], 2, FALSE),"") &amp;
        INDIRECT( ADDRESS( ROW() + Row_Offset, INDIRECT( "Column_Number_" &amp; $B$1), 4,1, tabname) ), "")</f>
        <v/>
      </c>
      <c r="C40" s="10" t="str">
        <f ca="1">TEXT( INDIRECT( ADDRESS( ROW() + Row_Offset, INDIRECT( "Column_Number_" &amp; C$1), 4,1, tabname) ), "")</f>
        <v>Arts and activities. v. 155 no. 5  (June 2014)</v>
      </c>
      <c r="D40" s="10" t="str">
        <f ca="1">TEXT( INDIRECT( ADDRESS( ROW() + Row_Offset, INDIRECT( "Column_Number_" &amp; D$1), 4,1, tabname) ), "")</f>
        <v>Magazine</v>
      </c>
      <c r="E40" s="10" t="str">
        <f ca="1">TEXT( INDIRECT( ADDRESS( ROW() + Row_Offset, INDIRECT( "Column_Number_" &amp; E$1), 4,1, tabname) ), "####")</f>
        <v>1955</v>
      </c>
      <c r="F40" s="15"/>
      <c r="G40" s="21">
        <f ca="1">IFERROR(INDEX(Rank_Table[],MATCH($D40&amp;$A40,Table4[Join],0)),"")</f>
        <v>95</v>
      </c>
      <c r="H40" s="11" t="str">
        <f ca="1">IF(AND(D40="Juvenile Audiobook",LEFT(B40,8)="J CD BIO"),RIGHT(B40,LEN(B40)-9),
IF(AND(D40="Juvenile Audiobook",LEFT(B40,8)="J CD FIC"),B40,
IF(D40="Juvenile Audiobook",RIGHT(B40,LEN(B40)-5),
IF(AND(D40="Teen Audiobook",LEFT(B40,11)="TEEN CD BIO"),RIGHT(B40,LEN(B40)-12),
IF(AND(D40="Teen Audiobook",LEFT(B40,11)="TEEN CD FIC"),B40,
IF(D40="Juvenile Audiobook",RIGHT(B40,LEN(B40)-8),
IF(D40="Juvenile Nonfiction",RIGHT(B40,LEN(B40)-2),
IF(D40="Teen Nonfiction",RIGHT(B40,LEN(B40)-5),
IF(AND(D40="Audiobook",
              NOT(OR(Contains($B40,"CD BIO"),Contains($B40,"CD FIC")))),RIGHT(B40,LEN(B40)-3),
IF(D40="Juvenile Biography",RIGHT(B40,LEN(B40)-2),
IF(D40="Teen Biography",RIGHT(B40,LEN(B40)-5),
IF(AND(D40="Audiobook",
              IFERROR(FIND("BIO",$B40)&gt;0,FALSE)),RIGHT(B40,LEN(B40)-3),
IF(D40="Juvenile Large Type","J "&amp;RIGHT(B40,LEN(B40)-11),
IF(D40="Teen Large Type","TEEN "&amp;RIGHT(B40,LEN(B40)-14),
IF(D40="Reference",RIGHT(B40,LEN(B40)-4),
IF(D40="DVD Educational",RIGHT(B40,LEN(B40)-7),
IF(D40="Juvenile DVD Educational",RIGHT(B40,LEN(B40)-9),
B40)))))))))))))))))</f>
        <v/>
      </c>
    </row>
    <row r="41" spans="1:8" ht="27" customHeight="1" x14ac:dyDescent="0.25">
      <c r="A41" s="10" t="str">
        <f ca="1">TEXT( INDIRECT( ADDRESS( ROW() + Row_Offset, INDIRECT( "Column_Number_" &amp; A$1), 4,1, tabname) ), "")</f>
        <v>In Library Use Only</v>
      </c>
      <c r="B41" s="10" t="str">
        <f ca="1">TEXT(  IFERROR( VLOOKUP( $D41, CollName_Simplifier_Table[], 2, FALSE),"") &amp;
        INDIRECT( ADDRESS( ROW() + Row_Offset, INDIRECT( "Column_Number_" &amp; $B$1), 4,1, tabname) ), "")</f>
        <v/>
      </c>
      <c r="C41" s="10" t="str">
        <f ca="1">TEXT( INDIRECT( ADDRESS( ROW() + Row_Offset, INDIRECT( "Column_Number_" &amp; C$1), 4,1, tabname) ), "")</f>
        <v>Birds &amp; blooms. Vol. 20 No. 4  (August/September 2014)</v>
      </c>
      <c r="D41" s="10" t="str">
        <f ca="1">TEXT( INDIRECT( ADDRESS( ROW() + Row_Offset, INDIRECT( "Column_Number_" &amp; D$1), 4,1, tabname) ), "")</f>
        <v>Magazine</v>
      </c>
      <c r="E41" s="10" t="str">
        <f ca="1">TEXT( INDIRECT( ADDRESS( ROW() + Row_Offset, INDIRECT( "Column_Number_" &amp; E$1), 4,1, tabname) ), "####")</f>
        <v>1995</v>
      </c>
      <c r="F41" s="15"/>
      <c r="G41" s="21">
        <f ca="1">IFERROR(INDEX(Rank_Table[],MATCH($D41&amp;$A41,Table4[Join],0)),"")</f>
        <v>95</v>
      </c>
      <c r="H41" s="11" t="str">
        <f ca="1">IF(AND(D41="Juvenile Audiobook",LEFT(B41,8)="J CD BIO"),RIGHT(B41,LEN(B41)-9),
IF(AND(D41="Juvenile Audiobook",LEFT(B41,8)="J CD FIC"),B41,
IF(D41="Juvenile Audiobook",RIGHT(B41,LEN(B41)-5),
IF(AND(D41="Teen Audiobook",LEFT(B41,11)="TEEN CD BIO"),RIGHT(B41,LEN(B41)-12),
IF(AND(D41="Teen Audiobook",LEFT(B41,11)="TEEN CD FIC"),B41,
IF(D41="Juvenile Audiobook",RIGHT(B41,LEN(B41)-8),
IF(D41="Juvenile Nonfiction",RIGHT(B41,LEN(B41)-2),
IF(D41="Teen Nonfiction",RIGHT(B41,LEN(B41)-5),
IF(AND(D41="Audiobook",
              NOT(OR(Contains($B41,"CD BIO"),Contains($B41,"CD FIC")))),RIGHT(B41,LEN(B41)-3),
IF(D41="Juvenile Biography",RIGHT(B41,LEN(B41)-2),
IF(D41="Teen Biography",RIGHT(B41,LEN(B41)-5),
IF(AND(D41="Audiobook",
              IFERROR(FIND("BIO",$B41)&gt;0,FALSE)),RIGHT(B41,LEN(B41)-3),
IF(D41="Juvenile Large Type","J "&amp;RIGHT(B41,LEN(B41)-11),
IF(D41="Teen Large Type","TEEN "&amp;RIGHT(B41,LEN(B41)-14),
IF(D41="Reference",RIGHT(B41,LEN(B41)-4),
IF(D41="DVD Educational",RIGHT(B41,LEN(B41)-7),
IF(D41="Juvenile DVD Educational",RIGHT(B41,LEN(B41)-9),
B41)))))))))))))))))</f>
        <v/>
      </c>
    </row>
    <row r="42" spans="1:8" ht="27" customHeight="1" x14ac:dyDescent="0.25">
      <c r="A42" s="10" t="str">
        <f ca="1">TEXT( INDIRECT( ADDRESS( ROW() + Row_Offset, INDIRECT( "Column_Number_" &amp; A$1), 4,1, tabname) ), "")</f>
        <v>In Library Use Only</v>
      </c>
      <c r="B42" s="10" t="str">
        <f ca="1">TEXT(  IFERROR( VLOOKUP( $D42, CollName_Simplifier_Table[], 2, FALSE),"") &amp;
        INDIRECT( ADDRESS( ROW() + Row_Offset, INDIRECT( "Column_Number_" &amp; $B$1), 4,1, tabname) ), "")</f>
        <v/>
      </c>
      <c r="C42" s="10" t="str">
        <f ca="1">TEXT( INDIRECT( ADDRESS( ROW() + Row_Offset, INDIRECT( "Column_Number_" &amp; C$1), 4,1, tabname) ), "")</f>
        <v>Taunton's fine cooking. Issue 130  (August/September 2014)</v>
      </c>
      <c r="D42" s="10" t="str">
        <f ca="1">TEXT( INDIRECT( ADDRESS( ROW() + Row_Offset, INDIRECT( "Column_Number_" &amp; D$1), 4,1, tabname) ), "")</f>
        <v>Magazine</v>
      </c>
      <c r="E42" s="10" t="str">
        <f ca="1">TEXT( INDIRECT( ADDRESS( ROW() + Row_Offset, INDIRECT( "Column_Number_" &amp; E$1), 4,1, tabname) ), "####")</f>
        <v>1994</v>
      </c>
      <c r="F42" s="15"/>
      <c r="G42" s="21">
        <f ca="1">IFERROR(INDEX(Rank_Table[],MATCH($D42&amp;$A42,Table4[Join],0)),"")</f>
        <v>95</v>
      </c>
      <c r="H42" s="11" t="str">
        <f ca="1">IF(AND(D42="Juvenile Audiobook",LEFT(B42,8)="J CD BIO"),RIGHT(B42,LEN(B42)-9),
IF(AND(D42="Juvenile Audiobook",LEFT(B42,8)="J CD FIC"),B42,
IF(D42="Juvenile Audiobook",RIGHT(B42,LEN(B42)-5),
IF(AND(D42="Teen Audiobook",LEFT(B42,11)="TEEN CD BIO"),RIGHT(B42,LEN(B42)-12),
IF(AND(D42="Teen Audiobook",LEFT(B42,11)="TEEN CD FIC"),B42,
IF(D42="Juvenile Audiobook",RIGHT(B42,LEN(B42)-8),
IF(D42="Juvenile Nonfiction",RIGHT(B42,LEN(B42)-2),
IF(D42="Teen Nonfiction",RIGHT(B42,LEN(B42)-5),
IF(AND(D42="Audiobook",
              NOT(OR(Contains($B42,"CD BIO"),Contains($B42,"CD FIC")))),RIGHT(B42,LEN(B42)-3),
IF(D42="Juvenile Biography",RIGHT(B42,LEN(B42)-2),
IF(D42="Teen Biography",RIGHT(B42,LEN(B42)-5),
IF(AND(D42="Audiobook",
              IFERROR(FIND("BIO",$B42)&gt;0,FALSE)),RIGHT(B42,LEN(B42)-3),
IF(D42="Juvenile Large Type","J "&amp;RIGHT(B42,LEN(B42)-11),
IF(D42="Teen Large Type","TEEN "&amp;RIGHT(B42,LEN(B42)-14),
IF(D42="Reference",RIGHT(B42,LEN(B42)-4),
IF(D42="DVD Educational",RIGHT(B42,LEN(B42)-7),
IF(D42="Juvenile DVD Educational",RIGHT(B42,LEN(B42)-9),
B42)))))))))))))))))</f>
        <v/>
      </c>
    </row>
    <row r="43" spans="1:8" ht="27" customHeight="1" x14ac:dyDescent="0.25">
      <c r="A43" s="10" t="str">
        <f ca="1">TEXT( INDIRECT( ADDRESS( ROW() + Row_Offset, INDIRECT( "Column_Number_" &amp; A$1), 4,1, tabname) ), "")</f>
        <v>In Library Use Only</v>
      </c>
      <c r="B43" s="10" t="str">
        <f ca="1">TEXT(  IFERROR( VLOOKUP( $D43, CollName_Simplifier_Table[], 2, FALSE),"") &amp;
        INDIRECT( ADDRESS( ROW() + Row_Offset, INDIRECT( "Column_Number_" &amp; $B$1), 4,1, tabname) ), "")</f>
        <v/>
      </c>
      <c r="C43" s="10" t="str">
        <f ca="1">TEXT( INDIRECT( ADDRESS( ROW() + Row_Offset, INDIRECT( "Column_Number_" &amp; C$1), 4,1, tabname) ), "")</f>
        <v>Puget Sound consumers' checkbook. v. 5 no. 4  (Spring/Summer 2014)</v>
      </c>
      <c r="D43" s="10" t="str">
        <f ca="1">TEXT( INDIRECT( ADDRESS( ROW() + Row_Offset, INDIRECT( "Column_Number_" &amp; D$1), 4,1, tabname) ), "")</f>
        <v>Magazine</v>
      </c>
      <c r="E43" s="10" t="str">
        <f ca="1">TEXT( INDIRECT( ADDRESS( ROW() + Row_Offset, INDIRECT( "Column_Number_" &amp; E$1), 4,1, tabname) ), "####")</f>
        <v>2003</v>
      </c>
      <c r="F43" s="15"/>
      <c r="G43" s="21">
        <f ca="1">IFERROR(INDEX(Rank_Table[],MATCH($D43&amp;$A43,Table4[Join],0)),"")</f>
        <v>95</v>
      </c>
      <c r="H43" s="11" t="str">
        <f ca="1">IF(AND(D43="Juvenile Audiobook",LEFT(B43,8)="J CD BIO"),RIGHT(B43,LEN(B43)-9),
IF(AND(D43="Juvenile Audiobook",LEFT(B43,8)="J CD FIC"),B43,
IF(D43="Juvenile Audiobook",RIGHT(B43,LEN(B43)-5),
IF(AND(D43="Teen Audiobook",LEFT(B43,11)="TEEN CD BIO"),RIGHT(B43,LEN(B43)-12),
IF(AND(D43="Teen Audiobook",LEFT(B43,11)="TEEN CD FIC"),B43,
IF(D43="Juvenile Audiobook",RIGHT(B43,LEN(B43)-8),
IF(D43="Juvenile Nonfiction",RIGHT(B43,LEN(B43)-2),
IF(D43="Teen Nonfiction",RIGHT(B43,LEN(B43)-5),
IF(AND(D43="Audiobook",
              NOT(OR(Contains($B43,"CD BIO"),Contains($B43,"CD FIC")))),RIGHT(B43,LEN(B43)-3),
IF(D43="Juvenile Biography",RIGHT(B43,LEN(B43)-2),
IF(D43="Teen Biography",RIGHT(B43,LEN(B43)-5),
IF(AND(D43="Audiobook",
              IFERROR(FIND("BIO",$B43)&gt;0,FALSE)),RIGHT(B43,LEN(B43)-3),
IF(D43="Juvenile Large Type","J "&amp;RIGHT(B43,LEN(B43)-11),
IF(D43="Teen Large Type","TEEN "&amp;RIGHT(B43,LEN(B43)-14),
IF(D43="Reference",RIGHT(B43,LEN(B43)-4),
IF(D43="DVD Educational",RIGHT(B43,LEN(B43)-7),
IF(D43="Juvenile DVD Educational",RIGHT(B43,LEN(B43)-9),
B43)))))))))))))))))</f>
        <v/>
      </c>
    </row>
    <row r="44" spans="1:8" ht="27" customHeight="1" x14ac:dyDescent="0.25">
      <c r="A44" s="10" t="str">
        <f ca="1">TEXT( INDIRECT( ADDRESS( ROW() + Row_Offset, INDIRECT( "Column_Number_" &amp; A$1), 4,1, tabname) ), "")</f>
        <v>In Library Use Only</v>
      </c>
      <c r="B44" s="10" t="str">
        <f ca="1">TEXT(  IFERROR( VLOOKUP( $D44, CollName_Simplifier_Table[], 2, FALSE),"") &amp;
        INDIRECT( ADDRESS( ROW() + Row_Offset, INDIRECT( "Column_Number_" &amp; $B$1), 4,1, tabname) ), "")</f>
        <v/>
      </c>
      <c r="C44" s="10" t="str">
        <f ca="1">TEXT( INDIRECT( ADDRESS( ROW() + Row_Offset, INDIRECT( "Column_Number_" &amp; C$1), 4,1, tabname) ), "")</f>
        <v>Beadwork. v. 17 no. 5  (Aug./Sep. 2014)</v>
      </c>
      <c r="D44" s="10" t="str">
        <f ca="1">TEXT( INDIRECT( ADDRESS( ROW() + Row_Offset, INDIRECT( "Column_Number_" &amp; D$1), 4,1, tabname) ), "")</f>
        <v>Magazine</v>
      </c>
      <c r="E44" s="10" t="str">
        <f ca="1">TEXT( INDIRECT( ADDRESS( ROW() + Row_Offset, INDIRECT( "Column_Number_" &amp; E$1), 4,1, tabname) ), "####")</f>
        <v>1998</v>
      </c>
      <c r="F44" s="15"/>
      <c r="G44" s="21">
        <f ca="1">IFERROR(INDEX(Rank_Table[],MATCH($D44&amp;$A44,Table4[Join],0)),"")</f>
        <v>95</v>
      </c>
      <c r="H44" s="11" t="str">
        <f ca="1">IF(AND(D44="Juvenile Audiobook",LEFT(B44,8)="J CD BIO"),RIGHT(B44,LEN(B44)-9),
IF(AND(D44="Juvenile Audiobook",LEFT(B44,8)="J CD FIC"),B44,
IF(D44="Juvenile Audiobook",RIGHT(B44,LEN(B44)-5),
IF(AND(D44="Teen Audiobook",LEFT(B44,11)="TEEN CD BIO"),RIGHT(B44,LEN(B44)-12),
IF(AND(D44="Teen Audiobook",LEFT(B44,11)="TEEN CD FIC"),B44,
IF(D44="Juvenile Audiobook",RIGHT(B44,LEN(B44)-8),
IF(D44="Juvenile Nonfiction",RIGHT(B44,LEN(B44)-2),
IF(D44="Teen Nonfiction",RIGHT(B44,LEN(B44)-5),
IF(AND(D44="Audiobook",
              NOT(OR(Contains($B44,"CD BIO"),Contains($B44,"CD FIC")))),RIGHT(B44,LEN(B44)-3),
IF(D44="Juvenile Biography",RIGHT(B44,LEN(B44)-2),
IF(D44="Teen Biography",RIGHT(B44,LEN(B44)-5),
IF(AND(D44="Audiobook",
              IFERROR(FIND("BIO",$B44)&gt;0,FALSE)),RIGHT(B44,LEN(B44)-3),
IF(D44="Juvenile Large Type","J "&amp;RIGHT(B44,LEN(B44)-11),
IF(D44="Teen Large Type","TEEN "&amp;RIGHT(B44,LEN(B44)-14),
IF(D44="Reference",RIGHT(B44,LEN(B44)-4),
IF(D44="DVD Educational",RIGHT(B44,LEN(B44)-7),
IF(D44="Juvenile DVD Educational",RIGHT(B44,LEN(B44)-9),
B44)))))))))))))))))</f>
        <v/>
      </c>
    </row>
    <row r="45" spans="1:8" ht="27" customHeight="1" x14ac:dyDescent="0.25">
      <c r="A45" s="10" t="str">
        <f ca="1">TEXT( INDIRECT( ADDRESS( ROW() + Row_Offset, INDIRECT( "Column_Number_" &amp; A$1), 4,1, tabname) ), "")</f>
        <v>In Library Use Only</v>
      </c>
      <c r="B45" s="10" t="str">
        <f ca="1">TEXT(  IFERROR( VLOOKUP( $D45, CollName_Simplifier_Table[], 2, FALSE),"") &amp;
        INDIRECT( ADDRESS( ROW() + Row_Offset, INDIRECT( "Column_Number_" &amp; $B$1), 4,1, tabname) ), "")</f>
        <v/>
      </c>
      <c r="C45" s="10" t="str">
        <f ca="1">TEXT( INDIRECT( ADDRESS( ROW() + Row_Offset, INDIRECT( "Column_Number_" &amp; C$1), 4,1, tabname) ), "")</f>
        <v>Discover Britain. no. 177  (July/Aug. 2014)</v>
      </c>
      <c r="D45" s="10" t="str">
        <f ca="1">TEXT( INDIRECT( ADDRESS( ROW() + Row_Offset, INDIRECT( "Column_Number_" &amp; D$1), 4,1, tabname) ), "")</f>
        <v>Magazine</v>
      </c>
      <c r="E45" s="10" t="str">
        <f ca="1">TEXT( INDIRECT( ADDRESS( ROW() + Row_Offset, INDIRECT( "Column_Number_" &amp; E$1), 4,1, tabname) ), "####")</f>
        <v>2011</v>
      </c>
      <c r="F45" s="15"/>
      <c r="G45" s="21">
        <f ca="1">IFERROR(INDEX(Rank_Table[],MATCH($D45&amp;$A45,Table4[Join],0)),"")</f>
        <v>95</v>
      </c>
      <c r="H45" s="11" t="str">
        <f ca="1">IF(AND(D45="Juvenile Audiobook",LEFT(B45,8)="J CD BIO"),RIGHT(B45,LEN(B45)-9),
IF(AND(D45="Juvenile Audiobook",LEFT(B45,8)="J CD FIC"),B45,
IF(D45="Juvenile Audiobook",RIGHT(B45,LEN(B45)-5),
IF(AND(D45="Teen Audiobook",LEFT(B45,11)="TEEN CD BIO"),RIGHT(B45,LEN(B45)-12),
IF(AND(D45="Teen Audiobook",LEFT(B45,11)="TEEN CD FIC"),B45,
IF(D45="Juvenile Audiobook",RIGHT(B45,LEN(B45)-8),
IF(D45="Juvenile Nonfiction",RIGHT(B45,LEN(B45)-2),
IF(D45="Teen Nonfiction",RIGHT(B45,LEN(B45)-5),
IF(AND(D45="Audiobook",
              NOT(OR(Contains($B45,"CD BIO"),Contains($B45,"CD FIC")))),RIGHT(B45,LEN(B45)-3),
IF(D45="Juvenile Biography",RIGHT(B45,LEN(B45)-2),
IF(D45="Teen Biography",RIGHT(B45,LEN(B45)-5),
IF(AND(D45="Audiobook",
              IFERROR(FIND("BIO",$B45)&gt;0,FALSE)),RIGHT(B45,LEN(B45)-3),
IF(D45="Juvenile Large Type","J "&amp;RIGHT(B45,LEN(B45)-11),
IF(D45="Teen Large Type","TEEN "&amp;RIGHT(B45,LEN(B45)-14),
IF(D45="Reference",RIGHT(B45,LEN(B45)-4),
IF(D45="DVD Educational",RIGHT(B45,LEN(B45)-7),
IF(D45="Juvenile DVD Educational",RIGHT(B45,LEN(B45)-9),
B45)))))))))))))))))</f>
        <v/>
      </c>
    </row>
    <row r="46" spans="1:8" ht="27" customHeight="1" x14ac:dyDescent="0.25">
      <c r="A46" s="10" t="str">
        <f ca="1">TEXT( INDIRECT( ADDRESS( ROW() + Row_Offset, INDIRECT( "Column_Number_" &amp; A$1), 4,1, tabname) ), "")</f>
        <v>In Library Use Only</v>
      </c>
      <c r="B46" s="10" t="str">
        <f ca="1">TEXT(  IFERROR( VLOOKUP( $D46, CollName_Simplifier_Table[], 2, FALSE),"") &amp;
        INDIRECT( ADDRESS( ROW() + Row_Offset, INDIRECT( "Column_Number_" &amp; $B$1), 4,1, tabname) ), "")</f>
        <v/>
      </c>
      <c r="C46" s="10" t="str">
        <f ca="1">TEXT( INDIRECT( ADDRESS( ROW() + Row_Offset, INDIRECT( "Column_Number_" &amp; C$1), 4,1, tabname) ), "")</f>
        <v>Vogue. Vol. 204 No. 8  (Aug. 2014)</v>
      </c>
      <c r="D46" s="10" t="str">
        <f ca="1">TEXT( INDIRECT( ADDRESS( ROW() + Row_Offset, INDIRECT( "Column_Number_" &amp; D$1), 4,1, tabname) ), "")</f>
        <v>Magazine</v>
      </c>
      <c r="E46" s="10" t="str">
        <f ca="1">TEXT( INDIRECT( ADDRESS( ROW() + Row_Offset, INDIRECT( "Column_Number_" &amp; E$1), 4,1, tabname) ), "####")</f>
        <v>1892</v>
      </c>
      <c r="F46" s="15"/>
      <c r="G46" s="21">
        <f ca="1">IFERROR(INDEX(Rank_Table[],MATCH($D46&amp;$A46,Table4[Join],0)),"")</f>
        <v>95</v>
      </c>
      <c r="H46" s="11" t="str">
        <f ca="1">IF(AND(D46="Juvenile Audiobook",LEFT(B46,8)="J CD BIO"),RIGHT(B46,LEN(B46)-9),
IF(AND(D46="Juvenile Audiobook",LEFT(B46,8)="J CD FIC"),B46,
IF(D46="Juvenile Audiobook",RIGHT(B46,LEN(B46)-5),
IF(AND(D46="Teen Audiobook",LEFT(B46,11)="TEEN CD BIO"),RIGHT(B46,LEN(B46)-12),
IF(AND(D46="Teen Audiobook",LEFT(B46,11)="TEEN CD FIC"),B46,
IF(D46="Juvenile Audiobook",RIGHT(B46,LEN(B46)-8),
IF(D46="Juvenile Nonfiction",RIGHT(B46,LEN(B46)-2),
IF(D46="Teen Nonfiction",RIGHT(B46,LEN(B46)-5),
IF(AND(D46="Audiobook",
              NOT(OR(Contains($B46,"CD BIO"),Contains($B46,"CD FIC")))),RIGHT(B46,LEN(B46)-3),
IF(D46="Juvenile Biography",RIGHT(B46,LEN(B46)-2),
IF(D46="Teen Biography",RIGHT(B46,LEN(B46)-5),
IF(AND(D46="Audiobook",
              IFERROR(FIND("BIO",$B46)&gt;0,FALSE)),RIGHT(B46,LEN(B46)-3),
IF(D46="Juvenile Large Type","J "&amp;RIGHT(B46,LEN(B46)-11),
IF(D46="Teen Large Type","TEEN "&amp;RIGHT(B46,LEN(B46)-14),
IF(D46="Reference",RIGHT(B46,LEN(B46)-4),
IF(D46="DVD Educational",RIGHT(B46,LEN(B46)-7),
IF(D46="Juvenile DVD Educational",RIGHT(B46,LEN(B46)-9),
B46)))))))))))))))))</f>
        <v/>
      </c>
    </row>
    <row r="47" spans="1:8" ht="27" customHeight="1" x14ac:dyDescent="0.25">
      <c r="A47" s="10" t="str">
        <f ca="1">TEXT( INDIRECT( ADDRESS( ROW() + Row_Offset, INDIRECT( "Column_Number_" &amp; A$1), 4,1, tabname) ), "")</f>
        <v>In Library Use Only</v>
      </c>
      <c r="B47" s="10" t="str">
        <f ca="1">TEXT(  IFERROR( VLOOKUP( $D47, CollName_Simplifier_Table[], 2, FALSE),"") &amp;
        INDIRECT( ADDRESS( ROW() + Row_Offset, INDIRECT( "Column_Number_" &amp; $B$1), 4,1, tabname) ), "")</f>
        <v/>
      </c>
      <c r="C47" s="10" t="str">
        <f ca="1">TEXT( INDIRECT( ADDRESS( ROW() + Row_Offset, INDIRECT( "Column_Number_" &amp; C$1), 4,1, tabname) ), "")</f>
        <v>Northwest fly fishing. v. 16 no. 4  (July/Aug. 2014)</v>
      </c>
      <c r="D47" s="10" t="str">
        <f ca="1">TEXT( INDIRECT( ADDRESS( ROW() + Row_Offset, INDIRECT( "Column_Number_" &amp; D$1), 4,1, tabname) ), "")</f>
        <v>Magazine</v>
      </c>
      <c r="E47" s="10" t="str">
        <f ca="1">TEXT( INDIRECT( ADDRESS( ROW() + Row_Offset, INDIRECT( "Column_Number_" &amp; E$1), 4,1, tabname) ), "####")</f>
        <v/>
      </c>
      <c r="F47" s="15"/>
      <c r="G47" s="21">
        <f ca="1">IFERROR(INDEX(Rank_Table[],MATCH($D47&amp;$A47,Table4[Join],0)),"")</f>
        <v>95</v>
      </c>
      <c r="H47" s="11" t="str">
        <f ca="1">IF(AND(D47="Juvenile Audiobook",LEFT(B47,8)="J CD BIO"),RIGHT(B47,LEN(B47)-9),
IF(AND(D47="Juvenile Audiobook",LEFT(B47,8)="J CD FIC"),B47,
IF(D47="Juvenile Audiobook",RIGHT(B47,LEN(B47)-5),
IF(AND(D47="Teen Audiobook",LEFT(B47,11)="TEEN CD BIO"),RIGHT(B47,LEN(B47)-12),
IF(AND(D47="Teen Audiobook",LEFT(B47,11)="TEEN CD FIC"),B47,
IF(D47="Juvenile Audiobook",RIGHT(B47,LEN(B47)-8),
IF(D47="Juvenile Nonfiction",RIGHT(B47,LEN(B47)-2),
IF(D47="Teen Nonfiction",RIGHT(B47,LEN(B47)-5),
IF(AND(D47="Audiobook",
              NOT(OR(Contains($B47,"CD BIO"),Contains($B47,"CD FIC")))),RIGHT(B47,LEN(B47)-3),
IF(D47="Juvenile Biography",RIGHT(B47,LEN(B47)-2),
IF(D47="Teen Biography",RIGHT(B47,LEN(B47)-5),
IF(AND(D47="Audiobook",
              IFERROR(FIND("BIO",$B47)&gt;0,FALSE)),RIGHT(B47,LEN(B47)-3),
IF(D47="Juvenile Large Type","J "&amp;RIGHT(B47,LEN(B47)-11),
IF(D47="Teen Large Type","TEEN "&amp;RIGHT(B47,LEN(B47)-14),
IF(D47="Reference",RIGHT(B47,LEN(B47)-4),
IF(D47="DVD Educational",RIGHT(B47,LEN(B47)-7),
IF(D47="Juvenile DVD Educational",RIGHT(B47,LEN(B47)-9),
B47)))))))))))))))))</f>
        <v/>
      </c>
    </row>
    <row r="48" spans="1:8" ht="27" customHeight="1" x14ac:dyDescent="0.25">
      <c r="A48" s="10" t="str">
        <f ca="1">TEXT( INDIRECT( ADDRESS( ROW() + Row_Offset, INDIRECT( "Column_Number_" &amp; A$1), 4,1, tabname) ), "")</f>
        <v>In Library Use Only</v>
      </c>
      <c r="B48" s="10" t="str">
        <f ca="1">TEXT(  IFERROR( VLOOKUP( $D48, CollName_Simplifier_Table[], 2, FALSE),"") &amp;
        INDIRECT( ADDRESS( ROW() + Row_Offset, INDIRECT( "Column_Number_" &amp; $B$1), 4,1, tabname) ), "")</f>
        <v/>
      </c>
      <c r="C48" s="10" t="str">
        <f ca="1">TEXT( INDIRECT( ADDRESS( ROW() + Row_Offset, INDIRECT( "Column_Number_" &amp; C$1), 4,1, tabname) ), "")</f>
        <v>Washington trails : a publication of Washington Trails Association. v. 49 no. 4  (July/Aug. 2014)</v>
      </c>
      <c r="D48" s="10" t="str">
        <f ca="1">TEXT( INDIRECT( ADDRESS( ROW() + Row_Offset, INDIRECT( "Column_Number_" &amp; D$1), 4,1, tabname) ), "")</f>
        <v>Magazine</v>
      </c>
      <c r="E48" s="10" t="str">
        <f ca="1">TEXT( INDIRECT( ADDRESS( ROW() + Row_Offset, INDIRECT( "Column_Number_" &amp; E$1), 4,1, tabname) ), "####")</f>
        <v>2001</v>
      </c>
      <c r="F48" s="15"/>
      <c r="G48" s="21">
        <f ca="1">IFERROR(INDEX(Rank_Table[],MATCH($D48&amp;$A48,Table4[Join],0)),"")</f>
        <v>95</v>
      </c>
      <c r="H48" s="11" t="str">
        <f ca="1">IF(AND(D48="Juvenile Audiobook",LEFT(B48,8)="J CD BIO"),RIGHT(B48,LEN(B48)-9),
IF(AND(D48="Juvenile Audiobook",LEFT(B48,8)="J CD FIC"),B48,
IF(D48="Juvenile Audiobook",RIGHT(B48,LEN(B48)-5),
IF(AND(D48="Teen Audiobook",LEFT(B48,11)="TEEN CD BIO"),RIGHT(B48,LEN(B48)-12),
IF(AND(D48="Teen Audiobook",LEFT(B48,11)="TEEN CD FIC"),B48,
IF(D48="Juvenile Audiobook",RIGHT(B48,LEN(B48)-8),
IF(D48="Juvenile Nonfiction",RIGHT(B48,LEN(B48)-2),
IF(D48="Teen Nonfiction",RIGHT(B48,LEN(B48)-5),
IF(AND(D48="Audiobook",
              NOT(OR(Contains($B48,"CD BIO"),Contains($B48,"CD FIC")))),RIGHT(B48,LEN(B48)-3),
IF(D48="Juvenile Biography",RIGHT(B48,LEN(B48)-2),
IF(D48="Teen Biography",RIGHT(B48,LEN(B48)-5),
IF(AND(D48="Audiobook",
              IFERROR(FIND("BIO",$B48)&gt;0,FALSE)),RIGHT(B48,LEN(B48)-3),
IF(D48="Juvenile Large Type","J "&amp;RIGHT(B48,LEN(B48)-11),
IF(D48="Teen Large Type","TEEN "&amp;RIGHT(B48,LEN(B48)-14),
IF(D48="Reference",RIGHT(B48,LEN(B48)-4),
IF(D48="DVD Educational",RIGHT(B48,LEN(B48)-7),
IF(D48="Juvenile DVD Educational",RIGHT(B48,LEN(B48)-9),
B48)))))))))))))))))</f>
        <v/>
      </c>
    </row>
    <row r="49" spans="1:8" ht="27" customHeight="1" x14ac:dyDescent="0.25">
      <c r="A49" s="10" t="str">
        <f ca="1">TEXT( INDIRECT( ADDRESS( ROW() + Row_Offset, INDIRECT( "Column_Number_" &amp; A$1), 4,1, tabname) ), "")</f>
        <v>In Library Use Only</v>
      </c>
      <c r="B49" s="10" t="str">
        <f ca="1">TEXT(  IFERROR( VLOOKUP( $D49, CollName_Simplifier_Table[], 2, FALSE),"") &amp;
        INDIRECT( ADDRESS( ROW() + Row_Offset, INDIRECT( "Column_Number_" &amp; $B$1), 4,1, tabname) ), "")</f>
        <v/>
      </c>
      <c r="C49" s="10" t="str">
        <f ca="1">TEXT( INDIRECT( ADDRESS( ROW() + Row_Offset, INDIRECT( "Column_Number_" &amp; C$1), 4,1, tabname) ), "")</f>
        <v>Natural solutions. no. 164  (June 2014)</v>
      </c>
      <c r="D49" s="10" t="str">
        <f ca="1">TEXT( INDIRECT( ADDRESS( ROW() + Row_Offset, INDIRECT( "Column_Number_" &amp; D$1), 4,1, tabname) ), "")</f>
        <v>Magazine</v>
      </c>
      <c r="E49" s="10" t="str">
        <f ca="1">TEXT( INDIRECT( ADDRESS( ROW() + Row_Offset, INDIRECT( "Column_Number_" &amp; E$1), 4,1, tabname) ), "####")</f>
        <v>2008</v>
      </c>
      <c r="F49" s="15"/>
      <c r="G49" s="21">
        <f ca="1">IFERROR(INDEX(Rank_Table[],MATCH($D49&amp;$A49,Table4[Join],0)),"")</f>
        <v>95</v>
      </c>
      <c r="H49" s="11" t="str">
        <f ca="1">IF(AND(D49="Juvenile Audiobook",LEFT(B49,8)="J CD BIO"),RIGHT(B49,LEN(B49)-9),
IF(AND(D49="Juvenile Audiobook",LEFT(B49,8)="J CD FIC"),B49,
IF(D49="Juvenile Audiobook",RIGHT(B49,LEN(B49)-5),
IF(AND(D49="Teen Audiobook",LEFT(B49,11)="TEEN CD BIO"),RIGHT(B49,LEN(B49)-12),
IF(AND(D49="Teen Audiobook",LEFT(B49,11)="TEEN CD FIC"),B49,
IF(D49="Juvenile Audiobook",RIGHT(B49,LEN(B49)-8),
IF(D49="Juvenile Nonfiction",RIGHT(B49,LEN(B49)-2),
IF(D49="Teen Nonfiction",RIGHT(B49,LEN(B49)-5),
IF(AND(D49="Audiobook",
              NOT(OR(Contains($B49,"CD BIO"),Contains($B49,"CD FIC")))),RIGHT(B49,LEN(B49)-3),
IF(D49="Juvenile Biography",RIGHT(B49,LEN(B49)-2),
IF(D49="Teen Biography",RIGHT(B49,LEN(B49)-5),
IF(AND(D49="Audiobook",
              IFERROR(FIND("BIO",$B49)&gt;0,FALSE)),RIGHT(B49,LEN(B49)-3),
IF(D49="Juvenile Large Type","J "&amp;RIGHT(B49,LEN(B49)-11),
IF(D49="Teen Large Type","TEEN "&amp;RIGHT(B49,LEN(B49)-14),
IF(D49="Reference",RIGHT(B49,LEN(B49)-4),
IF(D49="DVD Educational",RIGHT(B49,LEN(B49)-7),
IF(D49="Juvenile DVD Educational",RIGHT(B49,LEN(B49)-9),
B49)))))))))))))))))</f>
        <v/>
      </c>
    </row>
    <row r="50" spans="1:8" ht="27" customHeight="1" x14ac:dyDescent="0.25">
      <c r="A50" s="10" t="str">
        <f ca="1">TEXT( INDIRECT( ADDRESS( ROW() + Row_Offset, INDIRECT( "Column_Number_" &amp; A$1), 4,1, tabname) ), "")</f>
        <v>In Library Use Only</v>
      </c>
      <c r="B50" s="10" t="str">
        <f ca="1">TEXT(  IFERROR( VLOOKUP( $D50, CollName_Simplifier_Table[], 2, FALSE),"") &amp;
        INDIRECT( ADDRESS( ROW() + Row_Offset, INDIRECT( "Column_Number_" &amp; $B$1), 4,1, tabname) ), "")</f>
        <v/>
      </c>
      <c r="C50" s="10" t="str">
        <f ca="1">TEXT( INDIRECT( ADDRESS( ROW() + Row_Offset, INDIRECT( "Column_Number_" &amp; C$1), 4,1, tabname) ), "")</f>
        <v>Urban farm. Volume 6 Number 4  (July/August 2014)</v>
      </c>
      <c r="D50" s="10" t="str">
        <f ca="1">TEXT( INDIRECT( ADDRESS( ROW() + Row_Offset, INDIRECT( "Column_Number_" &amp; D$1), 4,1, tabname) ), "")</f>
        <v>Magazine</v>
      </c>
      <c r="E50" s="10" t="str">
        <f ca="1">TEXT( INDIRECT( ADDRESS( ROW() + Row_Offset, INDIRECT( "Column_Number_" &amp; E$1), 4,1, tabname) ), "####")</f>
        <v>2009</v>
      </c>
      <c r="F50" s="15"/>
      <c r="G50" s="21">
        <f ca="1">IFERROR(INDEX(Rank_Table[],MATCH($D50&amp;$A50,Table4[Join],0)),"")</f>
        <v>95</v>
      </c>
      <c r="H50" s="11" t="str">
        <f ca="1">IF(AND(D50="Juvenile Audiobook",LEFT(B50,8)="J CD BIO"),RIGHT(B50,LEN(B50)-9),
IF(AND(D50="Juvenile Audiobook",LEFT(B50,8)="J CD FIC"),B50,
IF(D50="Juvenile Audiobook",RIGHT(B50,LEN(B50)-5),
IF(AND(D50="Teen Audiobook",LEFT(B50,11)="TEEN CD BIO"),RIGHT(B50,LEN(B50)-12),
IF(AND(D50="Teen Audiobook",LEFT(B50,11)="TEEN CD FIC"),B50,
IF(D50="Juvenile Audiobook",RIGHT(B50,LEN(B50)-8),
IF(D50="Juvenile Nonfiction",RIGHT(B50,LEN(B50)-2),
IF(D50="Teen Nonfiction",RIGHT(B50,LEN(B50)-5),
IF(AND(D50="Audiobook",
              NOT(OR(Contains($B50,"CD BIO"),Contains($B50,"CD FIC")))),RIGHT(B50,LEN(B50)-3),
IF(D50="Juvenile Biography",RIGHT(B50,LEN(B50)-2),
IF(D50="Teen Biography",RIGHT(B50,LEN(B50)-5),
IF(AND(D50="Audiobook",
              IFERROR(FIND("BIO",$B50)&gt;0,FALSE)),RIGHT(B50,LEN(B50)-3),
IF(D50="Juvenile Large Type","J "&amp;RIGHT(B50,LEN(B50)-11),
IF(D50="Teen Large Type","TEEN "&amp;RIGHT(B50,LEN(B50)-14),
IF(D50="Reference",RIGHT(B50,LEN(B50)-4),
IF(D50="DVD Educational",RIGHT(B50,LEN(B50)-7),
IF(D50="Juvenile DVD Educational",RIGHT(B50,LEN(B50)-9),
B50)))))))))))))))))</f>
        <v/>
      </c>
    </row>
    <row r="51" spans="1:8" ht="27" customHeight="1" x14ac:dyDescent="0.25">
      <c r="A51" s="10" t="str">
        <f ca="1">TEXT( INDIRECT( ADDRESS( ROW() + Row_Offset, INDIRECT( "Column_Number_" &amp; A$1), 4,1, tabname) ), "")</f>
        <v>In Library Use Only</v>
      </c>
      <c r="B51" s="10" t="str">
        <f ca="1">TEXT(  IFERROR( VLOOKUP( $D51, CollName_Simplifier_Table[], 2, FALSE),"") &amp;
        INDIRECT( ADDRESS( ROW() + Row_Offset, INDIRECT( "Column_Number_" &amp; $B$1), 4,1, tabname) ), "")</f>
        <v/>
      </c>
      <c r="C51" s="10" t="str">
        <f ca="1">TEXT( INDIRECT( ADDRESS( ROW() + Row_Offset, INDIRECT( "Column_Number_" &amp; C$1), 4,1, tabname) ), "")</f>
        <v>Horse &amp; rider v. 53 no. 8  (Aug. 2014)</v>
      </c>
      <c r="D51" s="10" t="str">
        <f ca="1">TEXT( INDIRECT( ADDRESS( ROW() + Row_Offset, INDIRECT( "Column_Number_" &amp; D$1), 4,1, tabname) ), "")</f>
        <v>Magazine</v>
      </c>
      <c r="E51" s="10" t="str">
        <f ca="1">TEXT( INDIRECT( ADDRESS( ROW() + Row_Offset, INDIRECT( "Column_Number_" &amp; E$1), 4,1, tabname) ), "####")</f>
        <v>1968</v>
      </c>
      <c r="F51" s="15"/>
      <c r="G51" s="21">
        <f ca="1">IFERROR(INDEX(Rank_Table[],MATCH($D51&amp;$A51,Table4[Join],0)),"")</f>
        <v>95</v>
      </c>
      <c r="H51" s="11" t="str">
        <f ca="1">IF(AND(D51="Juvenile Audiobook",LEFT(B51,8)="J CD BIO"),RIGHT(B51,LEN(B51)-9),
IF(AND(D51="Juvenile Audiobook",LEFT(B51,8)="J CD FIC"),B51,
IF(D51="Juvenile Audiobook",RIGHT(B51,LEN(B51)-5),
IF(AND(D51="Teen Audiobook",LEFT(B51,11)="TEEN CD BIO"),RIGHT(B51,LEN(B51)-12),
IF(AND(D51="Teen Audiobook",LEFT(B51,11)="TEEN CD FIC"),B51,
IF(D51="Juvenile Audiobook",RIGHT(B51,LEN(B51)-8),
IF(D51="Juvenile Nonfiction",RIGHT(B51,LEN(B51)-2),
IF(D51="Teen Nonfiction",RIGHT(B51,LEN(B51)-5),
IF(AND(D51="Audiobook",
              NOT(OR(Contains($B51,"CD BIO"),Contains($B51,"CD FIC")))),RIGHT(B51,LEN(B51)-3),
IF(D51="Juvenile Biography",RIGHT(B51,LEN(B51)-2),
IF(D51="Teen Biography",RIGHT(B51,LEN(B51)-5),
IF(AND(D51="Audiobook",
              IFERROR(FIND("BIO",$B51)&gt;0,FALSE)),RIGHT(B51,LEN(B51)-3),
IF(D51="Juvenile Large Type","J "&amp;RIGHT(B51,LEN(B51)-11),
IF(D51="Teen Large Type","TEEN "&amp;RIGHT(B51,LEN(B51)-14),
IF(D51="Reference",RIGHT(B51,LEN(B51)-4),
IF(D51="DVD Educational",RIGHT(B51,LEN(B51)-7),
IF(D51="Juvenile DVD Educational",RIGHT(B51,LEN(B51)-9),
B51)))))))))))))))))</f>
        <v/>
      </c>
    </row>
    <row r="52" spans="1:8" ht="27" customHeight="1" x14ac:dyDescent="0.25">
      <c r="A52" s="10" t="str">
        <f ca="1">TEXT( INDIRECT( ADDRESS( ROW() + Row_Offset, INDIRECT( "Column_Number_" &amp; A$1), 4,1, tabname) ), "")</f>
        <v>In Library Use Only</v>
      </c>
      <c r="B52" s="10" t="str">
        <f ca="1">TEXT(  IFERROR( VLOOKUP( $D52, CollName_Simplifier_Table[], 2, FALSE),"") &amp;
        INDIRECT( ADDRESS( ROW() + Row_Offset, INDIRECT( "Column_Number_" &amp; $B$1), 4,1, tabname) ), "")</f>
        <v/>
      </c>
      <c r="C52" s="10" t="str">
        <f ca="1">TEXT( INDIRECT( ADDRESS( ROW() + Row_Offset, INDIRECT( "Column_Number_" &amp; C$1), 4,1, tabname) ), "")</f>
        <v>Shape v. 33 no. 10  (July/Aug. 2014)</v>
      </c>
      <c r="D52" s="10" t="str">
        <f ca="1">TEXT( INDIRECT( ADDRESS( ROW() + Row_Offset, INDIRECT( "Column_Number_" &amp; D$1), 4,1, tabname) ), "")</f>
        <v>Magazine</v>
      </c>
      <c r="E52" s="10" t="str">
        <f ca="1">TEXT( INDIRECT( ADDRESS( ROW() + Row_Offset, INDIRECT( "Column_Number_" &amp; E$1), 4,1, tabname) ), "####")</f>
        <v/>
      </c>
      <c r="F52" s="15"/>
      <c r="G52" s="21">
        <f ca="1">IFERROR(INDEX(Rank_Table[],MATCH($D52&amp;$A52,Table4[Join],0)),"")</f>
        <v>95</v>
      </c>
      <c r="H52" s="11" t="str">
        <f ca="1">IF(AND(D52="Juvenile Audiobook",LEFT(B52,8)="J CD BIO"),RIGHT(B52,LEN(B52)-9),
IF(AND(D52="Juvenile Audiobook",LEFT(B52,8)="J CD FIC"),B52,
IF(D52="Juvenile Audiobook",RIGHT(B52,LEN(B52)-5),
IF(AND(D52="Teen Audiobook",LEFT(B52,11)="TEEN CD BIO"),RIGHT(B52,LEN(B52)-12),
IF(AND(D52="Teen Audiobook",LEFT(B52,11)="TEEN CD FIC"),B52,
IF(D52="Juvenile Audiobook",RIGHT(B52,LEN(B52)-8),
IF(D52="Juvenile Nonfiction",RIGHT(B52,LEN(B52)-2),
IF(D52="Teen Nonfiction",RIGHT(B52,LEN(B52)-5),
IF(AND(D52="Audiobook",
              NOT(OR(Contains($B52,"CD BIO"),Contains($B52,"CD FIC")))),RIGHT(B52,LEN(B52)-3),
IF(D52="Juvenile Biography",RIGHT(B52,LEN(B52)-2),
IF(D52="Teen Biography",RIGHT(B52,LEN(B52)-5),
IF(AND(D52="Audiobook",
              IFERROR(FIND("BIO",$B52)&gt;0,FALSE)),RIGHT(B52,LEN(B52)-3),
IF(D52="Juvenile Large Type","J "&amp;RIGHT(B52,LEN(B52)-11),
IF(D52="Teen Large Type","TEEN "&amp;RIGHT(B52,LEN(B52)-14),
IF(D52="Reference",RIGHT(B52,LEN(B52)-4),
IF(D52="DVD Educational",RIGHT(B52,LEN(B52)-7),
IF(D52="Juvenile DVD Educational",RIGHT(B52,LEN(B52)-9),
B52)))))))))))))))))</f>
        <v/>
      </c>
    </row>
    <row r="53" spans="1:8" ht="27" customHeight="1" x14ac:dyDescent="0.25">
      <c r="A53" s="10" t="str">
        <f ca="1">TEXT( INDIRECT( ADDRESS( ROW() + Row_Offset, INDIRECT( "Column_Number_" &amp; A$1), 4,1, tabname) ), "")</f>
        <v>In Library Use Only</v>
      </c>
      <c r="B53" s="10" t="str">
        <f ca="1">TEXT(  IFERROR( VLOOKUP( $D53, CollName_Simplifier_Table[], 2, FALSE),"") &amp;
        INDIRECT( ADDRESS( ROW() + Row_Offset, INDIRECT( "Column_Number_" &amp; $B$1), 4,1, tabname) ), "")</f>
        <v/>
      </c>
      <c r="C53" s="10" t="str">
        <f ca="1">TEXT( INDIRECT( ADDRESS( ROW() + Row_Offset, INDIRECT( "Column_Number_" &amp; C$1), 4,1, tabname) ), "")</f>
        <v>Fine homebuilding no. 245  (Aug./Sep. 2014)</v>
      </c>
      <c r="D53" s="10" t="str">
        <f ca="1">TEXT( INDIRECT( ADDRESS( ROW() + Row_Offset, INDIRECT( "Column_Number_" &amp; D$1), 4,1, tabname) ), "")</f>
        <v>Magazine</v>
      </c>
      <c r="E53" s="10" t="str">
        <f ca="1">TEXT( INDIRECT( ADDRESS( ROW() + Row_Offset, INDIRECT( "Column_Number_" &amp; E$1), 4,1, tabname) ), "####")</f>
        <v>1981</v>
      </c>
      <c r="F53" s="15"/>
      <c r="G53" s="21">
        <f ca="1">IFERROR(INDEX(Rank_Table[],MATCH($D53&amp;$A53,Table4[Join],0)),"")</f>
        <v>95</v>
      </c>
      <c r="H53" s="11" t="str">
        <f ca="1">IF(AND(D53="Juvenile Audiobook",LEFT(B53,8)="J CD BIO"),RIGHT(B53,LEN(B53)-9),
IF(AND(D53="Juvenile Audiobook",LEFT(B53,8)="J CD FIC"),B53,
IF(D53="Juvenile Audiobook",RIGHT(B53,LEN(B53)-5),
IF(AND(D53="Teen Audiobook",LEFT(B53,11)="TEEN CD BIO"),RIGHT(B53,LEN(B53)-12),
IF(AND(D53="Teen Audiobook",LEFT(B53,11)="TEEN CD FIC"),B53,
IF(D53="Juvenile Audiobook",RIGHT(B53,LEN(B53)-8),
IF(D53="Juvenile Nonfiction",RIGHT(B53,LEN(B53)-2),
IF(D53="Teen Nonfiction",RIGHT(B53,LEN(B53)-5),
IF(AND(D53="Audiobook",
              NOT(OR(Contains($B53,"CD BIO"),Contains($B53,"CD FIC")))),RIGHT(B53,LEN(B53)-3),
IF(D53="Juvenile Biography",RIGHT(B53,LEN(B53)-2),
IF(D53="Teen Biography",RIGHT(B53,LEN(B53)-5),
IF(AND(D53="Audiobook",
              IFERROR(FIND("BIO",$B53)&gt;0,FALSE)),RIGHT(B53,LEN(B53)-3),
IF(D53="Juvenile Large Type","J "&amp;RIGHT(B53,LEN(B53)-11),
IF(D53="Teen Large Type","TEEN "&amp;RIGHT(B53,LEN(B53)-14),
IF(D53="Reference",RIGHT(B53,LEN(B53)-4),
IF(D53="DVD Educational",RIGHT(B53,LEN(B53)-7),
IF(D53="Juvenile DVD Educational",RIGHT(B53,LEN(B53)-9),
B53)))))))))))))))))</f>
        <v/>
      </c>
    </row>
    <row r="54" spans="1:8" ht="27" customHeight="1" x14ac:dyDescent="0.25">
      <c r="A54" s="10" t="str">
        <f ca="1">TEXT( INDIRECT( ADDRESS( ROW() + Row_Offset, INDIRECT( "Column_Number_" &amp; A$1), 4,1, tabname) ), "")</f>
        <v>In Library Use Only</v>
      </c>
      <c r="B54" s="10" t="str">
        <f ca="1">TEXT(  IFERROR( VLOOKUP( $D54, CollName_Simplifier_Table[], 2, FALSE),"") &amp;
        INDIRECT( ADDRESS( ROW() + Row_Offset, INDIRECT( "Column_Number_" &amp; $B$1), 4,1, tabname) ), "")</f>
        <v/>
      </c>
      <c r="C54" s="10" t="str">
        <f ca="1">TEXT( INDIRECT( ADDRESS( ROW() + Row_Offset, INDIRECT( "Column_Number_" &amp; C$1), 4,1, tabname) ), "")</f>
        <v>House beautiful. v. 156 no. 6  (July/Aug. 2014)</v>
      </c>
      <c r="D54" s="10" t="str">
        <f ca="1">TEXT( INDIRECT( ADDRESS( ROW() + Row_Offset, INDIRECT( "Column_Number_" &amp; D$1), 4,1, tabname) ), "")</f>
        <v>Magazine</v>
      </c>
      <c r="E54" s="10" t="str">
        <f ca="1">TEXT( INDIRECT( ADDRESS( ROW() + Row_Offset, INDIRECT( "Column_Number_" &amp; E$1), 4,1, tabname) ), "####")</f>
        <v>1896</v>
      </c>
      <c r="F54" s="15"/>
      <c r="G54" s="21">
        <f ca="1">IFERROR(INDEX(Rank_Table[],MATCH($D54&amp;$A54,Table4[Join],0)),"")</f>
        <v>95</v>
      </c>
      <c r="H54" s="11" t="str">
        <f ca="1">IF(AND(D54="Juvenile Audiobook",LEFT(B54,8)="J CD BIO"),RIGHT(B54,LEN(B54)-9),
IF(AND(D54="Juvenile Audiobook",LEFT(B54,8)="J CD FIC"),B54,
IF(D54="Juvenile Audiobook",RIGHT(B54,LEN(B54)-5),
IF(AND(D54="Teen Audiobook",LEFT(B54,11)="TEEN CD BIO"),RIGHT(B54,LEN(B54)-12),
IF(AND(D54="Teen Audiobook",LEFT(B54,11)="TEEN CD FIC"),B54,
IF(D54="Juvenile Audiobook",RIGHT(B54,LEN(B54)-8),
IF(D54="Juvenile Nonfiction",RIGHT(B54,LEN(B54)-2),
IF(D54="Teen Nonfiction",RIGHT(B54,LEN(B54)-5),
IF(AND(D54="Audiobook",
              NOT(OR(Contains($B54,"CD BIO"),Contains($B54,"CD FIC")))),RIGHT(B54,LEN(B54)-3),
IF(D54="Juvenile Biography",RIGHT(B54,LEN(B54)-2),
IF(D54="Teen Biography",RIGHT(B54,LEN(B54)-5),
IF(AND(D54="Audiobook",
              IFERROR(FIND("BIO",$B54)&gt;0,FALSE)),RIGHT(B54,LEN(B54)-3),
IF(D54="Juvenile Large Type","J "&amp;RIGHT(B54,LEN(B54)-11),
IF(D54="Teen Large Type","TEEN "&amp;RIGHT(B54,LEN(B54)-14),
IF(D54="Reference",RIGHT(B54,LEN(B54)-4),
IF(D54="DVD Educational",RIGHT(B54,LEN(B54)-7),
IF(D54="Juvenile DVD Educational",RIGHT(B54,LEN(B54)-9),
B54)))))))))))))))))</f>
        <v/>
      </c>
    </row>
    <row r="55" spans="1:8" ht="27" customHeight="1" x14ac:dyDescent="0.25">
      <c r="A55" s="10" t="str">
        <f ca="1">TEXT( INDIRECT( ADDRESS( ROW() + Row_Offset, INDIRECT( "Column_Number_" &amp; A$1), 4,1, tabname) ), "")</f>
        <v>In Library Use Only</v>
      </c>
      <c r="B55" s="10" t="str">
        <f ca="1">TEXT(  IFERROR( VLOOKUP( $D55, CollName_Simplifier_Table[], 2, FALSE),"") &amp;
        INDIRECT( ADDRESS( ROW() + Row_Offset, INDIRECT( "Column_Number_" &amp; $B$1), 4,1, tabname) ), "")</f>
        <v/>
      </c>
      <c r="C55" s="10" t="str">
        <f ca="1">TEXT( INDIRECT( ADDRESS( ROW() + Row_Offset, INDIRECT( "Column_Number_" &amp; C$1), 4,1, tabname) ), "")</f>
        <v>Men's health. v. 29 no. 7  (Sep. 2014)</v>
      </c>
      <c r="D55" s="10" t="str">
        <f ca="1">TEXT( INDIRECT( ADDRESS( ROW() + Row_Offset, INDIRECT( "Column_Number_" &amp; D$1), 4,1, tabname) ), "")</f>
        <v>Magazine</v>
      </c>
      <c r="E55" s="10" t="str">
        <f ca="1">TEXT( INDIRECT( ADDRESS( ROW() + Row_Offset, INDIRECT( "Column_Number_" &amp; E$1), 4,1, tabname) ), "####")</f>
        <v>1987</v>
      </c>
      <c r="F55" s="15"/>
      <c r="G55" s="21">
        <f ca="1">IFERROR(INDEX(Rank_Table[],MATCH($D55&amp;$A55,Table4[Join],0)),"")</f>
        <v>95</v>
      </c>
      <c r="H55" s="11" t="str">
        <f ca="1">IF(AND(D55="Juvenile Audiobook",LEFT(B55,8)="J CD BIO"),RIGHT(B55,LEN(B55)-9),
IF(AND(D55="Juvenile Audiobook",LEFT(B55,8)="J CD FIC"),B55,
IF(D55="Juvenile Audiobook",RIGHT(B55,LEN(B55)-5),
IF(AND(D55="Teen Audiobook",LEFT(B55,11)="TEEN CD BIO"),RIGHT(B55,LEN(B55)-12),
IF(AND(D55="Teen Audiobook",LEFT(B55,11)="TEEN CD FIC"),B55,
IF(D55="Juvenile Audiobook",RIGHT(B55,LEN(B55)-8),
IF(D55="Juvenile Nonfiction",RIGHT(B55,LEN(B55)-2),
IF(D55="Teen Nonfiction",RIGHT(B55,LEN(B55)-5),
IF(AND(D55="Audiobook",
              NOT(OR(Contains($B55,"CD BIO"),Contains($B55,"CD FIC")))),RIGHT(B55,LEN(B55)-3),
IF(D55="Juvenile Biography",RIGHT(B55,LEN(B55)-2),
IF(D55="Teen Biography",RIGHT(B55,LEN(B55)-5),
IF(AND(D55="Audiobook",
              IFERROR(FIND("BIO",$B55)&gt;0,FALSE)),RIGHT(B55,LEN(B55)-3),
IF(D55="Juvenile Large Type","J "&amp;RIGHT(B55,LEN(B55)-11),
IF(D55="Teen Large Type","TEEN "&amp;RIGHT(B55,LEN(B55)-14),
IF(D55="Reference",RIGHT(B55,LEN(B55)-4),
IF(D55="DVD Educational",RIGHT(B55,LEN(B55)-7),
IF(D55="Juvenile DVD Educational",RIGHT(B55,LEN(B55)-9),
B55)))))))))))))))))</f>
        <v/>
      </c>
    </row>
    <row r="56" spans="1:8" ht="27" customHeight="1" x14ac:dyDescent="0.25">
      <c r="A56" s="10" t="str">
        <f ca="1">TEXT( INDIRECT( ADDRESS( ROW() + Row_Offset, INDIRECT( "Column_Number_" &amp; A$1), 4,1, tabname) ), "")</f>
        <v>In Library Use Only</v>
      </c>
      <c r="B56" s="10" t="str">
        <f ca="1">TEXT(  IFERROR( VLOOKUP( $D56, CollName_Simplifier_Table[], 2, FALSE),"") &amp;
        INDIRECT( ADDRESS( ROW() + Row_Offset, INDIRECT( "Column_Number_" &amp; $B$1), 4,1, tabname) ), "")</f>
        <v/>
      </c>
      <c r="C56" s="10" t="str">
        <f ca="1">TEXT( INDIRECT( ADDRESS( ROW() + Row_Offset, INDIRECT( "Column_Number_" &amp; C$1), 4,1, tabname) ), "")</f>
        <v>Altered couture. v. 9 no. 3  (Aug./Oct. 2014)</v>
      </c>
      <c r="D56" s="10" t="str">
        <f ca="1">TEXT( INDIRECT( ADDRESS( ROW() + Row_Offset, INDIRECT( "Column_Number_" &amp; D$1), 4,1, tabname) ), "")</f>
        <v>Magazine</v>
      </c>
      <c r="E56" s="10" t="str">
        <f ca="1">TEXT( INDIRECT( ADDRESS( ROW() + Row_Offset, INDIRECT( "Column_Number_" &amp; E$1), 4,1, tabname) ), "####")</f>
        <v>2006</v>
      </c>
      <c r="F56" s="15"/>
      <c r="G56" s="21">
        <f ca="1">IFERROR(INDEX(Rank_Table[],MATCH($D56&amp;$A56,Table4[Join],0)),"")</f>
        <v>95</v>
      </c>
      <c r="H56" s="11" t="str">
        <f ca="1">IF(AND(D56="Juvenile Audiobook",LEFT(B56,8)="J CD BIO"),RIGHT(B56,LEN(B56)-9),
IF(AND(D56="Juvenile Audiobook",LEFT(B56,8)="J CD FIC"),B56,
IF(D56="Juvenile Audiobook",RIGHT(B56,LEN(B56)-5),
IF(AND(D56="Teen Audiobook",LEFT(B56,11)="TEEN CD BIO"),RIGHT(B56,LEN(B56)-12),
IF(AND(D56="Teen Audiobook",LEFT(B56,11)="TEEN CD FIC"),B56,
IF(D56="Juvenile Audiobook",RIGHT(B56,LEN(B56)-8),
IF(D56="Juvenile Nonfiction",RIGHT(B56,LEN(B56)-2),
IF(D56="Teen Nonfiction",RIGHT(B56,LEN(B56)-5),
IF(AND(D56="Audiobook",
              NOT(OR(Contains($B56,"CD BIO"),Contains($B56,"CD FIC")))),RIGHT(B56,LEN(B56)-3),
IF(D56="Juvenile Biography",RIGHT(B56,LEN(B56)-2),
IF(D56="Teen Biography",RIGHT(B56,LEN(B56)-5),
IF(AND(D56="Audiobook",
              IFERROR(FIND("BIO",$B56)&gt;0,FALSE)),RIGHT(B56,LEN(B56)-3),
IF(D56="Juvenile Large Type","J "&amp;RIGHT(B56,LEN(B56)-11),
IF(D56="Teen Large Type","TEEN "&amp;RIGHT(B56,LEN(B56)-14),
IF(D56="Reference",RIGHT(B56,LEN(B56)-4),
IF(D56="DVD Educational",RIGHT(B56,LEN(B56)-7),
IF(D56="Juvenile DVD Educational",RIGHT(B56,LEN(B56)-9),
B56)))))))))))))))))</f>
        <v/>
      </c>
    </row>
    <row r="57" spans="1:8" ht="27" customHeight="1" x14ac:dyDescent="0.25">
      <c r="A57" s="10" t="str">
        <f ca="1">TEXT( INDIRECT( ADDRESS( ROW() + Row_Offset, INDIRECT( "Column_Number_" &amp; A$1), 4,1, tabname) ), "")</f>
        <v>In Library Use Only</v>
      </c>
      <c r="B57" s="10" t="str">
        <f ca="1">TEXT(  IFERROR( VLOOKUP( $D57, CollName_Simplifier_Table[], 2, FALSE),"") &amp;
        INDIRECT( ADDRESS( ROW() + Row_Offset, INDIRECT( "Column_Number_" &amp; $B$1), 4,1, tabname) ), "")</f>
        <v/>
      </c>
      <c r="C57" s="10" t="str">
        <f ca="1">TEXT( INDIRECT( ADDRESS( ROW() + Row_Offset, INDIRECT( "Column_Number_" &amp; C$1), 4,1, tabname) ), "")</f>
        <v>Fons and Porter's for the love of quilting. v. 19 no. 3  (July/Aug. 2014)</v>
      </c>
      <c r="D57" s="10" t="str">
        <f ca="1">TEXT( INDIRECT( ADDRESS( ROW() + Row_Offset, INDIRECT( "Column_Number_" &amp; D$1), 4,1, tabname) ), "")</f>
        <v>Magazine</v>
      </c>
      <c r="E57" s="10" t="str">
        <f ca="1">TEXT( INDIRECT( ADDRESS( ROW() + Row_Offset, INDIRECT( "Column_Number_" &amp; E$1), 4,1, tabname) ), "####")</f>
        <v>1999</v>
      </c>
      <c r="F57" s="15"/>
      <c r="G57" s="21">
        <f ca="1">IFERROR(INDEX(Rank_Table[],MATCH($D57&amp;$A57,Table4[Join],0)),"")</f>
        <v>95</v>
      </c>
      <c r="H57" s="11" t="str">
        <f ca="1">IF(AND(D57="Juvenile Audiobook",LEFT(B57,8)="J CD BIO"),RIGHT(B57,LEN(B57)-9),
IF(AND(D57="Juvenile Audiobook",LEFT(B57,8)="J CD FIC"),B57,
IF(D57="Juvenile Audiobook",RIGHT(B57,LEN(B57)-5),
IF(AND(D57="Teen Audiobook",LEFT(B57,11)="TEEN CD BIO"),RIGHT(B57,LEN(B57)-12),
IF(AND(D57="Teen Audiobook",LEFT(B57,11)="TEEN CD FIC"),B57,
IF(D57="Juvenile Audiobook",RIGHT(B57,LEN(B57)-8),
IF(D57="Juvenile Nonfiction",RIGHT(B57,LEN(B57)-2),
IF(D57="Teen Nonfiction",RIGHT(B57,LEN(B57)-5),
IF(AND(D57="Audiobook",
              NOT(OR(Contains($B57,"CD BIO"),Contains($B57,"CD FIC")))),RIGHT(B57,LEN(B57)-3),
IF(D57="Juvenile Biography",RIGHT(B57,LEN(B57)-2),
IF(D57="Teen Biography",RIGHT(B57,LEN(B57)-5),
IF(AND(D57="Audiobook",
              IFERROR(FIND("BIO",$B57)&gt;0,FALSE)),RIGHT(B57,LEN(B57)-3),
IF(D57="Juvenile Large Type","J "&amp;RIGHT(B57,LEN(B57)-11),
IF(D57="Teen Large Type","TEEN "&amp;RIGHT(B57,LEN(B57)-14),
IF(D57="Reference",RIGHT(B57,LEN(B57)-4),
IF(D57="DVD Educational",RIGHT(B57,LEN(B57)-7),
IF(D57="Juvenile DVD Educational",RIGHT(B57,LEN(B57)-9),
B57)))))))))))))))))</f>
        <v/>
      </c>
    </row>
    <row r="58" spans="1:8" ht="27" customHeight="1" x14ac:dyDescent="0.25">
      <c r="A58" s="10" t="str">
        <f ca="1">TEXT( INDIRECT( ADDRESS( ROW() + Row_Offset, INDIRECT( "Column_Number_" &amp; A$1), 4,1, tabname) ), "")</f>
        <v>In Library Use Only</v>
      </c>
      <c r="B58" s="10" t="str">
        <f ca="1">TEXT(  IFERROR( VLOOKUP( $D58, CollName_Simplifier_Table[], 2, FALSE),"") &amp;
        INDIRECT( ADDRESS( ROW() + Row_Offset, INDIRECT( "Column_Number_" &amp; $B$1), 4,1, tabname) ), "")</f>
        <v/>
      </c>
      <c r="C58" s="10" t="str">
        <f ca="1">TEXT( INDIRECT( ADDRESS( ROW() + Row_Offset, INDIRECT( "Column_Number_" &amp; C$1), 4,1, tabname) ), "")</f>
        <v>Salmon trout steelheader v. 47 no. 10  (Aug. 2014)</v>
      </c>
      <c r="D58" s="10" t="str">
        <f ca="1">TEXT( INDIRECT( ADDRESS( ROW() + Row_Offset, INDIRECT( "Column_Number_" &amp; D$1), 4,1, tabname) ), "")</f>
        <v>Magazine</v>
      </c>
      <c r="E58" s="10" t="str">
        <f ca="1">TEXT( INDIRECT( ADDRESS( ROW() + Row_Offset, INDIRECT( "Column_Number_" &amp; E$1), 4,1, tabname) ), "####")</f>
        <v>1967</v>
      </c>
      <c r="F58" s="15"/>
      <c r="G58" s="21">
        <f ca="1">IFERROR(INDEX(Rank_Table[],MATCH($D58&amp;$A58,Table4[Join],0)),"")</f>
        <v>95</v>
      </c>
      <c r="H58" s="11" t="str">
        <f ca="1">IF(AND(D58="Juvenile Audiobook",LEFT(B58,8)="J CD BIO"),RIGHT(B58,LEN(B58)-9),
IF(AND(D58="Juvenile Audiobook",LEFT(B58,8)="J CD FIC"),B58,
IF(D58="Juvenile Audiobook",RIGHT(B58,LEN(B58)-5),
IF(AND(D58="Teen Audiobook",LEFT(B58,11)="TEEN CD BIO"),RIGHT(B58,LEN(B58)-12),
IF(AND(D58="Teen Audiobook",LEFT(B58,11)="TEEN CD FIC"),B58,
IF(D58="Juvenile Audiobook",RIGHT(B58,LEN(B58)-8),
IF(D58="Juvenile Nonfiction",RIGHT(B58,LEN(B58)-2),
IF(D58="Teen Nonfiction",RIGHT(B58,LEN(B58)-5),
IF(AND(D58="Audiobook",
              NOT(OR(Contains($B58,"CD BIO"),Contains($B58,"CD FIC")))),RIGHT(B58,LEN(B58)-3),
IF(D58="Juvenile Biography",RIGHT(B58,LEN(B58)-2),
IF(D58="Teen Biography",RIGHT(B58,LEN(B58)-5),
IF(AND(D58="Audiobook",
              IFERROR(FIND("BIO",$B58)&gt;0,FALSE)),RIGHT(B58,LEN(B58)-3),
IF(D58="Juvenile Large Type","J "&amp;RIGHT(B58,LEN(B58)-11),
IF(D58="Teen Large Type","TEEN "&amp;RIGHT(B58,LEN(B58)-14),
IF(D58="Reference",RIGHT(B58,LEN(B58)-4),
IF(D58="DVD Educational",RIGHT(B58,LEN(B58)-7),
IF(D58="Juvenile DVD Educational",RIGHT(B58,LEN(B58)-9),
B58)))))))))))))))))</f>
        <v/>
      </c>
    </row>
    <row r="59" spans="1:8" ht="27" customHeight="1" x14ac:dyDescent="0.25">
      <c r="A59" s="10" t="str">
        <f ca="1">TEXT( INDIRECT( ADDRESS( ROW() + Row_Offset, INDIRECT( "Column_Number_" &amp; A$1), 4,1, tabname) ), "")</f>
        <v>In Library Use Only</v>
      </c>
      <c r="B59" s="10" t="str">
        <f ca="1">TEXT(  IFERROR( VLOOKUP( $D59, CollName_Simplifier_Table[], 2, FALSE),"") &amp;
        INDIRECT( ADDRESS( ROW() + Row_Offset, INDIRECT( "Column_Number_" &amp; $B$1), 4,1, tabname) ), "")</f>
        <v/>
      </c>
      <c r="C59" s="10" t="str">
        <f ca="1">TEXT( INDIRECT( ADDRESS( ROW() + Row_Offset, INDIRECT( "Column_Number_" &amp; C$1), 4,1, tabname) ), "")</f>
        <v>Model airplane news Vol. 142 No. 10  (October 2014)</v>
      </c>
      <c r="D59" s="10" t="str">
        <f ca="1">TEXT( INDIRECT( ADDRESS( ROW() + Row_Offset, INDIRECT( "Column_Number_" &amp; D$1), 4,1, tabname) ), "")</f>
        <v>Magazine</v>
      </c>
      <c r="E59" s="10" t="str">
        <f ca="1">TEXT( INDIRECT( ADDRESS( ROW() + Row_Offset, INDIRECT( "Column_Number_" &amp; E$1), 4,1, tabname) ), "####")</f>
        <v>1935</v>
      </c>
      <c r="F59" s="15"/>
      <c r="G59" s="21">
        <f ca="1">IFERROR(INDEX(Rank_Table[],MATCH($D59&amp;$A59,Table4[Join],0)),"")</f>
        <v>95</v>
      </c>
      <c r="H59" s="11" t="str">
        <f ca="1">IF(AND(D59="Juvenile Audiobook",LEFT(B59,8)="J CD BIO"),RIGHT(B59,LEN(B59)-9),
IF(AND(D59="Juvenile Audiobook",LEFT(B59,8)="J CD FIC"),B59,
IF(D59="Juvenile Audiobook",RIGHT(B59,LEN(B59)-5),
IF(AND(D59="Teen Audiobook",LEFT(B59,11)="TEEN CD BIO"),RIGHT(B59,LEN(B59)-12),
IF(AND(D59="Teen Audiobook",LEFT(B59,11)="TEEN CD FIC"),B59,
IF(D59="Juvenile Audiobook",RIGHT(B59,LEN(B59)-8),
IF(D59="Juvenile Nonfiction",RIGHT(B59,LEN(B59)-2),
IF(D59="Teen Nonfiction",RIGHT(B59,LEN(B59)-5),
IF(AND(D59="Audiobook",
              NOT(OR(Contains($B59,"CD BIO"),Contains($B59,"CD FIC")))),RIGHT(B59,LEN(B59)-3),
IF(D59="Juvenile Biography",RIGHT(B59,LEN(B59)-2),
IF(D59="Teen Biography",RIGHT(B59,LEN(B59)-5),
IF(AND(D59="Audiobook",
              IFERROR(FIND("BIO",$B59)&gt;0,FALSE)),RIGHT(B59,LEN(B59)-3),
IF(D59="Juvenile Large Type","J "&amp;RIGHT(B59,LEN(B59)-11),
IF(D59="Teen Large Type","TEEN "&amp;RIGHT(B59,LEN(B59)-14),
IF(D59="Reference",RIGHT(B59,LEN(B59)-4),
IF(D59="DVD Educational",RIGHT(B59,LEN(B59)-7),
IF(D59="Juvenile DVD Educational",RIGHT(B59,LEN(B59)-9),
B59)))))))))))))))))</f>
        <v/>
      </c>
    </row>
    <row r="60" spans="1:8" ht="27" customHeight="1" x14ac:dyDescent="0.25">
      <c r="A60" s="10" t="str">
        <f ca="1">TEXT( INDIRECT( ADDRESS( ROW() + Row_Offset, INDIRECT( "Column_Number_" &amp; A$1), 4,1, tabname) ), "")</f>
        <v>In Library Use Only</v>
      </c>
      <c r="B60" s="10" t="str">
        <f ca="1">TEXT(  IFERROR( VLOOKUP( $D60, CollName_Simplifier_Table[], 2, FALSE),"") &amp;
        INDIRECT( ADDRESS( ROW() + Row_Offset, INDIRECT( "Column_Number_" &amp; $B$1), 4,1, tabname) ), "")</f>
        <v/>
      </c>
      <c r="C60" s="10" t="str">
        <f ca="1">TEXT( INDIRECT( ADDRESS( ROW() + Row_Offset, INDIRECT( "Column_Number_" &amp; C$1), 4,1, tabname) ), "")</f>
        <v>People. v. 82 no. 7  (Aug. 18 2014)</v>
      </c>
      <c r="D60" s="10" t="str">
        <f ca="1">TEXT( INDIRECT( ADDRESS( ROW() + Row_Offset, INDIRECT( "Column_Number_" &amp; D$1), 4,1, tabname) ), "")</f>
        <v>Magazine</v>
      </c>
      <c r="E60" s="10" t="str">
        <f ca="1">TEXT( INDIRECT( ADDRESS( ROW() + Row_Offset, INDIRECT( "Column_Number_" &amp; E$1), 4,1, tabname) ), "####")</f>
        <v>1974</v>
      </c>
      <c r="F60" s="15"/>
      <c r="G60" s="21">
        <f ca="1">IFERROR(INDEX(Rank_Table[],MATCH($D60&amp;$A60,Table4[Join],0)),"")</f>
        <v>95</v>
      </c>
      <c r="H60" s="11" t="str">
        <f ca="1">IF(AND(D60="Juvenile Audiobook",LEFT(B60,8)="J CD BIO"),RIGHT(B60,LEN(B60)-9),
IF(AND(D60="Juvenile Audiobook",LEFT(B60,8)="J CD FIC"),B60,
IF(D60="Juvenile Audiobook",RIGHT(B60,LEN(B60)-5),
IF(AND(D60="Teen Audiobook",LEFT(B60,11)="TEEN CD BIO"),RIGHT(B60,LEN(B60)-12),
IF(AND(D60="Teen Audiobook",LEFT(B60,11)="TEEN CD FIC"),B60,
IF(D60="Juvenile Audiobook",RIGHT(B60,LEN(B60)-8),
IF(D60="Juvenile Nonfiction",RIGHT(B60,LEN(B60)-2),
IF(D60="Teen Nonfiction",RIGHT(B60,LEN(B60)-5),
IF(AND(D60="Audiobook",
              NOT(OR(Contains($B60,"CD BIO"),Contains($B60,"CD FIC")))),RIGHT(B60,LEN(B60)-3),
IF(D60="Juvenile Biography",RIGHT(B60,LEN(B60)-2),
IF(D60="Teen Biography",RIGHT(B60,LEN(B60)-5),
IF(AND(D60="Audiobook",
              IFERROR(FIND("BIO",$B60)&gt;0,FALSE)),RIGHT(B60,LEN(B60)-3),
IF(D60="Juvenile Large Type","J "&amp;RIGHT(B60,LEN(B60)-11),
IF(D60="Teen Large Type","TEEN "&amp;RIGHT(B60,LEN(B60)-14),
IF(D60="Reference",RIGHT(B60,LEN(B60)-4),
IF(D60="DVD Educational",RIGHT(B60,LEN(B60)-7),
IF(D60="Juvenile DVD Educational",RIGHT(B60,LEN(B60)-9),
B60)))))))))))))))))</f>
        <v/>
      </c>
    </row>
    <row r="61" spans="1:8" ht="27" customHeight="1" x14ac:dyDescent="0.25">
      <c r="A61" s="10" t="str">
        <f ca="1">TEXT( INDIRECT( ADDRESS( ROW() + Row_Offset, INDIRECT( "Column_Number_" &amp; A$1), 4,1, tabname) ), "")</f>
        <v>In Library Use Only</v>
      </c>
      <c r="B61" s="10" t="str">
        <f ca="1">TEXT(  IFERROR( VLOOKUP( $D61, CollName_Simplifier_Table[], 2, FALSE),"") &amp;
        INDIRECT( ADDRESS( ROW() + Row_Offset, INDIRECT( "Column_Number_" &amp; $B$1), 4,1, tabname) ), "")</f>
        <v/>
      </c>
      <c r="C61" s="10" t="str">
        <f ca="1">TEXT( INDIRECT( ADDRESS( ROW() + Row_Offset, INDIRECT( "Column_Number_" &amp; C$1), 4,1, tabname) ), "")</f>
        <v>Travel smart. (Apr. 15 2014)</v>
      </c>
      <c r="D61" s="10" t="str">
        <f ca="1">TEXT( INDIRECT( ADDRESS( ROW() + Row_Offset, INDIRECT( "Column_Number_" &amp; D$1), 4,1, tabname) ), "")</f>
        <v>Magazine</v>
      </c>
      <c r="E61" s="10" t="str">
        <f ca="1">TEXT( INDIRECT( ADDRESS( ROW() + Row_Offset, INDIRECT( "Column_Number_" &amp; E$1), 4,1, tabname) ), "####")</f>
        <v>1976</v>
      </c>
      <c r="F61" s="15"/>
      <c r="G61" s="21">
        <f ca="1">IFERROR(INDEX(Rank_Table[],MATCH($D61&amp;$A61,Table4[Join],0)),"")</f>
        <v>95</v>
      </c>
      <c r="H61" s="11" t="str">
        <f ca="1">IF(AND(D61="Juvenile Audiobook",LEFT(B61,8)="J CD BIO"),RIGHT(B61,LEN(B61)-9),
IF(AND(D61="Juvenile Audiobook",LEFT(B61,8)="J CD FIC"),B61,
IF(D61="Juvenile Audiobook",RIGHT(B61,LEN(B61)-5),
IF(AND(D61="Teen Audiobook",LEFT(B61,11)="TEEN CD BIO"),RIGHT(B61,LEN(B61)-12),
IF(AND(D61="Teen Audiobook",LEFT(B61,11)="TEEN CD FIC"),B61,
IF(D61="Juvenile Audiobook",RIGHT(B61,LEN(B61)-8),
IF(D61="Juvenile Nonfiction",RIGHT(B61,LEN(B61)-2),
IF(D61="Teen Nonfiction",RIGHT(B61,LEN(B61)-5),
IF(AND(D61="Audiobook",
              NOT(OR(Contains($B61,"CD BIO"),Contains($B61,"CD FIC")))),RIGHT(B61,LEN(B61)-3),
IF(D61="Juvenile Biography",RIGHT(B61,LEN(B61)-2),
IF(D61="Teen Biography",RIGHT(B61,LEN(B61)-5),
IF(AND(D61="Audiobook",
              IFERROR(FIND("BIO",$B61)&gt;0,FALSE)),RIGHT(B61,LEN(B61)-3),
IF(D61="Juvenile Large Type","J "&amp;RIGHT(B61,LEN(B61)-11),
IF(D61="Teen Large Type","TEEN "&amp;RIGHT(B61,LEN(B61)-14),
IF(D61="Reference",RIGHT(B61,LEN(B61)-4),
IF(D61="DVD Educational",RIGHT(B61,LEN(B61)-7),
IF(D61="Juvenile DVD Educational",RIGHT(B61,LEN(B61)-9),
B61)))))))))))))))))</f>
        <v/>
      </c>
    </row>
    <row r="62" spans="1:8" ht="27" customHeight="1" x14ac:dyDescent="0.25">
      <c r="A62" s="10" t="str">
        <f ca="1">TEXT( INDIRECT( ADDRESS( ROW() + Row_Offset, INDIRECT( "Column_Number_" &amp; A$1), 4,1, tabname) ), "")</f>
        <v>In Library Use Only</v>
      </c>
      <c r="B62" s="10" t="str">
        <f ca="1">TEXT(  IFERROR( VLOOKUP( $D62, CollName_Simplifier_Table[], 2, FALSE),"") &amp;
        INDIRECT( ADDRESS( ROW() + Row_Offset, INDIRECT( "Column_Number_" &amp; $B$1), 4,1, tabname) ), "")</f>
        <v/>
      </c>
      <c r="C62" s="10" t="str">
        <f ca="1">TEXT( INDIRECT( ADDRESS( ROW() + Row_Offset, INDIRECT( "Column_Number_" &amp; C$1), 4,1, tabname) ), "")</f>
        <v>Bookmarks. No. 71  (July/August 2014)</v>
      </c>
      <c r="D62" s="10" t="str">
        <f ca="1">TEXT( INDIRECT( ADDRESS( ROW() + Row_Offset, INDIRECT( "Column_Number_" &amp; D$1), 4,1, tabname) ), "")</f>
        <v>Magazine</v>
      </c>
      <c r="E62" s="10" t="str">
        <f ca="1">TEXT( INDIRECT( ADDRESS( ROW() + Row_Offset, INDIRECT( "Column_Number_" &amp; E$1), 4,1, tabname) ), "####")</f>
        <v>2002</v>
      </c>
      <c r="F62" s="15"/>
      <c r="G62" s="21">
        <f ca="1">IFERROR(INDEX(Rank_Table[],MATCH($D62&amp;$A62,Table4[Join],0)),"")</f>
        <v>95</v>
      </c>
      <c r="H62" s="11" t="str">
        <f ca="1">IF(AND(D62="Juvenile Audiobook",LEFT(B62,8)="J CD BIO"),RIGHT(B62,LEN(B62)-9),
IF(AND(D62="Juvenile Audiobook",LEFT(B62,8)="J CD FIC"),B62,
IF(D62="Juvenile Audiobook",RIGHT(B62,LEN(B62)-5),
IF(AND(D62="Teen Audiobook",LEFT(B62,11)="TEEN CD BIO"),RIGHT(B62,LEN(B62)-12),
IF(AND(D62="Teen Audiobook",LEFT(B62,11)="TEEN CD FIC"),B62,
IF(D62="Juvenile Audiobook",RIGHT(B62,LEN(B62)-8),
IF(D62="Juvenile Nonfiction",RIGHT(B62,LEN(B62)-2),
IF(D62="Teen Nonfiction",RIGHT(B62,LEN(B62)-5),
IF(AND(D62="Audiobook",
              NOT(OR(Contains($B62,"CD BIO"),Contains($B62,"CD FIC")))),RIGHT(B62,LEN(B62)-3),
IF(D62="Juvenile Biography",RIGHT(B62,LEN(B62)-2),
IF(D62="Teen Biography",RIGHT(B62,LEN(B62)-5),
IF(AND(D62="Audiobook",
              IFERROR(FIND("BIO",$B62)&gt;0,FALSE)),RIGHT(B62,LEN(B62)-3),
IF(D62="Juvenile Large Type","J "&amp;RIGHT(B62,LEN(B62)-11),
IF(D62="Teen Large Type","TEEN "&amp;RIGHT(B62,LEN(B62)-14),
IF(D62="Reference",RIGHT(B62,LEN(B62)-4),
IF(D62="DVD Educational",RIGHT(B62,LEN(B62)-7),
IF(D62="Juvenile DVD Educational",RIGHT(B62,LEN(B62)-9),
B62)))))))))))))))))</f>
        <v/>
      </c>
    </row>
    <row r="63" spans="1:8" ht="27" customHeight="1" x14ac:dyDescent="0.25">
      <c r="A63" s="10" t="str">
        <f ca="1">TEXT( INDIRECT( ADDRESS( ROW() + Row_Offset, INDIRECT( "Column_Number_" &amp; A$1), 4,1, tabname) ), "")</f>
        <v>In Library Use Only</v>
      </c>
      <c r="B63" s="10" t="str">
        <f ca="1">TEXT(  IFERROR( VLOOKUP( $D63, CollName_Simplifier_Table[], 2, FALSE),"") &amp;
        INDIRECT( ADDRESS( ROW() + Row_Offset, INDIRECT( "Column_Number_" &amp; $B$1), 4,1, tabname) ), "")</f>
        <v/>
      </c>
      <c r="C63" s="10" t="str">
        <f ca="1">TEXT( INDIRECT( ADDRESS( ROW() + Row_Offset, INDIRECT( "Column_Number_" &amp; C$1), 4,1, tabname) ), "")</f>
        <v>Health. v. 28 no. 6  (July/Aug. 2014)</v>
      </c>
      <c r="D63" s="10" t="str">
        <f ca="1">TEXT( INDIRECT( ADDRESS( ROW() + Row_Offset, INDIRECT( "Column_Number_" &amp; D$1), 4,1, tabname) ), "")</f>
        <v>Magazine</v>
      </c>
      <c r="E63" s="10" t="str">
        <f ca="1">TEXT( INDIRECT( ADDRESS( ROW() + Row_Offset, INDIRECT( "Column_Number_" &amp; E$1), 4,1, tabname) ), "####")</f>
        <v>1992</v>
      </c>
      <c r="F63" s="15"/>
      <c r="G63" s="21">
        <f ca="1">IFERROR(INDEX(Rank_Table[],MATCH($D63&amp;$A63,Table4[Join],0)),"")</f>
        <v>95</v>
      </c>
      <c r="H63" s="11" t="str">
        <f ca="1">IF(AND(D63="Juvenile Audiobook",LEFT(B63,8)="J CD BIO"),RIGHT(B63,LEN(B63)-9),
IF(AND(D63="Juvenile Audiobook",LEFT(B63,8)="J CD FIC"),B63,
IF(D63="Juvenile Audiobook",RIGHT(B63,LEN(B63)-5),
IF(AND(D63="Teen Audiobook",LEFT(B63,11)="TEEN CD BIO"),RIGHT(B63,LEN(B63)-12),
IF(AND(D63="Teen Audiobook",LEFT(B63,11)="TEEN CD FIC"),B63,
IF(D63="Juvenile Audiobook",RIGHT(B63,LEN(B63)-8),
IF(D63="Juvenile Nonfiction",RIGHT(B63,LEN(B63)-2),
IF(D63="Teen Nonfiction",RIGHT(B63,LEN(B63)-5),
IF(AND(D63="Audiobook",
              NOT(OR(Contains($B63,"CD BIO"),Contains($B63,"CD FIC")))),RIGHT(B63,LEN(B63)-3),
IF(D63="Juvenile Biography",RIGHT(B63,LEN(B63)-2),
IF(D63="Teen Biography",RIGHT(B63,LEN(B63)-5),
IF(AND(D63="Audiobook",
              IFERROR(FIND("BIO",$B63)&gt;0,FALSE)),RIGHT(B63,LEN(B63)-3),
IF(D63="Juvenile Large Type","J "&amp;RIGHT(B63,LEN(B63)-11),
IF(D63="Teen Large Type","TEEN "&amp;RIGHT(B63,LEN(B63)-14),
IF(D63="Reference",RIGHT(B63,LEN(B63)-4),
IF(D63="DVD Educational",RIGHT(B63,LEN(B63)-7),
IF(D63="Juvenile DVD Educational",RIGHT(B63,LEN(B63)-9),
B63)))))))))))))))))</f>
        <v/>
      </c>
    </row>
    <row r="64" spans="1:8" ht="27" customHeight="1" x14ac:dyDescent="0.25">
      <c r="A64" s="10" t="str">
        <f ca="1">TEXT( INDIRECT( ADDRESS( ROW() + Row_Offset, INDIRECT( "Column_Number_" &amp; A$1), 4,1, tabname) ), "")</f>
        <v/>
      </c>
      <c r="B64" s="10" t="str">
        <f ca="1">TEXT(  IFERROR( VLOOKUP( $D64, CollName_Simplifier_Table[], 2, FALSE),"") &amp;
        INDIRECT( ADDRESS( ROW() + Row_Offset, INDIRECT( "Column_Number_" &amp; $B$1), 4,1, tabname) ), "")</f>
        <v>234.5 SMEDES</v>
      </c>
      <c r="C64" s="10" t="str">
        <f ca="1">TEXT( INDIRECT( ADDRESS( ROW() + Row_Offset, INDIRECT( "Column_Number_" &amp; C$1), 4,1, tabname) ), "")</f>
        <v>Forgive and forget : healing the hurts we don't deserve</v>
      </c>
      <c r="D64" s="10" t="str">
        <f ca="1">TEXT( INDIRECT( ADDRESS( ROW() + Row_Offset, INDIRECT( "Column_Number_" &amp; D$1), 4,1, tabname) ), "")</f>
        <v>Nonfiction</v>
      </c>
      <c r="E64" s="10" t="str">
        <f ca="1">TEXT( INDIRECT( ADDRESS( ROW() + Row_Offset, INDIRECT( "Column_Number_" &amp; E$1), 4,1, tabname) ), "####")</f>
        <v>1996</v>
      </c>
      <c r="F64" s="15"/>
      <c r="G64" s="21">
        <f ca="1">IFERROR(INDEX(Rank_Table[],MATCH($D64&amp;$A64,Table4[Join],0)),"")</f>
        <v>3</v>
      </c>
      <c r="H64" s="11" t="str">
        <f ca="1">IF(AND(D64="Juvenile Audiobook",LEFT(B64,8)="J CD BIO"),RIGHT(B64,LEN(B64)-9),
IF(AND(D64="Juvenile Audiobook",LEFT(B64,8)="J CD FIC"),B64,
IF(D64="Juvenile Audiobook",RIGHT(B64,LEN(B64)-5),
IF(AND(D64="Teen Audiobook",LEFT(B64,11)="TEEN CD BIO"),RIGHT(B64,LEN(B64)-12),
IF(AND(D64="Teen Audiobook",LEFT(B64,11)="TEEN CD FIC"),B64,
IF(D64="Juvenile Audiobook",RIGHT(B64,LEN(B64)-8),
IF(D64="Juvenile Nonfiction",RIGHT(B64,LEN(B64)-2),
IF(D64="Teen Nonfiction",RIGHT(B64,LEN(B64)-5),
IF(AND(D64="Audiobook",
              NOT(OR(Contains($B64,"CD BIO"),Contains($B64,"CD FIC")))),RIGHT(B64,LEN(B64)-3),
IF(D64="Juvenile Biography",RIGHT(B64,LEN(B64)-2),
IF(D64="Teen Biography",RIGHT(B64,LEN(B64)-5),
IF(AND(D64="Audiobook",
              IFERROR(FIND("BIO",$B64)&gt;0,FALSE)),RIGHT(B64,LEN(B64)-3),
IF(D64="Juvenile Large Type","J "&amp;RIGHT(B64,LEN(B64)-11),
IF(D64="Teen Large Type","TEEN "&amp;RIGHT(B64,LEN(B64)-14),
IF(D64="Reference",RIGHT(B64,LEN(B64)-4),
IF(D64="DVD Educational",RIGHT(B64,LEN(B64)-7),
IF(D64="Juvenile DVD Educational",RIGHT(B64,LEN(B64)-9),
B64)))))))))))))))))</f>
        <v>234.5 SMEDES</v>
      </c>
    </row>
    <row r="65" spans="1:8" ht="27" customHeight="1" x14ac:dyDescent="0.25">
      <c r="A65" s="10" t="str">
        <f ca="1">TEXT( INDIRECT( ADDRESS( ROW() + Row_Offset, INDIRECT( "Column_Number_" &amp; A$1), 4,1, tabname) ), "")</f>
        <v/>
      </c>
      <c r="B65" s="10" t="str">
        <f ca="1">TEXT(  IFERROR( VLOOKUP( $D65, CollName_Simplifier_Table[], 2, FALSE),"") &amp;
        INDIRECT( ADDRESS( ROW() + Row_Offset, INDIRECT( "Column_Number_" &amp; $B$1), 4,1, tabname) ), "")</f>
        <v>296.72 KEDAR</v>
      </c>
      <c r="C65" s="10" t="str">
        <f ca="1">TEXT( INDIRECT( ADDRESS( ROW() + Row_Offset, INDIRECT( "Column_Number_" &amp; C$1), 4,1, tabname) ), "")</f>
        <v>The bridge to forgiveness : stories and prayers for finding God and restoring wholeness</v>
      </c>
      <c r="D65" s="10" t="str">
        <f ca="1">TEXT( INDIRECT( ADDRESS( ROW() + Row_Offset, INDIRECT( "Column_Number_" &amp; D$1), 4,1, tabname) ), "")</f>
        <v>Nonfiction</v>
      </c>
      <c r="E65" s="10" t="str">
        <f ca="1">TEXT( INDIRECT( ADDRESS( ROW() + Row_Offset, INDIRECT( "Column_Number_" &amp; E$1), 4,1, tabname) ), "####")</f>
        <v>2007</v>
      </c>
      <c r="F65" s="15"/>
      <c r="G65" s="21">
        <f ca="1">IFERROR(INDEX(Rank_Table[],MATCH($D65&amp;$A65,Table4[Join],0)),"")</f>
        <v>3</v>
      </c>
      <c r="H65" s="11" t="str">
        <f ca="1">IF(AND(D65="Juvenile Audiobook",LEFT(B65,8)="J CD BIO"),RIGHT(B65,LEN(B65)-9),
IF(AND(D65="Juvenile Audiobook",LEFT(B65,8)="J CD FIC"),B65,
IF(D65="Juvenile Audiobook",RIGHT(B65,LEN(B65)-5),
IF(AND(D65="Teen Audiobook",LEFT(B65,11)="TEEN CD BIO"),RIGHT(B65,LEN(B65)-12),
IF(AND(D65="Teen Audiobook",LEFT(B65,11)="TEEN CD FIC"),B65,
IF(D65="Juvenile Audiobook",RIGHT(B65,LEN(B65)-8),
IF(D65="Juvenile Nonfiction",RIGHT(B65,LEN(B65)-2),
IF(D65="Teen Nonfiction",RIGHT(B65,LEN(B65)-5),
IF(AND(D65="Audiobook",
              NOT(OR(Contains($B65,"CD BIO"),Contains($B65,"CD FIC")))),RIGHT(B65,LEN(B65)-3),
IF(D65="Juvenile Biography",RIGHT(B65,LEN(B65)-2),
IF(D65="Teen Biography",RIGHT(B65,LEN(B65)-5),
IF(AND(D65="Audiobook",
              IFERROR(FIND("BIO",$B65)&gt;0,FALSE)),RIGHT(B65,LEN(B65)-3),
IF(D65="Juvenile Large Type","J "&amp;RIGHT(B65,LEN(B65)-11),
IF(D65="Teen Large Type","TEEN "&amp;RIGHT(B65,LEN(B65)-14),
IF(D65="Reference",RIGHT(B65,LEN(B65)-4),
IF(D65="DVD Educational",RIGHT(B65,LEN(B65)-7),
IF(D65="Juvenile DVD Educational",RIGHT(B65,LEN(B65)-9),
B65)))))))))))))))))</f>
        <v>296.72 KEDAR</v>
      </c>
    </row>
    <row r="66" spans="1:8" ht="27" customHeight="1" x14ac:dyDescent="0.25">
      <c r="A66" s="10" t="str">
        <f ca="1">TEXT( INDIRECT( ADDRESS( ROW() + Row_Offset, INDIRECT( "Column_Number_" &amp; A$1), 4,1, tabname) ), "")</f>
        <v/>
      </c>
      <c r="B66" s="10" t="str">
        <f ca="1">TEXT(  IFERROR( VLOOKUP( $D66, CollName_Simplifier_Table[], 2, FALSE),"") &amp;
        INDIRECT( ADDRESS( ROW() + Row_Offset, INDIRECT( "Column_Number_" &amp; $B$1), 4,1, tabname) ), "")</f>
        <v>516 BHATT</v>
      </c>
      <c r="C66" s="10" t="str">
        <f ca="1">TEXT( INDIRECT( ADDRESS( ROW() + Row_Offset, INDIRECT( "Column_Number_" &amp; C$1), 4,1, tabname) ), "")</f>
        <v>Geometry</v>
      </c>
      <c r="D66" s="10" t="str">
        <f ca="1">TEXT( INDIRECT( ADDRESS( ROW() + Row_Offset, INDIRECT( "Column_Number_" &amp; D$1), 4,1, tabname) ), "")</f>
        <v>Nonfiction</v>
      </c>
      <c r="E66" s="10" t="str">
        <f ca="1">TEXT( INDIRECT( ADDRESS( ROW() + Row_Offset, INDIRECT( "Column_Number_" &amp; E$1), 4,1, tabname) ), "####")</f>
        <v>2014</v>
      </c>
      <c r="F66" s="15"/>
      <c r="G66" s="21">
        <f ca="1">IFERROR(INDEX(Rank_Table[],MATCH($D66&amp;$A66,Table4[Join],0)),"")</f>
        <v>3</v>
      </c>
      <c r="H66" s="11" t="str">
        <f ca="1">IF(AND(D66="Juvenile Audiobook",LEFT(B66,8)="J CD BIO"),RIGHT(B66,LEN(B66)-9),
IF(AND(D66="Juvenile Audiobook",LEFT(B66,8)="J CD FIC"),B66,
IF(D66="Juvenile Audiobook",RIGHT(B66,LEN(B66)-5),
IF(AND(D66="Teen Audiobook",LEFT(B66,11)="TEEN CD BIO"),RIGHT(B66,LEN(B66)-12),
IF(AND(D66="Teen Audiobook",LEFT(B66,11)="TEEN CD FIC"),B66,
IF(D66="Juvenile Audiobook",RIGHT(B66,LEN(B66)-8),
IF(D66="Juvenile Nonfiction",RIGHT(B66,LEN(B66)-2),
IF(D66="Teen Nonfiction",RIGHT(B66,LEN(B66)-5),
IF(AND(D66="Audiobook",
              NOT(OR(Contains($B66,"CD BIO"),Contains($B66,"CD FIC")))),RIGHT(B66,LEN(B66)-3),
IF(D66="Juvenile Biography",RIGHT(B66,LEN(B66)-2),
IF(D66="Teen Biography",RIGHT(B66,LEN(B66)-5),
IF(AND(D66="Audiobook",
              IFERROR(FIND("BIO",$B66)&gt;0,FALSE)),RIGHT(B66,LEN(B66)-3),
IF(D66="Juvenile Large Type","J "&amp;RIGHT(B66,LEN(B66)-11),
IF(D66="Teen Large Type","TEEN "&amp;RIGHT(B66,LEN(B66)-14),
IF(D66="Reference",RIGHT(B66,LEN(B66)-4),
IF(D66="DVD Educational",RIGHT(B66,LEN(B66)-7),
IF(D66="Juvenile DVD Educational",RIGHT(B66,LEN(B66)-9),
B66)))))))))))))))))</f>
        <v>516 BHATT</v>
      </c>
    </row>
    <row r="67" spans="1:8" ht="27" customHeight="1" x14ac:dyDescent="0.25">
      <c r="A67" s="10" t="str">
        <f ca="1">TEXT( INDIRECT( ADDRESS( ROW() + Row_Offset, INDIRECT( "Column_Number_" &amp; A$1), 4,1, tabname) ), "")</f>
        <v/>
      </c>
      <c r="B67" s="10" t="str">
        <f ca="1">TEXT(  IFERROR( VLOOKUP( $D67, CollName_Simplifier_Table[], 2, FALSE),"") &amp;
        INDIRECT( ADDRESS( ROW() + Row_Offset, INDIRECT( "Column_Number_" &amp; $B$1), 4,1, tabname) ), "")</f>
        <v>598.0723 ZALESKY</v>
      </c>
      <c r="C67" s="10" t="str">
        <f ca="1">TEXT( INDIRECT( ADDRESS( ROW() + Row_Offset, INDIRECT( "Column_Number_" &amp; C$1), 4,1, tabname) ), "")</f>
        <v>Birding in Snohomish County</v>
      </c>
      <c r="D67" s="10" t="str">
        <f ca="1">TEXT( INDIRECT( ADDRESS( ROW() + Row_Offset, INDIRECT( "Column_Number_" &amp; D$1), 4,1, tabname) ), "")</f>
        <v>Nonfiction</v>
      </c>
      <c r="E67" s="10" t="str">
        <f ca="1">TEXT( INDIRECT( ADDRESS( ROW() + Row_Offset, INDIRECT( "Column_Number_" &amp; E$1), 4,1, tabname) ), "####")</f>
        <v>2001</v>
      </c>
      <c r="F67" s="15"/>
      <c r="G67" s="21">
        <f ca="1">IFERROR(INDEX(Rank_Table[],MATCH($D67&amp;$A67,Table4[Join],0)),"")</f>
        <v>3</v>
      </c>
      <c r="H67" s="11" t="str">
        <f ca="1">IF(AND(D67="Juvenile Audiobook",LEFT(B67,8)="J CD BIO"),RIGHT(B67,LEN(B67)-9),
IF(AND(D67="Juvenile Audiobook",LEFT(B67,8)="J CD FIC"),B67,
IF(D67="Juvenile Audiobook",RIGHT(B67,LEN(B67)-5),
IF(AND(D67="Teen Audiobook",LEFT(B67,11)="TEEN CD BIO"),RIGHT(B67,LEN(B67)-12),
IF(AND(D67="Teen Audiobook",LEFT(B67,11)="TEEN CD FIC"),B67,
IF(D67="Juvenile Audiobook",RIGHT(B67,LEN(B67)-8),
IF(D67="Juvenile Nonfiction",RIGHT(B67,LEN(B67)-2),
IF(D67="Teen Nonfiction",RIGHT(B67,LEN(B67)-5),
IF(AND(D67="Audiobook",
              NOT(OR(Contains($B67,"CD BIO"),Contains($B67,"CD FIC")))),RIGHT(B67,LEN(B67)-3),
IF(D67="Juvenile Biography",RIGHT(B67,LEN(B67)-2),
IF(D67="Teen Biography",RIGHT(B67,LEN(B67)-5),
IF(AND(D67="Audiobook",
              IFERROR(FIND("BIO",$B67)&gt;0,FALSE)),RIGHT(B67,LEN(B67)-3),
IF(D67="Juvenile Large Type","J "&amp;RIGHT(B67,LEN(B67)-11),
IF(D67="Teen Large Type","TEEN "&amp;RIGHT(B67,LEN(B67)-14),
IF(D67="Reference",RIGHT(B67,LEN(B67)-4),
IF(D67="DVD Educational",RIGHT(B67,LEN(B67)-7),
IF(D67="Juvenile DVD Educational",RIGHT(B67,LEN(B67)-9),
B67)))))))))))))))))</f>
        <v>598.0723 ZALESKY</v>
      </c>
    </row>
    <row r="68" spans="1:8" ht="27" customHeight="1" x14ac:dyDescent="0.25">
      <c r="A68" s="10" t="str">
        <f ca="1">TEXT( INDIRECT( ADDRESS( ROW() + Row_Offset, INDIRECT( "Column_Number_" &amp; A$1), 4,1, tabname) ), "")</f>
        <v/>
      </c>
      <c r="B68" s="10" t="str">
        <f ca="1">TEXT(  IFERROR( VLOOKUP( $D68, CollName_Simplifier_Table[], 2, FALSE),"") &amp;
        INDIRECT( ADDRESS( ROW() + Row_Offset, INDIRECT( "Column_Number_" &amp; $B$1), 4,1, tabname) ), "")</f>
        <v>641.5 MCGEE</v>
      </c>
      <c r="C68" s="10" t="str">
        <f ca="1">TEXT( INDIRECT( ADDRESS( ROW() + Row_Offset, INDIRECT( "Column_Number_" &amp; C$1), 4,1, tabname) ), "")</f>
        <v>On food and cooking : the science and lore of the kitchen</v>
      </c>
      <c r="D68" s="10" t="str">
        <f ca="1">TEXT( INDIRECT( ADDRESS( ROW() + Row_Offset, INDIRECT( "Column_Number_" &amp; D$1), 4,1, tabname) ), "")</f>
        <v>Nonfiction</v>
      </c>
      <c r="E68" s="10" t="str">
        <f ca="1">TEXT( INDIRECT( ADDRESS( ROW() + Row_Offset, INDIRECT( "Column_Number_" &amp; E$1), 4,1, tabname) ), "####")</f>
        <v>2004</v>
      </c>
      <c r="F68" s="15"/>
      <c r="G68" s="21">
        <f ca="1">IFERROR(INDEX(Rank_Table[],MATCH($D68&amp;$A68,Table4[Join],0)),"")</f>
        <v>3</v>
      </c>
      <c r="H68" s="11" t="str">
        <f ca="1">IF(AND(D68="Juvenile Audiobook",LEFT(B68,8)="J CD BIO"),RIGHT(B68,LEN(B68)-9),
IF(AND(D68="Juvenile Audiobook",LEFT(B68,8)="J CD FIC"),B68,
IF(D68="Juvenile Audiobook",RIGHT(B68,LEN(B68)-5),
IF(AND(D68="Teen Audiobook",LEFT(B68,11)="TEEN CD BIO"),RIGHT(B68,LEN(B68)-12),
IF(AND(D68="Teen Audiobook",LEFT(B68,11)="TEEN CD FIC"),B68,
IF(D68="Juvenile Audiobook",RIGHT(B68,LEN(B68)-8),
IF(D68="Juvenile Nonfiction",RIGHT(B68,LEN(B68)-2),
IF(D68="Teen Nonfiction",RIGHT(B68,LEN(B68)-5),
IF(AND(D68="Audiobook",
              NOT(OR(Contains($B68,"CD BIO"),Contains($B68,"CD FIC")))),RIGHT(B68,LEN(B68)-3),
IF(D68="Juvenile Biography",RIGHT(B68,LEN(B68)-2),
IF(D68="Teen Biography",RIGHT(B68,LEN(B68)-5),
IF(AND(D68="Audiobook",
              IFERROR(FIND("BIO",$B68)&gt;0,FALSE)),RIGHT(B68,LEN(B68)-3),
IF(D68="Juvenile Large Type","J "&amp;RIGHT(B68,LEN(B68)-11),
IF(D68="Teen Large Type","TEEN "&amp;RIGHT(B68,LEN(B68)-14),
IF(D68="Reference",RIGHT(B68,LEN(B68)-4),
IF(D68="DVD Educational",RIGHT(B68,LEN(B68)-7),
IF(D68="Juvenile DVD Educational",RIGHT(B68,LEN(B68)-9),
B68)))))))))))))))))</f>
        <v>641.5 MCGEE</v>
      </c>
    </row>
    <row r="69" spans="1:8" ht="27" customHeight="1" x14ac:dyDescent="0.25">
      <c r="A69" s="10" t="str">
        <f ca="1">TEXT( INDIRECT( ADDRESS( ROW() + Row_Offset, INDIRECT( "Column_Number_" &amp; A$1), 4,1, tabname) ), "")</f>
        <v/>
      </c>
      <c r="B69" s="10" t="str">
        <f ca="1">TEXT(  IFERROR( VLOOKUP( $D69, CollName_Simplifier_Table[], 2, FALSE),"") &amp;
        INDIRECT( ADDRESS( ROW() + Row_Offset, INDIRECT( "Column_Number_" &amp; $B$1), 4,1, tabname) ), "")</f>
        <v>641.5638 HEALTHY</v>
      </c>
      <c r="C69" s="10" t="str">
        <f ca="1">TEXT( INDIRECT( ADDRESS( ROW() + Row_Offset, INDIRECT( "Column_Number_" &amp; C$1), 4,1, tabname) ), "")</f>
        <v>Healthy slow cooker cookbook : 200 low-fuss, good-for-you recipes</v>
      </c>
      <c r="D69" s="10" t="str">
        <f ca="1">TEXT( INDIRECT( ADDRESS( ROW() + Row_Offset, INDIRECT( "Column_Number_" &amp; D$1), 4,1, tabname) ), "")</f>
        <v>Nonfiction</v>
      </c>
      <c r="E69" s="10" t="str">
        <f ca="1">TEXT( INDIRECT( ADDRESS( ROW() + Row_Offset, INDIRECT( "Column_Number_" &amp; E$1), 4,1, tabname) ), "####")</f>
        <v>2012</v>
      </c>
      <c r="F69" s="15"/>
      <c r="G69" s="21">
        <f ca="1">IFERROR(INDEX(Rank_Table[],MATCH($D69&amp;$A69,Table4[Join],0)),"")</f>
        <v>3</v>
      </c>
      <c r="H69" s="11" t="str">
        <f ca="1">IF(AND(D69="Juvenile Audiobook",LEFT(B69,8)="J CD BIO"),RIGHT(B69,LEN(B69)-9),
IF(AND(D69="Juvenile Audiobook",LEFT(B69,8)="J CD FIC"),B69,
IF(D69="Juvenile Audiobook",RIGHT(B69,LEN(B69)-5),
IF(AND(D69="Teen Audiobook",LEFT(B69,11)="TEEN CD BIO"),RIGHT(B69,LEN(B69)-12),
IF(AND(D69="Teen Audiobook",LEFT(B69,11)="TEEN CD FIC"),B69,
IF(D69="Juvenile Audiobook",RIGHT(B69,LEN(B69)-8),
IF(D69="Juvenile Nonfiction",RIGHT(B69,LEN(B69)-2),
IF(D69="Teen Nonfiction",RIGHT(B69,LEN(B69)-5),
IF(AND(D69="Audiobook",
              NOT(OR(Contains($B69,"CD BIO"),Contains($B69,"CD FIC")))),RIGHT(B69,LEN(B69)-3),
IF(D69="Juvenile Biography",RIGHT(B69,LEN(B69)-2),
IF(D69="Teen Biography",RIGHT(B69,LEN(B69)-5),
IF(AND(D69="Audiobook",
              IFERROR(FIND("BIO",$B69)&gt;0,FALSE)),RIGHT(B69,LEN(B69)-3),
IF(D69="Juvenile Large Type","J "&amp;RIGHT(B69,LEN(B69)-11),
IF(D69="Teen Large Type","TEEN "&amp;RIGHT(B69,LEN(B69)-14),
IF(D69="Reference",RIGHT(B69,LEN(B69)-4),
IF(D69="DVD Educational",RIGHT(B69,LEN(B69)-7),
IF(D69="Juvenile DVD Educational",RIGHT(B69,LEN(B69)-9),
B69)))))))))))))))))</f>
        <v>641.5638 HEALTHY</v>
      </c>
    </row>
    <row r="70" spans="1:8" ht="27" customHeight="1" x14ac:dyDescent="0.25">
      <c r="A70" s="10" t="str">
        <f ca="1">TEXT( INDIRECT( ADDRESS( ROW() + Row_Offset, INDIRECT( "Column_Number_" &amp; A$1), 4,1, tabname) ), "")</f>
        <v/>
      </c>
      <c r="B70" s="10" t="str">
        <f ca="1">TEXT(  IFERROR( VLOOKUP( $D70, CollName_Simplifier_Table[], 2, FALSE),"") &amp;
        INDIRECT( ADDRESS( ROW() + Row_Offset, INDIRECT( "Column_Number_" &amp; $B$1), 4,1, tabname) ), "")</f>
        <v>759.13 VALLEJO</v>
      </c>
      <c r="C70" s="10" t="str">
        <f ca="1">TEXT( INDIRECT( ADDRESS( ROW() + Row_Offset, INDIRECT( "Column_Number_" &amp; C$1), 4,1, tabname) ), "")</f>
        <v>Imaginistix : the art of Boris Vallejo and Julie Bell</v>
      </c>
      <c r="D70" s="10" t="str">
        <f ca="1">TEXT( INDIRECT( ADDRESS( ROW() + Row_Offset, INDIRECT( "Column_Number_" &amp; D$1), 4,1, tabname) ), "")</f>
        <v>Nonfiction</v>
      </c>
      <c r="E70" s="10" t="str">
        <f ca="1">TEXT( INDIRECT( ADDRESS( ROW() + Row_Offset, INDIRECT( "Column_Number_" &amp; E$1), 4,1, tabname) ), "####")</f>
        <v>2007</v>
      </c>
      <c r="F70" s="15"/>
      <c r="G70" s="21">
        <f ca="1">IFERROR(INDEX(Rank_Table[],MATCH($D70&amp;$A70,Table4[Join],0)),"")</f>
        <v>3</v>
      </c>
      <c r="H70" s="11" t="str">
        <f ca="1">IF(AND(D70="Juvenile Audiobook",LEFT(B70,8)="J CD BIO"),RIGHT(B70,LEN(B70)-9),
IF(AND(D70="Juvenile Audiobook",LEFT(B70,8)="J CD FIC"),B70,
IF(D70="Juvenile Audiobook",RIGHT(B70,LEN(B70)-5),
IF(AND(D70="Teen Audiobook",LEFT(B70,11)="TEEN CD BIO"),RIGHT(B70,LEN(B70)-12),
IF(AND(D70="Teen Audiobook",LEFT(B70,11)="TEEN CD FIC"),B70,
IF(D70="Juvenile Audiobook",RIGHT(B70,LEN(B70)-8),
IF(D70="Juvenile Nonfiction",RIGHT(B70,LEN(B70)-2),
IF(D70="Teen Nonfiction",RIGHT(B70,LEN(B70)-5),
IF(AND(D70="Audiobook",
              NOT(OR(Contains($B70,"CD BIO"),Contains($B70,"CD FIC")))),RIGHT(B70,LEN(B70)-3),
IF(D70="Juvenile Biography",RIGHT(B70,LEN(B70)-2),
IF(D70="Teen Biography",RIGHT(B70,LEN(B70)-5),
IF(AND(D70="Audiobook",
              IFERROR(FIND("BIO",$B70)&gt;0,FALSE)),RIGHT(B70,LEN(B70)-3),
IF(D70="Juvenile Large Type","J "&amp;RIGHT(B70,LEN(B70)-11),
IF(D70="Teen Large Type","TEEN "&amp;RIGHT(B70,LEN(B70)-14),
IF(D70="Reference",RIGHT(B70,LEN(B70)-4),
IF(D70="DVD Educational",RIGHT(B70,LEN(B70)-7),
IF(D70="Juvenile DVD Educational",RIGHT(B70,LEN(B70)-9),
B70)))))))))))))))))</f>
        <v>759.13 VALLEJO</v>
      </c>
    </row>
    <row r="71" spans="1:8" ht="27" customHeight="1" x14ac:dyDescent="0.25">
      <c r="A71" s="10" t="str">
        <f ca="1">TEXT( INDIRECT( ADDRESS( ROW() + Row_Offset, INDIRECT( "Column_Number_" &amp; A$1), 4,1, tabname) ), "")</f>
        <v/>
      </c>
      <c r="B71" s="10" t="str">
        <f ca="1">TEXT(  IFERROR( VLOOKUP( $D71, CollName_Simplifier_Table[], 2, FALSE),"") &amp;
        INDIRECT( ADDRESS( ROW() + Row_Offset, INDIRECT( "Column_Number_" &amp; $B$1), 4,1, tabname) ), "")</f>
        <v>781.11 CAMPBEL</v>
      </c>
      <c r="C71" s="10" t="str">
        <f ca="1">TEXT( INDIRECT( ADDRESS( ROW() + Row_Offset, INDIRECT( "Column_Number_" &amp; C$1), 4,1, tabname) ), "")</f>
        <v>Healing at the speed of sound : how what we hear transforms our brains and our lives</v>
      </c>
      <c r="D71" s="10" t="str">
        <f ca="1">TEXT( INDIRECT( ADDRESS( ROW() + Row_Offset, INDIRECT( "Column_Number_" &amp; D$1), 4,1, tabname) ), "")</f>
        <v>Nonfiction</v>
      </c>
      <c r="E71" s="10" t="str">
        <f ca="1">TEXT( INDIRECT( ADDRESS( ROW() + Row_Offset, INDIRECT( "Column_Number_" &amp; E$1), 4,1, tabname) ), "####")</f>
        <v>2011</v>
      </c>
      <c r="F71" s="15"/>
      <c r="G71" s="21">
        <f ca="1">IFERROR(INDEX(Rank_Table[],MATCH($D71&amp;$A71,Table4[Join],0)),"")</f>
        <v>3</v>
      </c>
      <c r="H71" s="11" t="str">
        <f ca="1">IF(AND(D71="Juvenile Audiobook",LEFT(B71,8)="J CD BIO"),RIGHT(B71,LEN(B71)-9),
IF(AND(D71="Juvenile Audiobook",LEFT(B71,8)="J CD FIC"),B71,
IF(D71="Juvenile Audiobook",RIGHT(B71,LEN(B71)-5),
IF(AND(D71="Teen Audiobook",LEFT(B71,11)="TEEN CD BIO"),RIGHT(B71,LEN(B71)-12),
IF(AND(D71="Teen Audiobook",LEFT(B71,11)="TEEN CD FIC"),B71,
IF(D71="Juvenile Audiobook",RIGHT(B71,LEN(B71)-8),
IF(D71="Juvenile Nonfiction",RIGHT(B71,LEN(B71)-2),
IF(D71="Teen Nonfiction",RIGHT(B71,LEN(B71)-5),
IF(AND(D71="Audiobook",
              NOT(OR(Contains($B71,"CD BIO"),Contains($B71,"CD FIC")))),RIGHT(B71,LEN(B71)-3),
IF(D71="Juvenile Biography",RIGHT(B71,LEN(B71)-2),
IF(D71="Teen Biography",RIGHT(B71,LEN(B71)-5),
IF(AND(D71="Audiobook",
              IFERROR(FIND("BIO",$B71)&gt;0,FALSE)),RIGHT(B71,LEN(B71)-3),
IF(D71="Juvenile Large Type","J "&amp;RIGHT(B71,LEN(B71)-11),
IF(D71="Teen Large Type","TEEN "&amp;RIGHT(B71,LEN(B71)-14),
IF(D71="Reference",RIGHT(B71,LEN(B71)-4),
IF(D71="DVD Educational",RIGHT(B71,LEN(B71)-7),
IF(D71="Juvenile DVD Educational",RIGHT(B71,LEN(B71)-9),
B71)))))))))))))))))</f>
        <v>781.11 CAMPBEL</v>
      </c>
    </row>
    <row r="72" spans="1:8" ht="27" customHeight="1" x14ac:dyDescent="0.25">
      <c r="A72" s="10" t="str">
        <f ca="1">TEXT( INDIRECT( ADDRESS( ROW() + Row_Offset, INDIRECT( "Column_Number_" &amp; A$1), 4,1, tabname) ), "")</f>
        <v/>
      </c>
      <c r="B72" s="10" t="str">
        <f ca="1">TEXT(  IFERROR( VLOOKUP( $D72, CollName_Simplifier_Table[], 2, FALSE),"") &amp;
        INDIRECT( ADDRESS( ROW() + Row_Offset, INDIRECT( "Column_Number_" &amp; $B$1), 4,1, tabname) ), "")</f>
        <v>910.9164 BENEDET</v>
      </c>
      <c r="C72" s="10" t="str">
        <f ca="1">TEXT( INDIRECT( ADDRESS( ROW() + Row_Offset, INDIRECT( "Column_Number_" &amp; C$1), 4,1, tabname) ), "")</f>
        <v>Sailing into the abyss : a true story of extreme heroism on the high seas</v>
      </c>
      <c r="D72" s="10" t="str">
        <f ca="1">TEXT( INDIRECT( ADDRESS( ROW() + Row_Offset, INDIRECT( "Column_Number_" &amp; D$1), 4,1, tabname) ), "")</f>
        <v>Nonfiction</v>
      </c>
      <c r="E72" s="10" t="str">
        <f ca="1">TEXT( INDIRECT( ADDRESS( ROW() + Row_Offset, INDIRECT( "Column_Number_" &amp; E$1), 4,1, tabname) ), "####")</f>
        <v>2005</v>
      </c>
      <c r="F72" s="15"/>
      <c r="G72" s="21">
        <f ca="1">IFERROR(INDEX(Rank_Table[],MATCH($D72&amp;$A72,Table4[Join],0)),"")</f>
        <v>3</v>
      </c>
      <c r="H72" s="11" t="str">
        <f ca="1">IF(AND(D72="Juvenile Audiobook",LEFT(B72,8)="J CD BIO"),RIGHT(B72,LEN(B72)-9),
IF(AND(D72="Juvenile Audiobook",LEFT(B72,8)="J CD FIC"),B72,
IF(D72="Juvenile Audiobook",RIGHT(B72,LEN(B72)-5),
IF(AND(D72="Teen Audiobook",LEFT(B72,11)="TEEN CD BIO"),RIGHT(B72,LEN(B72)-12),
IF(AND(D72="Teen Audiobook",LEFT(B72,11)="TEEN CD FIC"),B72,
IF(D72="Juvenile Audiobook",RIGHT(B72,LEN(B72)-8),
IF(D72="Juvenile Nonfiction",RIGHT(B72,LEN(B72)-2),
IF(D72="Teen Nonfiction",RIGHT(B72,LEN(B72)-5),
IF(AND(D72="Audiobook",
              NOT(OR(Contains($B72,"CD BIO"),Contains($B72,"CD FIC")))),RIGHT(B72,LEN(B72)-3),
IF(D72="Juvenile Biography",RIGHT(B72,LEN(B72)-2),
IF(D72="Teen Biography",RIGHT(B72,LEN(B72)-5),
IF(AND(D72="Audiobook",
              IFERROR(FIND("BIO",$B72)&gt;0,FALSE)),RIGHT(B72,LEN(B72)-3),
IF(D72="Juvenile Large Type","J "&amp;RIGHT(B72,LEN(B72)-11),
IF(D72="Teen Large Type","TEEN "&amp;RIGHT(B72,LEN(B72)-14),
IF(D72="Reference",RIGHT(B72,LEN(B72)-4),
IF(D72="DVD Educational",RIGHT(B72,LEN(B72)-7),
IF(D72="Juvenile DVD Educational",RIGHT(B72,LEN(B72)-9),
B72)))))))))))))))))</f>
        <v>910.9164 BENEDET</v>
      </c>
    </row>
    <row r="73" spans="1:8" ht="27" customHeight="1" x14ac:dyDescent="0.25">
      <c r="A73" s="10" t="str">
        <f ca="1">TEXT( INDIRECT( ADDRESS( ROW() + Row_Offset, INDIRECT( "Column_Number_" &amp; A$1), 4,1, tabname) ), "")</f>
        <v/>
      </c>
      <c r="B73" s="10" t="str">
        <f ca="1">TEXT(  IFERROR( VLOOKUP( $D73, CollName_Simplifier_Table[], 2, FALSE),"") &amp;
        INDIRECT( ADDRESS( ROW() + Row_Offset, INDIRECT( "Column_Number_" &amp; $B$1), 4,1, tabname) ), "")</f>
        <v>938.0709 WATERFI</v>
      </c>
      <c r="C73" s="10" t="str">
        <f ca="1">TEXT( INDIRECT( ADDRESS( ROW() + Row_Offset, INDIRECT( "Column_Number_" &amp; C$1), 4,1, tabname) ), "")</f>
        <v>Dividing the spoils : the war for Alexander the Great's empire</v>
      </c>
      <c r="D73" s="10" t="str">
        <f ca="1">TEXT( INDIRECT( ADDRESS( ROW() + Row_Offset, INDIRECT( "Column_Number_" &amp; D$1), 4,1, tabname) ), "")</f>
        <v>Nonfiction</v>
      </c>
      <c r="E73" s="10" t="str">
        <f ca="1">TEXT( INDIRECT( ADDRESS( ROW() + Row_Offset, INDIRECT( "Column_Number_" &amp; E$1), 4,1, tabname) ), "####")</f>
        <v>2011</v>
      </c>
      <c r="F73" s="15"/>
      <c r="G73" s="21">
        <f ca="1">IFERROR(INDEX(Rank_Table[],MATCH($D73&amp;$A73,Table4[Join],0)),"")</f>
        <v>3</v>
      </c>
      <c r="H73" s="11" t="str">
        <f ca="1">IF(AND(D73="Juvenile Audiobook",LEFT(B73,8)="J CD BIO"),RIGHT(B73,LEN(B73)-9),
IF(AND(D73="Juvenile Audiobook",LEFT(B73,8)="J CD FIC"),B73,
IF(D73="Juvenile Audiobook",RIGHT(B73,LEN(B73)-5),
IF(AND(D73="Teen Audiobook",LEFT(B73,11)="TEEN CD BIO"),RIGHT(B73,LEN(B73)-12),
IF(AND(D73="Teen Audiobook",LEFT(B73,11)="TEEN CD FIC"),B73,
IF(D73="Juvenile Audiobook",RIGHT(B73,LEN(B73)-8),
IF(D73="Juvenile Nonfiction",RIGHT(B73,LEN(B73)-2),
IF(D73="Teen Nonfiction",RIGHT(B73,LEN(B73)-5),
IF(AND(D73="Audiobook",
              NOT(OR(Contains($B73,"CD BIO"),Contains($B73,"CD FIC")))),RIGHT(B73,LEN(B73)-3),
IF(D73="Juvenile Biography",RIGHT(B73,LEN(B73)-2),
IF(D73="Teen Biography",RIGHT(B73,LEN(B73)-5),
IF(AND(D73="Audiobook",
              IFERROR(FIND("BIO",$B73)&gt;0,FALSE)),RIGHT(B73,LEN(B73)-3),
IF(D73="Juvenile Large Type","J "&amp;RIGHT(B73,LEN(B73)-11),
IF(D73="Teen Large Type","TEEN "&amp;RIGHT(B73,LEN(B73)-14),
IF(D73="Reference",RIGHT(B73,LEN(B73)-4),
IF(D73="DVD Educational",RIGHT(B73,LEN(B73)-7),
IF(D73="Juvenile DVD Educational",RIGHT(B73,LEN(B73)-9),
B73)))))))))))))))))</f>
        <v>938.0709 WATERFI</v>
      </c>
    </row>
    <row r="74" spans="1:8" ht="27" customHeight="1" x14ac:dyDescent="0.25">
      <c r="A74" s="10" t="str">
        <f ca="1">TEXT( INDIRECT( ADDRESS( ROW() + Row_Offset, INDIRECT( "Column_Number_" &amp; A$1), 4,1, tabname) ), "")</f>
        <v/>
      </c>
      <c r="B74" s="10" t="str">
        <f ca="1">TEXT(  IFERROR( VLOOKUP( $D74, CollName_Simplifier_Table[], 2, FALSE),"") &amp;
        INDIRECT( ADDRESS( ROW() + Row_Offset, INDIRECT( "Column_Number_" &amp; $B$1), 4,1, tabname) ), "")</f>
        <v>973.932 SASLOW</v>
      </c>
      <c r="C74" s="10" t="str">
        <f ca="1">TEXT( INDIRECT( ADDRESS( ROW() + Row_Offset, INDIRECT( "Column_Number_" &amp; C$1), 4,1, tabname) ), "")</f>
        <v>Ten letters : the stories Americans tell their president</v>
      </c>
      <c r="D74" s="10" t="str">
        <f ca="1">TEXT( INDIRECT( ADDRESS( ROW() + Row_Offset, INDIRECT( "Column_Number_" &amp; D$1), 4,1, tabname) ), "")</f>
        <v>Nonfiction</v>
      </c>
      <c r="E74" s="10" t="str">
        <f ca="1">TEXT( INDIRECT( ADDRESS( ROW() + Row_Offset, INDIRECT( "Column_Number_" &amp; E$1), 4,1, tabname) ), "####")</f>
        <v>2011</v>
      </c>
      <c r="F74" s="15"/>
      <c r="G74" s="21">
        <f ca="1">IFERROR(INDEX(Rank_Table[],MATCH($D74&amp;$A74,Table4[Join],0)),"")</f>
        <v>3</v>
      </c>
      <c r="H74" s="11" t="str">
        <f ca="1">IF(AND(D74="Juvenile Audiobook",LEFT(B74,8)="J CD BIO"),RIGHT(B74,LEN(B74)-9),
IF(AND(D74="Juvenile Audiobook",LEFT(B74,8)="J CD FIC"),B74,
IF(D74="Juvenile Audiobook",RIGHT(B74,LEN(B74)-5),
IF(AND(D74="Teen Audiobook",LEFT(B74,11)="TEEN CD BIO"),RIGHT(B74,LEN(B74)-12),
IF(AND(D74="Teen Audiobook",LEFT(B74,11)="TEEN CD FIC"),B74,
IF(D74="Juvenile Audiobook",RIGHT(B74,LEN(B74)-8),
IF(D74="Juvenile Nonfiction",RIGHT(B74,LEN(B74)-2),
IF(D74="Teen Nonfiction",RIGHT(B74,LEN(B74)-5),
IF(AND(D74="Audiobook",
              NOT(OR(Contains($B74,"CD BIO"),Contains($B74,"CD FIC")))),RIGHT(B74,LEN(B74)-3),
IF(D74="Juvenile Biography",RIGHT(B74,LEN(B74)-2),
IF(D74="Teen Biography",RIGHT(B74,LEN(B74)-5),
IF(AND(D74="Audiobook",
              IFERROR(FIND("BIO",$B74)&gt;0,FALSE)),RIGHT(B74,LEN(B74)-3),
IF(D74="Juvenile Large Type","J "&amp;RIGHT(B74,LEN(B74)-11),
IF(D74="Teen Large Type","TEEN "&amp;RIGHT(B74,LEN(B74)-14),
IF(D74="Reference",RIGHT(B74,LEN(B74)-4),
IF(D74="DVD Educational",RIGHT(B74,LEN(B74)-7),
IF(D74="Juvenile DVD Educational",RIGHT(B74,LEN(B74)-9),
B74)))))))))))))))))</f>
        <v>973.932 SASLOW</v>
      </c>
    </row>
    <row r="75" spans="1:8" ht="27" customHeight="1" x14ac:dyDescent="0.25">
      <c r="A75" s="10" t="str">
        <f ca="1">TEXT( INDIRECT( ADDRESS( ROW() + Row_Offset, INDIRECT( "Column_Number_" &amp; A$1), 4,1, tabname) ), "")</f>
        <v/>
      </c>
      <c r="B75" s="10" t="str">
        <f ca="1">TEXT(  IFERROR( VLOOKUP( $D75, CollName_Simplifier_Table[], 2, FALSE),"") &amp;
        INDIRECT( ADDRESS( ROW() + Row_Offset, INDIRECT( "Column_Number_" &amp; $B$1), 4,1, tabname) ), "")</f>
        <v>TEEN ZUSAK</v>
      </c>
      <c r="C75" s="10" t="str">
        <f ca="1">TEXT( INDIRECT( ADDRESS( ROW() + Row_Offset, INDIRECT( "Column_Number_" &amp; C$1), 4,1, tabname) ), "")</f>
        <v>Getting the girl</v>
      </c>
      <c r="D75" s="10" t="str">
        <f ca="1">TEXT( INDIRECT( ADDRESS( ROW() + Row_Offset, INDIRECT( "Column_Number_" &amp; D$1), 4,1, tabname) ), "")</f>
        <v>Teen Fiction</v>
      </c>
      <c r="E75" s="10" t="str">
        <f ca="1">TEXT( INDIRECT( ADDRESS( ROW() + Row_Offset, INDIRECT( "Column_Number_" &amp; E$1), 4,1, tabname) ), "####")</f>
        <v>2004</v>
      </c>
      <c r="F75" s="15"/>
      <c r="G75" s="21">
        <f ca="1">IFERROR(INDEX(Rank_Table[],MATCH($D75&amp;$A75,Table4[Join],0)),"")</f>
        <v>11</v>
      </c>
      <c r="H75" s="11" t="str">
        <f ca="1">IF(AND(D75="Juvenile Audiobook",LEFT(B75,8)="J CD BIO"),RIGHT(B75,LEN(B75)-9),
IF(AND(D75="Juvenile Audiobook",LEFT(B75,8)="J CD FIC"),B75,
IF(D75="Juvenile Audiobook",RIGHT(B75,LEN(B75)-5),
IF(AND(D75="Teen Audiobook",LEFT(B75,11)="TEEN CD BIO"),RIGHT(B75,LEN(B75)-12),
IF(AND(D75="Teen Audiobook",LEFT(B75,11)="TEEN CD FIC"),B75,
IF(D75="Juvenile Audiobook",RIGHT(B75,LEN(B75)-8),
IF(D75="Juvenile Nonfiction",RIGHT(B75,LEN(B75)-2),
IF(D75="Teen Nonfiction",RIGHT(B75,LEN(B75)-5),
IF(AND(D75="Audiobook",
              NOT(OR(Contains($B75,"CD BIO"),Contains($B75,"CD FIC")))),RIGHT(B75,LEN(B75)-3),
IF(D75="Juvenile Biography",RIGHT(B75,LEN(B75)-2),
IF(D75="Teen Biography",RIGHT(B75,LEN(B75)-5),
IF(AND(D75="Audiobook",
              IFERROR(FIND("BIO",$B75)&gt;0,FALSE)),RIGHT(B75,LEN(B75)-3),
IF(D75="Juvenile Large Type","J "&amp;RIGHT(B75,LEN(B75)-11),
IF(D75="Teen Large Type","TEEN "&amp;RIGHT(B75,LEN(B75)-14),
IF(D75="Reference",RIGHT(B75,LEN(B75)-4),
IF(D75="DVD Educational",RIGHT(B75,LEN(B75)-7),
IF(D75="Juvenile DVD Educational",RIGHT(B75,LEN(B75)-9),
B75)))))))))))))))))</f>
        <v>TEEN ZUSAK</v>
      </c>
    </row>
    <row r="76" spans="1:8" ht="27" customHeight="1" x14ac:dyDescent="0.25">
      <c r="A76" s="10" t="str">
        <f ca="1">TEXT( INDIRECT( ADDRESS( ROW() + Row_Offset, INDIRECT( "Column_Number_" &amp; A$1), 4,1, tabname) ), "")</f>
        <v/>
      </c>
      <c r="B76" s="10" t="str">
        <f ca="1">TEXT(  IFERROR( VLOOKUP( $D76, CollName_Simplifier_Table[], 2, FALSE),"") &amp;
        INDIRECT( ADDRESS( ROW() + Row_Offset, INDIRECT( "Column_Number_" &amp; $B$1), 4,1, tabname) ), "")</f>
        <v/>
      </c>
      <c r="C76" s="10" t="str">
        <f ca="1">TEXT( INDIRECT( ADDRESS( ROW() + Row_Offset, INDIRECT( "Column_Number_" &amp; C$1), 4,1, tabname) ), "")</f>
        <v/>
      </c>
      <c r="D76" s="10" t="str">
        <f ca="1">TEXT( INDIRECT( ADDRESS( ROW() + Row_Offset, INDIRECT( "Column_Number_" &amp; D$1), 4,1, tabname) ), "")</f>
        <v/>
      </c>
      <c r="E76" s="10" t="str">
        <f ca="1">TEXT( INDIRECT( ADDRESS( ROW() + Row_Offset, INDIRECT( "Column_Number_" &amp; E$1), 4,1, tabname) ), "####")</f>
        <v/>
      </c>
      <c r="F76" s="15"/>
      <c r="G76" s="21" t="str">
        <f ca="1">IFERROR(INDEX(Rank_Table[],MATCH($D76&amp;$A76,Table4[Join],0)),"")</f>
        <v/>
      </c>
      <c r="H76" s="11" t="str">
        <f ca="1">IF(AND(D76="Juvenile Audiobook",LEFT(B76,8)="J CD BIO"),RIGHT(B76,LEN(B76)-9),
IF(AND(D76="Juvenile Audiobook",LEFT(B76,8)="J CD FIC"),B76,
IF(D76="Juvenile Audiobook",RIGHT(B76,LEN(B76)-5),
IF(AND(D76="Teen Audiobook",LEFT(B76,11)="TEEN CD BIO"),RIGHT(B76,LEN(B76)-12),
IF(AND(D76="Teen Audiobook",LEFT(B76,11)="TEEN CD FIC"),B76,
IF(D76="Juvenile Audiobook",RIGHT(B76,LEN(B76)-8),
IF(D76="Juvenile Nonfiction",RIGHT(B76,LEN(B76)-2),
IF(D76="Teen Nonfiction",RIGHT(B76,LEN(B76)-5),
IF(AND(D76="Audiobook",
              NOT(OR(Contains($B76,"CD BIO"),Contains($B76,"CD FIC")))),RIGHT(B76,LEN(B76)-3),
IF(D76="Juvenile Biography",RIGHT(B76,LEN(B76)-2),
IF(D76="Teen Biography",RIGHT(B76,LEN(B76)-5),
IF(AND(D76="Audiobook",
              IFERROR(FIND("BIO",$B76)&gt;0,FALSE)),RIGHT(B76,LEN(B76)-3),
IF(D76="Juvenile Large Type","J "&amp;RIGHT(B76,LEN(B76)-11),
IF(D76="Teen Large Type","TEEN "&amp;RIGHT(B76,LEN(B76)-14),
IF(D76="Reference",RIGHT(B76,LEN(B76)-4),
IF(D76="DVD Educational",RIGHT(B76,LEN(B76)-7),
IF(D76="Juvenile DVD Educational",RIGHT(B76,LEN(B76)-9),
B76)))))))))))))))))</f>
        <v/>
      </c>
    </row>
    <row r="77" spans="1:8" ht="27" customHeight="1" x14ac:dyDescent="0.25">
      <c r="A77" s="10" t="str">
        <f ca="1">TEXT( INDIRECT( ADDRESS( ROW() + Row_Offset, INDIRECT( "Column_Number_" &amp; A$1), 4,1, tabname) ), "")</f>
        <v/>
      </c>
      <c r="B77" s="10" t="str">
        <f ca="1">TEXT(  IFERROR( VLOOKUP( $D77, CollName_Simplifier_Table[], 2, FALSE),"") &amp;
        INDIRECT( ADDRESS( ROW() + Row_Offset, INDIRECT( "Column_Number_" &amp; $B$1), 4,1, tabname) ), "")</f>
        <v/>
      </c>
      <c r="C77" s="10" t="str">
        <f ca="1">TEXT( INDIRECT( ADDRESS( ROW() + Row_Offset, INDIRECT( "Column_Number_" &amp; C$1), 4,1, tabname) ), "")</f>
        <v/>
      </c>
      <c r="D77" s="10" t="str">
        <f ca="1">TEXT( INDIRECT( ADDRESS( ROW() + Row_Offset, INDIRECT( "Column_Number_" &amp; D$1), 4,1, tabname) ), "")</f>
        <v/>
      </c>
      <c r="E77" s="10" t="str">
        <f ca="1">TEXT( INDIRECT( ADDRESS( ROW() + Row_Offset, INDIRECT( "Column_Number_" &amp; E$1), 4,1, tabname) ), "####")</f>
        <v/>
      </c>
      <c r="F77" s="15"/>
      <c r="G77" s="21" t="str">
        <f ca="1">IFERROR(INDEX(Rank_Table[],MATCH($D77&amp;$A77,Table4[Join],0)),"")</f>
        <v/>
      </c>
      <c r="H77" s="11" t="str">
        <f ca="1">IF(AND(D77="Juvenile Audiobook",LEFT(B77,8)="J CD BIO"),RIGHT(B77,LEN(B77)-9),
IF(AND(D77="Juvenile Audiobook",LEFT(B77,8)="J CD FIC"),B77,
IF(D77="Juvenile Audiobook",RIGHT(B77,LEN(B77)-5),
IF(AND(D77="Teen Audiobook",LEFT(B77,11)="TEEN CD BIO"),RIGHT(B77,LEN(B77)-12),
IF(AND(D77="Teen Audiobook",LEFT(B77,11)="TEEN CD FIC"),B77,
IF(D77="Juvenile Audiobook",RIGHT(B77,LEN(B77)-8),
IF(D77="Juvenile Nonfiction",RIGHT(B77,LEN(B77)-2),
IF(D77="Teen Nonfiction",RIGHT(B77,LEN(B77)-5),
IF(AND(D77="Audiobook",
              NOT(OR(Contains($B77,"CD BIO"),Contains($B77,"CD FIC")))),RIGHT(B77,LEN(B77)-3),
IF(D77="Juvenile Biography",RIGHT(B77,LEN(B77)-2),
IF(D77="Teen Biography",RIGHT(B77,LEN(B77)-5),
IF(AND(D77="Audiobook",
              IFERROR(FIND("BIO",$B77)&gt;0,FALSE)),RIGHT(B77,LEN(B77)-3),
IF(D77="Juvenile Large Type","J "&amp;RIGHT(B77,LEN(B77)-11),
IF(D77="Teen Large Type","TEEN "&amp;RIGHT(B77,LEN(B77)-14),
IF(D77="Reference",RIGHT(B77,LEN(B77)-4),
IF(D77="DVD Educational",RIGHT(B77,LEN(B77)-7),
IF(D77="Juvenile DVD Educational",RIGHT(B77,LEN(B77)-9),
B77)))))))))))))))))</f>
        <v/>
      </c>
    </row>
    <row r="78" spans="1:8" ht="27" customHeight="1" x14ac:dyDescent="0.25">
      <c r="A78" s="10" t="str">
        <f ca="1">TEXT( INDIRECT( ADDRESS( ROW() + Row_Offset, INDIRECT( "Column_Number_" &amp; A$1), 4,1, tabname) ), "")</f>
        <v/>
      </c>
      <c r="B78" s="10" t="str">
        <f ca="1">TEXT(  IFERROR( VLOOKUP( $D78, CollName_Simplifier_Table[], 2, FALSE),"") &amp;
        INDIRECT( ADDRESS( ROW() + Row_Offset, INDIRECT( "Column_Number_" &amp; $B$1), 4,1, tabname) ), "")</f>
        <v/>
      </c>
      <c r="C78" s="10" t="str">
        <f ca="1">TEXT( INDIRECT( ADDRESS( ROW() + Row_Offset, INDIRECT( "Column_Number_" &amp; C$1), 4,1, tabname) ), "")</f>
        <v/>
      </c>
      <c r="D78" s="10" t="str">
        <f ca="1">TEXT( INDIRECT( ADDRESS( ROW() + Row_Offset, INDIRECT( "Column_Number_" &amp; D$1), 4,1, tabname) ), "")</f>
        <v/>
      </c>
      <c r="E78" s="10" t="str">
        <f ca="1">TEXT( INDIRECT( ADDRESS( ROW() + Row_Offset, INDIRECT( "Column_Number_" &amp; E$1), 4,1, tabname) ), "####")</f>
        <v/>
      </c>
      <c r="F78" s="15"/>
      <c r="G78" s="21" t="str">
        <f ca="1">IFERROR(INDEX(Rank_Table[],MATCH($D78&amp;$A78,Table4[Join],0)),"")</f>
        <v/>
      </c>
      <c r="H78" s="11" t="str">
        <f ca="1">IF(AND(D78="Juvenile Audiobook",LEFT(B78,8)="J CD BIO"),RIGHT(B78,LEN(B78)-9),
IF(AND(D78="Juvenile Audiobook",LEFT(B78,8)="J CD FIC"),B78,
IF(D78="Juvenile Audiobook",RIGHT(B78,LEN(B78)-5),
IF(AND(D78="Teen Audiobook",LEFT(B78,11)="TEEN CD BIO"),RIGHT(B78,LEN(B78)-12),
IF(AND(D78="Teen Audiobook",LEFT(B78,11)="TEEN CD FIC"),B78,
IF(D78="Juvenile Audiobook",RIGHT(B78,LEN(B78)-8),
IF(D78="Juvenile Nonfiction",RIGHT(B78,LEN(B78)-2),
IF(D78="Teen Nonfiction",RIGHT(B78,LEN(B78)-5),
IF(AND(D78="Audiobook",
              NOT(OR(Contains($B78,"CD BIO"),Contains($B78,"CD FIC")))),RIGHT(B78,LEN(B78)-3),
IF(D78="Juvenile Biography",RIGHT(B78,LEN(B78)-2),
IF(D78="Teen Biography",RIGHT(B78,LEN(B78)-5),
IF(AND(D78="Audiobook",
              IFERROR(FIND("BIO",$B78)&gt;0,FALSE)),RIGHT(B78,LEN(B78)-3),
IF(D78="Juvenile Large Type","J "&amp;RIGHT(B78,LEN(B78)-11),
IF(D78="Teen Large Type","TEEN "&amp;RIGHT(B78,LEN(B78)-14),
IF(D78="Reference",RIGHT(B78,LEN(B78)-4),
IF(D78="DVD Educational",RIGHT(B78,LEN(B78)-7),
IF(D78="Juvenile DVD Educational",RIGHT(B78,LEN(B78)-9),
B78)))))))))))))))))</f>
        <v/>
      </c>
    </row>
    <row r="79" spans="1:8" ht="27" customHeight="1" x14ac:dyDescent="0.25">
      <c r="A79" s="10" t="str">
        <f ca="1">TEXT( INDIRECT( ADDRESS( ROW() + Row_Offset, INDIRECT( "Column_Number_" &amp; A$1), 4,1, tabname) ), "")</f>
        <v/>
      </c>
      <c r="B79" s="10" t="str">
        <f ca="1">TEXT(  IFERROR( VLOOKUP( $D79, CollName_Simplifier_Table[], 2, FALSE),"") &amp;
        INDIRECT( ADDRESS( ROW() + Row_Offset, INDIRECT( "Column_Number_" &amp; $B$1), 4,1, tabname) ), "")</f>
        <v/>
      </c>
      <c r="C79" s="10" t="str">
        <f ca="1">TEXT( INDIRECT( ADDRESS( ROW() + Row_Offset, INDIRECT( "Column_Number_" &amp; C$1), 4,1, tabname) ), "")</f>
        <v/>
      </c>
      <c r="D79" s="10" t="str">
        <f ca="1">TEXT( INDIRECT( ADDRESS( ROW() + Row_Offset, INDIRECT( "Column_Number_" &amp; D$1), 4,1, tabname) ), "")</f>
        <v/>
      </c>
      <c r="E79" s="10" t="str">
        <f ca="1">TEXT( INDIRECT( ADDRESS( ROW() + Row_Offset, INDIRECT( "Column_Number_" &amp; E$1), 4,1, tabname) ), "####")</f>
        <v/>
      </c>
      <c r="F79" s="15"/>
      <c r="G79" s="21" t="str">
        <f ca="1">IFERROR(INDEX(Rank_Table[],MATCH($D79&amp;$A79,Table4[Join],0)),"")</f>
        <v/>
      </c>
      <c r="H79" s="11" t="str">
        <f ca="1">IF(AND(D79="Juvenile Audiobook",LEFT(B79,8)="J CD BIO"),RIGHT(B79,LEN(B79)-9),
IF(AND(D79="Juvenile Audiobook",LEFT(B79,8)="J CD FIC"),B79,
IF(D79="Juvenile Audiobook",RIGHT(B79,LEN(B79)-5),
IF(AND(D79="Teen Audiobook",LEFT(B79,11)="TEEN CD BIO"),RIGHT(B79,LEN(B79)-12),
IF(AND(D79="Teen Audiobook",LEFT(B79,11)="TEEN CD FIC"),B79,
IF(D79="Juvenile Audiobook",RIGHT(B79,LEN(B79)-8),
IF(D79="Juvenile Nonfiction",RIGHT(B79,LEN(B79)-2),
IF(D79="Teen Nonfiction",RIGHT(B79,LEN(B79)-5),
IF(AND(D79="Audiobook",
              NOT(OR(Contains($B79,"CD BIO"),Contains($B79,"CD FIC")))),RIGHT(B79,LEN(B79)-3),
IF(D79="Juvenile Biography",RIGHT(B79,LEN(B79)-2),
IF(D79="Teen Biography",RIGHT(B79,LEN(B79)-5),
IF(AND(D79="Audiobook",
              IFERROR(FIND("BIO",$B79)&gt;0,FALSE)),RIGHT(B79,LEN(B79)-3),
IF(D79="Juvenile Large Type","J "&amp;RIGHT(B79,LEN(B79)-11),
IF(D79="Teen Large Type","TEEN "&amp;RIGHT(B79,LEN(B79)-14),
IF(D79="Reference",RIGHT(B79,LEN(B79)-4),
IF(D79="DVD Educational",RIGHT(B79,LEN(B79)-7),
IF(D79="Juvenile DVD Educational",RIGHT(B79,LEN(B79)-9),
B79)))))))))))))))))</f>
        <v/>
      </c>
    </row>
    <row r="80" spans="1:8" ht="27" customHeight="1" x14ac:dyDescent="0.25">
      <c r="A80" s="10" t="str">
        <f ca="1">TEXT( INDIRECT( ADDRESS( ROW() + Row_Offset, INDIRECT( "Column_Number_" &amp; A$1), 4,1, tabname) ), "")</f>
        <v/>
      </c>
      <c r="B80" s="10" t="str">
        <f ca="1">TEXT(  IFERROR( VLOOKUP( $D80, CollName_Simplifier_Table[], 2, FALSE),"") &amp;
        INDIRECT( ADDRESS( ROW() + Row_Offset, INDIRECT( "Column_Number_" &amp; $B$1), 4,1, tabname) ), "")</f>
        <v/>
      </c>
      <c r="C80" s="10" t="str">
        <f ca="1">TEXT( INDIRECT( ADDRESS( ROW() + Row_Offset, INDIRECT( "Column_Number_" &amp; C$1), 4,1, tabname) ), "")</f>
        <v/>
      </c>
      <c r="D80" s="10" t="str">
        <f ca="1">TEXT( INDIRECT( ADDRESS( ROW() + Row_Offset, INDIRECT( "Column_Number_" &amp; D$1), 4,1, tabname) ), "")</f>
        <v/>
      </c>
      <c r="E80" s="10" t="str">
        <f ca="1">TEXT( INDIRECT( ADDRESS( ROW() + Row_Offset, INDIRECT( "Column_Number_" &amp; E$1), 4,1, tabname) ), "####")</f>
        <v/>
      </c>
      <c r="F80" s="15"/>
      <c r="G80" s="21" t="str">
        <f ca="1">IFERROR(INDEX(Rank_Table[],MATCH($D80&amp;$A80,Table4[Join],0)),"")</f>
        <v/>
      </c>
      <c r="H80" s="11" t="str">
        <f ca="1">IF(AND(D80="Juvenile Audiobook",LEFT(B80,8)="J CD BIO"),RIGHT(B80,LEN(B80)-9),
IF(AND(D80="Juvenile Audiobook",LEFT(B80,8)="J CD FIC"),B80,
IF(D80="Juvenile Audiobook",RIGHT(B80,LEN(B80)-5),
IF(AND(D80="Teen Audiobook",LEFT(B80,11)="TEEN CD BIO"),RIGHT(B80,LEN(B80)-12),
IF(AND(D80="Teen Audiobook",LEFT(B80,11)="TEEN CD FIC"),B80,
IF(D80="Juvenile Audiobook",RIGHT(B80,LEN(B80)-8),
IF(D80="Juvenile Nonfiction",RIGHT(B80,LEN(B80)-2),
IF(D80="Teen Nonfiction",RIGHT(B80,LEN(B80)-5),
IF(AND(D80="Audiobook",
              NOT(OR(Contains($B80,"CD BIO"),Contains($B80,"CD FIC")))),RIGHT(B80,LEN(B80)-3),
IF(D80="Juvenile Biography",RIGHT(B80,LEN(B80)-2),
IF(D80="Teen Biography",RIGHT(B80,LEN(B80)-5),
IF(AND(D80="Audiobook",
              IFERROR(FIND("BIO",$B80)&gt;0,FALSE)),RIGHT(B80,LEN(B80)-3),
IF(D80="Juvenile Large Type","J "&amp;RIGHT(B80,LEN(B80)-11),
IF(D80="Teen Large Type","TEEN "&amp;RIGHT(B80,LEN(B80)-14),
IF(D80="Reference",RIGHT(B80,LEN(B80)-4),
IF(D80="DVD Educational",RIGHT(B80,LEN(B80)-7),
IF(D80="Juvenile DVD Educational",RIGHT(B80,LEN(B80)-9),
B80)))))))))))))))))</f>
        <v/>
      </c>
    </row>
    <row r="81" spans="1:8" ht="27" customHeight="1" x14ac:dyDescent="0.25">
      <c r="A81" s="10" t="str">
        <f ca="1">TEXT( INDIRECT( ADDRESS( ROW() + Row_Offset, INDIRECT( "Column_Number_" &amp; A$1), 4,1, tabname) ), "")</f>
        <v/>
      </c>
      <c r="B81" s="10" t="str">
        <f ca="1">TEXT(  IFERROR( VLOOKUP( $D81, CollName_Simplifier_Table[], 2, FALSE),"") &amp;
        INDIRECT( ADDRESS( ROW() + Row_Offset, INDIRECT( "Column_Number_" &amp; $B$1), 4,1, tabname) ), "")</f>
        <v/>
      </c>
      <c r="C81" s="10" t="str">
        <f ca="1">TEXT( INDIRECT( ADDRESS( ROW() + Row_Offset, INDIRECT( "Column_Number_" &amp; C$1), 4,1, tabname) ), "")</f>
        <v/>
      </c>
      <c r="D81" s="10" t="str">
        <f ca="1">TEXT( INDIRECT( ADDRESS( ROW() + Row_Offset, INDIRECT( "Column_Number_" &amp; D$1), 4,1, tabname) ), "")</f>
        <v/>
      </c>
      <c r="E81" s="10" t="str">
        <f ca="1">TEXT( INDIRECT( ADDRESS( ROW() + Row_Offset, INDIRECT( "Column_Number_" &amp; E$1), 4,1, tabname) ), "####")</f>
        <v/>
      </c>
      <c r="F81" s="15"/>
      <c r="G81" s="21" t="str">
        <f ca="1">IFERROR(INDEX(Rank_Table[],MATCH($D81&amp;$A81,Table4[Join],0)),"")</f>
        <v/>
      </c>
      <c r="H81" s="11" t="str">
        <f ca="1">IF(AND(D81="Juvenile Audiobook",LEFT(B81,8)="J CD BIO"),RIGHT(B81,LEN(B81)-9),
IF(AND(D81="Juvenile Audiobook",LEFT(B81,8)="J CD FIC"),B81,
IF(D81="Juvenile Audiobook",RIGHT(B81,LEN(B81)-5),
IF(AND(D81="Teen Audiobook",LEFT(B81,11)="TEEN CD BIO"),RIGHT(B81,LEN(B81)-12),
IF(AND(D81="Teen Audiobook",LEFT(B81,11)="TEEN CD FIC"),B81,
IF(D81="Juvenile Audiobook",RIGHT(B81,LEN(B81)-8),
IF(D81="Juvenile Nonfiction",RIGHT(B81,LEN(B81)-2),
IF(D81="Teen Nonfiction",RIGHT(B81,LEN(B81)-5),
IF(AND(D81="Audiobook",
              NOT(OR(Contains($B81,"CD BIO"),Contains($B81,"CD FIC")))),RIGHT(B81,LEN(B81)-3),
IF(D81="Juvenile Biography",RIGHT(B81,LEN(B81)-2),
IF(D81="Teen Biography",RIGHT(B81,LEN(B81)-5),
IF(AND(D81="Audiobook",
              IFERROR(FIND("BIO",$B81)&gt;0,FALSE)),RIGHT(B81,LEN(B81)-3),
IF(D81="Juvenile Large Type","J "&amp;RIGHT(B81,LEN(B81)-11),
IF(D81="Teen Large Type","TEEN "&amp;RIGHT(B81,LEN(B81)-14),
IF(D81="Reference",RIGHT(B81,LEN(B81)-4),
IF(D81="DVD Educational",RIGHT(B81,LEN(B81)-7),
IF(D81="Juvenile DVD Educational",RIGHT(B81,LEN(B81)-9),
B81)))))))))))))))))</f>
        <v/>
      </c>
    </row>
    <row r="82" spans="1:8" ht="27" customHeight="1" x14ac:dyDescent="0.25">
      <c r="A82" s="10" t="str">
        <f ca="1">TEXT( INDIRECT( ADDRESS( ROW() + Row_Offset, INDIRECT( "Column_Number_" &amp; A$1), 4,1, tabname) ), "")</f>
        <v/>
      </c>
      <c r="B82" s="10" t="str">
        <f ca="1">TEXT(  IFERROR( VLOOKUP( $D82, CollName_Simplifier_Table[], 2, FALSE),"") &amp;
        INDIRECT( ADDRESS( ROW() + Row_Offset, INDIRECT( "Column_Number_" &amp; $B$1), 4,1, tabname) ), "")</f>
        <v/>
      </c>
      <c r="C82" s="10" t="str">
        <f ca="1">TEXT( INDIRECT( ADDRESS( ROW() + Row_Offset, INDIRECT( "Column_Number_" &amp; C$1), 4,1, tabname) ), "")</f>
        <v/>
      </c>
      <c r="D82" s="10" t="str">
        <f ca="1">TEXT( INDIRECT( ADDRESS( ROW() + Row_Offset, INDIRECT( "Column_Number_" &amp; D$1), 4,1, tabname) ), "")</f>
        <v/>
      </c>
      <c r="E82" s="10" t="str">
        <f ca="1">TEXT( INDIRECT( ADDRESS( ROW() + Row_Offset, INDIRECT( "Column_Number_" &amp; E$1), 4,1, tabname) ), "####")</f>
        <v/>
      </c>
      <c r="F82" s="15"/>
      <c r="G82" s="21" t="str">
        <f ca="1">IFERROR(INDEX(Rank_Table[],MATCH($D82&amp;$A82,Table4[Join],0)),"")</f>
        <v/>
      </c>
      <c r="H82" s="11" t="str">
        <f ca="1">IF(AND(D82="Juvenile Audiobook",LEFT(B82,8)="J CD BIO"),RIGHT(B82,LEN(B82)-9),
IF(AND(D82="Juvenile Audiobook",LEFT(B82,8)="J CD FIC"),B82,
IF(D82="Juvenile Audiobook",RIGHT(B82,LEN(B82)-5),
IF(AND(D82="Teen Audiobook",LEFT(B82,11)="TEEN CD BIO"),RIGHT(B82,LEN(B82)-12),
IF(AND(D82="Teen Audiobook",LEFT(B82,11)="TEEN CD FIC"),B82,
IF(D82="Juvenile Audiobook",RIGHT(B82,LEN(B82)-8),
IF(D82="Juvenile Nonfiction",RIGHT(B82,LEN(B82)-2),
IF(D82="Teen Nonfiction",RIGHT(B82,LEN(B82)-5),
IF(AND(D82="Audiobook",
              NOT(OR(Contains($B82,"CD BIO"),Contains($B82,"CD FIC")))),RIGHT(B82,LEN(B82)-3),
IF(D82="Juvenile Biography",RIGHT(B82,LEN(B82)-2),
IF(D82="Teen Biography",RIGHT(B82,LEN(B82)-5),
IF(AND(D82="Audiobook",
              IFERROR(FIND("BIO",$B82)&gt;0,FALSE)),RIGHT(B82,LEN(B82)-3),
IF(D82="Juvenile Large Type","J "&amp;RIGHT(B82,LEN(B82)-11),
IF(D82="Teen Large Type","TEEN "&amp;RIGHT(B82,LEN(B82)-14),
IF(D82="Reference",RIGHT(B82,LEN(B82)-4),
IF(D82="DVD Educational",RIGHT(B82,LEN(B82)-7),
IF(D82="Juvenile DVD Educational",RIGHT(B82,LEN(B82)-9),
B82)))))))))))))))))</f>
        <v/>
      </c>
    </row>
    <row r="83" spans="1:8" ht="27" customHeight="1" x14ac:dyDescent="0.25">
      <c r="A83" s="10" t="str">
        <f ca="1">TEXT( INDIRECT( ADDRESS( ROW() + Row_Offset, INDIRECT( "Column_Number_" &amp; A$1), 4,1, tabname) ), "")</f>
        <v/>
      </c>
      <c r="B83" s="10" t="str">
        <f ca="1">TEXT(  IFERROR( VLOOKUP( $D83, CollName_Simplifier_Table[], 2, FALSE),"") &amp;
        INDIRECT( ADDRESS( ROW() + Row_Offset, INDIRECT( "Column_Number_" &amp; $B$1), 4,1, tabname) ), "")</f>
        <v/>
      </c>
      <c r="C83" s="10" t="str">
        <f ca="1">TEXT( INDIRECT( ADDRESS( ROW() + Row_Offset, INDIRECT( "Column_Number_" &amp; C$1), 4,1, tabname) ), "")</f>
        <v/>
      </c>
      <c r="D83" s="10" t="str">
        <f ca="1">TEXT( INDIRECT( ADDRESS( ROW() + Row_Offset, INDIRECT( "Column_Number_" &amp; D$1), 4,1, tabname) ), "")</f>
        <v/>
      </c>
      <c r="E83" s="10" t="str">
        <f ca="1">TEXT( INDIRECT( ADDRESS( ROW() + Row_Offset, INDIRECT( "Column_Number_" &amp; E$1), 4,1, tabname) ), "####")</f>
        <v/>
      </c>
      <c r="F83" s="15"/>
      <c r="G83" s="21" t="str">
        <f ca="1">IFERROR(INDEX(Rank_Table[],MATCH($D83&amp;$A83,Table4[Join],0)),"")</f>
        <v/>
      </c>
      <c r="H83" s="11" t="str">
        <f ca="1">IF(AND(D83="Juvenile Audiobook",LEFT(B83,8)="J CD BIO"),RIGHT(B83,LEN(B83)-9),
IF(AND(D83="Juvenile Audiobook",LEFT(B83,8)="J CD FIC"),B83,
IF(D83="Juvenile Audiobook",RIGHT(B83,LEN(B83)-5),
IF(AND(D83="Teen Audiobook",LEFT(B83,11)="TEEN CD BIO"),RIGHT(B83,LEN(B83)-12),
IF(AND(D83="Teen Audiobook",LEFT(B83,11)="TEEN CD FIC"),B83,
IF(D83="Juvenile Audiobook",RIGHT(B83,LEN(B83)-8),
IF(D83="Juvenile Nonfiction",RIGHT(B83,LEN(B83)-2),
IF(D83="Teen Nonfiction",RIGHT(B83,LEN(B83)-5),
IF(AND(D83="Audiobook",
              NOT(OR(Contains($B83,"CD BIO"),Contains($B83,"CD FIC")))),RIGHT(B83,LEN(B83)-3),
IF(D83="Juvenile Biography",RIGHT(B83,LEN(B83)-2),
IF(D83="Teen Biography",RIGHT(B83,LEN(B83)-5),
IF(AND(D83="Audiobook",
              IFERROR(FIND("BIO",$B83)&gt;0,FALSE)),RIGHT(B83,LEN(B83)-3),
IF(D83="Juvenile Large Type","J "&amp;RIGHT(B83,LEN(B83)-11),
IF(D83="Teen Large Type","TEEN "&amp;RIGHT(B83,LEN(B83)-14),
IF(D83="Reference",RIGHT(B83,LEN(B83)-4),
IF(D83="DVD Educational",RIGHT(B83,LEN(B83)-7),
IF(D83="Juvenile DVD Educational",RIGHT(B83,LEN(B83)-9),
B83)))))))))))))))))</f>
        <v/>
      </c>
    </row>
    <row r="84" spans="1:8" ht="27" customHeight="1" x14ac:dyDescent="0.25">
      <c r="A84" s="10" t="str">
        <f ca="1">TEXT( INDIRECT( ADDRESS( ROW() + Row_Offset, INDIRECT( "Column_Number_" &amp; A$1), 4,1, tabname) ), "")</f>
        <v/>
      </c>
      <c r="B84" s="10" t="str">
        <f ca="1">TEXT(  IFERROR( VLOOKUP( $D84, CollName_Simplifier_Table[], 2, FALSE),"") &amp;
        INDIRECT( ADDRESS( ROW() + Row_Offset, INDIRECT( "Column_Number_" &amp; $B$1), 4,1, tabname) ), "")</f>
        <v/>
      </c>
      <c r="C84" s="10" t="str">
        <f ca="1">TEXT( INDIRECT( ADDRESS( ROW() + Row_Offset, INDIRECT( "Column_Number_" &amp; C$1), 4,1, tabname) ), "")</f>
        <v/>
      </c>
      <c r="D84" s="10" t="str">
        <f ca="1">TEXT( INDIRECT( ADDRESS( ROW() + Row_Offset, INDIRECT( "Column_Number_" &amp; D$1), 4,1, tabname) ), "")</f>
        <v/>
      </c>
      <c r="E84" s="10" t="str">
        <f ca="1">TEXT( INDIRECT( ADDRESS( ROW() + Row_Offset, INDIRECT( "Column_Number_" &amp; E$1), 4,1, tabname) ), "####")</f>
        <v/>
      </c>
      <c r="F84" s="15"/>
      <c r="G84" s="21" t="str">
        <f ca="1">IFERROR(INDEX(Rank_Table[],MATCH($D84&amp;$A84,Table4[Join],0)),"")</f>
        <v/>
      </c>
      <c r="H84" s="11" t="str">
        <f ca="1">IF(AND(D84="Juvenile Audiobook",LEFT(B84,8)="J CD BIO"),RIGHT(B84,LEN(B84)-9),
IF(AND(D84="Juvenile Audiobook",LEFT(B84,8)="J CD FIC"),B84,
IF(D84="Juvenile Audiobook",RIGHT(B84,LEN(B84)-5),
IF(AND(D84="Teen Audiobook",LEFT(B84,11)="TEEN CD BIO"),RIGHT(B84,LEN(B84)-12),
IF(AND(D84="Teen Audiobook",LEFT(B84,11)="TEEN CD FIC"),B84,
IF(D84="Juvenile Audiobook",RIGHT(B84,LEN(B84)-8),
IF(D84="Juvenile Nonfiction",RIGHT(B84,LEN(B84)-2),
IF(D84="Teen Nonfiction",RIGHT(B84,LEN(B84)-5),
IF(AND(D84="Audiobook",
              NOT(OR(Contains($B84,"CD BIO"),Contains($B84,"CD FIC")))),RIGHT(B84,LEN(B84)-3),
IF(D84="Juvenile Biography",RIGHT(B84,LEN(B84)-2),
IF(D84="Teen Biography",RIGHT(B84,LEN(B84)-5),
IF(AND(D84="Audiobook",
              IFERROR(FIND("BIO",$B84)&gt;0,FALSE)),RIGHT(B84,LEN(B84)-3),
IF(D84="Juvenile Large Type","J "&amp;RIGHT(B84,LEN(B84)-11),
IF(D84="Teen Large Type","TEEN "&amp;RIGHT(B84,LEN(B84)-14),
IF(D84="Reference",RIGHT(B84,LEN(B84)-4),
IF(D84="DVD Educational",RIGHT(B84,LEN(B84)-7),
IF(D84="Juvenile DVD Educational",RIGHT(B84,LEN(B84)-9),
B84)))))))))))))))))</f>
        <v/>
      </c>
    </row>
    <row r="85" spans="1:8" ht="27" customHeight="1" x14ac:dyDescent="0.25">
      <c r="A85" s="10" t="str">
        <f ca="1">TEXT( INDIRECT( ADDRESS( ROW() + Row_Offset, INDIRECT( "Column_Number_" &amp; A$1), 4,1, tabname) ), "")</f>
        <v/>
      </c>
      <c r="B85" s="10" t="str">
        <f ca="1">TEXT(  IFERROR( VLOOKUP( $D85, CollName_Simplifier_Table[], 2, FALSE),"") &amp;
        INDIRECT( ADDRESS( ROW() + Row_Offset, INDIRECT( "Column_Number_" &amp; $B$1), 4,1, tabname) ), "")</f>
        <v/>
      </c>
      <c r="C85" s="10" t="str">
        <f ca="1">TEXT( INDIRECT( ADDRESS( ROW() + Row_Offset, INDIRECT( "Column_Number_" &amp; C$1), 4,1, tabname) ), "")</f>
        <v/>
      </c>
      <c r="D85" s="10" t="str">
        <f ca="1">TEXT( INDIRECT( ADDRESS( ROW() + Row_Offset, INDIRECT( "Column_Number_" &amp; D$1), 4,1, tabname) ), "")</f>
        <v/>
      </c>
      <c r="E85" s="10" t="str">
        <f ca="1">TEXT( INDIRECT( ADDRESS( ROW() + Row_Offset, INDIRECT( "Column_Number_" &amp; E$1), 4,1, tabname) ), "####")</f>
        <v/>
      </c>
      <c r="F85" s="15"/>
      <c r="G85" s="21" t="str">
        <f ca="1">IFERROR(INDEX(Rank_Table[],MATCH($D85&amp;$A85,Table4[Join],0)),"")</f>
        <v/>
      </c>
      <c r="H85" s="11" t="str">
        <f ca="1">IF(AND(D85="Juvenile Audiobook",LEFT(B85,8)="J CD BIO"),RIGHT(B85,LEN(B85)-9),
IF(AND(D85="Juvenile Audiobook",LEFT(B85,8)="J CD FIC"),B85,
IF(D85="Juvenile Audiobook",RIGHT(B85,LEN(B85)-5),
IF(AND(D85="Teen Audiobook",LEFT(B85,11)="TEEN CD BIO"),RIGHT(B85,LEN(B85)-12),
IF(AND(D85="Teen Audiobook",LEFT(B85,11)="TEEN CD FIC"),B85,
IF(D85="Juvenile Audiobook",RIGHT(B85,LEN(B85)-8),
IF(D85="Juvenile Nonfiction",RIGHT(B85,LEN(B85)-2),
IF(D85="Teen Nonfiction",RIGHT(B85,LEN(B85)-5),
IF(AND(D85="Audiobook",
              NOT(OR(Contains($B85,"CD BIO"),Contains($B85,"CD FIC")))),RIGHT(B85,LEN(B85)-3),
IF(D85="Juvenile Biography",RIGHT(B85,LEN(B85)-2),
IF(D85="Teen Biography",RIGHT(B85,LEN(B85)-5),
IF(AND(D85="Audiobook",
              IFERROR(FIND("BIO",$B85)&gt;0,FALSE)),RIGHT(B85,LEN(B85)-3),
IF(D85="Juvenile Large Type","J "&amp;RIGHT(B85,LEN(B85)-11),
IF(D85="Teen Large Type","TEEN "&amp;RIGHT(B85,LEN(B85)-14),
IF(D85="Reference",RIGHT(B85,LEN(B85)-4),
IF(D85="DVD Educational",RIGHT(B85,LEN(B85)-7),
IF(D85="Juvenile DVD Educational",RIGHT(B85,LEN(B85)-9),
B85)))))))))))))))))</f>
        <v/>
      </c>
    </row>
    <row r="86" spans="1:8" ht="27" customHeight="1" x14ac:dyDescent="0.25">
      <c r="A86" s="10" t="str">
        <f ca="1">TEXT( INDIRECT( ADDRESS( ROW() + Row_Offset, INDIRECT( "Column_Number_" &amp; A$1), 4,1, tabname) ), "")</f>
        <v/>
      </c>
      <c r="B86" s="10" t="str">
        <f ca="1">TEXT(  IFERROR( VLOOKUP( $D86, CollName_Simplifier_Table[], 2, FALSE),"") &amp;
        INDIRECT( ADDRESS( ROW() + Row_Offset, INDIRECT( "Column_Number_" &amp; $B$1), 4,1, tabname) ), "")</f>
        <v/>
      </c>
      <c r="C86" s="10" t="str">
        <f ca="1">TEXT( INDIRECT( ADDRESS( ROW() + Row_Offset, INDIRECT( "Column_Number_" &amp; C$1), 4,1, tabname) ), "")</f>
        <v/>
      </c>
      <c r="D86" s="10" t="str">
        <f ca="1">TEXT( INDIRECT( ADDRESS( ROW() + Row_Offset, INDIRECT( "Column_Number_" &amp; D$1), 4,1, tabname) ), "")</f>
        <v/>
      </c>
      <c r="E86" s="10" t="str">
        <f ca="1">TEXT( INDIRECT( ADDRESS( ROW() + Row_Offset, INDIRECT( "Column_Number_" &amp; E$1), 4,1, tabname) ), "####")</f>
        <v/>
      </c>
      <c r="F86" s="15"/>
      <c r="G86" s="21" t="str">
        <f ca="1">IFERROR(INDEX(Rank_Table[],MATCH($D86&amp;$A86,Table4[Join],0)),"")</f>
        <v/>
      </c>
      <c r="H86" s="11" t="str">
        <f ca="1">IF(AND(D86="Juvenile Audiobook",LEFT(B86,8)="J CD BIO"),RIGHT(B86,LEN(B86)-9),
IF(AND(D86="Juvenile Audiobook",LEFT(B86,8)="J CD FIC"),B86,
IF(D86="Juvenile Audiobook",RIGHT(B86,LEN(B86)-5),
IF(AND(D86="Teen Audiobook",LEFT(B86,11)="TEEN CD BIO"),RIGHT(B86,LEN(B86)-12),
IF(AND(D86="Teen Audiobook",LEFT(B86,11)="TEEN CD FIC"),B86,
IF(D86="Juvenile Audiobook",RIGHT(B86,LEN(B86)-8),
IF(D86="Juvenile Nonfiction",RIGHT(B86,LEN(B86)-2),
IF(D86="Teen Nonfiction",RIGHT(B86,LEN(B86)-5),
IF(AND(D86="Audiobook",
              NOT(OR(Contains($B86,"CD BIO"),Contains($B86,"CD FIC")))),RIGHT(B86,LEN(B86)-3),
IF(D86="Juvenile Biography",RIGHT(B86,LEN(B86)-2),
IF(D86="Teen Biography",RIGHT(B86,LEN(B86)-5),
IF(AND(D86="Audiobook",
              IFERROR(FIND("BIO",$B86)&gt;0,FALSE)),RIGHT(B86,LEN(B86)-3),
IF(D86="Juvenile Large Type","J "&amp;RIGHT(B86,LEN(B86)-11),
IF(D86="Teen Large Type","TEEN "&amp;RIGHT(B86,LEN(B86)-14),
IF(D86="Reference",RIGHT(B86,LEN(B86)-4),
IF(D86="DVD Educational",RIGHT(B86,LEN(B86)-7),
IF(D86="Juvenile DVD Educational",RIGHT(B86,LEN(B86)-9),
B86)))))))))))))))))</f>
        <v/>
      </c>
    </row>
    <row r="87" spans="1:8" ht="27" customHeight="1" x14ac:dyDescent="0.25">
      <c r="A87" s="10" t="str">
        <f ca="1">TEXT( INDIRECT( ADDRESS( ROW() + Row_Offset, INDIRECT( "Column_Number_" &amp; A$1), 4,1, tabname) ), "")</f>
        <v/>
      </c>
      <c r="B87" s="10" t="str">
        <f ca="1">TEXT(  IFERROR( VLOOKUP( $D87, CollName_Simplifier_Table[], 2, FALSE),"") &amp;
        INDIRECT( ADDRESS( ROW() + Row_Offset, INDIRECT( "Column_Number_" &amp; $B$1), 4,1, tabname) ), "")</f>
        <v/>
      </c>
      <c r="C87" s="10" t="str">
        <f ca="1">TEXT( INDIRECT( ADDRESS( ROW() + Row_Offset, INDIRECT( "Column_Number_" &amp; C$1), 4,1, tabname) ), "")</f>
        <v/>
      </c>
      <c r="D87" s="10" t="str">
        <f ca="1">TEXT( INDIRECT( ADDRESS( ROW() + Row_Offset, INDIRECT( "Column_Number_" &amp; D$1), 4,1, tabname) ), "")</f>
        <v/>
      </c>
      <c r="E87" s="10" t="str">
        <f ca="1">TEXT( INDIRECT( ADDRESS( ROW() + Row_Offset, INDIRECT( "Column_Number_" &amp; E$1), 4,1, tabname) ), "####")</f>
        <v/>
      </c>
      <c r="F87" s="15"/>
      <c r="G87" s="21" t="str">
        <f ca="1">IFERROR(INDEX(Rank_Table[],MATCH($D87&amp;$A87,Table4[Join],0)),"")</f>
        <v/>
      </c>
      <c r="H87" s="11" t="str">
        <f ca="1">IF(AND(D87="Juvenile Audiobook",LEFT(B87,8)="J CD BIO"),RIGHT(B87,LEN(B87)-9),
IF(AND(D87="Juvenile Audiobook",LEFT(B87,8)="J CD FIC"),B87,
IF(D87="Juvenile Audiobook",RIGHT(B87,LEN(B87)-5),
IF(AND(D87="Teen Audiobook",LEFT(B87,11)="TEEN CD BIO"),RIGHT(B87,LEN(B87)-12),
IF(AND(D87="Teen Audiobook",LEFT(B87,11)="TEEN CD FIC"),B87,
IF(D87="Juvenile Audiobook",RIGHT(B87,LEN(B87)-8),
IF(D87="Juvenile Nonfiction",RIGHT(B87,LEN(B87)-2),
IF(D87="Teen Nonfiction",RIGHT(B87,LEN(B87)-5),
IF(AND(D87="Audiobook",
              NOT(OR(Contains($B87,"CD BIO"),Contains($B87,"CD FIC")))),RIGHT(B87,LEN(B87)-3),
IF(D87="Juvenile Biography",RIGHT(B87,LEN(B87)-2),
IF(D87="Teen Biography",RIGHT(B87,LEN(B87)-5),
IF(AND(D87="Audiobook",
              IFERROR(FIND("BIO",$B87)&gt;0,FALSE)),RIGHT(B87,LEN(B87)-3),
IF(D87="Juvenile Large Type","J "&amp;RIGHT(B87,LEN(B87)-11),
IF(D87="Teen Large Type","TEEN "&amp;RIGHT(B87,LEN(B87)-14),
IF(D87="Reference",RIGHT(B87,LEN(B87)-4),
IF(D87="DVD Educational",RIGHT(B87,LEN(B87)-7),
IF(D87="Juvenile DVD Educational",RIGHT(B87,LEN(B87)-9),
B87)))))))))))))))))</f>
        <v/>
      </c>
    </row>
    <row r="88" spans="1:8" ht="27" customHeight="1" x14ac:dyDescent="0.25">
      <c r="A88" s="10" t="str">
        <f ca="1">TEXT( INDIRECT( ADDRESS( ROW() + Row_Offset, INDIRECT( "Column_Number_" &amp; A$1), 4,1, tabname) ), "")</f>
        <v/>
      </c>
      <c r="B88" s="10" t="str">
        <f ca="1">TEXT(  IFERROR( VLOOKUP( $D88, CollName_Simplifier_Table[], 2, FALSE),"") &amp;
        INDIRECT( ADDRESS( ROW() + Row_Offset, INDIRECT( "Column_Number_" &amp; $B$1), 4,1, tabname) ), "")</f>
        <v/>
      </c>
      <c r="C88" s="10" t="str">
        <f ca="1">TEXT( INDIRECT( ADDRESS( ROW() + Row_Offset, INDIRECT( "Column_Number_" &amp; C$1), 4,1, tabname) ), "")</f>
        <v/>
      </c>
      <c r="D88" s="10" t="str">
        <f ca="1">TEXT( INDIRECT( ADDRESS( ROW() + Row_Offset, INDIRECT( "Column_Number_" &amp; D$1), 4,1, tabname) ), "")</f>
        <v/>
      </c>
      <c r="E88" s="10" t="str">
        <f ca="1">TEXT( INDIRECT( ADDRESS( ROW() + Row_Offset, INDIRECT( "Column_Number_" &amp; E$1), 4,1, tabname) ), "####")</f>
        <v/>
      </c>
      <c r="F88" s="15"/>
      <c r="G88" s="21" t="str">
        <f ca="1">IFERROR(INDEX(Rank_Table[],MATCH($D88&amp;$A88,Table4[Join],0)),"")</f>
        <v/>
      </c>
      <c r="H88" s="11" t="str">
        <f ca="1">IF(AND(D88="Juvenile Audiobook",LEFT(B88,8)="J CD BIO"),RIGHT(B88,LEN(B88)-9),
IF(AND(D88="Juvenile Audiobook",LEFT(B88,8)="J CD FIC"),B88,
IF(D88="Juvenile Audiobook",RIGHT(B88,LEN(B88)-5),
IF(AND(D88="Teen Audiobook",LEFT(B88,11)="TEEN CD BIO"),RIGHT(B88,LEN(B88)-12),
IF(AND(D88="Teen Audiobook",LEFT(B88,11)="TEEN CD FIC"),B88,
IF(D88="Juvenile Audiobook",RIGHT(B88,LEN(B88)-8),
IF(D88="Juvenile Nonfiction",RIGHT(B88,LEN(B88)-2),
IF(D88="Teen Nonfiction",RIGHT(B88,LEN(B88)-5),
IF(AND(D88="Audiobook",
              NOT(OR(Contains($B88,"CD BIO"),Contains($B88,"CD FIC")))),RIGHT(B88,LEN(B88)-3),
IF(D88="Juvenile Biography",RIGHT(B88,LEN(B88)-2),
IF(D88="Teen Biography",RIGHT(B88,LEN(B88)-5),
IF(AND(D88="Audiobook",
              IFERROR(FIND("BIO",$B88)&gt;0,FALSE)),RIGHT(B88,LEN(B88)-3),
IF(D88="Juvenile Large Type","J "&amp;RIGHT(B88,LEN(B88)-11),
IF(D88="Teen Large Type","TEEN "&amp;RIGHT(B88,LEN(B88)-14),
IF(D88="Reference",RIGHT(B88,LEN(B88)-4),
IF(D88="DVD Educational",RIGHT(B88,LEN(B88)-7),
IF(D88="Juvenile DVD Educational",RIGHT(B88,LEN(B88)-9),
B88)))))))))))))))))</f>
        <v/>
      </c>
    </row>
    <row r="89" spans="1:8" ht="27" customHeight="1" x14ac:dyDescent="0.25">
      <c r="A89" s="10" t="str">
        <f ca="1">TEXT( INDIRECT( ADDRESS( ROW() + Row_Offset, INDIRECT( "Column_Number_" &amp; A$1), 4,1, tabname) ), "")</f>
        <v/>
      </c>
      <c r="B89" s="10" t="str">
        <f ca="1">TEXT(  IFERROR( VLOOKUP( $D89, CollName_Simplifier_Table[], 2, FALSE),"") &amp;
        INDIRECT( ADDRESS( ROW() + Row_Offset, INDIRECT( "Column_Number_" &amp; $B$1), 4,1, tabname) ), "")</f>
        <v/>
      </c>
      <c r="C89" s="10" t="str">
        <f ca="1">TEXT( INDIRECT( ADDRESS( ROW() + Row_Offset, INDIRECT( "Column_Number_" &amp; C$1), 4,1, tabname) ), "")</f>
        <v/>
      </c>
      <c r="D89" s="10" t="str">
        <f ca="1">TEXT( INDIRECT( ADDRESS( ROW() + Row_Offset, INDIRECT( "Column_Number_" &amp; D$1), 4,1, tabname) ), "")</f>
        <v/>
      </c>
      <c r="E89" s="10" t="str">
        <f ca="1">TEXT( INDIRECT( ADDRESS( ROW() + Row_Offset, INDIRECT( "Column_Number_" &amp; E$1), 4,1, tabname) ), "####")</f>
        <v/>
      </c>
      <c r="F89" s="15"/>
      <c r="G89" s="21" t="str">
        <f ca="1">IFERROR(INDEX(Rank_Table[],MATCH($D89&amp;$A89,Table4[Join],0)),"")</f>
        <v/>
      </c>
      <c r="H89" s="11" t="str">
        <f ca="1">IF(AND(D89="Juvenile Audiobook",LEFT(B89,8)="J CD BIO"),RIGHT(B89,LEN(B89)-9),
IF(AND(D89="Juvenile Audiobook",LEFT(B89,8)="J CD FIC"),B89,
IF(D89="Juvenile Audiobook",RIGHT(B89,LEN(B89)-5),
IF(AND(D89="Teen Audiobook",LEFT(B89,11)="TEEN CD BIO"),RIGHT(B89,LEN(B89)-12),
IF(AND(D89="Teen Audiobook",LEFT(B89,11)="TEEN CD FIC"),B89,
IF(D89="Juvenile Audiobook",RIGHT(B89,LEN(B89)-8),
IF(D89="Juvenile Nonfiction",RIGHT(B89,LEN(B89)-2),
IF(D89="Teen Nonfiction",RIGHT(B89,LEN(B89)-5),
IF(AND(D89="Audiobook",
              NOT(OR(Contains($B89,"CD BIO"),Contains($B89,"CD FIC")))),RIGHT(B89,LEN(B89)-3),
IF(D89="Juvenile Biography",RIGHT(B89,LEN(B89)-2),
IF(D89="Teen Biography",RIGHT(B89,LEN(B89)-5),
IF(AND(D89="Audiobook",
              IFERROR(FIND("BIO",$B89)&gt;0,FALSE)),RIGHT(B89,LEN(B89)-3),
IF(D89="Juvenile Large Type","J "&amp;RIGHT(B89,LEN(B89)-11),
IF(D89="Teen Large Type","TEEN "&amp;RIGHT(B89,LEN(B89)-14),
IF(D89="Reference",RIGHT(B89,LEN(B89)-4),
IF(D89="DVD Educational",RIGHT(B89,LEN(B89)-7),
IF(D89="Juvenile DVD Educational",RIGHT(B89,LEN(B89)-9),
B89)))))))))))))))))</f>
        <v/>
      </c>
    </row>
    <row r="90" spans="1:8" ht="27" customHeight="1" x14ac:dyDescent="0.25">
      <c r="A90" s="10" t="str">
        <f ca="1">TEXT( INDIRECT( ADDRESS( ROW() + Row_Offset, INDIRECT( "Column_Number_" &amp; A$1), 4,1, tabname) ), "")</f>
        <v/>
      </c>
      <c r="B90" s="10" t="str">
        <f ca="1">TEXT(  IFERROR( VLOOKUP( $D90, CollName_Simplifier_Table[], 2, FALSE),"") &amp;
        INDIRECT( ADDRESS( ROW() + Row_Offset, INDIRECT( "Column_Number_" &amp; $B$1), 4,1, tabname) ), "")</f>
        <v/>
      </c>
      <c r="C90" s="10" t="str">
        <f ca="1">TEXT( INDIRECT( ADDRESS( ROW() + Row_Offset, INDIRECT( "Column_Number_" &amp; C$1), 4,1, tabname) ), "")</f>
        <v/>
      </c>
      <c r="D90" s="10" t="str">
        <f ca="1">TEXT( INDIRECT( ADDRESS( ROW() + Row_Offset, INDIRECT( "Column_Number_" &amp; D$1), 4,1, tabname) ), "")</f>
        <v/>
      </c>
      <c r="E90" s="10" t="str">
        <f ca="1">TEXT( INDIRECT( ADDRESS( ROW() + Row_Offset, INDIRECT( "Column_Number_" &amp; E$1), 4,1, tabname) ), "####")</f>
        <v/>
      </c>
      <c r="F90" s="15"/>
      <c r="G90" s="21" t="str">
        <f ca="1">IFERROR(INDEX(Rank_Table[],MATCH($D90&amp;$A90,Table4[Join],0)),"")</f>
        <v/>
      </c>
      <c r="H90" s="11" t="str">
        <f ca="1">IF(AND(D90="Juvenile Audiobook",LEFT(B90,8)="J CD BIO"),RIGHT(B90,LEN(B90)-9),
IF(AND(D90="Juvenile Audiobook",LEFT(B90,8)="J CD FIC"),B90,
IF(D90="Juvenile Audiobook",RIGHT(B90,LEN(B90)-5),
IF(AND(D90="Teen Audiobook",LEFT(B90,11)="TEEN CD BIO"),RIGHT(B90,LEN(B90)-12),
IF(AND(D90="Teen Audiobook",LEFT(B90,11)="TEEN CD FIC"),B90,
IF(D90="Juvenile Audiobook",RIGHT(B90,LEN(B90)-8),
IF(D90="Juvenile Nonfiction",RIGHT(B90,LEN(B90)-2),
IF(D90="Teen Nonfiction",RIGHT(B90,LEN(B90)-5),
IF(AND(D90="Audiobook",
              NOT(OR(Contains($B90,"CD BIO"),Contains($B90,"CD FIC")))),RIGHT(B90,LEN(B90)-3),
IF(D90="Juvenile Biography",RIGHT(B90,LEN(B90)-2),
IF(D90="Teen Biography",RIGHT(B90,LEN(B90)-5),
IF(AND(D90="Audiobook",
              IFERROR(FIND("BIO",$B90)&gt;0,FALSE)),RIGHT(B90,LEN(B90)-3),
IF(D90="Juvenile Large Type","J "&amp;RIGHT(B90,LEN(B90)-11),
IF(D90="Teen Large Type","TEEN "&amp;RIGHT(B90,LEN(B90)-14),
IF(D90="Reference",RIGHT(B90,LEN(B90)-4),
IF(D90="DVD Educational",RIGHT(B90,LEN(B90)-7),
IF(D90="Juvenile DVD Educational",RIGHT(B90,LEN(B90)-9),
B90)))))))))))))))))</f>
        <v/>
      </c>
    </row>
    <row r="91" spans="1:8" ht="27" customHeight="1" x14ac:dyDescent="0.25">
      <c r="A91" s="10" t="str">
        <f ca="1">TEXT( INDIRECT( ADDRESS( ROW() + Row_Offset, INDIRECT( "Column_Number_" &amp; A$1), 4,1, tabname) ), "")</f>
        <v/>
      </c>
      <c r="B91" s="10" t="str">
        <f ca="1">TEXT(  IFERROR( VLOOKUP( $D91, CollName_Simplifier_Table[], 2, FALSE),"") &amp;
        INDIRECT( ADDRESS( ROW() + Row_Offset, INDIRECT( "Column_Number_" &amp; $B$1), 4,1, tabname) ), "")</f>
        <v/>
      </c>
      <c r="C91" s="10" t="str">
        <f ca="1">TEXT( INDIRECT( ADDRESS( ROW() + Row_Offset, INDIRECT( "Column_Number_" &amp; C$1), 4,1, tabname) ), "")</f>
        <v/>
      </c>
      <c r="D91" s="10" t="str">
        <f ca="1">TEXT( INDIRECT( ADDRESS( ROW() + Row_Offset, INDIRECT( "Column_Number_" &amp; D$1), 4,1, tabname) ), "")</f>
        <v/>
      </c>
      <c r="E91" s="10" t="str">
        <f ca="1">TEXT( INDIRECT( ADDRESS( ROW() + Row_Offset, INDIRECT( "Column_Number_" &amp; E$1), 4,1, tabname) ), "####")</f>
        <v/>
      </c>
      <c r="F91" s="15"/>
      <c r="G91" s="21" t="str">
        <f ca="1">IFERROR(INDEX(Rank_Table[],MATCH($D91&amp;$A91,Table4[Join],0)),"")</f>
        <v/>
      </c>
      <c r="H91" s="11" t="str">
        <f ca="1">IF(AND(D91="Juvenile Audiobook",LEFT(B91,8)="J CD BIO"),RIGHT(B91,LEN(B91)-9),
IF(AND(D91="Juvenile Audiobook",LEFT(B91,8)="J CD FIC"),B91,
IF(D91="Juvenile Audiobook",RIGHT(B91,LEN(B91)-5),
IF(AND(D91="Teen Audiobook",LEFT(B91,11)="TEEN CD BIO"),RIGHT(B91,LEN(B91)-12),
IF(AND(D91="Teen Audiobook",LEFT(B91,11)="TEEN CD FIC"),B91,
IF(D91="Juvenile Audiobook",RIGHT(B91,LEN(B91)-8),
IF(D91="Juvenile Nonfiction",RIGHT(B91,LEN(B91)-2),
IF(D91="Teen Nonfiction",RIGHT(B91,LEN(B91)-5),
IF(AND(D91="Audiobook",
              NOT(OR(Contains($B91,"CD BIO"),Contains($B91,"CD FIC")))),RIGHT(B91,LEN(B91)-3),
IF(D91="Juvenile Biography",RIGHT(B91,LEN(B91)-2),
IF(D91="Teen Biography",RIGHT(B91,LEN(B91)-5),
IF(AND(D91="Audiobook",
              IFERROR(FIND("BIO",$B91)&gt;0,FALSE)),RIGHT(B91,LEN(B91)-3),
IF(D91="Juvenile Large Type","J "&amp;RIGHT(B91,LEN(B91)-11),
IF(D91="Teen Large Type","TEEN "&amp;RIGHT(B91,LEN(B91)-14),
IF(D91="Reference",RIGHT(B91,LEN(B91)-4),
IF(D91="DVD Educational",RIGHT(B91,LEN(B91)-7),
IF(D91="Juvenile DVD Educational",RIGHT(B91,LEN(B91)-9),
B91)))))))))))))))))</f>
        <v/>
      </c>
    </row>
    <row r="92" spans="1:8" ht="27" customHeight="1" x14ac:dyDescent="0.25">
      <c r="A92" s="10" t="str">
        <f ca="1">TEXT( INDIRECT( ADDRESS( ROW() + Row_Offset, INDIRECT( "Column_Number_" &amp; A$1), 4,1, tabname) ), "")</f>
        <v/>
      </c>
      <c r="B92" s="10" t="str">
        <f ca="1">TEXT(  IFERROR( VLOOKUP( $D92, CollName_Simplifier_Table[], 2, FALSE),"") &amp;
        INDIRECT( ADDRESS( ROW() + Row_Offset, INDIRECT( "Column_Number_" &amp; $B$1), 4,1, tabname) ), "")</f>
        <v/>
      </c>
      <c r="C92" s="10" t="str">
        <f ca="1">TEXT( INDIRECT( ADDRESS( ROW() + Row_Offset, INDIRECT( "Column_Number_" &amp; C$1), 4,1, tabname) ), "")</f>
        <v/>
      </c>
      <c r="D92" s="10" t="str">
        <f ca="1">TEXT( INDIRECT( ADDRESS( ROW() + Row_Offset, INDIRECT( "Column_Number_" &amp; D$1), 4,1, tabname) ), "")</f>
        <v/>
      </c>
      <c r="E92" s="10" t="str">
        <f ca="1">TEXT( INDIRECT( ADDRESS( ROW() + Row_Offset, INDIRECT( "Column_Number_" &amp; E$1), 4,1, tabname) ), "####")</f>
        <v/>
      </c>
      <c r="F92" s="15"/>
      <c r="G92" s="21" t="str">
        <f ca="1">IFERROR(INDEX(Rank_Table[],MATCH($D92&amp;$A92,Table4[Join],0)),"")</f>
        <v/>
      </c>
      <c r="H92" s="11" t="str">
        <f ca="1">IF(AND(D92="Juvenile Audiobook",LEFT(B92,8)="J CD BIO"),RIGHT(B92,LEN(B92)-9),
IF(AND(D92="Juvenile Audiobook",LEFT(B92,8)="J CD FIC"),B92,
IF(D92="Juvenile Audiobook",RIGHT(B92,LEN(B92)-5),
IF(AND(D92="Teen Audiobook",LEFT(B92,11)="TEEN CD BIO"),RIGHT(B92,LEN(B92)-12),
IF(AND(D92="Teen Audiobook",LEFT(B92,11)="TEEN CD FIC"),B92,
IF(D92="Juvenile Audiobook",RIGHT(B92,LEN(B92)-8),
IF(D92="Juvenile Nonfiction",RIGHT(B92,LEN(B92)-2),
IF(D92="Teen Nonfiction",RIGHT(B92,LEN(B92)-5),
IF(AND(D92="Audiobook",
              NOT(OR(Contains($B92,"CD BIO"),Contains($B92,"CD FIC")))),RIGHT(B92,LEN(B92)-3),
IF(D92="Juvenile Biography",RIGHT(B92,LEN(B92)-2),
IF(D92="Teen Biography",RIGHT(B92,LEN(B92)-5),
IF(AND(D92="Audiobook",
              IFERROR(FIND("BIO",$B92)&gt;0,FALSE)),RIGHT(B92,LEN(B92)-3),
IF(D92="Juvenile Large Type","J "&amp;RIGHT(B92,LEN(B92)-11),
IF(D92="Teen Large Type","TEEN "&amp;RIGHT(B92,LEN(B92)-14),
IF(D92="Reference",RIGHT(B92,LEN(B92)-4),
IF(D92="DVD Educational",RIGHT(B92,LEN(B92)-7),
IF(D92="Juvenile DVD Educational",RIGHT(B92,LEN(B92)-9),
B92)))))))))))))))))</f>
        <v/>
      </c>
    </row>
    <row r="93" spans="1:8" ht="27" customHeight="1" x14ac:dyDescent="0.25">
      <c r="A93" s="10" t="str">
        <f ca="1">TEXT( INDIRECT( ADDRESS( ROW() + Row_Offset, INDIRECT( "Column_Number_" &amp; A$1), 4,1, tabname) ), "")</f>
        <v/>
      </c>
      <c r="B93" s="10" t="str">
        <f ca="1">TEXT(  IFERROR( VLOOKUP( $D93, CollName_Simplifier_Table[], 2, FALSE),"") &amp;
        INDIRECT( ADDRESS( ROW() + Row_Offset, INDIRECT( "Column_Number_" &amp; $B$1), 4,1, tabname) ), "")</f>
        <v/>
      </c>
      <c r="C93" s="10" t="str">
        <f ca="1">TEXT( INDIRECT( ADDRESS( ROW() + Row_Offset, INDIRECT( "Column_Number_" &amp; C$1), 4,1, tabname) ), "")</f>
        <v/>
      </c>
      <c r="D93" s="10" t="str">
        <f ca="1">TEXT( INDIRECT( ADDRESS( ROW() + Row_Offset, INDIRECT( "Column_Number_" &amp; D$1), 4,1, tabname) ), "")</f>
        <v/>
      </c>
      <c r="E93" s="10" t="str">
        <f ca="1">TEXT( INDIRECT( ADDRESS( ROW() + Row_Offset, INDIRECT( "Column_Number_" &amp; E$1), 4,1, tabname) ), "####")</f>
        <v/>
      </c>
      <c r="F93" s="15"/>
      <c r="G93" s="21" t="str">
        <f ca="1">IFERROR(INDEX(Rank_Table[],MATCH($D93&amp;$A93,Table4[Join],0)),"")</f>
        <v/>
      </c>
      <c r="H93" s="11" t="str">
        <f ca="1">IF(AND(D93="Juvenile Audiobook",LEFT(B93,8)="J CD BIO"),RIGHT(B93,LEN(B93)-9),
IF(AND(D93="Juvenile Audiobook",LEFT(B93,8)="J CD FIC"),B93,
IF(D93="Juvenile Audiobook",RIGHT(B93,LEN(B93)-5),
IF(AND(D93="Teen Audiobook",LEFT(B93,11)="TEEN CD BIO"),RIGHT(B93,LEN(B93)-12),
IF(AND(D93="Teen Audiobook",LEFT(B93,11)="TEEN CD FIC"),B93,
IF(D93="Juvenile Audiobook",RIGHT(B93,LEN(B93)-8),
IF(D93="Juvenile Nonfiction",RIGHT(B93,LEN(B93)-2),
IF(D93="Teen Nonfiction",RIGHT(B93,LEN(B93)-5),
IF(AND(D93="Audiobook",
              NOT(OR(Contains($B93,"CD BIO"),Contains($B93,"CD FIC")))),RIGHT(B93,LEN(B93)-3),
IF(D93="Juvenile Biography",RIGHT(B93,LEN(B93)-2),
IF(D93="Teen Biography",RIGHT(B93,LEN(B93)-5),
IF(AND(D93="Audiobook",
              IFERROR(FIND("BIO",$B93)&gt;0,FALSE)),RIGHT(B93,LEN(B93)-3),
IF(D93="Juvenile Large Type","J "&amp;RIGHT(B93,LEN(B93)-11),
IF(D93="Teen Large Type","TEEN "&amp;RIGHT(B93,LEN(B93)-14),
IF(D93="Reference",RIGHT(B93,LEN(B93)-4),
IF(D93="DVD Educational",RIGHT(B93,LEN(B93)-7),
IF(D93="Juvenile DVD Educational",RIGHT(B93,LEN(B93)-9),
B93)))))))))))))))))</f>
        <v/>
      </c>
    </row>
    <row r="94" spans="1:8" ht="27" customHeight="1" x14ac:dyDescent="0.25">
      <c r="A94" s="10" t="str">
        <f ca="1">TEXT( INDIRECT( ADDRESS( ROW() + Row_Offset, INDIRECT( "Column_Number_" &amp; A$1), 4,1, tabname) ), "")</f>
        <v/>
      </c>
      <c r="B94" s="10" t="str">
        <f ca="1">TEXT(  IFERROR( VLOOKUP( $D94, CollName_Simplifier_Table[], 2, FALSE),"") &amp;
        INDIRECT( ADDRESS( ROW() + Row_Offset, INDIRECT( "Column_Number_" &amp; $B$1), 4,1, tabname) ), "")</f>
        <v/>
      </c>
      <c r="C94" s="10" t="str">
        <f ca="1">TEXT( INDIRECT( ADDRESS( ROW() + Row_Offset, INDIRECT( "Column_Number_" &amp; C$1), 4,1, tabname) ), "")</f>
        <v/>
      </c>
      <c r="D94" s="10" t="str">
        <f ca="1">TEXT( INDIRECT( ADDRESS( ROW() + Row_Offset, INDIRECT( "Column_Number_" &amp; D$1), 4,1, tabname) ), "")</f>
        <v/>
      </c>
      <c r="E94" s="10" t="str">
        <f ca="1">TEXT( INDIRECT( ADDRESS( ROW() + Row_Offset, INDIRECT( "Column_Number_" &amp; E$1), 4,1, tabname) ), "####")</f>
        <v/>
      </c>
      <c r="F94" s="15"/>
      <c r="G94" s="21" t="str">
        <f ca="1">IFERROR(INDEX(Rank_Table[],MATCH($D94&amp;$A94,Table4[Join],0)),"")</f>
        <v/>
      </c>
      <c r="H94" s="11" t="str">
        <f ca="1">IF(AND(D94="Juvenile Audiobook",LEFT(B94,8)="J CD BIO"),RIGHT(B94,LEN(B94)-9),
IF(AND(D94="Juvenile Audiobook",LEFT(B94,8)="J CD FIC"),B94,
IF(D94="Juvenile Audiobook",RIGHT(B94,LEN(B94)-5),
IF(AND(D94="Teen Audiobook",LEFT(B94,11)="TEEN CD BIO"),RIGHT(B94,LEN(B94)-12),
IF(AND(D94="Teen Audiobook",LEFT(B94,11)="TEEN CD FIC"),B94,
IF(D94="Juvenile Audiobook",RIGHT(B94,LEN(B94)-8),
IF(D94="Juvenile Nonfiction",RIGHT(B94,LEN(B94)-2),
IF(D94="Teen Nonfiction",RIGHT(B94,LEN(B94)-5),
IF(AND(D94="Audiobook",
              NOT(OR(Contains($B94,"CD BIO"),Contains($B94,"CD FIC")))),RIGHT(B94,LEN(B94)-3),
IF(D94="Juvenile Biography",RIGHT(B94,LEN(B94)-2),
IF(D94="Teen Biography",RIGHT(B94,LEN(B94)-5),
IF(AND(D94="Audiobook",
              IFERROR(FIND("BIO",$B94)&gt;0,FALSE)),RIGHT(B94,LEN(B94)-3),
IF(D94="Juvenile Large Type","J "&amp;RIGHT(B94,LEN(B94)-11),
IF(D94="Teen Large Type","TEEN "&amp;RIGHT(B94,LEN(B94)-14),
IF(D94="Reference",RIGHT(B94,LEN(B94)-4),
IF(D94="DVD Educational",RIGHT(B94,LEN(B94)-7),
IF(D94="Juvenile DVD Educational",RIGHT(B94,LEN(B94)-9),
B94)))))))))))))))))</f>
        <v/>
      </c>
    </row>
    <row r="95" spans="1:8" ht="27" customHeight="1" x14ac:dyDescent="0.25">
      <c r="A95" s="10" t="str">
        <f ca="1">TEXT( INDIRECT( ADDRESS( ROW() + Row_Offset, INDIRECT( "Column_Number_" &amp; A$1), 4,1, tabname) ), "")</f>
        <v/>
      </c>
      <c r="B95" s="10" t="str">
        <f ca="1">TEXT(  IFERROR( VLOOKUP( $D95, CollName_Simplifier_Table[], 2, FALSE),"") &amp;
        INDIRECT( ADDRESS( ROW() + Row_Offset, INDIRECT( "Column_Number_" &amp; $B$1), 4,1, tabname) ), "")</f>
        <v/>
      </c>
      <c r="C95" s="10" t="str">
        <f ca="1">TEXT( INDIRECT( ADDRESS( ROW() + Row_Offset, INDIRECT( "Column_Number_" &amp; C$1), 4,1, tabname) ), "")</f>
        <v/>
      </c>
      <c r="D95" s="10" t="str">
        <f ca="1">TEXT( INDIRECT( ADDRESS( ROW() + Row_Offset, INDIRECT( "Column_Number_" &amp; D$1), 4,1, tabname) ), "")</f>
        <v/>
      </c>
      <c r="E95" s="10" t="str">
        <f ca="1">TEXT( INDIRECT( ADDRESS( ROW() + Row_Offset, INDIRECT( "Column_Number_" &amp; E$1), 4,1, tabname) ), "####")</f>
        <v/>
      </c>
      <c r="F95" s="15"/>
      <c r="G95" s="21" t="str">
        <f ca="1">IFERROR(INDEX(Rank_Table[],MATCH($D95&amp;$A95,Table4[Join],0)),"")</f>
        <v/>
      </c>
      <c r="H95" s="11" t="str">
        <f ca="1">IF(AND(D95="Juvenile Audiobook",LEFT(B95,8)="J CD BIO"),RIGHT(B95,LEN(B95)-9),
IF(AND(D95="Juvenile Audiobook",LEFT(B95,8)="J CD FIC"),B95,
IF(D95="Juvenile Audiobook",RIGHT(B95,LEN(B95)-5),
IF(AND(D95="Teen Audiobook",LEFT(B95,11)="TEEN CD BIO"),RIGHT(B95,LEN(B95)-12),
IF(AND(D95="Teen Audiobook",LEFT(B95,11)="TEEN CD FIC"),B95,
IF(D95="Juvenile Audiobook",RIGHT(B95,LEN(B95)-8),
IF(D95="Juvenile Nonfiction",RIGHT(B95,LEN(B95)-2),
IF(D95="Teen Nonfiction",RIGHT(B95,LEN(B95)-5),
IF(AND(D95="Audiobook",
              NOT(OR(Contains($B95,"CD BIO"),Contains($B95,"CD FIC")))),RIGHT(B95,LEN(B95)-3),
IF(D95="Juvenile Biography",RIGHT(B95,LEN(B95)-2),
IF(D95="Teen Biography",RIGHT(B95,LEN(B95)-5),
IF(AND(D95="Audiobook",
              IFERROR(FIND("BIO",$B95)&gt;0,FALSE)),RIGHT(B95,LEN(B95)-3),
IF(D95="Juvenile Large Type","J "&amp;RIGHT(B95,LEN(B95)-11),
IF(D95="Teen Large Type","TEEN "&amp;RIGHT(B95,LEN(B95)-14),
IF(D95="Reference",RIGHT(B95,LEN(B95)-4),
IF(D95="DVD Educational",RIGHT(B95,LEN(B95)-7),
IF(D95="Juvenile DVD Educational",RIGHT(B95,LEN(B95)-9),
B95)))))))))))))))))</f>
        <v/>
      </c>
    </row>
    <row r="96" spans="1:8" ht="27" customHeight="1" x14ac:dyDescent="0.25">
      <c r="A96" s="10" t="str">
        <f ca="1">TEXT( INDIRECT( ADDRESS( ROW() + Row_Offset, INDIRECT( "Column_Number_" &amp; A$1), 4,1, tabname) ), "")</f>
        <v/>
      </c>
      <c r="B96" s="10" t="str">
        <f ca="1">TEXT(  IFERROR( VLOOKUP( $D96, CollName_Simplifier_Table[], 2, FALSE),"") &amp;
        INDIRECT( ADDRESS( ROW() + Row_Offset, INDIRECT( "Column_Number_" &amp; $B$1), 4,1, tabname) ), "")</f>
        <v/>
      </c>
      <c r="C96" s="10" t="str">
        <f ca="1">TEXT( INDIRECT( ADDRESS( ROW() + Row_Offset, INDIRECT( "Column_Number_" &amp; C$1), 4,1, tabname) ), "")</f>
        <v/>
      </c>
      <c r="D96" s="10" t="str">
        <f ca="1">TEXT( INDIRECT( ADDRESS( ROW() + Row_Offset, INDIRECT( "Column_Number_" &amp; D$1), 4,1, tabname) ), "")</f>
        <v/>
      </c>
      <c r="E96" s="10" t="str">
        <f ca="1">TEXT( INDIRECT( ADDRESS( ROW() + Row_Offset, INDIRECT( "Column_Number_" &amp; E$1), 4,1, tabname) ), "####")</f>
        <v/>
      </c>
      <c r="F96" s="15"/>
      <c r="G96" s="21" t="str">
        <f ca="1">IFERROR(INDEX(Rank_Table[],MATCH($D96&amp;$A96,Table4[Join],0)),"")</f>
        <v/>
      </c>
      <c r="H96" s="11" t="str">
        <f ca="1">IF(AND(D96="Juvenile Audiobook",LEFT(B96,8)="J CD BIO"),RIGHT(B96,LEN(B96)-9),
IF(AND(D96="Juvenile Audiobook",LEFT(B96,8)="J CD FIC"),B96,
IF(D96="Juvenile Audiobook",RIGHT(B96,LEN(B96)-5),
IF(AND(D96="Teen Audiobook",LEFT(B96,11)="TEEN CD BIO"),RIGHT(B96,LEN(B96)-12),
IF(AND(D96="Teen Audiobook",LEFT(B96,11)="TEEN CD FIC"),B96,
IF(D96="Juvenile Audiobook",RIGHT(B96,LEN(B96)-8),
IF(D96="Juvenile Nonfiction",RIGHT(B96,LEN(B96)-2),
IF(D96="Teen Nonfiction",RIGHT(B96,LEN(B96)-5),
IF(AND(D96="Audiobook",
              NOT(OR(Contains($B96,"CD BIO"),Contains($B96,"CD FIC")))),RIGHT(B96,LEN(B96)-3),
IF(D96="Juvenile Biography",RIGHT(B96,LEN(B96)-2),
IF(D96="Teen Biography",RIGHT(B96,LEN(B96)-5),
IF(AND(D96="Audiobook",
              IFERROR(FIND("BIO",$B96)&gt;0,FALSE)),RIGHT(B96,LEN(B96)-3),
IF(D96="Juvenile Large Type","J "&amp;RIGHT(B96,LEN(B96)-11),
IF(D96="Teen Large Type","TEEN "&amp;RIGHT(B96,LEN(B96)-14),
IF(D96="Reference",RIGHT(B96,LEN(B96)-4),
IF(D96="DVD Educational",RIGHT(B96,LEN(B96)-7),
IF(D96="Juvenile DVD Educational",RIGHT(B96,LEN(B96)-9),
B96)))))))))))))))))</f>
        <v/>
      </c>
    </row>
    <row r="97" spans="1:8" ht="27" customHeight="1" x14ac:dyDescent="0.25">
      <c r="A97" s="10" t="str">
        <f ca="1">TEXT( INDIRECT( ADDRESS( ROW() + Row_Offset, INDIRECT( "Column_Number_" &amp; A$1), 4,1, tabname) ), "")</f>
        <v/>
      </c>
      <c r="B97" s="10" t="str">
        <f ca="1">TEXT(  IFERROR( VLOOKUP( $D97, CollName_Simplifier_Table[], 2, FALSE),"") &amp;
        INDIRECT( ADDRESS( ROW() + Row_Offset, INDIRECT( "Column_Number_" &amp; $B$1), 4,1, tabname) ), "")</f>
        <v/>
      </c>
      <c r="C97" s="10" t="str">
        <f ca="1">TEXT( INDIRECT( ADDRESS( ROW() + Row_Offset, INDIRECT( "Column_Number_" &amp; C$1), 4,1, tabname) ), "")</f>
        <v/>
      </c>
      <c r="D97" s="10" t="str">
        <f ca="1">TEXT( INDIRECT( ADDRESS( ROW() + Row_Offset, INDIRECT( "Column_Number_" &amp; D$1), 4,1, tabname) ), "")</f>
        <v/>
      </c>
      <c r="E97" s="10" t="str">
        <f ca="1">TEXT( INDIRECT( ADDRESS( ROW() + Row_Offset, INDIRECT( "Column_Number_" &amp; E$1), 4,1, tabname) ), "####")</f>
        <v/>
      </c>
      <c r="F97" s="15"/>
      <c r="G97" s="21" t="str">
        <f ca="1">IFERROR(INDEX(Rank_Table[],MATCH($D97&amp;$A97,Table4[Join],0)),"")</f>
        <v/>
      </c>
      <c r="H97" s="11" t="str">
        <f ca="1">IF(AND(D97="Juvenile Audiobook",LEFT(B97,8)="J CD BIO"),RIGHT(B97,LEN(B97)-9),
IF(AND(D97="Juvenile Audiobook",LEFT(B97,8)="J CD FIC"),B97,
IF(D97="Juvenile Audiobook",RIGHT(B97,LEN(B97)-5),
IF(AND(D97="Teen Audiobook",LEFT(B97,11)="TEEN CD BIO"),RIGHT(B97,LEN(B97)-12),
IF(AND(D97="Teen Audiobook",LEFT(B97,11)="TEEN CD FIC"),B97,
IF(D97="Juvenile Audiobook",RIGHT(B97,LEN(B97)-8),
IF(D97="Juvenile Nonfiction",RIGHT(B97,LEN(B97)-2),
IF(D97="Teen Nonfiction",RIGHT(B97,LEN(B97)-5),
IF(AND(D97="Audiobook",
              NOT(OR(Contains($B97,"CD BIO"),Contains($B97,"CD FIC")))),RIGHT(B97,LEN(B97)-3),
IF(D97="Juvenile Biography",RIGHT(B97,LEN(B97)-2),
IF(D97="Teen Biography",RIGHT(B97,LEN(B97)-5),
IF(AND(D97="Audiobook",
              IFERROR(FIND("BIO",$B97)&gt;0,FALSE)),RIGHT(B97,LEN(B97)-3),
IF(D97="Juvenile Large Type","J "&amp;RIGHT(B97,LEN(B97)-11),
IF(D97="Teen Large Type","TEEN "&amp;RIGHT(B97,LEN(B97)-14),
IF(D97="Reference",RIGHT(B97,LEN(B97)-4),
IF(D97="DVD Educational",RIGHT(B97,LEN(B97)-7),
IF(D97="Juvenile DVD Educational",RIGHT(B97,LEN(B97)-9),
B97)))))))))))))))))</f>
        <v/>
      </c>
    </row>
    <row r="98" spans="1:8" ht="27" customHeight="1" x14ac:dyDescent="0.25">
      <c r="A98" s="10" t="str">
        <f ca="1">TEXT( INDIRECT( ADDRESS( ROW() + Row_Offset, INDIRECT( "Column_Number_" &amp; A$1), 4,1, tabname) ), "")</f>
        <v/>
      </c>
      <c r="B98" s="10" t="str">
        <f ca="1">TEXT(  IFERROR( VLOOKUP( $D98, CollName_Simplifier_Table[], 2, FALSE),"") &amp;
        INDIRECT( ADDRESS( ROW() + Row_Offset, INDIRECT( "Column_Number_" &amp; $B$1), 4,1, tabname) ), "")</f>
        <v/>
      </c>
      <c r="C98" s="10" t="str">
        <f ca="1">TEXT( INDIRECT( ADDRESS( ROW() + Row_Offset, INDIRECT( "Column_Number_" &amp; C$1), 4,1, tabname) ), "")</f>
        <v/>
      </c>
      <c r="D98" s="10" t="str">
        <f ca="1">TEXT( INDIRECT( ADDRESS( ROW() + Row_Offset, INDIRECT( "Column_Number_" &amp; D$1), 4,1, tabname) ), "")</f>
        <v/>
      </c>
      <c r="E98" s="10" t="str">
        <f ca="1">TEXT( INDIRECT( ADDRESS( ROW() + Row_Offset, INDIRECT( "Column_Number_" &amp; E$1), 4,1, tabname) ), "####")</f>
        <v/>
      </c>
      <c r="F98" s="15"/>
      <c r="G98" s="21" t="str">
        <f ca="1">IFERROR(INDEX(Rank_Table[],MATCH($D98&amp;$A98,Table4[Join],0)),"")</f>
        <v/>
      </c>
      <c r="H98" s="11" t="str">
        <f ca="1">IF(AND(D98="Juvenile Audiobook",LEFT(B98,8)="J CD BIO"),RIGHT(B98,LEN(B98)-9),
IF(AND(D98="Juvenile Audiobook",LEFT(B98,8)="J CD FIC"),B98,
IF(D98="Juvenile Audiobook",RIGHT(B98,LEN(B98)-5),
IF(AND(D98="Teen Audiobook",LEFT(B98,11)="TEEN CD BIO"),RIGHT(B98,LEN(B98)-12),
IF(AND(D98="Teen Audiobook",LEFT(B98,11)="TEEN CD FIC"),B98,
IF(D98="Juvenile Audiobook",RIGHT(B98,LEN(B98)-8),
IF(D98="Juvenile Nonfiction",RIGHT(B98,LEN(B98)-2),
IF(D98="Teen Nonfiction",RIGHT(B98,LEN(B98)-5),
IF(AND(D98="Audiobook",
              NOT(OR(Contains($B98,"CD BIO"),Contains($B98,"CD FIC")))),RIGHT(B98,LEN(B98)-3),
IF(D98="Juvenile Biography",RIGHT(B98,LEN(B98)-2),
IF(D98="Teen Biography",RIGHT(B98,LEN(B98)-5),
IF(AND(D98="Audiobook",
              IFERROR(FIND("BIO",$B98)&gt;0,FALSE)),RIGHT(B98,LEN(B98)-3),
IF(D98="Juvenile Large Type","J "&amp;RIGHT(B98,LEN(B98)-11),
IF(D98="Teen Large Type","TEEN "&amp;RIGHT(B98,LEN(B98)-14),
IF(D98="Reference",RIGHT(B98,LEN(B98)-4),
IF(D98="DVD Educational",RIGHT(B98,LEN(B98)-7),
IF(D98="Juvenile DVD Educational",RIGHT(B98,LEN(B98)-9),
B98)))))))))))))))))</f>
        <v/>
      </c>
    </row>
    <row r="99" spans="1:8" ht="27" customHeight="1" x14ac:dyDescent="0.25">
      <c r="A99" s="10" t="str">
        <f ca="1">TEXT( INDIRECT( ADDRESS( ROW() + Row_Offset, INDIRECT( "Column_Number_" &amp; A$1), 4,1, tabname) ), "")</f>
        <v/>
      </c>
      <c r="B99" s="10" t="str">
        <f ca="1">TEXT(  IFERROR( VLOOKUP( $D99, CollName_Simplifier_Table[], 2, FALSE),"") &amp;
        INDIRECT( ADDRESS( ROW() + Row_Offset, INDIRECT( "Column_Number_" &amp; $B$1), 4,1, tabname) ), "")</f>
        <v/>
      </c>
      <c r="C99" s="10" t="str">
        <f ca="1">TEXT( INDIRECT( ADDRESS( ROW() + Row_Offset, INDIRECT( "Column_Number_" &amp; C$1), 4,1, tabname) ), "")</f>
        <v/>
      </c>
      <c r="D99" s="10" t="str">
        <f ca="1">TEXT( INDIRECT( ADDRESS( ROW() + Row_Offset, INDIRECT( "Column_Number_" &amp; D$1), 4,1, tabname) ), "")</f>
        <v/>
      </c>
      <c r="E99" s="10" t="str">
        <f ca="1">TEXT( INDIRECT( ADDRESS( ROW() + Row_Offset, INDIRECT( "Column_Number_" &amp; E$1), 4,1, tabname) ), "####")</f>
        <v/>
      </c>
      <c r="F99" s="15"/>
      <c r="G99" s="21" t="str">
        <f ca="1">IFERROR(INDEX(Rank_Table[],MATCH($D99&amp;$A99,Table4[Join],0)),"")</f>
        <v/>
      </c>
      <c r="H99" s="11" t="str">
        <f ca="1">IF(AND(D99="Juvenile Audiobook",LEFT(B99,8)="J CD BIO"),RIGHT(B99,LEN(B99)-9),
IF(AND(D99="Juvenile Audiobook",LEFT(B99,8)="J CD FIC"),B99,
IF(D99="Juvenile Audiobook",RIGHT(B99,LEN(B99)-5),
IF(AND(D99="Teen Audiobook",LEFT(B99,11)="TEEN CD BIO"),RIGHT(B99,LEN(B99)-12),
IF(AND(D99="Teen Audiobook",LEFT(B99,11)="TEEN CD FIC"),B99,
IF(D99="Juvenile Audiobook",RIGHT(B99,LEN(B99)-8),
IF(D99="Juvenile Nonfiction",RIGHT(B99,LEN(B99)-2),
IF(D99="Teen Nonfiction",RIGHT(B99,LEN(B99)-5),
IF(AND(D99="Audiobook",
              NOT(OR(Contains($B99,"CD BIO"),Contains($B99,"CD FIC")))),RIGHT(B99,LEN(B99)-3),
IF(D99="Juvenile Biography",RIGHT(B99,LEN(B99)-2),
IF(D99="Teen Biography",RIGHT(B99,LEN(B99)-5),
IF(AND(D99="Audiobook",
              IFERROR(FIND("BIO",$B99)&gt;0,FALSE)),RIGHT(B99,LEN(B99)-3),
IF(D99="Juvenile Large Type","J "&amp;RIGHT(B99,LEN(B99)-11),
IF(D99="Teen Large Type","TEEN "&amp;RIGHT(B99,LEN(B99)-14),
IF(D99="Reference",RIGHT(B99,LEN(B99)-4),
IF(D99="DVD Educational",RIGHT(B99,LEN(B99)-7),
IF(D99="Juvenile DVD Educational",RIGHT(B99,LEN(B99)-9),
B99)))))))))))))))))</f>
        <v/>
      </c>
    </row>
    <row r="100" spans="1:8" ht="27" customHeight="1" x14ac:dyDescent="0.25">
      <c r="A100" s="10" t="str">
        <f ca="1">TEXT( INDIRECT( ADDRESS( ROW() + Row_Offset, INDIRECT( "Column_Number_" &amp; A$1), 4,1, tabname) ), "")</f>
        <v/>
      </c>
      <c r="B100" s="10" t="str">
        <f ca="1">TEXT(  IFERROR( VLOOKUP( $D100, CollName_Simplifier_Table[], 2, FALSE),"") &amp;
        INDIRECT( ADDRESS( ROW() + Row_Offset, INDIRECT( "Column_Number_" &amp; $B$1), 4,1, tabname) ), "")</f>
        <v/>
      </c>
      <c r="C100" s="10" t="str">
        <f ca="1">TEXT( INDIRECT( ADDRESS( ROW() + Row_Offset, INDIRECT( "Column_Number_" &amp; C$1), 4,1, tabname) ), "")</f>
        <v/>
      </c>
      <c r="D100" s="10" t="str">
        <f ca="1">TEXT( INDIRECT( ADDRESS( ROW() + Row_Offset, INDIRECT( "Column_Number_" &amp; D$1), 4,1, tabname) ), "")</f>
        <v/>
      </c>
      <c r="E100" s="10" t="str">
        <f ca="1">TEXT( INDIRECT( ADDRESS( ROW() + Row_Offset, INDIRECT( "Column_Number_" &amp; E$1), 4,1, tabname) ), "####")</f>
        <v/>
      </c>
      <c r="F100" s="15"/>
      <c r="G100" s="21" t="str">
        <f ca="1">IFERROR(INDEX(Rank_Table[],MATCH($D100&amp;$A100,Table4[Join],0)),"")</f>
        <v/>
      </c>
      <c r="H100" s="11" t="str">
        <f ca="1">IF(AND(D100="Juvenile Audiobook",LEFT(B100,8)="J CD BIO"),RIGHT(B100,LEN(B100)-9),
IF(AND(D100="Juvenile Audiobook",LEFT(B100,8)="J CD FIC"),B100,
IF(D100="Juvenile Audiobook",RIGHT(B100,LEN(B100)-5),
IF(AND(D100="Teen Audiobook",LEFT(B100,11)="TEEN CD BIO"),RIGHT(B100,LEN(B100)-12),
IF(AND(D100="Teen Audiobook",LEFT(B100,11)="TEEN CD FIC"),B100,
IF(D100="Juvenile Audiobook",RIGHT(B100,LEN(B100)-8),
IF(D100="Juvenile Nonfiction",RIGHT(B100,LEN(B100)-2),
IF(D100="Teen Nonfiction",RIGHT(B100,LEN(B100)-5),
IF(AND(D100="Audiobook",
              NOT(OR(Contains($B100,"CD BIO"),Contains($B100,"CD FIC")))),RIGHT(B100,LEN(B100)-3),
IF(D100="Juvenile Biography",RIGHT(B100,LEN(B100)-2),
IF(D100="Teen Biography",RIGHT(B100,LEN(B100)-5),
IF(AND(D100="Audiobook",
              IFERROR(FIND("BIO",$B100)&gt;0,FALSE)),RIGHT(B100,LEN(B100)-3),
IF(D100="Juvenile Large Type","J "&amp;RIGHT(B100,LEN(B100)-11),
IF(D100="Teen Large Type","TEEN "&amp;RIGHT(B100,LEN(B100)-14),
IF(D100="Reference",RIGHT(B100,LEN(B100)-4),
IF(D100="DVD Educational",RIGHT(B100,LEN(B100)-7),
IF(D100="Juvenile DVD Educational",RIGHT(B100,LEN(B100)-9),
B100)))))))))))))))))</f>
        <v/>
      </c>
    </row>
    <row r="101" spans="1:8" ht="27" customHeight="1" x14ac:dyDescent="0.25">
      <c r="A101" s="10" t="str">
        <f ca="1">TEXT( INDIRECT( ADDRESS( ROW() + Row_Offset, INDIRECT( "Column_Number_" &amp; A$1), 4,1, tabname) ), "")</f>
        <v/>
      </c>
      <c r="B101" s="10" t="str">
        <f ca="1">TEXT(  IFERROR( VLOOKUP( $D101, CollName_Simplifier_Table[], 2, FALSE),"") &amp;
        INDIRECT( ADDRESS( ROW() + Row_Offset, INDIRECT( "Column_Number_" &amp; $B$1), 4,1, tabname) ), "")</f>
        <v/>
      </c>
      <c r="C101" s="10" t="str">
        <f ca="1">TEXT( INDIRECT( ADDRESS( ROW() + Row_Offset, INDIRECT( "Column_Number_" &amp; C$1), 4,1, tabname) ), "")</f>
        <v/>
      </c>
      <c r="D101" s="10" t="str">
        <f ca="1">TEXT( INDIRECT( ADDRESS( ROW() + Row_Offset, INDIRECT( "Column_Number_" &amp; D$1), 4,1, tabname) ), "")</f>
        <v/>
      </c>
      <c r="E101" s="10" t="str">
        <f ca="1">TEXT( INDIRECT( ADDRESS( ROW() + Row_Offset, INDIRECT( "Column_Number_" &amp; E$1), 4,1, tabname) ), "####")</f>
        <v/>
      </c>
      <c r="F101" s="15"/>
      <c r="G101" s="21" t="str">
        <f ca="1">IFERROR(INDEX(Rank_Table[],MATCH($D101&amp;$A101,Table4[Join],0)),"")</f>
        <v/>
      </c>
      <c r="H101" s="11" t="str">
        <f ca="1">IF(AND(D101="Juvenile Audiobook",LEFT(B101,8)="J CD BIO"),RIGHT(B101,LEN(B101)-9),
IF(AND(D101="Juvenile Audiobook",LEFT(B101,8)="J CD FIC"),B101,
IF(D101="Juvenile Audiobook",RIGHT(B101,LEN(B101)-5),
IF(AND(D101="Teen Audiobook",LEFT(B101,11)="TEEN CD BIO"),RIGHT(B101,LEN(B101)-12),
IF(AND(D101="Teen Audiobook",LEFT(B101,11)="TEEN CD FIC"),B101,
IF(D101="Juvenile Audiobook",RIGHT(B101,LEN(B101)-8),
IF(D101="Juvenile Nonfiction",RIGHT(B101,LEN(B101)-2),
IF(D101="Teen Nonfiction",RIGHT(B101,LEN(B101)-5),
IF(AND(D101="Audiobook",
              NOT(OR(Contains($B101,"CD BIO"),Contains($B101,"CD FIC")))),RIGHT(B101,LEN(B101)-3),
IF(D101="Juvenile Biography",RIGHT(B101,LEN(B101)-2),
IF(D101="Teen Biography",RIGHT(B101,LEN(B101)-5),
IF(AND(D101="Audiobook",
              IFERROR(FIND("BIO",$B101)&gt;0,FALSE)),RIGHT(B101,LEN(B101)-3),
IF(D101="Juvenile Large Type","J "&amp;RIGHT(B101,LEN(B101)-11),
IF(D101="Teen Large Type","TEEN "&amp;RIGHT(B101,LEN(B101)-14),
IF(D101="Reference",RIGHT(B101,LEN(B101)-4),
IF(D101="DVD Educational",RIGHT(B101,LEN(B101)-7),
IF(D101="Juvenile DVD Educational",RIGHT(B101,LEN(B101)-9),
B101)))))))))))))))))</f>
        <v/>
      </c>
    </row>
    <row r="102" spans="1:8" ht="27" customHeight="1" x14ac:dyDescent="0.25">
      <c r="A102" s="10" t="str">
        <f ca="1">TEXT( INDIRECT( ADDRESS( ROW() + Row_Offset, INDIRECT( "Column_Number_" &amp; A$1), 4,1, tabname) ), "")</f>
        <v/>
      </c>
      <c r="B102" s="10" t="str">
        <f ca="1">TEXT(  IFERROR( VLOOKUP( $D102, CollName_Simplifier_Table[], 2, FALSE),"") &amp;
        INDIRECT( ADDRESS( ROW() + Row_Offset, INDIRECT( "Column_Number_" &amp; $B$1), 4,1, tabname) ), "")</f>
        <v/>
      </c>
      <c r="C102" s="10" t="str">
        <f ca="1">TEXT( INDIRECT( ADDRESS( ROW() + Row_Offset, INDIRECT( "Column_Number_" &amp; C$1), 4,1, tabname) ), "")</f>
        <v/>
      </c>
      <c r="D102" s="10" t="str">
        <f ca="1">TEXT( INDIRECT( ADDRESS( ROW() + Row_Offset, INDIRECT( "Column_Number_" &amp; D$1), 4,1, tabname) ), "")</f>
        <v/>
      </c>
      <c r="E102" s="10" t="str">
        <f ca="1">TEXT( INDIRECT( ADDRESS( ROW() + Row_Offset, INDIRECT( "Column_Number_" &amp; E$1), 4,1, tabname) ), "####")</f>
        <v/>
      </c>
      <c r="F102" s="15"/>
      <c r="G102" s="21" t="str">
        <f ca="1">IFERROR(INDEX(Rank_Table[],MATCH($D102&amp;$A102,Table4[Join],0)),"")</f>
        <v/>
      </c>
      <c r="H102" s="11" t="str">
        <f ca="1">IF(AND(D102="Juvenile Audiobook",LEFT(B102,8)="J CD BIO"),RIGHT(B102,LEN(B102)-9),
IF(AND(D102="Juvenile Audiobook",LEFT(B102,8)="J CD FIC"),B102,
IF(D102="Juvenile Audiobook",RIGHT(B102,LEN(B102)-5),
IF(AND(D102="Teen Audiobook",LEFT(B102,11)="TEEN CD BIO"),RIGHT(B102,LEN(B102)-12),
IF(AND(D102="Teen Audiobook",LEFT(B102,11)="TEEN CD FIC"),B102,
IF(D102="Juvenile Audiobook",RIGHT(B102,LEN(B102)-8),
IF(D102="Juvenile Nonfiction",RIGHT(B102,LEN(B102)-2),
IF(D102="Teen Nonfiction",RIGHT(B102,LEN(B102)-5),
IF(AND(D102="Audiobook",
              NOT(OR(Contains($B102,"CD BIO"),Contains($B102,"CD FIC")))),RIGHT(B102,LEN(B102)-3),
IF(D102="Juvenile Biography",RIGHT(B102,LEN(B102)-2),
IF(D102="Teen Biography",RIGHT(B102,LEN(B102)-5),
IF(AND(D102="Audiobook",
              IFERROR(FIND("BIO",$B102)&gt;0,FALSE)),RIGHT(B102,LEN(B102)-3),
IF(D102="Juvenile Large Type","J "&amp;RIGHT(B102,LEN(B102)-11),
IF(D102="Teen Large Type","TEEN "&amp;RIGHT(B102,LEN(B102)-14),
IF(D102="Reference",RIGHT(B102,LEN(B102)-4),
IF(D102="DVD Educational",RIGHT(B102,LEN(B102)-7),
IF(D102="Juvenile DVD Educational",RIGHT(B102,LEN(B102)-9),
B102)))))))))))))))))</f>
        <v/>
      </c>
    </row>
    <row r="103" spans="1:8" ht="27" customHeight="1" x14ac:dyDescent="0.25">
      <c r="A103" s="10" t="str">
        <f ca="1">TEXT( INDIRECT( ADDRESS( ROW() + Row_Offset, INDIRECT( "Column_Number_" &amp; A$1), 4,1, tabname) ), "")</f>
        <v/>
      </c>
      <c r="B103" s="10" t="str">
        <f ca="1">TEXT(  IFERROR( VLOOKUP( $D103, CollName_Simplifier_Table[], 2, FALSE),"") &amp;
        INDIRECT( ADDRESS( ROW() + Row_Offset, INDIRECT( "Column_Number_" &amp; $B$1), 4,1, tabname) ), "")</f>
        <v/>
      </c>
      <c r="C103" s="10" t="str">
        <f ca="1">TEXT( INDIRECT( ADDRESS( ROW() + Row_Offset, INDIRECT( "Column_Number_" &amp; C$1), 4,1, tabname) ), "")</f>
        <v/>
      </c>
      <c r="D103" s="10" t="str">
        <f ca="1">TEXT( INDIRECT( ADDRESS( ROW() + Row_Offset, INDIRECT( "Column_Number_" &amp; D$1), 4,1, tabname) ), "")</f>
        <v/>
      </c>
      <c r="E103" s="10" t="str">
        <f ca="1">TEXT( INDIRECT( ADDRESS( ROW() + Row_Offset, INDIRECT( "Column_Number_" &amp; E$1), 4,1, tabname) ), "####")</f>
        <v/>
      </c>
      <c r="F103" s="15"/>
      <c r="G103" s="21" t="str">
        <f ca="1">IFERROR(INDEX(Rank_Table[],MATCH($D103&amp;$A103,Table4[Join],0)),"")</f>
        <v/>
      </c>
      <c r="H103" s="11" t="str">
        <f ca="1">IF(AND(D103="Juvenile Audiobook",LEFT(B103,8)="J CD BIO"),RIGHT(B103,LEN(B103)-9),
IF(AND(D103="Juvenile Audiobook",LEFT(B103,8)="J CD FIC"),B103,
IF(D103="Juvenile Audiobook",RIGHT(B103,LEN(B103)-5),
IF(AND(D103="Teen Audiobook",LEFT(B103,11)="TEEN CD BIO"),RIGHT(B103,LEN(B103)-12),
IF(AND(D103="Teen Audiobook",LEFT(B103,11)="TEEN CD FIC"),B103,
IF(D103="Juvenile Audiobook",RIGHT(B103,LEN(B103)-8),
IF(D103="Juvenile Nonfiction",RIGHT(B103,LEN(B103)-2),
IF(D103="Teen Nonfiction",RIGHT(B103,LEN(B103)-5),
IF(AND(D103="Audiobook",
              NOT(OR(Contains($B103,"CD BIO"),Contains($B103,"CD FIC")))),RIGHT(B103,LEN(B103)-3),
IF(D103="Juvenile Biography",RIGHT(B103,LEN(B103)-2),
IF(D103="Teen Biography",RIGHT(B103,LEN(B103)-5),
IF(AND(D103="Audiobook",
              IFERROR(FIND("BIO",$B103)&gt;0,FALSE)),RIGHT(B103,LEN(B103)-3),
IF(D103="Juvenile Large Type","J "&amp;RIGHT(B103,LEN(B103)-11),
IF(D103="Teen Large Type","TEEN "&amp;RIGHT(B103,LEN(B103)-14),
IF(D103="Reference",RIGHT(B103,LEN(B103)-4),
IF(D103="DVD Educational",RIGHT(B103,LEN(B103)-7),
IF(D103="Juvenile DVD Educational",RIGHT(B103,LEN(B103)-9),
B103)))))))))))))))))</f>
        <v/>
      </c>
    </row>
    <row r="104" spans="1:8" ht="27" customHeight="1" x14ac:dyDescent="0.25">
      <c r="A104" s="10" t="str">
        <f ca="1">TEXT( INDIRECT( ADDRESS( ROW() + Row_Offset, INDIRECT( "Column_Number_" &amp; A$1), 4,1, tabname) ), "")</f>
        <v/>
      </c>
      <c r="B104" s="10" t="str">
        <f ca="1">TEXT(  IFERROR( VLOOKUP( $D104, CollName_Simplifier_Table[], 2, FALSE),"") &amp;
        INDIRECT( ADDRESS( ROW() + Row_Offset, INDIRECT( "Column_Number_" &amp; $B$1), 4,1, tabname) ), "")</f>
        <v/>
      </c>
      <c r="C104" s="10" t="str">
        <f ca="1">TEXT( INDIRECT( ADDRESS( ROW() + Row_Offset, INDIRECT( "Column_Number_" &amp; C$1), 4,1, tabname) ), "")</f>
        <v/>
      </c>
      <c r="D104" s="10" t="str">
        <f ca="1">TEXT( INDIRECT( ADDRESS( ROW() + Row_Offset, INDIRECT( "Column_Number_" &amp; D$1), 4,1, tabname) ), "")</f>
        <v/>
      </c>
      <c r="E104" s="10" t="str">
        <f ca="1">TEXT( INDIRECT( ADDRESS( ROW() + Row_Offset, INDIRECT( "Column_Number_" &amp; E$1), 4,1, tabname) ), "####")</f>
        <v/>
      </c>
      <c r="F104" s="15"/>
      <c r="G104" s="21" t="str">
        <f ca="1">IFERROR(INDEX(Rank_Table[],MATCH($D104&amp;$A104,Table4[Join],0)),"")</f>
        <v/>
      </c>
      <c r="H104" s="11" t="str">
        <f ca="1">IF(AND(D104="Juvenile Audiobook",LEFT(B104,8)="J CD BIO"),RIGHT(B104,LEN(B104)-9),
IF(AND(D104="Juvenile Audiobook",LEFT(B104,8)="J CD FIC"),B104,
IF(D104="Juvenile Audiobook",RIGHT(B104,LEN(B104)-5),
IF(AND(D104="Teen Audiobook",LEFT(B104,11)="TEEN CD BIO"),RIGHT(B104,LEN(B104)-12),
IF(AND(D104="Teen Audiobook",LEFT(B104,11)="TEEN CD FIC"),B104,
IF(D104="Juvenile Audiobook",RIGHT(B104,LEN(B104)-8),
IF(D104="Juvenile Nonfiction",RIGHT(B104,LEN(B104)-2),
IF(D104="Teen Nonfiction",RIGHT(B104,LEN(B104)-5),
IF(AND(D104="Audiobook",
              NOT(OR(Contains($B104,"CD BIO"),Contains($B104,"CD FIC")))),RIGHT(B104,LEN(B104)-3),
IF(D104="Juvenile Biography",RIGHT(B104,LEN(B104)-2),
IF(D104="Teen Biography",RIGHT(B104,LEN(B104)-5),
IF(AND(D104="Audiobook",
              IFERROR(FIND("BIO",$B104)&gt;0,FALSE)),RIGHT(B104,LEN(B104)-3),
IF(D104="Juvenile Large Type","J "&amp;RIGHT(B104,LEN(B104)-11),
IF(D104="Teen Large Type","TEEN "&amp;RIGHT(B104,LEN(B104)-14),
IF(D104="Reference",RIGHT(B104,LEN(B104)-4),
IF(D104="DVD Educational",RIGHT(B104,LEN(B104)-7),
IF(D104="Juvenile DVD Educational",RIGHT(B104,LEN(B104)-9),
B104)))))))))))))))))</f>
        <v/>
      </c>
    </row>
    <row r="105" spans="1:8" ht="27" customHeight="1" x14ac:dyDescent="0.25">
      <c r="A105" s="10" t="str">
        <f ca="1">TEXT( INDIRECT( ADDRESS( ROW() + Row_Offset, INDIRECT( "Column_Number_" &amp; A$1), 4,1, tabname) ), "")</f>
        <v/>
      </c>
      <c r="B105" s="10" t="str">
        <f ca="1">TEXT(  IFERROR( VLOOKUP( $D105, CollName_Simplifier_Table[], 2, FALSE),"") &amp;
        INDIRECT( ADDRESS( ROW() + Row_Offset, INDIRECT( "Column_Number_" &amp; $B$1), 4,1, tabname) ), "")</f>
        <v/>
      </c>
      <c r="C105" s="10" t="str">
        <f ca="1">TEXT( INDIRECT( ADDRESS( ROW() + Row_Offset, INDIRECT( "Column_Number_" &amp; C$1), 4,1, tabname) ), "")</f>
        <v/>
      </c>
      <c r="D105" s="10" t="str">
        <f ca="1">TEXT( INDIRECT( ADDRESS( ROW() + Row_Offset, INDIRECT( "Column_Number_" &amp; D$1), 4,1, tabname) ), "")</f>
        <v/>
      </c>
      <c r="E105" s="10" t="str">
        <f ca="1">TEXT( INDIRECT( ADDRESS( ROW() + Row_Offset, INDIRECT( "Column_Number_" &amp; E$1), 4,1, tabname) ), "####")</f>
        <v/>
      </c>
      <c r="F105" s="15"/>
      <c r="G105" s="21" t="str">
        <f ca="1">IFERROR(INDEX(Rank_Table[],MATCH($D105&amp;$A105,Table4[Join],0)),"")</f>
        <v/>
      </c>
      <c r="H105" s="11" t="str">
        <f ca="1">IF(AND(D105="Juvenile Audiobook",LEFT(B105,8)="J CD BIO"),RIGHT(B105,LEN(B105)-9),
IF(AND(D105="Juvenile Audiobook",LEFT(B105,8)="J CD FIC"),B105,
IF(D105="Juvenile Audiobook",RIGHT(B105,LEN(B105)-5),
IF(AND(D105="Teen Audiobook",LEFT(B105,11)="TEEN CD BIO"),RIGHT(B105,LEN(B105)-12),
IF(AND(D105="Teen Audiobook",LEFT(B105,11)="TEEN CD FIC"),B105,
IF(D105="Juvenile Audiobook",RIGHT(B105,LEN(B105)-8),
IF(D105="Juvenile Nonfiction",RIGHT(B105,LEN(B105)-2),
IF(D105="Teen Nonfiction",RIGHT(B105,LEN(B105)-5),
IF(AND(D105="Audiobook",
              NOT(OR(Contains($B105,"CD BIO"),Contains($B105,"CD FIC")))),RIGHT(B105,LEN(B105)-3),
IF(D105="Juvenile Biography",RIGHT(B105,LEN(B105)-2),
IF(D105="Teen Biography",RIGHT(B105,LEN(B105)-5),
IF(AND(D105="Audiobook",
              IFERROR(FIND("BIO",$B105)&gt;0,FALSE)),RIGHT(B105,LEN(B105)-3),
IF(D105="Juvenile Large Type","J "&amp;RIGHT(B105,LEN(B105)-11),
IF(D105="Teen Large Type","TEEN "&amp;RIGHT(B105,LEN(B105)-14),
IF(D105="Reference",RIGHT(B105,LEN(B105)-4),
IF(D105="DVD Educational",RIGHT(B105,LEN(B105)-7),
IF(D105="Juvenile DVD Educational",RIGHT(B105,LEN(B105)-9),
B105)))))))))))))))))</f>
        <v/>
      </c>
    </row>
    <row r="106" spans="1:8" ht="27" customHeight="1" x14ac:dyDescent="0.25">
      <c r="A106" s="10" t="str">
        <f ca="1">TEXT( INDIRECT( ADDRESS( ROW() + Row_Offset, INDIRECT( "Column_Number_" &amp; A$1), 4,1, tabname) ), "")</f>
        <v/>
      </c>
      <c r="B106" s="10" t="str">
        <f ca="1">TEXT(  IFERROR( VLOOKUP( $D106, CollName_Simplifier_Table[], 2, FALSE),"") &amp;
        INDIRECT( ADDRESS( ROW() + Row_Offset, INDIRECT( "Column_Number_" &amp; $B$1), 4,1, tabname) ), "")</f>
        <v/>
      </c>
      <c r="C106" s="10" t="str">
        <f ca="1">TEXT( INDIRECT( ADDRESS( ROW() + Row_Offset, INDIRECT( "Column_Number_" &amp; C$1), 4,1, tabname) ), "")</f>
        <v/>
      </c>
      <c r="D106" s="10" t="str">
        <f ca="1">TEXT( INDIRECT( ADDRESS( ROW() + Row_Offset, INDIRECT( "Column_Number_" &amp; D$1), 4,1, tabname) ), "")</f>
        <v/>
      </c>
      <c r="E106" s="10" t="str">
        <f ca="1">TEXT( INDIRECT( ADDRESS( ROW() + Row_Offset, INDIRECT( "Column_Number_" &amp; E$1), 4,1, tabname) ), "####")</f>
        <v/>
      </c>
      <c r="F106" s="15"/>
      <c r="G106" s="21" t="str">
        <f ca="1">IFERROR(INDEX(Rank_Table[],MATCH($D106&amp;$A106,Table4[Join],0)),"")</f>
        <v/>
      </c>
      <c r="H106" s="11" t="str">
        <f ca="1">IF(AND(D106="Juvenile Audiobook",LEFT(B106,8)="J CD BIO"),RIGHT(B106,LEN(B106)-9),
IF(AND(D106="Juvenile Audiobook",LEFT(B106,8)="J CD FIC"),B106,
IF(D106="Juvenile Audiobook",RIGHT(B106,LEN(B106)-5),
IF(AND(D106="Teen Audiobook",LEFT(B106,11)="TEEN CD BIO"),RIGHT(B106,LEN(B106)-12),
IF(AND(D106="Teen Audiobook",LEFT(B106,11)="TEEN CD FIC"),B106,
IF(D106="Juvenile Audiobook",RIGHT(B106,LEN(B106)-8),
IF(D106="Juvenile Nonfiction",RIGHT(B106,LEN(B106)-2),
IF(D106="Teen Nonfiction",RIGHT(B106,LEN(B106)-5),
IF(AND(D106="Audiobook",
              NOT(OR(Contains($B106,"CD BIO"),Contains($B106,"CD FIC")))),RIGHT(B106,LEN(B106)-3),
IF(D106="Juvenile Biography",RIGHT(B106,LEN(B106)-2),
IF(D106="Teen Biography",RIGHT(B106,LEN(B106)-5),
IF(AND(D106="Audiobook",
              IFERROR(FIND("BIO",$B106)&gt;0,FALSE)),RIGHT(B106,LEN(B106)-3),
IF(D106="Juvenile Large Type","J "&amp;RIGHT(B106,LEN(B106)-11),
IF(D106="Teen Large Type","TEEN "&amp;RIGHT(B106,LEN(B106)-14),
IF(D106="Reference",RIGHT(B106,LEN(B106)-4),
IF(D106="DVD Educational",RIGHT(B106,LEN(B106)-7),
IF(D106="Juvenile DVD Educational",RIGHT(B106,LEN(B106)-9),
B106)))))))))))))))))</f>
        <v/>
      </c>
    </row>
    <row r="107" spans="1:8" ht="27" customHeight="1" x14ac:dyDescent="0.25">
      <c r="A107" s="10" t="str">
        <f ca="1">TEXT( INDIRECT( ADDRESS( ROW() + Row_Offset, INDIRECT( "Column_Number_" &amp; A$1), 4,1, tabname) ), "")</f>
        <v/>
      </c>
      <c r="B107" s="10" t="str">
        <f ca="1">TEXT(  IFERROR( VLOOKUP( $D107, CollName_Simplifier_Table[], 2, FALSE),"") &amp;
        INDIRECT( ADDRESS( ROW() + Row_Offset, INDIRECT( "Column_Number_" &amp; $B$1), 4,1, tabname) ), "")</f>
        <v/>
      </c>
      <c r="C107" s="10" t="str">
        <f ca="1">TEXT( INDIRECT( ADDRESS( ROW() + Row_Offset, INDIRECT( "Column_Number_" &amp; C$1), 4,1, tabname) ), "")</f>
        <v/>
      </c>
      <c r="D107" s="10" t="str">
        <f ca="1">TEXT( INDIRECT( ADDRESS( ROW() + Row_Offset, INDIRECT( "Column_Number_" &amp; D$1), 4,1, tabname) ), "")</f>
        <v/>
      </c>
      <c r="E107" s="10" t="str">
        <f ca="1">TEXT( INDIRECT( ADDRESS( ROW() + Row_Offset, INDIRECT( "Column_Number_" &amp; E$1), 4,1, tabname) ), "####")</f>
        <v/>
      </c>
      <c r="F107" s="15"/>
      <c r="G107" s="21" t="str">
        <f ca="1">IFERROR(INDEX(Rank_Table[],MATCH($D107&amp;$A107,Table4[Join],0)),"")</f>
        <v/>
      </c>
      <c r="H107" s="11" t="str">
        <f ca="1">IF(AND(D107="Juvenile Audiobook",LEFT(B107,8)="J CD BIO"),RIGHT(B107,LEN(B107)-9),
IF(AND(D107="Juvenile Audiobook",LEFT(B107,8)="J CD FIC"),B107,
IF(D107="Juvenile Audiobook",RIGHT(B107,LEN(B107)-5),
IF(AND(D107="Teen Audiobook",LEFT(B107,11)="TEEN CD BIO"),RIGHT(B107,LEN(B107)-12),
IF(AND(D107="Teen Audiobook",LEFT(B107,11)="TEEN CD FIC"),B107,
IF(D107="Juvenile Audiobook",RIGHT(B107,LEN(B107)-8),
IF(D107="Juvenile Nonfiction",RIGHT(B107,LEN(B107)-2),
IF(D107="Teen Nonfiction",RIGHT(B107,LEN(B107)-5),
IF(AND(D107="Audiobook",
              NOT(OR(Contains($B107,"CD BIO"),Contains($B107,"CD FIC")))),RIGHT(B107,LEN(B107)-3),
IF(D107="Juvenile Biography",RIGHT(B107,LEN(B107)-2),
IF(D107="Teen Biography",RIGHT(B107,LEN(B107)-5),
IF(AND(D107="Audiobook",
              IFERROR(FIND("BIO",$B107)&gt;0,FALSE)),RIGHT(B107,LEN(B107)-3),
IF(D107="Juvenile Large Type","J "&amp;RIGHT(B107,LEN(B107)-11),
IF(D107="Teen Large Type","TEEN "&amp;RIGHT(B107,LEN(B107)-14),
IF(D107="Reference",RIGHT(B107,LEN(B107)-4),
IF(D107="DVD Educational",RIGHT(B107,LEN(B107)-7),
IF(D107="Juvenile DVD Educational",RIGHT(B107,LEN(B107)-9),
B107)))))))))))))))))</f>
        <v/>
      </c>
    </row>
    <row r="108" spans="1:8" ht="27" customHeight="1" x14ac:dyDescent="0.25">
      <c r="A108" s="10" t="str">
        <f ca="1">TEXT( INDIRECT( ADDRESS( ROW() + Row_Offset, INDIRECT( "Column_Number_" &amp; A$1), 4,1, tabname) ), "")</f>
        <v/>
      </c>
      <c r="B108" s="10" t="str">
        <f ca="1">TEXT(  IFERROR( VLOOKUP( $D108, CollName_Simplifier_Table[], 2, FALSE),"") &amp;
        INDIRECT( ADDRESS( ROW() + Row_Offset, INDIRECT( "Column_Number_" &amp; $B$1), 4,1, tabname) ), "")</f>
        <v/>
      </c>
      <c r="C108" s="10" t="str">
        <f ca="1">TEXT( INDIRECT( ADDRESS( ROW() + Row_Offset, INDIRECT( "Column_Number_" &amp; C$1), 4,1, tabname) ), "")</f>
        <v/>
      </c>
      <c r="D108" s="10" t="str">
        <f ca="1">TEXT( INDIRECT( ADDRESS( ROW() + Row_Offset, INDIRECT( "Column_Number_" &amp; D$1), 4,1, tabname) ), "")</f>
        <v/>
      </c>
      <c r="E108" s="10" t="str">
        <f ca="1">TEXT( INDIRECT( ADDRESS( ROW() + Row_Offset, INDIRECT( "Column_Number_" &amp; E$1), 4,1, tabname) ), "####")</f>
        <v/>
      </c>
      <c r="F108" s="15"/>
      <c r="G108" s="21" t="str">
        <f ca="1">IFERROR(INDEX(Rank_Table[],MATCH($D108&amp;$A108,Table4[Join],0)),"")</f>
        <v/>
      </c>
      <c r="H108" s="11" t="str">
        <f ca="1">IF(AND(D108="Juvenile Audiobook",LEFT(B108,8)="J CD BIO"),RIGHT(B108,LEN(B108)-9),
IF(AND(D108="Juvenile Audiobook",LEFT(B108,8)="J CD FIC"),B108,
IF(D108="Juvenile Audiobook",RIGHT(B108,LEN(B108)-5),
IF(AND(D108="Teen Audiobook",LEFT(B108,11)="TEEN CD BIO"),RIGHT(B108,LEN(B108)-12),
IF(AND(D108="Teen Audiobook",LEFT(B108,11)="TEEN CD FIC"),B108,
IF(D108="Juvenile Audiobook",RIGHT(B108,LEN(B108)-8),
IF(D108="Juvenile Nonfiction",RIGHT(B108,LEN(B108)-2),
IF(D108="Teen Nonfiction",RIGHT(B108,LEN(B108)-5),
IF(AND(D108="Audiobook",
              NOT(OR(Contains($B108,"CD BIO"),Contains($B108,"CD FIC")))),RIGHT(B108,LEN(B108)-3),
IF(D108="Juvenile Biography",RIGHT(B108,LEN(B108)-2),
IF(D108="Teen Biography",RIGHT(B108,LEN(B108)-5),
IF(AND(D108="Audiobook",
              IFERROR(FIND("BIO",$B108)&gt;0,FALSE)),RIGHT(B108,LEN(B108)-3),
IF(D108="Juvenile Large Type","J "&amp;RIGHT(B108,LEN(B108)-11),
IF(D108="Teen Large Type","TEEN "&amp;RIGHT(B108,LEN(B108)-14),
IF(D108="Reference",RIGHT(B108,LEN(B108)-4),
IF(D108="DVD Educational",RIGHT(B108,LEN(B108)-7),
IF(D108="Juvenile DVD Educational",RIGHT(B108,LEN(B108)-9),
B108)))))))))))))))))</f>
        <v/>
      </c>
    </row>
    <row r="109" spans="1:8" ht="27" customHeight="1" x14ac:dyDescent="0.25">
      <c r="A109" s="10" t="str">
        <f ca="1">TEXT( INDIRECT( ADDRESS( ROW() + Row_Offset, INDIRECT( "Column_Number_" &amp; A$1), 4,1, tabname) ), "")</f>
        <v/>
      </c>
      <c r="B109" s="10" t="str">
        <f ca="1">TEXT(  IFERROR( VLOOKUP( $D109, CollName_Simplifier_Table[], 2, FALSE),"") &amp;
        INDIRECT( ADDRESS( ROW() + Row_Offset, INDIRECT( "Column_Number_" &amp; $B$1), 4,1, tabname) ), "")</f>
        <v/>
      </c>
      <c r="C109" s="10" t="str">
        <f ca="1">TEXT( INDIRECT( ADDRESS( ROW() + Row_Offset, INDIRECT( "Column_Number_" &amp; C$1), 4,1, tabname) ), "")</f>
        <v/>
      </c>
      <c r="D109" s="10" t="str">
        <f ca="1">TEXT( INDIRECT( ADDRESS( ROW() + Row_Offset, INDIRECT( "Column_Number_" &amp; D$1), 4,1, tabname) ), "")</f>
        <v/>
      </c>
      <c r="E109" s="10" t="str">
        <f ca="1">TEXT( INDIRECT( ADDRESS( ROW() + Row_Offset, INDIRECT( "Column_Number_" &amp; E$1), 4,1, tabname) ), "####")</f>
        <v/>
      </c>
      <c r="F109" s="15"/>
      <c r="G109" s="21" t="str">
        <f ca="1">IFERROR(INDEX(Rank_Table[],MATCH($D109&amp;$A109,Table4[Join],0)),"")</f>
        <v/>
      </c>
      <c r="H109" s="11" t="str">
        <f ca="1">IF(AND(D109="Juvenile Audiobook",LEFT(B109,8)="J CD BIO"),RIGHT(B109,LEN(B109)-9),
IF(AND(D109="Juvenile Audiobook",LEFT(B109,8)="J CD FIC"),B109,
IF(D109="Juvenile Audiobook",RIGHT(B109,LEN(B109)-5),
IF(AND(D109="Teen Audiobook",LEFT(B109,11)="TEEN CD BIO"),RIGHT(B109,LEN(B109)-12),
IF(AND(D109="Teen Audiobook",LEFT(B109,11)="TEEN CD FIC"),B109,
IF(D109="Juvenile Audiobook",RIGHT(B109,LEN(B109)-8),
IF(D109="Juvenile Nonfiction",RIGHT(B109,LEN(B109)-2),
IF(D109="Teen Nonfiction",RIGHT(B109,LEN(B109)-5),
IF(AND(D109="Audiobook",
              NOT(OR(Contains($B109,"CD BIO"),Contains($B109,"CD FIC")))),RIGHT(B109,LEN(B109)-3),
IF(D109="Juvenile Biography",RIGHT(B109,LEN(B109)-2),
IF(D109="Teen Biography",RIGHT(B109,LEN(B109)-5),
IF(AND(D109="Audiobook",
              IFERROR(FIND("BIO",$B109)&gt;0,FALSE)),RIGHT(B109,LEN(B109)-3),
IF(D109="Juvenile Large Type","J "&amp;RIGHT(B109,LEN(B109)-11),
IF(D109="Teen Large Type","TEEN "&amp;RIGHT(B109,LEN(B109)-14),
IF(D109="Reference",RIGHT(B109,LEN(B109)-4),
IF(D109="DVD Educational",RIGHT(B109,LEN(B109)-7),
IF(D109="Juvenile DVD Educational",RIGHT(B109,LEN(B109)-9),
B109)))))))))))))))))</f>
        <v/>
      </c>
    </row>
    <row r="110" spans="1:8" ht="27" customHeight="1" x14ac:dyDescent="0.25">
      <c r="A110" s="10" t="str">
        <f ca="1">TEXT( INDIRECT( ADDRESS( ROW() + Row_Offset, INDIRECT( "Column_Number_" &amp; A$1), 4,1, tabname) ), "")</f>
        <v/>
      </c>
      <c r="B110" s="10" t="str">
        <f ca="1">TEXT(  IFERROR( VLOOKUP( $D110, CollName_Simplifier_Table[], 2, FALSE),"") &amp;
        INDIRECT( ADDRESS( ROW() + Row_Offset, INDIRECT( "Column_Number_" &amp; $B$1), 4,1, tabname) ), "")</f>
        <v/>
      </c>
      <c r="C110" s="10" t="str">
        <f ca="1">TEXT( INDIRECT( ADDRESS( ROW() + Row_Offset, INDIRECT( "Column_Number_" &amp; C$1), 4,1, tabname) ), "")</f>
        <v/>
      </c>
      <c r="D110" s="10" t="str">
        <f ca="1">TEXT( INDIRECT( ADDRESS( ROW() + Row_Offset, INDIRECT( "Column_Number_" &amp; D$1), 4,1, tabname) ), "")</f>
        <v/>
      </c>
      <c r="E110" s="10" t="str">
        <f ca="1">TEXT( INDIRECT( ADDRESS( ROW() + Row_Offset, INDIRECT( "Column_Number_" &amp; E$1), 4,1, tabname) ), "####")</f>
        <v/>
      </c>
      <c r="F110" s="15"/>
      <c r="G110" s="21" t="str">
        <f ca="1">IFERROR(INDEX(Rank_Table[],MATCH($D110&amp;$A110,Table4[Join],0)),"")</f>
        <v/>
      </c>
      <c r="H110" s="11" t="str">
        <f ca="1">IF(AND(D110="Juvenile Audiobook",LEFT(B110,8)="J CD BIO"),RIGHT(B110,LEN(B110)-9),
IF(AND(D110="Juvenile Audiobook",LEFT(B110,8)="J CD FIC"),B110,
IF(D110="Juvenile Audiobook",RIGHT(B110,LEN(B110)-5),
IF(AND(D110="Teen Audiobook",LEFT(B110,11)="TEEN CD BIO"),RIGHT(B110,LEN(B110)-12),
IF(AND(D110="Teen Audiobook",LEFT(B110,11)="TEEN CD FIC"),B110,
IF(D110="Juvenile Audiobook",RIGHT(B110,LEN(B110)-8),
IF(D110="Juvenile Nonfiction",RIGHT(B110,LEN(B110)-2),
IF(D110="Teen Nonfiction",RIGHT(B110,LEN(B110)-5),
IF(AND(D110="Audiobook",
              NOT(OR(Contains($B110,"CD BIO"),Contains($B110,"CD FIC")))),RIGHT(B110,LEN(B110)-3),
IF(D110="Juvenile Biography",RIGHT(B110,LEN(B110)-2),
IF(D110="Teen Biography",RIGHT(B110,LEN(B110)-5),
IF(AND(D110="Audiobook",
              IFERROR(FIND("BIO",$B110)&gt;0,FALSE)),RIGHT(B110,LEN(B110)-3),
IF(D110="Juvenile Large Type","J "&amp;RIGHT(B110,LEN(B110)-11),
IF(D110="Teen Large Type","TEEN "&amp;RIGHT(B110,LEN(B110)-14),
IF(D110="Reference",RIGHT(B110,LEN(B110)-4),
IF(D110="DVD Educational",RIGHT(B110,LEN(B110)-7),
IF(D110="Juvenile DVD Educational",RIGHT(B110,LEN(B110)-9),
B110)))))))))))))))))</f>
        <v/>
      </c>
    </row>
    <row r="111" spans="1:8" ht="27" customHeight="1" x14ac:dyDescent="0.25">
      <c r="A111" s="10" t="str">
        <f ca="1">TEXT( INDIRECT( ADDRESS( ROW() + Row_Offset, INDIRECT( "Column_Number_" &amp; A$1), 4,1, tabname) ), "")</f>
        <v/>
      </c>
      <c r="B111" s="10" t="str">
        <f ca="1">TEXT(  IFERROR( VLOOKUP( $D111, CollName_Simplifier_Table[], 2, FALSE),"") &amp;
        INDIRECT( ADDRESS( ROW() + Row_Offset, INDIRECT( "Column_Number_" &amp; $B$1), 4,1, tabname) ), "")</f>
        <v/>
      </c>
      <c r="C111" s="10" t="str">
        <f ca="1">TEXT( INDIRECT( ADDRESS( ROW() + Row_Offset, INDIRECT( "Column_Number_" &amp; C$1), 4,1, tabname) ), "")</f>
        <v/>
      </c>
      <c r="D111" s="10" t="str">
        <f ca="1">TEXT( INDIRECT( ADDRESS( ROW() + Row_Offset, INDIRECT( "Column_Number_" &amp; D$1), 4,1, tabname) ), "")</f>
        <v/>
      </c>
      <c r="E111" s="10" t="str">
        <f ca="1">TEXT( INDIRECT( ADDRESS( ROW() + Row_Offset, INDIRECT( "Column_Number_" &amp; E$1), 4,1, tabname) ), "####")</f>
        <v/>
      </c>
      <c r="F111" s="15"/>
      <c r="G111" s="21" t="str">
        <f ca="1">IFERROR(INDEX(Rank_Table[],MATCH($D111&amp;$A111,Table4[Join],0)),"")</f>
        <v/>
      </c>
      <c r="H111" s="11" t="str">
        <f ca="1">IF(AND(D111="Juvenile Audiobook",LEFT(B111,8)="J CD BIO"),RIGHT(B111,LEN(B111)-9),
IF(AND(D111="Juvenile Audiobook",LEFT(B111,8)="J CD FIC"),B111,
IF(D111="Juvenile Audiobook",RIGHT(B111,LEN(B111)-5),
IF(AND(D111="Teen Audiobook",LEFT(B111,11)="TEEN CD BIO"),RIGHT(B111,LEN(B111)-12),
IF(AND(D111="Teen Audiobook",LEFT(B111,11)="TEEN CD FIC"),B111,
IF(D111="Juvenile Audiobook",RIGHT(B111,LEN(B111)-8),
IF(D111="Juvenile Nonfiction",RIGHT(B111,LEN(B111)-2),
IF(D111="Teen Nonfiction",RIGHT(B111,LEN(B111)-5),
IF(AND(D111="Audiobook",
              NOT(OR(Contains($B111,"CD BIO"),Contains($B111,"CD FIC")))),RIGHT(B111,LEN(B111)-3),
IF(D111="Juvenile Biography",RIGHT(B111,LEN(B111)-2),
IF(D111="Teen Biography",RIGHT(B111,LEN(B111)-5),
IF(AND(D111="Audiobook",
              IFERROR(FIND("BIO",$B111)&gt;0,FALSE)),RIGHT(B111,LEN(B111)-3),
IF(D111="Juvenile Large Type","J "&amp;RIGHT(B111,LEN(B111)-11),
IF(D111="Teen Large Type","TEEN "&amp;RIGHT(B111,LEN(B111)-14),
IF(D111="Reference",RIGHT(B111,LEN(B111)-4),
IF(D111="DVD Educational",RIGHT(B111,LEN(B111)-7),
IF(D111="Juvenile DVD Educational",RIGHT(B111,LEN(B111)-9),
B111)))))))))))))))))</f>
        <v/>
      </c>
    </row>
    <row r="112" spans="1:8" ht="27" customHeight="1" x14ac:dyDescent="0.25">
      <c r="A112" s="10" t="str">
        <f ca="1">TEXT( INDIRECT( ADDRESS( ROW() + Row_Offset, INDIRECT( "Column_Number_" &amp; A$1), 4,1, tabname) ), "")</f>
        <v/>
      </c>
      <c r="B112" s="10" t="str">
        <f ca="1">TEXT(  IFERROR( VLOOKUP( $D112, CollName_Simplifier_Table[], 2, FALSE),"") &amp;
        INDIRECT( ADDRESS( ROW() + Row_Offset, INDIRECT( "Column_Number_" &amp; $B$1), 4,1, tabname) ), "")</f>
        <v/>
      </c>
      <c r="C112" s="10" t="str">
        <f ca="1">TEXT( INDIRECT( ADDRESS( ROW() + Row_Offset, INDIRECT( "Column_Number_" &amp; C$1), 4,1, tabname) ), "")</f>
        <v/>
      </c>
      <c r="D112" s="10" t="str">
        <f ca="1">TEXT( INDIRECT( ADDRESS( ROW() + Row_Offset, INDIRECT( "Column_Number_" &amp; D$1), 4,1, tabname) ), "")</f>
        <v/>
      </c>
      <c r="E112" s="10" t="str">
        <f ca="1">TEXT( INDIRECT( ADDRESS( ROW() + Row_Offset, INDIRECT( "Column_Number_" &amp; E$1), 4,1, tabname) ), "####")</f>
        <v/>
      </c>
      <c r="F112" s="15"/>
      <c r="G112" s="21" t="str">
        <f ca="1">IFERROR(INDEX(Rank_Table[],MATCH($D112&amp;$A112,Table4[Join],0)),"")</f>
        <v/>
      </c>
      <c r="H112" s="11" t="str">
        <f ca="1">IF(AND(D112="Juvenile Audiobook",LEFT(B112,8)="J CD BIO"),RIGHT(B112,LEN(B112)-9),
IF(AND(D112="Juvenile Audiobook",LEFT(B112,8)="J CD FIC"),B112,
IF(D112="Juvenile Audiobook",RIGHT(B112,LEN(B112)-5),
IF(AND(D112="Teen Audiobook",LEFT(B112,11)="TEEN CD BIO"),RIGHT(B112,LEN(B112)-12),
IF(AND(D112="Teen Audiobook",LEFT(B112,11)="TEEN CD FIC"),B112,
IF(D112="Juvenile Audiobook",RIGHT(B112,LEN(B112)-8),
IF(D112="Juvenile Nonfiction",RIGHT(B112,LEN(B112)-2),
IF(D112="Teen Nonfiction",RIGHT(B112,LEN(B112)-5),
IF(AND(D112="Audiobook",
              NOT(OR(Contains($B112,"CD BIO"),Contains($B112,"CD FIC")))),RIGHT(B112,LEN(B112)-3),
IF(D112="Juvenile Biography",RIGHT(B112,LEN(B112)-2),
IF(D112="Teen Biography",RIGHT(B112,LEN(B112)-5),
IF(AND(D112="Audiobook",
              IFERROR(FIND("BIO",$B112)&gt;0,FALSE)),RIGHT(B112,LEN(B112)-3),
IF(D112="Juvenile Large Type","J "&amp;RIGHT(B112,LEN(B112)-11),
IF(D112="Teen Large Type","TEEN "&amp;RIGHT(B112,LEN(B112)-14),
IF(D112="Reference",RIGHT(B112,LEN(B112)-4),
IF(D112="DVD Educational",RIGHT(B112,LEN(B112)-7),
IF(D112="Juvenile DVD Educational",RIGHT(B112,LEN(B112)-9),
B112)))))))))))))))))</f>
        <v/>
      </c>
    </row>
    <row r="113" spans="1:8" ht="27" customHeight="1" x14ac:dyDescent="0.25">
      <c r="A113" s="10" t="str">
        <f ca="1">TEXT( INDIRECT( ADDRESS( ROW() + Row_Offset, INDIRECT( "Column_Number_" &amp; A$1), 4,1, tabname) ), "")</f>
        <v/>
      </c>
      <c r="B113" s="10" t="str">
        <f ca="1">TEXT(  IFERROR( VLOOKUP( $D113, CollName_Simplifier_Table[], 2, FALSE),"") &amp;
        INDIRECT( ADDRESS( ROW() + Row_Offset, INDIRECT( "Column_Number_" &amp; $B$1), 4,1, tabname) ), "")</f>
        <v/>
      </c>
      <c r="C113" s="10" t="str">
        <f ca="1">TEXT( INDIRECT( ADDRESS( ROW() + Row_Offset, INDIRECT( "Column_Number_" &amp; C$1), 4,1, tabname) ), "")</f>
        <v/>
      </c>
      <c r="D113" s="10" t="str">
        <f ca="1">TEXT( INDIRECT( ADDRESS( ROW() + Row_Offset, INDIRECT( "Column_Number_" &amp; D$1), 4,1, tabname) ), "")</f>
        <v/>
      </c>
      <c r="E113" s="10" t="str">
        <f ca="1">TEXT( INDIRECT( ADDRESS( ROW() + Row_Offset, INDIRECT( "Column_Number_" &amp; E$1), 4,1, tabname) ), "####")</f>
        <v/>
      </c>
      <c r="F113" s="15"/>
      <c r="G113" s="21" t="str">
        <f ca="1">IFERROR(INDEX(Rank_Table[],MATCH($D113&amp;$A113,Table4[Join],0)),"")</f>
        <v/>
      </c>
      <c r="H113" s="11" t="str">
        <f ca="1">IF(AND(D113="Juvenile Audiobook",LEFT(B113,8)="J CD BIO"),RIGHT(B113,LEN(B113)-9),
IF(AND(D113="Juvenile Audiobook",LEFT(B113,8)="J CD FIC"),B113,
IF(D113="Juvenile Audiobook",RIGHT(B113,LEN(B113)-5),
IF(AND(D113="Teen Audiobook",LEFT(B113,11)="TEEN CD BIO"),RIGHT(B113,LEN(B113)-12),
IF(AND(D113="Teen Audiobook",LEFT(B113,11)="TEEN CD FIC"),B113,
IF(D113="Juvenile Audiobook",RIGHT(B113,LEN(B113)-8),
IF(D113="Juvenile Nonfiction",RIGHT(B113,LEN(B113)-2),
IF(D113="Teen Nonfiction",RIGHT(B113,LEN(B113)-5),
IF(AND(D113="Audiobook",
              NOT(OR(Contains($B113,"CD BIO"),Contains($B113,"CD FIC")))),RIGHT(B113,LEN(B113)-3),
IF(D113="Juvenile Biography",RIGHT(B113,LEN(B113)-2),
IF(D113="Teen Biography",RIGHT(B113,LEN(B113)-5),
IF(AND(D113="Audiobook",
              IFERROR(FIND("BIO",$B113)&gt;0,FALSE)),RIGHT(B113,LEN(B113)-3),
IF(D113="Juvenile Large Type","J "&amp;RIGHT(B113,LEN(B113)-11),
IF(D113="Teen Large Type","TEEN "&amp;RIGHT(B113,LEN(B113)-14),
IF(D113="Reference",RIGHT(B113,LEN(B113)-4),
IF(D113="DVD Educational",RIGHT(B113,LEN(B113)-7),
IF(D113="Juvenile DVD Educational",RIGHT(B113,LEN(B113)-9),
B113)))))))))))))))))</f>
        <v/>
      </c>
    </row>
    <row r="114" spans="1:8" ht="27" customHeight="1" x14ac:dyDescent="0.25">
      <c r="A114" s="10" t="str">
        <f ca="1">TEXT( INDIRECT( ADDRESS( ROW() + Row_Offset, INDIRECT( "Column_Number_" &amp; A$1), 4,1, tabname) ), "")</f>
        <v/>
      </c>
      <c r="B114" s="10" t="str">
        <f ca="1">TEXT(  IFERROR( VLOOKUP( $D114, CollName_Simplifier_Table[], 2, FALSE),"") &amp;
        INDIRECT( ADDRESS( ROW() + Row_Offset, INDIRECT( "Column_Number_" &amp; $B$1), 4,1, tabname) ), "")</f>
        <v/>
      </c>
      <c r="C114" s="10" t="str">
        <f ca="1">TEXT( INDIRECT( ADDRESS( ROW() + Row_Offset, INDIRECT( "Column_Number_" &amp; C$1), 4,1, tabname) ), "")</f>
        <v/>
      </c>
      <c r="D114" s="10" t="str">
        <f ca="1">TEXT( INDIRECT( ADDRESS( ROW() + Row_Offset, INDIRECT( "Column_Number_" &amp; D$1), 4,1, tabname) ), "")</f>
        <v/>
      </c>
      <c r="E114" s="10" t="str">
        <f ca="1">TEXT( INDIRECT( ADDRESS( ROW() + Row_Offset, INDIRECT( "Column_Number_" &amp; E$1), 4,1, tabname) ), "####")</f>
        <v/>
      </c>
      <c r="F114" s="15"/>
      <c r="G114" s="21" t="str">
        <f ca="1">IFERROR(INDEX(Rank_Table[],MATCH($D114&amp;$A114,Table4[Join],0)),"")</f>
        <v/>
      </c>
      <c r="H114" s="11" t="str">
        <f ca="1">IF(AND(D114="Juvenile Audiobook",LEFT(B114,8)="J CD BIO"),RIGHT(B114,LEN(B114)-9),
IF(AND(D114="Juvenile Audiobook",LEFT(B114,8)="J CD FIC"),B114,
IF(D114="Juvenile Audiobook",RIGHT(B114,LEN(B114)-5),
IF(AND(D114="Teen Audiobook",LEFT(B114,11)="TEEN CD BIO"),RIGHT(B114,LEN(B114)-12),
IF(AND(D114="Teen Audiobook",LEFT(B114,11)="TEEN CD FIC"),B114,
IF(D114="Juvenile Audiobook",RIGHT(B114,LEN(B114)-8),
IF(D114="Juvenile Nonfiction",RIGHT(B114,LEN(B114)-2),
IF(D114="Teen Nonfiction",RIGHT(B114,LEN(B114)-5),
IF(AND(D114="Audiobook",
              NOT(OR(Contains($B114,"CD BIO"),Contains($B114,"CD FIC")))),RIGHT(B114,LEN(B114)-3),
IF(D114="Juvenile Biography",RIGHT(B114,LEN(B114)-2),
IF(D114="Teen Biography",RIGHT(B114,LEN(B114)-5),
IF(AND(D114="Audiobook",
              IFERROR(FIND("BIO",$B114)&gt;0,FALSE)),RIGHT(B114,LEN(B114)-3),
IF(D114="Juvenile Large Type","J "&amp;RIGHT(B114,LEN(B114)-11),
IF(D114="Teen Large Type","TEEN "&amp;RIGHT(B114,LEN(B114)-14),
IF(D114="Reference",RIGHT(B114,LEN(B114)-4),
IF(D114="DVD Educational",RIGHT(B114,LEN(B114)-7),
IF(D114="Juvenile DVD Educational",RIGHT(B114,LEN(B114)-9),
B114)))))))))))))))))</f>
        <v/>
      </c>
    </row>
    <row r="115" spans="1:8" ht="27" customHeight="1" x14ac:dyDescent="0.25">
      <c r="A115" s="10" t="str">
        <f ca="1">TEXT( INDIRECT( ADDRESS( ROW() + Row_Offset, INDIRECT( "Column_Number_" &amp; A$1), 4,1, tabname) ), "")</f>
        <v/>
      </c>
      <c r="B115" s="10" t="str">
        <f ca="1">TEXT(  IFERROR( VLOOKUP( $D115, CollName_Simplifier_Table[], 2, FALSE),"") &amp;
        INDIRECT( ADDRESS( ROW() + Row_Offset, INDIRECT( "Column_Number_" &amp; $B$1), 4,1, tabname) ), "")</f>
        <v/>
      </c>
      <c r="C115" s="10" t="str">
        <f ca="1">TEXT( INDIRECT( ADDRESS( ROW() + Row_Offset, INDIRECT( "Column_Number_" &amp; C$1), 4,1, tabname) ), "")</f>
        <v/>
      </c>
      <c r="D115" s="10" t="str">
        <f ca="1">TEXT( INDIRECT( ADDRESS( ROW() + Row_Offset, INDIRECT( "Column_Number_" &amp; D$1), 4,1, tabname) ), "")</f>
        <v/>
      </c>
      <c r="E115" s="10" t="str">
        <f ca="1">TEXT( INDIRECT( ADDRESS( ROW() + Row_Offset, INDIRECT( "Column_Number_" &amp; E$1), 4,1, tabname) ), "####")</f>
        <v/>
      </c>
      <c r="F115" s="15"/>
      <c r="G115" s="21" t="str">
        <f ca="1">IFERROR(INDEX(Rank_Table[],MATCH($D115&amp;$A115,Table4[Join],0)),"")</f>
        <v/>
      </c>
      <c r="H115" s="11" t="str">
        <f ca="1">IF(AND(D115="Juvenile Audiobook",LEFT(B115,8)="J CD BIO"),RIGHT(B115,LEN(B115)-9),
IF(AND(D115="Juvenile Audiobook",LEFT(B115,8)="J CD FIC"),B115,
IF(D115="Juvenile Audiobook",RIGHT(B115,LEN(B115)-5),
IF(AND(D115="Teen Audiobook",LEFT(B115,11)="TEEN CD BIO"),RIGHT(B115,LEN(B115)-12),
IF(AND(D115="Teen Audiobook",LEFT(B115,11)="TEEN CD FIC"),B115,
IF(D115="Juvenile Audiobook",RIGHT(B115,LEN(B115)-8),
IF(D115="Juvenile Nonfiction",RIGHT(B115,LEN(B115)-2),
IF(D115="Teen Nonfiction",RIGHT(B115,LEN(B115)-5),
IF(AND(D115="Audiobook",
              NOT(OR(Contains($B115,"CD BIO"),Contains($B115,"CD FIC")))),RIGHT(B115,LEN(B115)-3),
IF(D115="Juvenile Biography",RIGHT(B115,LEN(B115)-2),
IF(D115="Teen Biography",RIGHT(B115,LEN(B115)-5),
IF(AND(D115="Audiobook",
              IFERROR(FIND("BIO",$B115)&gt;0,FALSE)),RIGHT(B115,LEN(B115)-3),
IF(D115="Juvenile Large Type","J "&amp;RIGHT(B115,LEN(B115)-11),
IF(D115="Teen Large Type","TEEN "&amp;RIGHT(B115,LEN(B115)-14),
IF(D115="Reference",RIGHT(B115,LEN(B115)-4),
IF(D115="DVD Educational",RIGHT(B115,LEN(B115)-7),
IF(D115="Juvenile DVD Educational",RIGHT(B115,LEN(B115)-9),
B115)))))))))))))))))</f>
        <v/>
      </c>
    </row>
    <row r="116" spans="1:8" ht="27" customHeight="1" x14ac:dyDescent="0.25">
      <c r="A116" s="10" t="str">
        <f ca="1">TEXT( INDIRECT( ADDRESS( ROW() + Row_Offset, INDIRECT( "Column_Number_" &amp; A$1), 4,1, tabname) ), "")</f>
        <v/>
      </c>
      <c r="B116" s="10" t="str">
        <f ca="1">TEXT(  IFERROR( VLOOKUP( $D116, CollName_Simplifier_Table[], 2, FALSE),"") &amp;
        INDIRECT( ADDRESS( ROW() + Row_Offset, INDIRECT( "Column_Number_" &amp; $B$1), 4,1, tabname) ), "")</f>
        <v/>
      </c>
      <c r="C116" s="10" t="str">
        <f ca="1">TEXT( INDIRECT( ADDRESS( ROW() + Row_Offset, INDIRECT( "Column_Number_" &amp; C$1), 4,1, tabname) ), "")</f>
        <v/>
      </c>
      <c r="D116" s="10" t="str">
        <f ca="1">TEXT( INDIRECT( ADDRESS( ROW() + Row_Offset, INDIRECT( "Column_Number_" &amp; D$1), 4,1, tabname) ), "")</f>
        <v/>
      </c>
      <c r="E116" s="10" t="str">
        <f ca="1">TEXT( INDIRECT( ADDRESS( ROW() + Row_Offset, INDIRECT( "Column_Number_" &amp; E$1), 4,1, tabname) ), "####")</f>
        <v/>
      </c>
      <c r="F116" s="15"/>
      <c r="G116" s="21" t="str">
        <f ca="1">IFERROR(INDEX(Rank_Table[],MATCH($D116&amp;$A116,Table4[Join],0)),"")</f>
        <v/>
      </c>
      <c r="H116" s="11" t="str">
        <f ca="1">IF(AND(D116="Juvenile Audiobook",LEFT(B116,8)="J CD BIO"),RIGHT(B116,LEN(B116)-9),
IF(AND(D116="Juvenile Audiobook",LEFT(B116,8)="J CD FIC"),B116,
IF(D116="Juvenile Audiobook",RIGHT(B116,LEN(B116)-5),
IF(AND(D116="Teen Audiobook",LEFT(B116,11)="TEEN CD BIO"),RIGHT(B116,LEN(B116)-12),
IF(AND(D116="Teen Audiobook",LEFT(B116,11)="TEEN CD FIC"),B116,
IF(D116="Juvenile Audiobook",RIGHT(B116,LEN(B116)-8),
IF(D116="Juvenile Nonfiction",RIGHT(B116,LEN(B116)-2),
IF(D116="Teen Nonfiction",RIGHT(B116,LEN(B116)-5),
IF(AND(D116="Audiobook",
              NOT(OR(Contains($B116,"CD BIO"),Contains($B116,"CD FIC")))),RIGHT(B116,LEN(B116)-3),
IF(D116="Juvenile Biography",RIGHT(B116,LEN(B116)-2),
IF(D116="Teen Biography",RIGHT(B116,LEN(B116)-5),
IF(AND(D116="Audiobook",
              IFERROR(FIND("BIO",$B116)&gt;0,FALSE)),RIGHT(B116,LEN(B116)-3),
IF(D116="Juvenile Large Type","J "&amp;RIGHT(B116,LEN(B116)-11),
IF(D116="Teen Large Type","TEEN "&amp;RIGHT(B116,LEN(B116)-14),
IF(D116="Reference",RIGHT(B116,LEN(B116)-4),
IF(D116="DVD Educational",RIGHT(B116,LEN(B116)-7),
IF(D116="Juvenile DVD Educational",RIGHT(B116,LEN(B116)-9),
B116)))))))))))))))))</f>
        <v/>
      </c>
    </row>
    <row r="117" spans="1:8" ht="27" customHeight="1" x14ac:dyDescent="0.25">
      <c r="A117" s="10" t="str">
        <f ca="1">TEXT( INDIRECT( ADDRESS( ROW() + Row_Offset, INDIRECT( "Column_Number_" &amp; A$1), 4,1, tabname) ), "")</f>
        <v/>
      </c>
      <c r="B117" s="10" t="str">
        <f ca="1">TEXT(  IFERROR( VLOOKUP( $D117, CollName_Simplifier_Table[], 2, FALSE),"") &amp;
        INDIRECT( ADDRESS( ROW() + Row_Offset, INDIRECT( "Column_Number_" &amp; $B$1), 4,1, tabname) ), "")</f>
        <v/>
      </c>
      <c r="C117" s="10" t="str">
        <f ca="1">TEXT( INDIRECT( ADDRESS( ROW() + Row_Offset, INDIRECT( "Column_Number_" &amp; C$1), 4,1, tabname) ), "")</f>
        <v/>
      </c>
      <c r="D117" s="10" t="str">
        <f ca="1">TEXT( INDIRECT( ADDRESS( ROW() + Row_Offset, INDIRECT( "Column_Number_" &amp; D$1), 4,1, tabname) ), "")</f>
        <v/>
      </c>
      <c r="E117" s="10" t="str">
        <f ca="1">TEXT( INDIRECT( ADDRESS( ROW() + Row_Offset, INDIRECT( "Column_Number_" &amp; E$1), 4,1, tabname) ), "####")</f>
        <v/>
      </c>
      <c r="F117" s="15"/>
      <c r="G117" s="21" t="str">
        <f ca="1">IFERROR(INDEX(Rank_Table[],MATCH($D117&amp;$A117,Table4[Join],0)),"")</f>
        <v/>
      </c>
      <c r="H117" s="11" t="str">
        <f ca="1">IF(AND(D117="Juvenile Audiobook",LEFT(B117,8)="J CD BIO"),RIGHT(B117,LEN(B117)-9),
IF(AND(D117="Juvenile Audiobook",LEFT(B117,8)="J CD FIC"),B117,
IF(D117="Juvenile Audiobook",RIGHT(B117,LEN(B117)-5),
IF(AND(D117="Teen Audiobook",LEFT(B117,11)="TEEN CD BIO"),RIGHT(B117,LEN(B117)-12),
IF(AND(D117="Teen Audiobook",LEFT(B117,11)="TEEN CD FIC"),B117,
IF(D117="Juvenile Audiobook",RIGHT(B117,LEN(B117)-8),
IF(D117="Juvenile Nonfiction",RIGHT(B117,LEN(B117)-2),
IF(D117="Teen Nonfiction",RIGHT(B117,LEN(B117)-5),
IF(AND(D117="Audiobook",
              NOT(OR(Contains($B117,"CD BIO"),Contains($B117,"CD FIC")))),RIGHT(B117,LEN(B117)-3),
IF(D117="Juvenile Biography",RIGHT(B117,LEN(B117)-2),
IF(D117="Teen Biography",RIGHT(B117,LEN(B117)-5),
IF(AND(D117="Audiobook",
              IFERROR(FIND("BIO",$B117)&gt;0,FALSE)),RIGHT(B117,LEN(B117)-3),
IF(D117="Juvenile Large Type","J "&amp;RIGHT(B117,LEN(B117)-11),
IF(D117="Teen Large Type","TEEN "&amp;RIGHT(B117,LEN(B117)-14),
IF(D117="Reference",RIGHT(B117,LEN(B117)-4),
IF(D117="DVD Educational",RIGHT(B117,LEN(B117)-7),
IF(D117="Juvenile DVD Educational",RIGHT(B117,LEN(B117)-9),
B117)))))))))))))))))</f>
        <v/>
      </c>
    </row>
    <row r="118" spans="1:8" ht="27" customHeight="1" x14ac:dyDescent="0.25">
      <c r="A118" s="10" t="str">
        <f ca="1">TEXT( INDIRECT( ADDRESS( ROW() + Row_Offset, INDIRECT( "Column_Number_" &amp; A$1), 4,1, tabname) ), "")</f>
        <v/>
      </c>
      <c r="B118" s="10" t="str">
        <f ca="1">TEXT(  IFERROR( VLOOKUP( $D118, CollName_Simplifier_Table[], 2, FALSE),"") &amp;
        INDIRECT( ADDRESS( ROW() + Row_Offset, INDIRECT( "Column_Number_" &amp; $B$1), 4,1, tabname) ), "")</f>
        <v/>
      </c>
      <c r="C118" s="10" t="str">
        <f ca="1">TEXT( INDIRECT( ADDRESS( ROW() + Row_Offset, INDIRECT( "Column_Number_" &amp; C$1), 4,1, tabname) ), "")</f>
        <v/>
      </c>
      <c r="D118" s="10" t="str">
        <f ca="1">TEXT( INDIRECT( ADDRESS( ROW() + Row_Offset, INDIRECT( "Column_Number_" &amp; D$1), 4,1, tabname) ), "")</f>
        <v/>
      </c>
      <c r="E118" s="10" t="str">
        <f ca="1">TEXT( INDIRECT( ADDRESS( ROW() + Row_Offset, INDIRECT( "Column_Number_" &amp; E$1), 4,1, tabname) ), "####")</f>
        <v/>
      </c>
      <c r="F118" s="15"/>
      <c r="G118" s="21" t="str">
        <f ca="1">IFERROR(INDEX(Rank_Table[],MATCH($D118&amp;$A118,Table4[Join],0)),"")</f>
        <v/>
      </c>
      <c r="H118" s="11" t="str">
        <f ca="1">IF(AND(D118="Juvenile Audiobook",LEFT(B118,8)="J CD BIO"),RIGHT(B118,LEN(B118)-9),
IF(AND(D118="Juvenile Audiobook",LEFT(B118,8)="J CD FIC"),B118,
IF(D118="Juvenile Audiobook",RIGHT(B118,LEN(B118)-5),
IF(AND(D118="Teen Audiobook",LEFT(B118,11)="TEEN CD BIO"),RIGHT(B118,LEN(B118)-12),
IF(AND(D118="Teen Audiobook",LEFT(B118,11)="TEEN CD FIC"),B118,
IF(D118="Juvenile Audiobook",RIGHT(B118,LEN(B118)-8),
IF(D118="Juvenile Nonfiction",RIGHT(B118,LEN(B118)-2),
IF(D118="Teen Nonfiction",RIGHT(B118,LEN(B118)-5),
IF(AND(D118="Audiobook",
              NOT(OR(Contains($B118,"CD BIO"),Contains($B118,"CD FIC")))),RIGHT(B118,LEN(B118)-3),
IF(D118="Juvenile Biography",RIGHT(B118,LEN(B118)-2),
IF(D118="Teen Biography",RIGHT(B118,LEN(B118)-5),
IF(AND(D118="Audiobook",
              IFERROR(FIND("BIO",$B118)&gt;0,FALSE)),RIGHT(B118,LEN(B118)-3),
IF(D118="Juvenile Large Type","J "&amp;RIGHT(B118,LEN(B118)-11),
IF(D118="Teen Large Type","TEEN "&amp;RIGHT(B118,LEN(B118)-14),
IF(D118="Reference",RIGHT(B118,LEN(B118)-4),
IF(D118="DVD Educational",RIGHT(B118,LEN(B118)-7),
IF(D118="Juvenile DVD Educational",RIGHT(B118,LEN(B118)-9),
B118)))))))))))))))))</f>
        <v/>
      </c>
    </row>
    <row r="119" spans="1:8" ht="27" customHeight="1" x14ac:dyDescent="0.25">
      <c r="A119" s="10" t="str">
        <f ca="1">TEXT( INDIRECT( ADDRESS( ROW() + Row_Offset, INDIRECT( "Column_Number_" &amp; A$1), 4,1, tabname) ), "")</f>
        <v/>
      </c>
      <c r="B119" s="10" t="str">
        <f ca="1">TEXT(  IFERROR( VLOOKUP( $D119, CollName_Simplifier_Table[], 2, FALSE),"") &amp;
        INDIRECT( ADDRESS( ROW() + Row_Offset, INDIRECT( "Column_Number_" &amp; $B$1), 4,1, tabname) ), "")</f>
        <v/>
      </c>
      <c r="C119" s="10" t="str">
        <f ca="1">TEXT( INDIRECT( ADDRESS( ROW() + Row_Offset, INDIRECT( "Column_Number_" &amp; C$1), 4,1, tabname) ), "")</f>
        <v/>
      </c>
      <c r="D119" s="10" t="str">
        <f ca="1">TEXT( INDIRECT( ADDRESS( ROW() + Row_Offset, INDIRECT( "Column_Number_" &amp; D$1), 4,1, tabname) ), "")</f>
        <v/>
      </c>
      <c r="E119" s="10" t="str">
        <f ca="1">TEXT( INDIRECT( ADDRESS( ROW() + Row_Offset, INDIRECT( "Column_Number_" &amp; E$1), 4,1, tabname) ), "####")</f>
        <v/>
      </c>
      <c r="F119" s="15"/>
      <c r="G119" s="21" t="str">
        <f ca="1">IFERROR(INDEX(Rank_Table[],MATCH($D119&amp;$A119,Table4[Join],0)),"")</f>
        <v/>
      </c>
      <c r="H119" s="11" t="str">
        <f ca="1">IF(AND(D119="Juvenile Audiobook",LEFT(B119,8)="J CD BIO"),RIGHT(B119,LEN(B119)-9),
IF(AND(D119="Juvenile Audiobook",LEFT(B119,8)="J CD FIC"),B119,
IF(D119="Juvenile Audiobook",RIGHT(B119,LEN(B119)-5),
IF(AND(D119="Teen Audiobook",LEFT(B119,11)="TEEN CD BIO"),RIGHT(B119,LEN(B119)-12),
IF(AND(D119="Teen Audiobook",LEFT(B119,11)="TEEN CD FIC"),B119,
IF(D119="Juvenile Audiobook",RIGHT(B119,LEN(B119)-8),
IF(D119="Juvenile Nonfiction",RIGHT(B119,LEN(B119)-2),
IF(D119="Teen Nonfiction",RIGHT(B119,LEN(B119)-5),
IF(AND(D119="Audiobook",
              NOT(OR(Contains($B119,"CD BIO"),Contains($B119,"CD FIC")))),RIGHT(B119,LEN(B119)-3),
IF(D119="Juvenile Biography",RIGHT(B119,LEN(B119)-2),
IF(D119="Teen Biography",RIGHT(B119,LEN(B119)-5),
IF(AND(D119="Audiobook",
              IFERROR(FIND("BIO",$B119)&gt;0,FALSE)),RIGHT(B119,LEN(B119)-3),
IF(D119="Juvenile Large Type","J "&amp;RIGHT(B119,LEN(B119)-11),
IF(D119="Teen Large Type","TEEN "&amp;RIGHT(B119,LEN(B119)-14),
IF(D119="Reference",RIGHT(B119,LEN(B119)-4),
IF(D119="DVD Educational",RIGHT(B119,LEN(B119)-7),
IF(D119="Juvenile DVD Educational",RIGHT(B119,LEN(B119)-9),
B119)))))))))))))))))</f>
        <v/>
      </c>
    </row>
    <row r="120" spans="1:8" ht="27" customHeight="1" x14ac:dyDescent="0.25">
      <c r="A120" s="10" t="str">
        <f ca="1">TEXT( INDIRECT( ADDRESS( ROW() + Row_Offset, INDIRECT( "Column_Number_" &amp; A$1), 4,1, tabname) ), "")</f>
        <v/>
      </c>
      <c r="B120" s="10" t="str">
        <f ca="1">TEXT(  IFERROR( VLOOKUP( $D120, CollName_Simplifier_Table[], 2, FALSE),"") &amp;
        INDIRECT( ADDRESS( ROW() + Row_Offset, INDIRECT( "Column_Number_" &amp; $B$1), 4,1, tabname) ), "")</f>
        <v/>
      </c>
      <c r="C120" s="10" t="str">
        <f ca="1">TEXT( INDIRECT( ADDRESS( ROW() + Row_Offset, INDIRECT( "Column_Number_" &amp; C$1), 4,1, tabname) ), "")</f>
        <v/>
      </c>
      <c r="D120" s="10" t="str">
        <f ca="1">TEXT( INDIRECT( ADDRESS( ROW() + Row_Offset, INDIRECT( "Column_Number_" &amp; D$1), 4,1, tabname) ), "")</f>
        <v/>
      </c>
      <c r="E120" s="10" t="str">
        <f ca="1">TEXT( INDIRECT( ADDRESS( ROW() + Row_Offset, INDIRECT( "Column_Number_" &amp; E$1), 4,1, tabname) ), "####")</f>
        <v/>
      </c>
      <c r="F120" s="15"/>
      <c r="G120" s="21" t="str">
        <f ca="1">IFERROR(INDEX(Rank_Table[],MATCH($D120&amp;$A120,Table4[Join],0)),"")</f>
        <v/>
      </c>
      <c r="H120" s="11" t="str">
        <f ca="1">IF(AND(D120="Juvenile Audiobook",LEFT(B120,8)="J CD BIO"),RIGHT(B120,LEN(B120)-9),
IF(AND(D120="Juvenile Audiobook",LEFT(B120,8)="J CD FIC"),B120,
IF(D120="Juvenile Audiobook",RIGHT(B120,LEN(B120)-5),
IF(AND(D120="Teen Audiobook",LEFT(B120,11)="TEEN CD BIO"),RIGHT(B120,LEN(B120)-12),
IF(AND(D120="Teen Audiobook",LEFT(B120,11)="TEEN CD FIC"),B120,
IF(D120="Juvenile Audiobook",RIGHT(B120,LEN(B120)-8),
IF(D120="Juvenile Nonfiction",RIGHT(B120,LEN(B120)-2),
IF(D120="Teen Nonfiction",RIGHT(B120,LEN(B120)-5),
IF(AND(D120="Audiobook",
              NOT(OR(Contains($B120,"CD BIO"),Contains($B120,"CD FIC")))),RIGHT(B120,LEN(B120)-3),
IF(D120="Juvenile Biography",RIGHT(B120,LEN(B120)-2),
IF(D120="Teen Biography",RIGHT(B120,LEN(B120)-5),
IF(AND(D120="Audiobook",
              IFERROR(FIND("BIO",$B120)&gt;0,FALSE)),RIGHT(B120,LEN(B120)-3),
IF(D120="Juvenile Large Type","J "&amp;RIGHT(B120,LEN(B120)-11),
IF(D120="Teen Large Type","TEEN "&amp;RIGHT(B120,LEN(B120)-14),
IF(D120="Reference",RIGHT(B120,LEN(B120)-4),
IF(D120="DVD Educational",RIGHT(B120,LEN(B120)-7),
IF(D120="Juvenile DVD Educational",RIGHT(B120,LEN(B120)-9),
B120)))))))))))))))))</f>
        <v/>
      </c>
    </row>
    <row r="121" spans="1:8" ht="27" customHeight="1" x14ac:dyDescent="0.25">
      <c r="A121" s="10" t="str">
        <f ca="1">TEXT( INDIRECT( ADDRESS( ROW() + Row_Offset, INDIRECT( "Column_Number_" &amp; A$1), 4,1, tabname) ), "")</f>
        <v/>
      </c>
      <c r="B121" s="10" t="str">
        <f ca="1">TEXT(  IFERROR( VLOOKUP( $D121, CollName_Simplifier_Table[], 2, FALSE),"") &amp;
        INDIRECT( ADDRESS( ROW() + Row_Offset, INDIRECT( "Column_Number_" &amp; $B$1), 4,1, tabname) ), "")</f>
        <v/>
      </c>
      <c r="C121" s="10" t="str">
        <f ca="1">TEXT( INDIRECT( ADDRESS( ROW() + Row_Offset, INDIRECT( "Column_Number_" &amp; C$1), 4,1, tabname) ), "")</f>
        <v/>
      </c>
      <c r="D121" s="10" t="str">
        <f ca="1">TEXT( INDIRECT( ADDRESS( ROW() + Row_Offset, INDIRECT( "Column_Number_" &amp; D$1), 4,1, tabname) ), "")</f>
        <v/>
      </c>
      <c r="E121" s="10" t="str">
        <f ca="1">TEXT( INDIRECT( ADDRESS( ROW() + Row_Offset, INDIRECT( "Column_Number_" &amp; E$1), 4,1, tabname) ), "####")</f>
        <v/>
      </c>
      <c r="F121" s="15"/>
      <c r="G121" s="21" t="str">
        <f ca="1">IFERROR(INDEX(Rank_Table[],MATCH($D121&amp;$A121,Table4[Join],0)),"")</f>
        <v/>
      </c>
      <c r="H121" s="11" t="str">
        <f ca="1">IF(AND(D121="Juvenile Audiobook",LEFT(B121,8)="J CD BIO"),RIGHT(B121,LEN(B121)-9),
IF(AND(D121="Juvenile Audiobook",LEFT(B121,8)="J CD FIC"),B121,
IF(D121="Juvenile Audiobook",RIGHT(B121,LEN(B121)-5),
IF(AND(D121="Teen Audiobook",LEFT(B121,11)="TEEN CD BIO"),RIGHT(B121,LEN(B121)-12),
IF(AND(D121="Teen Audiobook",LEFT(B121,11)="TEEN CD FIC"),B121,
IF(D121="Juvenile Audiobook",RIGHT(B121,LEN(B121)-8),
IF(D121="Juvenile Nonfiction",RIGHT(B121,LEN(B121)-2),
IF(D121="Teen Nonfiction",RIGHT(B121,LEN(B121)-5),
IF(AND(D121="Audiobook",
              NOT(OR(Contains($B121,"CD BIO"),Contains($B121,"CD FIC")))),RIGHT(B121,LEN(B121)-3),
IF(D121="Juvenile Biography",RIGHT(B121,LEN(B121)-2),
IF(D121="Teen Biography",RIGHT(B121,LEN(B121)-5),
IF(AND(D121="Audiobook",
              IFERROR(FIND("BIO",$B121)&gt;0,FALSE)),RIGHT(B121,LEN(B121)-3),
IF(D121="Juvenile Large Type","J "&amp;RIGHT(B121,LEN(B121)-11),
IF(D121="Teen Large Type","TEEN "&amp;RIGHT(B121,LEN(B121)-14),
IF(D121="Reference",RIGHT(B121,LEN(B121)-4),
IF(D121="DVD Educational",RIGHT(B121,LEN(B121)-7),
IF(D121="Juvenile DVD Educational",RIGHT(B121,LEN(B121)-9),
B121)))))))))))))))))</f>
        <v/>
      </c>
    </row>
    <row r="122" spans="1:8" ht="27" customHeight="1" x14ac:dyDescent="0.25">
      <c r="A122" s="10" t="str">
        <f ca="1">TEXT( INDIRECT( ADDRESS( ROW() + Row_Offset, INDIRECT( "Column_Number_" &amp; A$1), 4,1, tabname) ), "")</f>
        <v/>
      </c>
      <c r="B122" s="10" t="str">
        <f ca="1">TEXT(  IFERROR( VLOOKUP( $D122, CollName_Simplifier_Table[], 2, FALSE),"") &amp;
        INDIRECT( ADDRESS( ROW() + Row_Offset, INDIRECT( "Column_Number_" &amp; $B$1), 4,1, tabname) ), "")</f>
        <v/>
      </c>
      <c r="C122" s="10" t="str">
        <f ca="1">TEXT( INDIRECT( ADDRESS( ROW() + Row_Offset, INDIRECT( "Column_Number_" &amp; C$1), 4,1, tabname) ), "")</f>
        <v/>
      </c>
      <c r="D122" s="10" t="str">
        <f ca="1">TEXT( INDIRECT( ADDRESS( ROW() + Row_Offset, INDIRECT( "Column_Number_" &amp; D$1), 4,1, tabname) ), "")</f>
        <v/>
      </c>
      <c r="E122" s="10" t="str">
        <f ca="1">TEXT( INDIRECT( ADDRESS( ROW() + Row_Offset, INDIRECT( "Column_Number_" &amp; E$1), 4,1, tabname) ), "####")</f>
        <v/>
      </c>
      <c r="F122" s="15"/>
      <c r="G122" s="21" t="str">
        <f ca="1">IFERROR(INDEX(Rank_Table[],MATCH($D122&amp;$A122,Table4[Join],0)),"")</f>
        <v/>
      </c>
      <c r="H122" s="11" t="str">
        <f ca="1">IF(AND(D122="Juvenile Audiobook",LEFT(B122,8)="J CD BIO"),RIGHT(B122,LEN(B122)-9),
IF(AND(D122="Juvenile Audiobook",LEFT(B122,8)="J CD FIC"),B122,
IF(D122="Juvenile Audiobook",RIGHT(B122,LEN(B122)-5),
IF(AND(D122="Teen Audiobook",LEFT(B122,11)="TEEN CD BIO"),RIGHT(B122,LEN(B122)-12),
IF(AND(D122="Teen Audiobook",LEFT(B122,11)="TEEN CD FIC"),B122,
IF(D122="Juvenile Audiobook",RIGHT(B122,LEN(B122)-8),
IF(D122="Juvenile Nonfiction",RIGHT(B122,LEN(B122)-2),
IF(D122="Teen Nonfiction",RIGHT(B122,LEN(B122)-5),
IF(AND(D122="Audiobook",
              NOT(OR(Contains($B122,"CD BIO"),Contains($B122,"CD FIC")))),RIGHT(B122,LEN(B122)-3),
IF(D122="Juvenile Biography",RIGHT(B122,LEN(B122)-2),
IF(D122="Teen Biography",RIGHT(B122,LEN(B122)-5),
IF(AND(D122="Audiobook",
              IFERROR(FIND("BIO",$B122)&gt;0,FALSE)),RIGHT(B122,LEN(B122)-3),
IF(D122="Juvenile Large Type","J "&amp;RIGHT(B122,LEN(B122)-11),
IF(D122="Teen Large Type","TEEN "&amp;RIGHT(B122,LEN(B122)-14),
IF(D122="Reference",RIGHT(B122,LEN(B122)-4),
IF(D122="DVD Educational",RIGHT(B122,LEN(B122)-7),
IF(D122="Juvenile DVD Educational",RIGHT(B122,LEN(B122)-9),
B122)))))))))))))))))</f>
        <v/>
      </c>
    </row>
    <row r="123" spans="1:8" ht="27" customHeight="1" x14ac:dyDescent="0.25">
      <c r="A123" s="10" t="str">
        <f ca="1">TEXT( INDIRECT( ADDRESS( ROW() + Row_Offset, INDIRECT( "Column_Number_" &amp; A$1), 4,1, tabname) ), "")</f>
        <v/>
      </c>
      <c r="B123" s="10" t="str">
        <f ca="1">TEXT(  IFERROR( VLOOKUP( $D123, CollName_Simplifier_Table[], 2, FALSE),"") &amp;
        INDIRECT( ADDRESS( ROW() + Row_Offset, INDIRECT( "Column_Number_" &amp; $B$1), 4,1, tabname) ), "")</f>
        <v/>
      </c>
      <c r="C123" s="10" t="str">
        <f ca="1">TEXT( INDIRECT( ADDRESS( ROW() + Row_Offset, INDIRECT( "Column_Number_" &amp; C$1), 4,1, tabname) ), "")</f>
        <v/>
      </c>
      <c r="D123" s="10" t="str">
        <f ca="1">TEXT( INDIRECT( ADDRESS( ROW() + Row_Offset, INDIRECT( "Column_Number_" &amp; D$1), 4,1, tabname) ), "")</f>
        <v/>
      </c>
      <c r="E123" s="10" t="str">
        <f ca="1">TEXT( INDIRECT( ADDRESS( ROW() + Row_Offset, INDIRECT( "Column_Number_" &amp; E$1), 4,1, tabname) ), "####")</f>
        <v/>
      </c>
      <c r="F123" s="15"/>
      <c r="G123" s="21" t="str">
        <f ca="1">IFERROR(INDEX(Rank_Table[],MATCH($D123&amp;$A123,Table4[Join],0)),"")</f>
        <v/>
      </c>
      <c r="H123" s="11" t="str">
        <f ca="1">IF(AND(D123="Juvenile Audiobook",LEFT(B123,8)="J CD BIO"),RIGHT(B123,LEN(B123)-9),
IF(AND(D123="Juvenile Audiobook",LEFT(B123,8)="J CD FIC"),B123,
IF(D123="Juvenile Audiobook",RIGHT(B123,LEN(B123)-5),
IF(AND(D123="Teen Audiobook",LEFT(B123,11)="TEEN CD BIO"),RIGHT(B123,LEN(B123)-12),
IF(AND(D123="Teen Audiobook",LEFT(B123,11)="TEEN CD FIC"),B123,
IF(D123="Juvenile Audiobook",RIGHT(B123,LEN(B123)-8),
IF(D123="Juvenile Nonfiction",RIGHT(B123,LEN(B123)-2),
IF(D123="Teen Nonfiction",RIGHT(B123,LEN(B123)-5),
IF(AND(D123="Audiobook",
              NOT(OR(Contains($B123,"CD BIO"),Contains($B123,"CD FIC")))),RIGHT(B123,LEN(B123)-3),
IF(D123="Juvenile Biography",RIGHT(B123,LEN(B123)-2),
IF(D123="Teen Biography",RIGHT(B123,LEN(B123)-5),
IF(AND(D123="Audiobook",
              IFERROR(FIND("BIO",$B123)&gt;0,FALSE)),RIGHT(B123,LEN(B123)-3),
IF(D123="Juvenile Large Type","J "&amp;RIGHT(B123,LEN(B123)-11),
IF(D123="Teen Large Type","TEEN "&amp;RIGHT(B123,LEN(B123)-14),
IF(D123="Reference",RIGHT(B123,LEN(B123)-4),
IF(D123="DVD Educational",RIGHT(B123,LEN(B123)-7),
IF(D123="Juvenile DVD Educational",RIGHT(B123,LEN(B123)-9),
B123)))))))))))))))))</f>
        <v/>
      </c>
    </row>
    <row r="124" spans="1:8" ht="27" customHeight="1" x14ac:dyDescent="0.25">
      <c r="A124" s="10" t="str">
        <f ca="1">TEXT( INDIRECT( ADDRESS( ROW() + Row_Offset, INDIRECT( "Column_Number_" &amp; A$1), 4,1, tabname) ), "")</f>
        <v/>
      </c>
      <c r="B124" s="10" t="str">
        <f ca="1">TEXT(  IFERROR( VLOOKUP( $D124, CollName_Simplifier_Table[], 2, FALSE),"") &amp;
        INDIRECT( ADDRESS( ROW() + Row_Offset, INDIRECT( "Column_Number_" &amp; $B$1), 4,1, tabname) ), "")</f>
        <v/>
      </c>
      <c r="C124" s="10" t="str">
        <f ca="1">TEXT( INDIRECT( ADDRESS( ROW() + Row_Offset, INDIRECT( "Column_Number_" &amp; C$1), 4,1, tabname) ), "")</f>
        <v/>
      </c>
      <c r="D124" s="10" t="str">
        <f ca="1">TEXT( INDIRECT( ADDRESS( ROW() + Row_Offset, INDIRECT( "Column_Number_" &amp; D$1), 4,1, tabname) ), "")</f>
        <v/>
      </c>
      <c r="E124" s="10" t="str">
        <f ca="1">TEXT( INDIRECT( ADDRESS( ROW() + Row_Offset, INDIRECT( "Column_Number_" &amp; E$1), 4,1, tabname) ), "####")</f>
        <v/>
      </c>
      <c r="F124" s="15"/>
      <c r="G124" s="21" t="str">
        <f ca="1">IFERROR(INDEX(Rank_Table[],MATCH($D124&amp;$A124,Table4[Join],0)),"")</f>
        <v/>
      </c>
      <c r="H124" s="11" t="str">
        <f ca="1">IF(AND(D124="Juvenile Audiobook",LEFT(B124,8)="J CD BIO"),RIGHT(B124,LEN(B124)-9),
IF(AND(D124="Juvenile Audiobook",LEFT(B124,8)="J CD FIC"),B124,
IF(D124="Juvenile Audiobook",RIGHT(B124,LEN(B124)-5),
IF(AND(D124="Teen Audiobook",LEFT(B124,11)="TEEN CD BIO"),RIGHT(B124,LEN(B124)-12),
IF(AND(D124="Teen Audiobook",LEFT(B124,11)="TEEN CD FIC"),B124,
IF(D124="Juvenile Audiobook",RIGHT(B124,LEN(B124)-8),
IF(D124="Juvenile Nonfiction",RIGHT(B124,LEN(B124)-2),
IF(D124="Teen Nonfiction",RIGHT(B124,LEN(B124)-5),
IF(AND(D124="Audiobook",
              NOT(OR(Contains($B124,"CD BIO"),Contains($B124,"CD FIC")))),RIGHT(B124,LEN(B124)-3),
IF(D124="Juvenile Biography",RIGHT(B124,LEN(B124)-2),
IF(D124="Teen Biography",RIGHT(B124,LEN(B124)-5),
IF(AND(D124="Audiobook",
              IFERROR(FIND("BIO",$B124)&gt;0,FALSE)),RIGHT(B124,LEN(B124)-3),
IF(D124="Juvenile Large Type","J "&amp;RIGHT(B124,LEN(B124)-11),
IF(D124="Teen Large Type","TEEN "&amp;RIGHT(B124,LEN(B124)-14),
IF(D124="Reference",RIGHT(B124,LEN(B124)-4),
IF(D124="DVD Educational",RIGHT(B124,LEN(B124)-7),
IF(D124="Juvenile DVD Educational",RIGHT(B124,LEN(B124)-9),
B124)))))))))))))))))</f>
        <v/>
      </c>
    </row>
    <row r="125" spans="1:8" ht="27" customHeight="1" x14ac:dyDescent="0.25">
      <c r="A125" s="10" t="str">
        <f ca="1">TEXT( INDIRECT( ADDRESS( ROW() + Row_Offset, INDIRECT( "Column_Number_" &amp; A$1), 4,1, tabname) ), "")</f>
        <v/>
      </c>
      <c r="B125" s="10" t="str">
        <f ca="1">TEXT(  IFERROR( VLOOKUP( $D125, CollName_Simplifier_Table[], 2, FALSE),"") &amp;
        INDIRECT( ADDRESS( ROW() + Row_Offset, INDIRECT( "Column_Number_" &amp; $B$1), 4,1, tabname) ), "")</f>
        <v/>
      </c>
      <c r="C125" s="10" t="str">
        <f ca="1">TEXT( INDIRECT( ADDRESS( ROW() + Row_Offset, INDIRECT( "Column_Number_" &amp; C$1), 4,1, tabname) ), "")</f>
        <v/>
      </c>
      <c r="D125" s="10" t="str">
        <f ca="1">TEXT( INDIRECT( ADDRESS( ROW() + Row_Offset, INDIRECT( "Column_Number_" &amp; D$1), 4,1, tabname) ), "")</f>
        <v/>
      </c>
      <c r="E125" s="10" t="str">
        <f ca="1">TEXT( INDIRECT( ADDRESS( ROW() + Row_Offset, INDIRECT( "Column_Number_" &amp; E$1), 4,1, tabname) ), "####")</f>
        <v/>
      </c>
      <c r="F125" s="15"/>
      <c r="G125" s="21" t="str">
        <f ca="1">IFERROR(INDEX(Rank_Table[],MATCH($D125&amp;$A125,Table4[Join],0)),"")</f>
        <v/>
      </c>
      <c r="H125" s="11" t="str">
        <f ca="1">IF(AND(D125="Juvenile Audiobook",LEFT(B125,8)="J CD BIO"),RIGHT(B125,LEN(B125)-9),
IF(AND(D125="Juvenile Audiobook",LEFT(B125,8)="J CD FIC"),B125,
IF(D125="Juvenile Audiobook",RIGHT(B125,LEN(B125)-5),
IF(AND(D125="Teen Audiobook",LEFT(B125,11)="TEEN CD BIO"),RIGHT(B125,LEN(B125)-12),
IF(AND(D125="Teen Audiobook",LEFT(B125,11)="TEEN CD FIC"),B125,
IF(D125="Juvenile Audiobook",RIGHT(B125,LEN(B125)-8),
IF(D125="Juvenile Nonfiction",RIGHT(B125,LEN(B125)-2),
IF(D125="Teen Nonfiction",RIGHT(B125,LEN(B125)-5),
IF(AND(D125="Audiobook",
              NOT(OR(Contains($B125,"CD BIO"),Contains($B125,"CD FIC")))),RIGHT(B125,LEN(B125)-3),
IF(D125="Juvenile Biography",RIGHT(B125,LEN(B125)-2),
IF(D125="Teen Biography",RIGHT(B125,LEN(B125)-5),
IF(AND(D125="Audiobook",
              IFERROR(FIND("BIO",$B125)&gt;0,FALSE)),RIGHT(B125,LEN(B125)-3),
IF(D125="Juvenile Large Type","J "&amp;RIGHT(B125,LEN(B125)-11),
IF(D125="Teen Large Type","TEEN "&amp;RIGHT(B125,LEN(B125)-14),
IF(D125="Reference",RIGHT(B125,LEN(B125)-4),
IF(D125="DVD Educational",RIGHT(B125,LEN(B125)-7),
IF(D125="Juvenile DVD Educational",RIGHT(B125,LEN(B125)-9),
B125)))))))))))))))))</f>
        <v/>
      </c>
    </row>
    <row r="126" spans="1:8" ht="27" customHeight="1" x14ac:dyDescent="0.25">
      <c r="A126" s="10" t="str">
        <f ca="1">TEXT( INDIRECT( ADDRESS( ROW() + Row_Offset, INDIRECT( "Column_Number_" &amp; A$1), 4,1, tabname) ), "")</f>
        <v/>
      </c>
      <c r="B126" s="10" t="str">
        <f ca="1">TEXT(  IFERROR( VLOOKUP( $D126, CollName_Simplifier_Table[], 2, FALSE),"") &amp;
        INDIRECT( ADDRESS( ROW() + Row_Offset, INDIRECT( "Column_Number_" &amp; $B$1), 4,1, tabname) ), "")</f>
        <v/>
      </c>
      <c r="C126" s="10" t="str">
        <f ca="1">TEXT( INDIRECT( ADDRESS( ROW() + Row_Offset, INDIRECT( "Column_Number_" &amp; C$1), 4,1, tabname) ), "")</f>
        <v/>
      </c>
      <c r="D126" s="10" t="str">
        <f ca="1">TEXT( INDIRECT( ADDRESS( ROW() + Row_Offset, INDIRECT( "Column_Number_" &amp; D$1), 4,1, tabname) ), "")</f>
        <v/>
      </c>
      <c r="E126" s="10" t="str">
        <f ca="1">TEXT( INDIRECT( ADDRESS( ROW() + Row_Offset, INDIRECT( "Column_Number_" &amp; E$1), 4,1, tabname) ), "####")</f>
        <v/>
      </c>
      <c r="F126" s="15"/>
      <c r="G126" s="21" t="str">
        <f ca="1">IFERROR(INDEX(Rank_Table[],MATCH($D126&amp;$A126,Table4[Join],0)),"")</f>
        <v/>
      </c>
      <c r="H126" s="11" t="str">
        <f ca="1">IF(AND(D126="Juvenile Audiobook",LEFT(B126,8)="J CD BIO"),RIGHT(B126,LEN(B126)-9),
IF(AND(D126="Juvenile Audiobook",LEFT(B126,8)="J CD FIC"),B126,
IF(D126="Juvenile Audiobook",RIGHT(B126,LEN(B126)-5),
IF(AND(D126="Teen Audiobook",LEFT(B126,11)="TEEN CD BIO"),RIGHT(B126,LEN(B126)-12),
IF(AND(D126="Teen Audiobook",LEFT(B126,11)="TEEN CD FIC"),B126,
IF(D126="Juvenile Audiobook",RIGHT(B126,LEN(B126)-8),
IF(D126="Juvenile Nonfiction",RIGHT(B126,LEN(B126)-2),
IF(D126="Teen Nonfiction",RIGHT(B126,LEN(B126)-5),
IF(AND(D126="Audiobook",
              NOT(OR(Contains($B126,"CD BIO"),Contains($B126,"CD FIC")))),RIGHT(B126,LEN(B126)-3),
IF(D126="Juvenile Biography",RIGHT(B126,LEN(B126)-2),
IF(D126="Teen Biography",RIGHT(B126,LEN(B126)-5),
IF(AND(D126="Audiobook",
              IFERROR(FIND("BIO",$B126)&gt;0,FALSE)),RIGHT(B126,LEN(B126)-3),
IF(D126="Juvenile Large Type","J "&amp;RIGHT(B126,LEN(B126)-11),
IF(D126="Teen Large Type","TEEN "&amp;RIGHT(B126,LEN(B126)-14),
IF(D126="Reference",RIGHT(B126,LEN(B126)-4),
IF(D126="DVD Educational",RIGHT(B126,LEN(B126)-7),
IF(D126="Juvenile DVD Educational",RIGHT(B126,LEN(B126)-9),
B126)))))))))))))))))</f>
        <v/>
      </c>
    </row>
    <row r="127" spans="1:8" ht="27" customHeight="1" x14ac:dyDescent="0.25">
      <c r="A127" s="10" t="str">
        <f ca="1">TEXT( INDIRECT( ADDRESS( ROW() + Row_Offset, INDIRECT( "Column_Number_" &amp; A$1), 4,1, tabname) ), "")</f>
        <v/>
      </c>
      <c r="B127" s="10" t="str">
        <f ca="1">TEXT(  IFERROR( VLOOKUP( $D127, CollName_Simplifier_Table[], 2, FALSE),"") &amp;
        INDIRECT( ADDRESS( ROW() + Row_Offset, INDIRECT( "Column_Number_" &amp; $B$1), 4,1, tabname) ), "")</f>
        <v/>
      </c>
      <c r="C127" s="10" t="str">
        <f ca="1">TEXT( INDIRECT( ADDRESS( ROW() + Row_Offset, INDIRECT( "Column_Number_" &amp; C$1), 4,1, tabname) ), "")</f>
        <v/>
      </c>
      <c r="D127" s="10" t="str">
        <f ca="1">TEXT( INDIRECT( ADDRESS( ROW() + Row_Offset, INDIRECT( "Column_Number_" &amp; D$1), 4,1, tabname) ), "")</f>
        <v/>
      </c>
      <c r="E127" s="10" t="str">
        <f ca="1">TEXT( INDIRECT( ADDRESS( ROW() + Row_Offset, INDIRECT( "Column_Number_" &amp; E$1), 4,1, tabname) ), "####")</f>
        <v/>
      </c>
      <c r="F127" s="15"/>
      <c r="G127" s="21" t="str">
        <f ca="1">IFERROR(INDEX(Rank_Table[],MATCH($D127&amp;$A127,Table4[Join],0)),"")</f>
        <v/>
      </c>
      <c r="H127" s="11" t="str">
        <f ca="1">IF(AND(D127="Juvenile Audiobook",LEFT(B127,8)="J CD BIO"),RIGHT(B127,LEN(B127)-9),
IF(AND(D127="Juvenile Audiobook",LEFT(B127,8)="J CD FIC"),B127,
IF(D127="Juvenile Audiobook",RIGHT(B127,LEN(B127)-5),
IF(AND(D127="Teen Audiobook",LEFT(B127,11)="TEEN CD BIO"),RIGHT(B127,LEN(B127)-12),
IF(AND(D127="Teen Audiobook",LEFT(B127,11)="TEEN CD FIC"),B127,
IF(D127="Juvenile Audiobook",RIGHT(B127,LEN(B127)-8),
IF(D127="Juvenile Nonfiction",RIGHT(B127,LEN(B127)-2),
IF(D127="Teen Nonfiction",RIGHT(B127,LEN(B127)-5),
IF(AND(D127="Audiobook",
              NOT(OR(Contains($B127,"CD BIO"),Contains($B127,"CD FIC")))),RIGHT(B127,LEN(B127)-3),
IF(D127="Juvenile Biography",RIGHT(B127,LEN(B127)-2),
IF(D127="Teen Biography",RIGHT(B127,LEN(B127)-5),
IF(AND(D127="Audiobook",
              IFERROR(FIND("BIO",$B127)&gt;0,FALSE)),RIGHT(B127,LEN(B127)-3),
IF(D127="Juvenile Large Type","J "&amp;RIGHT(B127,LEN(B127)-11),
IF(D127="Teen Large Type","TEEN "&amp;RIGHT(B127,LEN(B127)-14),
IF(D127="Reference",RIGHT(B127,LEN(B127)-4),
IF(D127="DVD Educational",RIGHT(B127,LEN(B127)-7),
IF(D127="Juvenile DVD Educational",RIGHT(B127,LEN(B127)-9),
B127)))))))))))))))))</f>
        <v/>
      </c>
    </row>
    <row r="128" spans="1:8" ht="27" customHeight="1" x14ac:dyDescent="0.25">
      <c r="A128" s="10" t="str">
        <f ca="1">TEXT( INDIRECT( ADDRESS( ROW() + Row_Offset, INDIRECT( "Column_Number_" &amp; A$1), 4,1, tabname) ), "")</f>
        <v/>
      </c>
      <c r="B128" s="10" t="str">
        <f ca="1">TEXT(  IFERROR( VLOOKUP( $D128, CollName_Simplifier_Table[], 2, FALSE),"") &amp;
        INDIRECT( ADDRESS( ROW() + Row_Offset, INDIRECT( "Column_Number_" &amp; $B$1), 4,1, tabname) ), "")</f>
        <v/>
      </c>
      <c r="C128" s="10" t="str">
        <f ca="1">TEXT( INDIRECT( ADDRESS( ROW() + Row_Offset, INDIRECT( "Column_Number_" &amp; C$1), 4,1, tabname) ), "")</f>
        <v/>
      </c>
      <c r="D128" s="10" t="str">
        <f ca="1">TEXT( INDIRECT( ADDRESS( ROW() + Row_Offset, INDIRECT( "Column_Number_" &amp; D$1), 4,1, tabname) ), "")</f>
        <v/>
      </c>
      <c r="E128" s="10" t="str">
        <f ca="1">TEXT( INDIRECT( ADDRESS( ROW() + Row_Offset, INDIRECT( "Column_Number_" &amp; E$1), 4,1, tabname) ), "####")</f>
        <v/>
      </c>
      <c r="F128" s="15"/>
      <c r="G128" s="21" t="str">
        <f ca="1">IFERROR(INDEX(Rank_Table[],MATCH($D128&amp;$A128,Table4[Join],0)),"")</f>
        <v/>
      </c>
      <c r="H128" s="11" t="str">
        <f ca="1">IF(AND(D128="Juvenile Audiobook",LEFT(B128,8)="J CD BIO"),RIGHT(B128,LEN(B128)-9),
IF(AND(D128="Juvenile Audiobook",LEFT(B128,8)="J CD FIC"),B128,
IF(D128="Juvenile Audiobook",RIGHT(B128,LEN(B128)-5),
IF(AND(D128="Teen Audiobook",LEFT(B128,11)="TEEN CD BIO"),RIGHT(B128,LEN(B128)-12),
IF(AND(D128="Teen Audiobook",LEFT(B128,11)="TEEN CD FIC"),B128,
IF(D128="Juvenile Audiobook",RIGHT(B128,LEN(B128)-8),
IF(D128="Juvenile Nonfiction",RIGHT(B128,LEN(B128)-2),
IF(D128="Teen Nonfiction",RIGHT(B128,LEN(B128)-5),
IF(AND(D128="Audiobook",
              NOT(OR(Contains($B128,"CD BIO"),Contains($B128,"CD FIC")))),RIGHT(B128,LEN(B128)-3),
IF(D128="Juvenile Biography",RIGHT(B128,LEN(B128)-2),
IF(D128="Teen Biography",RIGHT(B128,LEN(B128)-5),
IF(AND(D128="Audiobook",
              IFERROR(FIND("BIO",$B128)&gt;0,FALSE)),RIGHT(B128,LEN(B128)-3),
IF(D128="Juvenile Large Type","J "&amp;RIGHT(B128,LEN(B128)-11),
IF(D128="Teen Large Type","TEEN "&amp;RIGHT(B128,LEN(B128)-14),
IF(D128="Reference",RIGHT(B128,LEN(B128)-4),
IF(D128="DVD Educational",RIGHT(B128,LEN(B128)-7),
IF(D128="Juvenile DVD Educational",RIGHT(B128,LEN(B128)-9),
B128)))))))))))))))))</f>
        <v/>
      </c>
    </row>
    <row r="129" spans="1:8" ht="27" customHeight="1" x14ac:dyDescent="0.25">
      <c r="A129" s="10" t="str">
        <f ca="1">TEXT( INDIRECT( ADDRESS( ROW() + Row_Offset, INDIRECT( "Column_Number_" &amp; A$1), 4,1, tabname) ), "")</f>
        <v/>
      </c>
      <c r="B129" s="10" t="str">
        <f ca="1">TEXT(  IFERROR( VLOOKUP( $D129, CollName_Simplifier_Table[], 2, FALSE),"") &amp;
        INDIRECT( ADDRESS( ROW() + Row_Offset, INDIRECT( "Column_Number_" &amp; $B$1), 4,1, tabname) ), "")</f>
        <v/>
      </c>
      <c r="C129" s="10" t="str">
        <f ca="1">TEXT( INDIRECT( ADDRESS( ROW() + Row_Offset, INDIRECT( "Column_Number_" &amp; C$1), 4,1, tabname) ), "")</f>
        <v/>
      </c>
      <c r="D129" s="10" t="str">
        <f ca="1">TEXT( INDIRECT( ADDRESS( ROW() + Row_Offset, INDIRECT( "Column_Number_" &amp; D$1), 4,1, tabname) ), "")</f>
        <v/>
      </c>
      <c r="E129" s="10" t="str">
        <f ca="1">TEXT( INDIRECT( ADDRESS( ROW() + Row_Offset, INDIRECT( "Column_Number_" &amp; E$1), 4,1, tabname) ), "####")</f>
        <v/>
      </c>
      <c r="F129" s="15"/>
      <c r="G129" s="21" t="str">
        <f ca="1">IFERROR(INDEX(Rank_Table[],MATCH($D129&amp;$A129,Table4[Join],0)),"")</f>
        <v/>
      </c>
      <c r="H129" s="11" t="str">
        <f ca="1">IF(AND(D129="Juvenile Audiobook",LEFT(B129,8)="J CD BIO"),RIGHT(B129,LEN(B129)-9),
IF(AND(D129="Juvenile Audiobook",LEFT(B129,8)="J CD FIC"),B129,
IF(D129="Juvenile Audiobook",RIGHT(B129,LEN(B129)-5),
IF(AND(D129="Teen Audiobook",LEFT(B129,11)="TEEN CD BIO"),RIGHT(B129,LEN(B129)-12),
IF(AND(D129="Teen Audiobook",LEFT(B129,11)="TEEN CD FIC"),B129,
IF(D129="Juvenile Audiobook",RIGHT(B129,LEN(B129)-8),
IF(D129="Juvenile Nonfiction",RIGHT(B129,LEN(B129)-2),
IF(D129="Teen Nonfiction",RIGHT(B129,LEN(B129)-5),
IF(AND(D129="Audiobook",
              NOT(OR(Contains($B129,"CD BIO"),Contains($B129,"CD FIC")))),RIGHT(B129,LEN(B129)-3),
IF(D129="Juvenile Biography",RIGHT(B129,LEN(B129)-2),
IF(D129="Teen Biography",RIGHT(B129,LEN(B129)-5),
IF(AND(D129="Audiobook",
              IFERROR(FIND("BIO",$B129)&gt;0,FALSE)),RIGHT(B129,LEN(B129)-3),
IF(D129="Juvenile Large Type","J "&amp;RIGHT(B129,LEN(B129)-11),
IF(D129="Teen Large Type","TEEN "&amp;RIGHT(B129,LEN(B129)-14),
IF(D129="Reference",RIGHT(B129,LEN(B129)-4),
IF(D129="DVD Educational",RIGHT(B129,LEN(B129)-7),
IF(D129="Juvenile DVD Educational",RIGHT(B129,LEN(B129)-9),
B129)))))))))))))))))</f>
        <v/>
      </c>
    </row>
    <row r="130" spans="1:8" ht="27" customHeight="1" x14ac:dyDescent="0.25">
      <c r="A130" s="10" t="str">
        <f ca="1">TEXT( INDIRECT( ADDRESS( ROW() + Row_Offset, INDIRECT( "Column_Number_" &amp; A$1), 4,1, tabname) ), "")</f>
        <v/>
      </c>
      <c r="B130" s="10" t="str">
        <f ca="1">TEXT(  IFERROR( VLOOKUP( $D130, CollName_Simplifier_Table[], 2, FALSE),"") &amp;
        INDIRECT( ADDRESS( ROW() + Row_Offset, INDIRECT( "Column_Number_" &amp; $B$1), 4,1, tabname) ), "")</f>
        <v/>
      </c>
      <c r="C130" s="10" t="str">
        <f ca="1">TEXT( INDIRECT( ADDRESS( ROW() + Row_Offset, INDIRECT( "Column_Number_" &amp; C$1), 4,1, tabname) ), "")</f>
        <v/>
      </c>
      <c r="D130" s="10" t="str">
        <f ca="1">TEXT( INDIRECT( ADDRESS( ROW() + Row_Offset, INDIRECT( "Column_Number_" &amp; D$1), 4,1, tabname) ), "")</f>
        <v/>
      </c>
      <c r="E130" s="10" t="str">
        <f ca="1">TEXT( INDIRECT( ADDRESS( ROW() + Row_Offset, INDIRECT( "Column_Number_" &amp; E$1), 4,1, tabname) ), "####")</f>
        <v/>
      </c>
      <c r="F130" s="15"/>
      <c r="G130" s="21" t="str">
        <f ca="1">IFERROR(INDEX(Rank_Table[],MATCH($D130&amp;$A130,Table4[Join],0)),"")</f>
        <v/>
      </c>
      <c r="H130" s="11" t="str">
        <f ca="1">IF(AND(D130="Juvenile Audiobook",LEFT(B130,8)="J CD BIO"),RIGHT(B130,LEN(B130)-9),
IF(AND(D130="Juvenile Audiobook",LEFT(B130,8)="J CD FIC"),B130,
IF(D130="Juvenile Audiobook",RIGHT(B130,LEN(B130)-5),
IF(AND(D130="Teen Audiobook",LEFT(B130,11)="TEEN CD BIO"),RIGHT(B130,LEN(B130)-12),
IF(AND(D130="Teen Audiobook",LEFT(B130,11)="TEEN CD FIC"),B130,
IF(D130="Juvenile Audiobook",RIGHT(B130,LEN(B130)-8),
IF(D130="Juvenile Nonfiction",RIGHT(B130,LEN(B130)-2),
IF(D130="Teen Nonfiction",RIGHT(B130,LEN(B130)-5),
IF(AND(D130="Audiobook",
              NOT(OR(Contains($B130,"CD BIO"),Contains($B130,"CD FIC")))),RIGHT(B130,LEN(B130)-3),
IF(D130="Juvenile Biography",RIGHT(B130,LEN(B130)-2),
IF(D130="Teen Biography",RIGHT(B130,LEN(B130)-5),
IF(AND(D130="Audiobook",
              IFERROR(FIND("BIO",$B130)&gt;0,FALSE)),RIGHT(B130,LEN(B130)-3),
IF(D130="Juvenile Large Type","J "&amp;RIGHT(B130,LEN(B130)-11),
IF(D130="Teen Large Type","TEEN "&amp;RIGHT(B130,LEN(B130)-14),
IF(D130="Reference",RIGHT(B130,LEN(B130)-4),
IF(D130="DVD Educational",RIGHT(B130,LEN(B130)-7),
IF(D130="Juvenile DVD Educational",RIGHT(B130,LEN(B130)-9),
B130)))))))))))))))))</f>
        <v/>
      </c>
    </row>
    <row r="131" spans="1:8" ht="27" customHeight="1" x14ac:dyDescent="0.25">
      <c r="A131" s="10" t="str">
        <f ca="1">TEXT( INDIRECT( ADDRESS( ROW() + Row_Offset, INDIRECT( "Column_Number_" &amp; A$1), 4,1, tabname) ), "")</f>
        <v/>
      </c>
      <c r="B131" s="10" t="str">
        <f ca="1">TEXT(  IFERROR( VLOOKUP( $D131, CollName_Simplifier_Table[], 2, FALSE),"") &amp;
        INDIRECT( ADDRESS( ROW() + Row_Offset, INDIRECT( "Column_Number_" &amp; $B$1), 4,1, tabname) ), "")</f>
        <v/>
      </c>
      <c r="C131" s="10" t="str">
        <f ca="1">TEXT( INDIRECT( ADDRESS( ROW() + Row_Offset, INDIRECT( "Column_Number_" &amp; C$1), 4,1, tabname) ), "")</f>
        <v/>
      </c>
      <c r="D131" s="10" t="str">
        <f ca="1">TEXT( INDIRECT( ADDRESS( ROW() + Row_Offset, INDIRECT( "Column_Number_" &amp; D$1), 4,1, tabname) ), "")</f>
        <v/>
      </c>
      <c r="E131" s="10" t="str">
        <f ca="1">TEXT( INDIRECT( ADDRESS( ROW() + Row_Offset, INDIRECT( "Column_Number_" &amp; E$1), 4,1, tabname) ), "####")</f>
        <v/>
      </c>
      <c r="F131" s="15"/>
      <c r="G131" s="21" t="str">
        <f ca="1">IFERROR(INDEX(Rank_Table[],MATCH($D131&amp;$A131,Table4[Join],0)),"")</f>
        <v/>
      </c>
      <c r="H131" s="11" t="str">
        <f ca="1">IF(AND(D131="Juvenile Audiobook",LEFT(B131,8)="J CD BIO"),RIGHT(B131,LEN(B131)-9),
IF(AND(D131="Juvenile Audiobook",LEFT(B131,8)="J CD FIC"),B131,
IF(D131="Juvenile Audiobook",RIGHT(B131,LEN(B131)-5),
IF(AND(D131="Teen Audiobook",LEFT(B131,11)="TEEN CD BIO"),RIGHT(B131,LEN(B131)-12),
IF(AND(D131="Teen Audiobook",LEFT(B131,11)="TEEN CD FIC"),B131,
IF(D131="Juvenile Audiobook",RIGHT(B131,LEN(B131)-8),
IF(D131="Juvenile Nonfiction",RIGHT(B131,LEN(B131)-2),
IF(D131="Teen Nonfiction",RIGHT(B131,LEN(B131)-5),
IF(AND(D131="Audiobook",
              NOT(OR(Contains($B131,"CD BIO"),Contains($B131,"CD FIC")))),RIGHT(B131,LEN(B131)-3),
IF(D131="Juvenile Biography",RIGHT(B131,LEN(B131)-2),
IF(D131="Teen Biography",RIGHT(B131,LEN(B131)-5),
IF(AND(D131="Audiobook",
              IFERROR(FIND("BIO",$B131)&gt;0,FALSE)),RIGHT(B131,LEN(B131)-3),
IF(D131="Juvenile Large Type","J "&amp;RIGHT(B131,LEN(B131)-11),
IF(D131="Teen Large Type","TEEN "&amp;RIGHT(B131,LEN(B131)-14),
IF(D131="Reference",RIGHT(B131,LEN(B131)-4),
IF(D131="DVD Educational",RIGHT(B131,LEN(B131)-7),
IF(D131="Juvenile DVD Educational",RIGHT(B131,LEN(B131)-9),
B131)))))))))))))))))</f>
        <v/>
      </c>
    </row>
    <row r="132" spans="1:8" ht="27" customHeight="1" x14ac:dyDescent="0.25">
      <c r="A132" s="10" t="str">
        <f ca="1">TEXT( INDIRECT( ADDRESS( ROW() + Row_Offset, INDIRECT( "Column_Number_" &amp; A$1), 4,1, tabname) ), "")</f>
        <v/>
      </c>
      <c r="B132" s="10" t="str">
        <f ca="1">TEXT(  IFERROR( VLOOKUP( $D132, CollName_Simplifier_Table[], 2, FALSE),"") &amp;
        INDIRECT( ADDRESS( ROW() + Row_Offset, INDIRECT( "Column_Number_" &amp; $B$1), 4,1, tabname) ), "")</f>
        <v/>
      </c>
      <c r="C132" s="10" t="str">
        <f ca="1">TEXT( INDIRECT( ADDRESS( ROW() + Row_Offset, INDIRECT( "Column_Number_" &amp; C$1), 4,1, tabname) ), "")</f>
        <v/>
      </c>
      <c r="D132" s="10" t="str">
        <f ca="1">TEXT( INDIRECT( ADDRESS( ROW() + Row_Offset, INDIRECT( "Column_Number_" &amp; D$1), 4,1, tabname) ), "")</f>
        <v/>
      </c>
      <c r="E132" s="10" t="str">
        <f ca="1">TEXT( INDIRECT( ADDRESS( ROW() + Row_Offset, INDIRECT( "Column_Number_" &amp; E$1), 4,1, tabname) ), "####")</f>
        <v/>
      </c>
      <c r="F132" s="15"/>
      <c r="G132" s="21" t="str">
        <f ca="1">IFERROR(INDEX(Rank_Table[],MATCH($D132&amp;$A132,Table4[Join],0)),"")</f>
        <v/>
      </c>
      <c r="H132" s="11" t="str">
        <f ca="1">IF(AND(D132="Juvenile Audiobook",LEFT(B132,8)="J CD BIO"),RIGHT(B132,LEN(B132)-9),
IF(AND(D132="Juvenile Audiobook",LEFT(B132,8)="J CD FIC"),B132,
IF(D132="Juvenile Audiobook",RIGHT(B132,LEN(B132)-5),
IF(AND(D132="Teen Audiobook",LEFT(B132,11)="TEEN CD BIO"),RIGHT(B132,LEN(B132)-12),
IF(AND(D132="Teen Audiobook",LEFT(B132,11)="TEEN CD FIC"),B132,
IF(D132="Juvenile Audiobook",RIGHT(B132,LEN(B132)-8),
IF(D132="Juvenile Nonfiction",RIGHT(B132,LEN(B132)-2),
IF(D132="Teen Nonfiction",RIGHT(B132,LEN(B132)-5),
IF(AND(D132="Audiobook",
              NOT(OR(Contains($B132,"CD BIO"),Contains($B132,"CD FIC")))),RIGHT(B132,LEN(B132)-3),
IF(D132="Juvenile Biography",RIGHT(B132,LEN(B132)-2),
IF(D132="Teen Biography",RIGHT(B132,LEN(B132)-5),
IF(AND(D132="Audiobook",
              IFERROR(FIND("BIO",$B132)&gt;0,FALSE)),RIGHT(B132,LEN(B132)-3),
IF(D132="Juvenile Large Type","J "&amp;RIGHT(B132,LEN(B132)-11),
IF(D132="Teen Large Type","TEEN "&amp;RIGHT(B132,LEN(B132)-14),
IF(D132="Reference",RIGHT(B132,LEN(B132)-4),
IF(D132="DVD Educational",RIGHT(B132,LEN(B132)-7),
IF(D132="Juvenile DVD Educational",RIGHT(B132,LEN(B132)-9),
B132)))))))))))))))))</f>
        <v/>
      </c>
    </row>
    <row r="133" spans="1:8" ht="27" customHeight="1" x14ac:dyDescent="0.25">
      <c r="A133" s="10" t="str">
        <f ca="1">TEXT( INDIRECT( ADDRESS( ROW() + Row_Offset, INDIRECT( "Column_Number_" &amp; A$1), 4,1, tabname) ), "")</f>
        <v/>
      </c>
      <c r="B133" s="10" t="str">
        <f ca="1">TEXT(  IFERROR( VLOOKUP( $D133, CollName_Simplifier_Table[], 2, FALSE),"") &amp;
        INDIRECT( ADDRESS( ROW() + Row_Offset, INDIRECT( "Column_Number_" &amp; $B$1), 4,1, tabname) ), "")</f>
        <v/>
      </c>
      <c r="C133" s="10" t="str">
        <f ca="1">TEXT( INDIRECT( ADDRESS( ROW() + Row_Offset, INDIRECT( "Column_Number_" &amp; C$1), 4,1, tabname) ), "")</f>
        <v/>
      </c>
      <c r="D133" s="10" t="str">
        <f ca="1">TEXT( INDIRECT( ADDRESS( ROW() + Row_Offset, INDIRECT( "Column_Number_" &amp; D$1), 4,1, tabname) ), "")</f>
        <v/>
      </c>
      <c r="E133" s="10" t="str">
        <f ca="1">TEXT( INDIRECT( ADDRESS( ROW() + Row_Offset, INDIRECT( "Column_Number_" &amp; E$1), 4,1, tabname) ), "####")</f>
        <v/>
      </c>
      <c r="F133" s="15"/>
      <c r="G133" s="21" t="str">
        <f ca="1">IFERROR(INDEX(Rank_Table[],MATCH($D133&amp;$A133,Table4[Join],0)),"")</f>
        <v/>
      </c>
      <c r="H133" s="11" t="str">
        <f ca="1">IF(AND(D133="Juvenile Audiobook",LEFT(B133,8)="J CD BIO"),RIGHT(B133,LEN(B133)-9),
IF(AND(D133="Juvenile Audiobook",LEFT(B133,8)="J CD FIC"),B133,
IF(D133="Juvenile Audiobook",RIGHT(B133,LEN(B133)-5),
IF(AND(D133="Teen Audiobook",LEFT(B133,11)="TEEN CD BIO"),RIGHT(B133,LEN(B133)-12),
IF(AND(D133="Teen Audiobook",LEFT(B133,11)="TEEN CD FIC"),B133,
IF(D133="Juvenile Audiobook",RIGHT(B133,LEN(B133)-8),
IF(D133="Juvenile Nonfiction",RIGHT(B133,LEN(B133)-2),
IF(D133="Teen Nonfiction",RIGHT(B133,LEN(B133)-5),
IF(AND(D133="Audiobook",
              NOT(OR(Contains($B133,"CD BIO"),Contains($B133,"CD FIC")))),RIGHT(B133,LEN(B133)-3),
IF(D133="Juvenile Biography",RIGHT(B133,LEN(B133)-2),
IF(D133="Teen Biography",RIGHT(B133,LEN(B133)-5),
IF(AND(D133="Audiobook",
              IFERROR(FIND("BIO",$B133)&gt;0,FALSE)),RIGHT(B133,LEN(B133)-3),
IF(D133="Juvenile Large Type","J "&amp;RIGHT(B133,LEN(B133)-11),
IF(D133="Teen Large Type","TEEN "&amp;RIGHT(B133,LEN(B133)-14),
IF(D133="Reference",RIGHT(B133,LEN(B133)-4),
IF(D133="DVD Educational",RIGHT(B133,LEN(B133)-7),
IF(D133="Juvenile DVD Educational",RIGHT(B133,LEN(B133)-9),
B133)))))))))))))))))</f>
        <v/>
      </c>
    </row>
    <row r="134" spans="1:8" ht="27" customHeight="1" x14ac:dyDescent="0.25">
      <c r="A134" s="10" t="str">
        <f ca="1">TEXT( INDIRECT( ADDRESS( ROW() + Row_Offset, INDIRECT( "Column_Number_" &amp; A$1), 4,1, tabname) ), "")</f>
        <v/>
      </c>
      <c r="B134" s="10" t="str">
        <f ca="1">TEXT(  IFERROR( VLOOKUP( $D134, CollName_Simplifier_Table[], 2, FALSE),"") &amp;
        INDIRECT( ADDRESS( ROW() + Row_Offset, INDIRECT( "Column_Number_" &amp; $B$1), 4,1, tabname) ), "")</f>
        <v/>
      </c>
      <c r="C134" s="10" t="str">
        <f ca="1">TEXT( INDIRECT( ADDRESS( ROW() + Row_Offset, INDIRECT( "Column_Number_" &amp; C$1), 4,1, tabname) ), "")</f>
        <v/>
      </c>
      <c r="D134" s="10" t="str">
        <f ca="1">TEXT( INDIRECT( ADDRESS( ROW() + Row_Offset, INDIRECT( "Column_Number_" &amp; D$1), 4,1, tabname) ), "")</f>
        <v/>
      </c>
      <c r="E134" s="10" t="str">
        <f ca="1">TEXT( INDIRECT( ADDRESS( ROW() + Row_Offset, INDIRECT( "Column_Number_" &amp; E$1), 4,1, tabname) ), "####")</f>
        <v/>
      </c>
      <c r="F134" s="15"/>
      <c r="G134" s="21" t="str">
        <f ca="1">IFERROR(INDEX(Rank_Table[],MATCH($D134&amp;$A134,Table4[Join],0)),"")</f>
        <v/>
      </c>
      <c r="H134" s="11" t="str">
        <f ca="1">IF(AND(D134="Juvenile Audiobook",LEFT(B134,8)="J CD BIO"),RIGHT(B134,LEN(B134)-9),
IF(AND(D134="Juvenile Audiobook",LEFT(B134,8)="J CD FIC"),B134,
IF(D134="Juvenile Audiobook",RIGHT(B134,LEN(B134)-5),
IF(AND(D134="Teen Audiobook",LEFT(B134,11)="TEEN CD BIO"),RIGHT(B134,LEN(B134)-12),
IF(AND(D134="Teen Audiobook",LEFT(B134,11)="TEEN CD FIC"),B134,
IF(D134="Juvenile Audiobook",RIGHT(B134,LEN(B134)-8),
IF(D134="Juvenile Nonfiction",RIGHT(B134,LEN(B134)-2),
IF(D134="Teen Nonfiction",RIGHT(B134,LEN(B134)-5),
IF(AND(D134="Audiobook",
              NOT(OR(Contains($B134,"CD BIO"),Contains($B134,"CD FIC")))),RIGHT(B134,LEN(B134)-3),
IF(D134="Juvenile Biography",RIGHT(B134,LEN(B134)-2),
IF(D134="Teen Biography",RIGHT(B134,LEN(B134)-5),
IF(AND(D134="Audiobook",
              IFERROR(FIND("BIO",$B134)&gt;0,FALSE)),RIGHT(B134,LEN(B134)-3),
IF(D134="Juvenile Large Type","J "&amp;RIGHT(B134,LEN(B134)-11),
IF(D134="Teen Large Type","TEEN "&amp;RIGHT(B134,LEN(B134)-14),
IF(D134="Reference",RIGHT(B134,LEN(B134)-4),
IF(D134="DVD Educational",RIGHT(B134,LEN(B134)-7),
IF(D134="Juvenile DVD Educational",RIGHT(B134,LEN(B134)-9),
B134)))))))))))))))))</f>
        <v/>
      </c>
    </row>
    <row r="135" spans="1:8" ht="27" customHeight="1" x14ac:dyDescent="0.25">
      <c r="A135" s="10" t="str">
        <f ca="1">TEXT( INDIRECT( ADDRESS( ROW() + Row_Offset, INDIRECT( "Column_Number_" &amp; A$1), 4,1, tabname) ), "")</f>
        <v/>
      </c>
      <c r="B135" s="10" t="str">
        <f ca="1">TEXT(  IFERROR( VLOOKUP( $D135, CollName_Simplifier_Table[], 2, FALSE),"") &amp;
        INDIRECT( ADDRESS( ROW() + Row_Offset, INDIRECT( "Column_Number_" &amp; $B$1), 4,1, tabname) ), "")</f>
        <v/>
      </c>
      <c r="C135" s="10" t="str">
        <f ca="1">TEXT( INDIRECT( ADDRESS( ROW() + Row_Offset, INDIRECT( "Column_Number_" &amp; C$1), 4,1, tabname) ), "")</f>
        <v/>
      </c>
      <c r="D135" s="10" t="str">
        <f ca="1">TEXT( INDIRECT( ADDRESS( ROW() + Row_Offset, INDIRECT( "Column_Number_" &amp; D$1), 4,1, tabname) ), "")</f>
        <v/>
      </c>
      <c r="E135" s="10" t="str">
        <f ca="1">TEXT( INDIRECT( ADDRESS( ROW() + Row_Offset, INDIRECT( "Column_Number_" &amp; E$1), 4,1, tabname) ), "####")</f>
        <v/>
      </c>
      <c r="F135" s="15"/>
      <c r="G135" s="21" t="str">
        <f ca="1">IFERROR(INDEX(Rank_Table[],MATCH($D135&amp;$A135,Table4[Join],0)),"")</f>
        <v/>
      </c>
      <c r="H135" s="11" t="str">
        <f ca="1">IF(AND(D135="Juvenile Audiobook",LEFT(B135,8)="J CD BIO"),RIGHT(B135,LEN(B135)-9),
IF(AND(D135="Juvenile Audiobook",LEFT(B135,8)="J CD FIC"),B135,
IF(D135="Juvenile Audiobook",RIGHT(B135,LEN(B135)-5),
IF(AND(D135="Teen Audiobook",LEFT(B135,11)="TEEN CD BIO"),RIGHT(B135,LEN(B135)-12),
IF(AND(D135="Teen Audiobook",LEFT(B135,11)="TEEN CD FIC"),B135,
IF(D135="Juvenile Audiobook",RIGHT(B135,LEN(B135)-8),
IF(D135="Juvenile Nonfiction",RIGHT(B135,LEN(B135)-2),
IF(D135="Teen Nonfiction",RIGHT(B135,LEN(B135)-5),
IF(AND(D135="Audiobook",
              NOT(OR(Contains($B135,"CD BIO"),Contains($B135,"CD FIC")))),RIGHT(B135,LEN(B135)-3),
IF(D135="Juvenile Biography",RIGHT(B135,LEN(B135)-2),
IF(D135="Teen Biography",RIGHT(B135,LEN(B135)-5),
IF(AND(D135="Audiobook",
              IFERROR(FIND("BIO",$B135)&gt;0,FALSE)),RIGHT(B135,LEN(B135)-3),
IF(D135="Juvenile Large Type","J "&amp;RIGHT(B135,LEN(B135)-11),
IF(D135="Teen Large Type","TEEN "&amp;RIGHT(B135,LEN(B135)-14),
IF(D135="Reference",RIGHT(B135,LEN(B135)-4),
IF(D135="DVD Educational",RIGHT(B135,LEN(B135)-7),
IF(D135="Juvenile DVD Educational",RIGHT(B135,LEN(B135)-9),
B135)))))))))))))))))</f>
        <v/>
      </c>
    </row>
    <row r="136" spans="1:8" ht="27" customHeight="1" x14ac:dyDescent="0.25">
      <c r="A136" s="10" t="str">
        <f ca="1">TEXT( INDIRECT( ADDRESS( ROW() + Row_Offset, INDIRECT( "Column_Number_" &amp; A$1), 4,1, tabname) ), "")</f>
        <v/>
      </c>
      <c r="B136" s="10" t="str">
        <f ca="1">TEXT(  IFERROR( VLOOKUP( $D136, CollName_Simplifier_Table[], 2, FALSE),"") &amp;
        INDIRECT( ADDRESS( ROW() + Row_Offset, INDIRECT( "Column_Number_" &amp; $B$1), 4,1, tabname) ), "")</f>
        <v/>
      </c>
      <c r="C136" s="10" t="str">
        <f ca="1">TEXT( INDIRECT( ADDRESS( ROW() + Row_Offset, INDIRECT( "Column_Number_" &amp; C$1), 4,1, tabname) ), "")</f>
        <v/>
      </c>
      <c r="D136" s="10" t="str">
        <f ca="1">TEXT( INDIRECT( ADDRESS( ROW() + Row_Offset, INDIRECT( "Column_Number_" &amp; D$1), 4,1, tabname) ), "")</f>
        <v/>
      </c>
      <c r="E136" s="10" t="str">
        <f ca="1">TEXT( INDIRECT( ADDRESS( ROW() + Row_Offset, INDIRECT( "Column_Number_" &amp; E$1), 4,1, tabname) ), "####")</f>
        <v/>
      </c>
      <c r="F136" s="15"/>
      <c r="G136" s="21" t="str">
        <f ca="1">IFERROR(INDEX(Rank_Table[],MATCH($D136&amp;$A136,Table4[Join],0)),"")</f>
        <v/>
      </c>
      <c r="H136" s="11" t="str">
        <f ca="1">IF(AND(D136="Juvenile Audiobook",LEFT(B136,8)="J CD BIO"),RIGHT(B136,LEN(B136)-9),
IF(AND(D136="Juvenile Audiobook",LEFT(B136,8)="J CD FIC"),B136,
IF(D136="Juvenile Audiobook",RIGHT(B136,LEN(B136)-5),
IF(AND(D136="Teen Audiobook",LEFT(B136,11)="TEEN CD BIO"),RIGHT(B136,LEN(B136)-12),
IF(AND(D136="Teen Audiobook",LEFT(B136,11)="TEEN CD FIC"),B136,
IF(D136="Juvenile Audiobook",RIGHT(B136,LEN(B136)-8),
IF(D136="Juvenile Nonfiction",RIGHT(B136,LEN(B136)-2),
IF(D136="Teen Nonfiction",RIGHT(B136,LEN(B136)-5),
IF(AND(D136="Audiobook",
              NOT(OR(Contains($B136,"CD BIO"),Contains($B136,"CD FIC")))),RIGHT(B136,LEN(B136)-3),
IF(D136="Juvenile Biography",RIGHT(B136,LEN(B136)-2),
IF(D136="Teen Biography",RIGHT(B136,LEN(B136)-5),
IF(AND(D136="Audiobook",
              IFERROR(FIND("BIO",$B136)&gt;0,FALSE)),RIGHT(B136,LEN(B136)-3),
IF(D136="Juvenile Large Type","J "&amp;RIGHT(B136,LEN(B136)-11),
IF(D136="Teen Large Type","TEEN "&amp;RIGHT(B136,LEN(B136)-14),
IF(D136="Reference",RIGHT(B136,LEN(B136)-4),
IF(D136="DVD Educational",RIGHT(B136,LEN(B136)-7),
IF(D136="Juvenile DVD Educational",RIGHT(B136,LEN(B136)-9),
B136)))))))))))))))))</f>
        <v/>
      </c>
    </row>
    <row r="137" spans="1:8" ht="27" customHeight="1" x14ac:dyDescent="0.25">
      <c r="A137" s="10" t="str">
        <f ca="1">TEXT( INDIRECT( ADDRESS( ROW() + Row_Offset, INDIRECT( "Column_Number_" &amp; A$1), 4,1, tabname) ), "")</f>
        <v/>
      </c>
      <c r="B137" s="10" t="str">
        <f ca="1">TEXT(  IFERROR( VLOOKUP( $D137, CollName_Simplifier_Table[], 2, FALSE),"") &amp;
        INDIRECT( ADDRESS( ROW() + Row_Offset, INDIRECT( "Column_Number_" &amp; $B$1), 4,1, tabname) ), "")</f>
        <v/>
      </c>
      <c r="C137" s="10" t="str">
        <f ca="1">TEXT( INDIRECT( ADDRESS( ROW() + Row_Offset, INDIRECT( "Column_Number_" &amp; C$1), 4,1, tabname) ), "")</f>
        <v/>
      </c>
      <c r="D137" s="10" t="str">
        <f ca="1">TEXT( INDIRECT( ADDRESS( ROW() + Row_Offset, INDIRECT( "Column_Number_" &amp; D$1), 4,1, tabname) ), "")</f>
        <v/>
      </c>
      <c r="E137" s="10" t="str">
        <f ca="1">TEXT( INDIRECT( ADDRESS( ROW() + Row_Offset, INDIRECT( "Column_Number_" &amp; E$1), 4,1, tabname) ), "####")</f>
        <v/>
      </c>
      <c r="F137" s="15"/>
      <c r="G137" s="21" t="str">
        <f ca="1">IFERROR(INDEX(Rank_Table[],MATCH($D137&amp;$A137,Table4[Join],0)),"")</f>
        <v/>
      </c>
      <c r="H137" s="11" t="str">
        <f ca="1">IF(AND(D137="Juvenile Audiobook",LEFT(B137,8)="J CD BIO"),RIGHT(B137,LEN(B137)-9),
IF(AND(D137="Juvenile Audiobook",LEFT(B137,8)="J CD FIC"),B137,
IF(D137="Juvenile Audiobook",RIGHT(B137,LEN(B137)-5),
IF(AND(D137="Teen Audiobook",LEFT(B137,11)="TEEN CD BIO"),RIGHT(B137,LEN(B137)-12),
IF(AND(D137="Teen Audiobook",LEFT(B137,11)="TEEN CD FIC"),B137,
IF(D137="Juvenile Audiobook",RIGHT(B137,LEN(B137)-8),
IF(D137="Juvenile Nonfiction",RIGHT(B137,LEN(B137)-2),
IF(D137="Teen Nonfiction",RIGHT(B137,LEN(B137)-5),
IF(AND(D137="Audiobook",
              NOT(OR(Contains($B137,"CD BIO"),Contains($B137,"CD FIC")))),RIGHT(B137,LEN(B137)-3),
IF(D137="Juvenile Biography",RIGHT(B137,LEN(B137)-2),
IF(D137="Teen Biography",RIGHT(B137,LEN(B137)-5),
IF(AND(D137="Audiobook",
              IFERROR(FIND("BIO",$B137)&gt;0,FALSE)),RIGHT(B137,LEN(B137)-3),
IF(D137="Juvenile Large Type","J "&amp;RIGHT(B137,LEN(B137)-11),
IF(D137="Teen Large Type","TEEN "&amp;RIGHT(B137,LEN(B137)-14),
IF(D137="Reference",RIGHT(B137,LEN(B137)-4),
IF(D137="DVD Educational",RIGHT(B137,LEN(B137)-7),
IF(D137="Juvenile DVD Educational",RIGHT(B137,LEN(B137)-9),
B137)))))))))))))))))</f>
        <v/>
      </c>
    </row>
    <row r="138" spans="1:8" ht="27" customHeight="1" x14ac:dyDescent="0.25">
      <c r="A138" s="10" t="str">
        <f ca="1">TEXT( INDIRECT( ADDRESS( ROW() + Row_Offset, INDIRECT( "Column_Number_" &amp; A$1), 4,1, tabname) ), "")</f>
        <v/>
      </c>
      <c r="B138" s="10" t="str">
        <f ca="1">TEXT(  IFERROR( VLOOKUP( $D138, CollName_Simplifier_Table[], 2, FALSE),"") &amp;
        INDIRECT( ADDRESS( ROW() + Row_Offset, INDIRECT( "Column_Number_" &amp; $B$1), 4,1, tabname) ), "")</f>
        <v/>
      </c>
      <c r="C138" s="10" t="str">
        <f ca="1">TEXT( INDIRECT( ADDRESS( ROW() + Row_Offset, INDIRECT( "Column_Number_" &amp; C$1), 4,1, tabname) ), "")</f>
        <v/>
      </c>
      <c r="D138" s="10" t="str">
        <f ca="1">TEXT( INDIRECT( ADDRESS( ROW() + Row_Offset, INDIRECT( "Column_Number_" &amp; D$1), 4,1, tabname) ), "")</f>
        <v/>
      </c>
      <c r="E138" s="10" t="str">
        <f ca="1">TEXT( INDIRECT( ADDRESS( ROW() + Row_Offset, INDIRECT( "Column_Number_" &amp; E$1), 4,1, tabname) ), "####")</f>
        <v/>
      </c>
      <c r="F138" s="15"/>
      <c r="G138" s="21" t="str">
        <f ca="1">IFERROR(INDEX(Rank_Table[],MATCH($D138&amp;$A138,Table4[Join],0)),"")</f>
        <v/>
      </c>
      <c r="H138" s="11" t="str">
        <f ca="1">IF(AND(D138="Juvenile Audiobook",LEFT(B138,8)="J CD BIO"),RIGHT(B138,LEN(B138)-9),
IF(AND(D138="Juvenile Audiobook",LEFT(B138,8)="J CD FIC"),B138,
IF(D138="Juvenile Audiobook",RIGHT(B138,LEN(B138)-5),
IF(AND(D138="Teen Audiobook",LEFT(B138,11)="TEEN CD BIO"),RIGHT(B138,LEN(B138)-12),
IF(AND(D138="Teen Audiobook",LEFT(B138,11)="TEEN CD FIC"),B138,
IF(D138="Juvenile Audiobook",RIGHT(B138,LEN(B138)-8),
IF(D138="Juvenile Nonfiction",RIGHT(B138,LEN(B138)-2),
IF(D138="Teen Nonfiction",RIGHT(B138,LEN(B138)-5),
IF(AND(D138="Audiobook",
              NOT(OR(Contains($B138,"CD BIO"),Contains($B138,"CD FIC")))),RIGHT(B138,LEN(B138)-3),
IF(D138="Juvenile Biography",RIGHT(B138,LEN(B138)-2),
IF(D138="Teen Biography",RIGHT(B138,LEN(B138)-5),
IF(AND(D138="Audiobook",
              IFERROR(FIND("BIO",$B138)&gt;0,FALSE)),RIGHT(B138,LEN(B138)-3),
IF(D138="Juvenile Large Type","J "&amp;RIGHT(B138,LEN(B138)-11),
IF(D138="Teen Large Type","TEEN "&amp;RIGHT(B138,LEN(B138)-14),
IF(D138="Reference",RIGHT(B138,LEN(B138)-4),
IF(D138="DVD Educational",RIGHT(B138,LEN(B138)-7),
IF(D138="Juvenile DVD Educational",RIGHT(B138,LEN(B138)-9),
B138)))))))))))))))))</f>
        <v/>
      </c>
    </row>
    <row r="139" spans="1:8" ht="27" customHeight="1" x14ac:dyDescent="0.25">
      <c r="A139" s="10" t="str">
        <f ca="1">TEXT( INDIRECT( ADDRESS( ROW() + Row_Offset, INDIRECT( "Column_Number_" &amp; A$1), 4,1, tabname) ), "")</f>
        <v/>
      </c>
      <c r="B139" s="10" t="str">
        <f ca="1">TEXT(  IFERROR( VLOOKUP( $D139, CollName_Simplifier_Table[], 2, FALSE),"") &amp;
        INDIRECT( ADDRESS( ROW() + Row_Offset, INDIRECT( "Column_Number_" &amp; $B$1), 4,1, tabname) ), "")</f>
        <v/>
      </c>
      <c r="C139" s="10" t="str">
        <f ca="1">TEXT( INDIRECT( ADDRESS( ROW() + Row_Offset, INDIRECT( "Column_Number_" &amp; C$1), 4,1, tabname) ), "")</f>
        <v/>
      </c>
      <c r="D139" s="10" t="str">
        <f ca="1">TEXT( INDIRECT( ADDRESS( ROW() + Row_Offset, INDIRECT( "Column_Number_" &amp; D$1), 4,1, tabname) ), "")</f>
        <v/>
      </c>
      <c r="E139" s="10" t="str">
        <f ca="1">TEXT( INDIRECT( ADDRESS( ROW() + Row_Offset, INDIRECT( "Column_Number_" &amp; E$1), 4,1, tabname) ), "####")</f>
        <v/>
      </c>
      <c r="F139" s="15"/>
      <c r="G139" s="21" t="str">
        <f ca="1">IFERROR(INDEX(Rank_Table[],MATCH($D139&amp;$A139,Table4[Join],0)),"")</f>
        <v/>
      </c>
      <c r="H139" s="11" t="str">
        <f ca="1">IF(AND(D139="Juvenile Audiobook",LEFT(B139,8)="J CD BIO"),RIGHT(B139,LEN(B139)-9),
IF(AND(D139="Juvenile Audiobook",LEFT(B139,8)="J CD FIC"),B139,
IF(D139="Juvenile Audiobook",RIGHT(B139,LEN(B139)-5),
IF(AND(D139="Teen Audiobook",LEFT(B139,11)="TEEN CD BIO"),RIGHT(B139,LEN(B139)-12),
IF(AND(D139="Teen Audiobook",LEFT(B139,11)="TEEN CD FIC"),B139,
IF(D139="Juvenile Audiobook",RIGHT(B139,LEN(B139)-8),
IF(D139="Juvenile Nonfiction",RIGHT(B139,LEN(B139)-2),
IF(D139="Teen Nonfiction",RIGHT(B139,LEN(B139)-5),
IF(AND(D139="Audiobook",
              NOT(OR(Contains($B139,"CD BIO"),Contains($B139,"CD FIC")))),RIGHT(B139,LEN(B139)-3),
IF(D139="Juvenile Biography",RIGHT(B139,LEN(B139)-2),
IF(D139="Teen Biography",RIGHT(B139,LEN(B139)-5),
IF(AND(D139="Audiobook",
              IFERROR(FIND("BIO",$B139)&gt;0,FALSE)),RIGHT(B139,LEN(B139)-3),
IF(D139="Juvenile Large Type","J "&amp;RIGHT(B139,LEN(B139)-11),
IF(D139="Teen Large Type","TEEN "&amp;RIGHT(B139,LEN(B139)-14),
IF(D139="Reference",RIGHT(B139,LEN(B139)-4),
IF(D139="DVD Educational",RIGHT(B139,LEN(B139)-7),
IF(D139="Juvenile DVD Educational",RIGHT(B139,LEN(B139)-9),
B139)))))))))))))))))</f>
        <v/>
      </c>
    </row>
    <row r="140" spans="1:8" ht="27" customHeight="1" x14ac:dyDescent="0.25">
      <c r="A140" s="10" t="str">
        <f ca="1">TEXT( INDIRECT( ADDRESS( ROW() + Row_Offset, INDIRECT( "Column_Number_" &amp; A$1), 4,1, tabname) ), "")</f>
        <v/>
      </c>
      <c r="B140" s="10" t="str">
        <f ca="1">TEXT(  IFERROR( VLOOKUP( $D140, CollName_Simplifier_Table[], 2, FALSE),"") &amp;
        INDIRECT( ADDRESS( ROW() + Row_Offset, INDIRECT( "Column_Number_" &amp; $B$1), 4,1, tabname) ), "")</f>
        <v/>
      </c>
      <c r="C140" s="10" t="str">
        <f ca="1">TEXT( INDIRECT( ADDRESS( ROW() + Row_Offset, INDIRECT( "Column_Number_" &amp; C$1), 4,1, tabname) ), "")</f>
        <v/>
      </c>
      <c r="D140" s="10" t="str">
        <f ca="1">TEXT( INDIRECT( ADDRESS( ROW() + Row_Offset, INDIRECT( "Column_Number_" &amp; D$1), 4,1, tabname) ), "")</f>
        <v/>
      </c>
      <c r="E140" s="10" t="str">
        <f ca="1">TEXT( INDIRECT( ADDRESS( ROW() + Row_Offset, INDIRECT( "Column_Number_" &amp; E$1), 4,1, tabname) ), "####")</f>
        <v/>
      </c>
      <c r="F140" s="15"/>
      <c r="G140" s="21" t="str">
        <f ca="1">IFERROR(INDEX(Rank_Table[],MATCH($D140&amp;$A140,Table4[Join],0)),"")</f>
        <v/>
      </c>
      <c r="H140" s="11" t="str">
        <f ca="1">IF(AND(D140="Juvenile Audiobook",LEFT(B140,8)="J CD BIO"),RIGHT(B140,LEN(B140)-9),
IF(AND(D140="Juvenile Audiobook",LEFT(B140,8)="J CD FIC"),B140,
IF(D140="Juvenile Audiobook",RIGHT(B140,LEN(B140)-5),
IF(AND(D140="Teen Audiobook",LEFT(B140,11)="TEEN CD BIO"),RIGHT(B140,LEN(B140)-12),
IF(AND(D140="Teen Audiobook",LEFT(B140,11)="TEEN CD FIC"),B140,
IF(D140="Juvenile Audiobook",RIGHT(B140,LEN(B140)-8),
IF(D140="Juvenile Nonfiction",RIGHT(B140,LEN(B140)-2),
IF(D140="Teen Nonfiction",RIGHT(B140,LEN(B140)-5),
IF(AND(D140="Audiobook",
              NOT(OR(Contains($B140,"CD BIO"),Contains($B140,"CD FIC")))),RIGHT(B140,LEN(B140)-3),
IF(D140="Juvenile Biography",RIGHT(B140,LEN(B140)-2),
IF(D140="Teen Biography",RIGHT(B140,LEN(B140)-5),
IF(AND(D140="Audiobook",
              IFERROR(FIND("BIO",$B140)&gt;0,FALSE)),RIGHT(B140,LEN(B140)-3),
IF(D140="Juvenile Large Type","J "&amp;RIGHT(B140,LEN(B140)-11),
IF(D140="Teen Large Type","TEEN "&amp;RIGHT(B140,LEN(B140)-14),
IF(D140="Reference",RIGHT(B140,LEN(B140)-4),
IF(D140="DVD Educational",RIGHT(B140,LEN(B140)-7),
IF(D140="Juvenile DVD Educational",RIGHT(B140,LEN(B140)-9),
B140)))))))))))))))))</f>
        <v/>
      </c>
    </row>
    <row r="141" spans="1:8" ht="27" customHeight="1" x14ac:dyDescent="0.25">
      <c r="A141" s="10" t="str">
        <f ca="1">TEXT( INDIRECT( ADDRESS( ROW() + Row_Offset, INDIRECT( "Column_Number_" &amp; A$1), 4,1, tabname) ), "")</f>
        <v/>
      </c>
      <c r="B141" s="10" t="str">
        <f ca="1">TEXT(  IFERROR( VLOOKUP( $D141, CollName_Simplifier_Table[], 2, FALSE),"") &amp;
        INDIRECT( ADDRESS( ROW() + Row_Offset, INDIRECT( "Column_Number_" &amp; $B$1), 4,1, tabname) ), "")</f>
        <v/>
      </c>
      <c r="C141" s="10" t="str">
        <f ca="1">TEXT( INDIRECT( ADDRESS( ROW() + Row_Offset, INDIRECT( "Column_Number_" &amp; C$1), 4,1, tabname) ), "")</f>
        <v/>
      </c>
      <c r="D141" s="10" t="str">
        <f ca="1">TEXT( INDIRECT( ADDRESS( ROW() + Row_Offset, INDIRECT( "Column_Number_" &amp; D$1), 4,1, tabname) ), "")</f>
        <v/>
      </c>
      <c r="E141" s="10" t="str">
        <f ca="1">TEXT( INDIRECT( ADDRESS( ROW() + Row_Offset, INDIRECT( "Column_Number_" &amp; E$1), 4,1, tabname) ), "####")</f>
        <v/>
      </c>
      <c r="F141" s="15"/>
      <c r="G141" s="21" t="str">
        <f ca="1">IFERROR(INDEX(Rank_Table[],MATCH($D141&amp;$A141,Table4[Join],0)),"")</f>
        <v/>
      </c>
      <c r="H141" s="11" t="str">
        <f ca="1">IF(AND(D141="Juvenile Audiobook",LEFT(B141,8)="J CD BIO"),RIGHT(B141,LEN(B141)-9),
IF(AND(D141="Juvenile Audiobook",LEFT(B141,8)="J CD FIC"),B141,
IF(D141="Juvenile Audiobook",RIGHT(B141,LEN(B141)-5),
IF(AND(D141="Teen Audiobook",LEFT(B141,11)="TEEN CD BIO"),RIGHT(B141,LEN(B141)-12),
IF(AND(D141="Teen Audiobook",LEFT(B141,11)="TEEN CD FIC"),B141,
IF(D141="Juvenile Audiobook",RIGHT(B141,LEN(B141)-8),
IF(D141="Juvenile Nonfiction",RIGHT(B141,LEN(B141)-2),
IF(D141="Teen Nonfiction",RIGHT(B141,LEN(B141)-5),
IF(AND(D141="Audiobook",
              NOT(OR(Contains($B141,"CD BIO"),Contains($B141,"CD FIC")))),RIGHT(B141,LEN(B141)-3),
IF(D141="Juvenile Biography",RIGHT(B141,LEN(B141)-2),
IF(D141="Teen Biography",RIGHT(B141,LEN(B141)-5),
IF(AND(D141="Audiobook",
              IFERROR(FIND("BIO",$B141)&gt;0,FALSE)),RIGHT(B141,LEN(B141)-3),
IF(D141="Juvenile Large Type","J "&amp;RIGHT(B141,LEN(B141)-11),
IF(D141="Teen Large Type","TEEN "&amp;RIGHT(B141,LEN(B141)-14),
IF(D141="Reference",RIGHT(B141,LEN(B141)-4),
IF(D141="DVD Educational",RIGHT(B141,LEN(B141)-7),
IF(D141="Juvenile DVD Educational",RIGHT(B141,LEN(B141)-9),
B141)))))))))))))))))</f>
        <v/>
      </c>
    </row>
    <row r="142" spans="1:8" ht="27" customHeight="1" x14ac:dyDescent="0.25">
      <c r="A142" s="10" t="str">
        <f ca="1">TEXT( INDIRECT( ADDRESS( ROW() + Row_Offset, INDIRECT( "Column_Number_" &amp; A$1), 4,1, tabname) ), "")</f>
        <v/>
      </c>
      <c r="B142" s="10" t="str">
        <f ca="1">TEXT(  IFERROR( VLOOKUP( $D142, CollName_Simplifier_Table[], 2, FALSE),"") &amp;
        INDIRECT( ADDRESS( ROW() + Row_Offset, INDIRECT( "Column_Number_" &amp; $B$1), 4,1, tabname) ), "")</f>
        <v/>
      </c>
      <c r="C142" s="10" t="str">
        <f ca="1">TEXT( INDIRECT( ADDRESS( ROW() + Row_Offset, INDIRECT( "Column_Number_" &amp; C$1), 4,1, tabname) ), "")</f>
        <v/>
      </c>
      <c r="D142" s="10" t="str">
        <f ca="1">TEXT( INDIRECT( ADDRESS( ROW() + Row_Offset, INDIRECT( "Column_Number_" &amp; D$1), 4,1, tabname) ), "")</f>
        <v/>
      </c>
      <c r="E142" s="10" t="str">
        <f ca="1">TEXT( INDIRECT( ADDRESS( ROW() + Row_Offset, INDIRECT( "Column_Number_" &amp; E$1), 4,1, tabname) ), "####")</f>
        <v/>
      </c>
      <c r="F142" s="15"/>
      <c r="G142" s="21" t="str">
        <f ca="1">IFERROR(INDEX(Rank_Table[],MATCH($D142&amp;$A142,Table4[Join],0)),"")</f>
        <v/>
      </c>
      <c r="H142" s="11" t="str">
        <f ca="1">IF(AND(D142="Juvenile Audiobook",LEFT(B142,8)="J CD BIO"),RIGHT(B142,LEN(B142)-9),
IF(AND(D142="Juvenile Audiobook",LEFT(B142,8)="J CD FIC"),B142,
IF(D142="Juvenile Audiobook",RIGHT(B142,LEN(B142)-5),
IF(AND(D142="Teen Audiobook",LEFT(B142,11)="TEEN CD BIO"),RIGHT(B142,LEN(B142)-12),
IF(AND(D142="Teen Audiobook",LEFT(B142,11)="TEEN CD FIC"),B142,
IF(D142="Juvenile Audiobook",RIGHT(B142,LEN(B142)-8),
IF(D142="Juvenile Nonfiction",RIGHT(B142,LEN(B142)-2),
IF(D142="Teen Nonfiction",RIGHT(B142,LEN(B142)-5),
IF(AND(D142="Audiobook",
              NOT(OR(Contains($B142,"CD BIO"),Contains($B142,"CD FIC")))),RIGHT(B142,LEN(B142)-3),
IF(D142="Juvenile Biography",RIGHT(B142,LEN(B142)-2),
IF(D142="Teen Biography",RIGHT(B142,LEN(B142)-5),
IF(AND(D142="Audiobook",
              IFERROR(FIND("BIO",$B142)&gt;0,FALSE)),RIGHT(B142,LEN(B142)-3),
IF(D142="Juvenile Large Type","J "&amp;RIGHT(B142,LEN(B142)-11),
IF(D142="Teen Large Type","TEEN "&amp;RIGHT(B142,LEN(B142)-14),
IF(D142="Reference",RIGHT(B142,LEN(B142)-4),
IF(D142="DVD Educational",RIGHT(B142,LEN(B142)-7),
IF(D142="Juvenile DVD Educational",RIGHT(B142,LEN(B142)-9),
B142)))))))))))))))))</f>
        <v/>
      </c>
    </row>
    <row r="143" spans="1:8" ht="27" customHeight="1" x14ac:dyDescent="0.25">
      <c r="A143" s="10" t="str">
        <f ca="1">TEXT( INDIRECT( ADDRESS( ROW() + Row_Offset, INDIRECT( "Column_Number_" &amp; A$1), 4,1, tabname) ), "")</f>
        <v/>
      </c>
      <c r="B143" s="10" t="str">
        <f ca="1">TEXT(  IFERROR( VLOOKUP( $D143, CollName_Simplifier_Table[], 2, FALSE),"") &amp;
        INDIRECT( ADDRESS( ROW() + Row_Offset, INDIRECT( "Column_Number_" &amp; $B$1), 4,1, tabname) ), "")</f>
        <v/>
      </c>
      <c r="C143" s="10" t="str">
        <f ca="1">TEXT( INDIRECT( ADDRESS( ROW() + Row_Offset, INDIRECT( "Column_Number_" &amp; C$1), 4,1, tabname) ), "")</f>
        <v/>
      </c>
      <c r="D143" s="10" t="str">
        <f ca="1">TEXT( INDIRECT( ADDRESS( ROW() + Row_Offset, INDIRECT( "Column_Number_" &amp; D$1), 4,1, tabname) ), "")</f>
        <v/>
      </c>
      <c r="E143" s="10" t="str">
        <f ca="1">TEXT( INDIRECT( ADDRESS( ROW() + Row_Offset, INDIRECT( "Column_Number_" &amp; E$1), 4,1, tabname) ), "####")</f>
        <v/>
      </c>
      <c r="F143" s="15"/>
      <c r="G143" s="21" t="str">
        <f ca="1">IFERROR(INDEX(Rank_Table[],MATCH($D143&amp;$A143,Table4[Join],0)),"")</f>
        <v/>
      </c>
      <c r="H143" s="11" t="str">
        <f ca="1">IF(AND(D143="Juvenile Audiobook",LEFT(B143,8)="J CD BIO"),RIGHT(B143,LEN(B143)-9),
IF(AND(D143="Juvenile Audiobook",LEFT(B143,8)="J CD FIC"),B143,
IF(D143="Juvenile Audiobook",RIGHT(B143,LEN(B143)-5),
IF(AND(D143="Teen Audiobook",LEFT(B143,11)="TEEN CD BIO"),RIGHT(B143,LEN(B143)-12),
IF(AND(D143="Teen Audiobook",LEFT(B143,11)="TEEN CD FIC"),B143,
IF(D143="Juvenile Audiobook",RIGHT(B143,LEN(B143)-8),
IF(D143="Juvenile Nonfiction",RIGHT(B143,LEN(B143)-2),
IF(D143="Teen Nonfiction",RIGHT(B143,LEN(B143)-5),
IF(AND(D143="Audiobook",
              NOT(OR(Contains($B143,"CD BIO"),Contains($B143,"CD FIC")))),RIGHT(B143,LEN(B143)-3),
IF(D143="Juvenile Biography",RIGHT(B143,LEN(B143)-2),
IF(D143="Teen Biography",RIGHT(B143,LEN(B143)-5),
IF(AND(D143="Audiobook",
              IFERROR(FIND("BIO",$B143)&gt;0,FALSE)),RIGHT(B143,LEN(B143)-3),
IF(D143="Juvenile Large Type","J "&amp;RIGHT(B143,LEN(B143)-11),
IF(D143="Teen Large Type","TEEN "&amp;RIGHT(B143,LEN(B143)-14),
IF(D143="Reference",RIGHT(B143,LEN(B143)-4),
IF(D143="DVD Educational",RIGHT(B143,LEN(B143)-7),
IF(D143="Juvenile DVD Educational",RIGHT(B143,LEN(B143)-9),
B143)))))))))))))))))</f>
        <v/>
      </c>
    </row>
    <row r="144" spans="1:8" ht="27" customHeight="1" x14ac:dyDescent="0.25">
      <c r="A144" s="10" t="str">
        <f ca="1">TEXT( INDIRECT( ADDRESS( ROW() + Row_Offset, INDIRECT( "Column_Number_" &amp; A$1), 4,1, tabname) ), "")</f>
        <v/>
      </c>
      <c r="B144" s="10" t="str">
        <f ca="1">TEXT(  IFERROR( VLOOKUP( $D144, CollName_Simplifier_Table[], 2, FALSE),"") &amp;
        INDIRECT( ADDRESS( ROW() + Row_Offset, INDIRECT( "Column_Number_" &amp; $B$1), 4,1, tabname) ), "")</f>
        <v/>
      </c>
      <c r="C144" s="10" t="str">
        <f ca="1">TEXT( INDIRECT( ADDRESS( ROW() + Row_Offset, INDIRECT( "Column_Number_" &amp; C$1), 4,1, tabname) ), "")</f>
        <v/>
      </c>
      <c r="D144" s="10" t="str">
        <f ca="1">TEXT( INDIRECT( ADDRESS( ROW() + Row_Offset, INDIRECT( "Column_Number_" &amp; D$1), 4,1, tabname) ), "")</f>
        <v/>
      </c>
      <c r="E144" s="10" t="str">
        <f ca="1">TEXT( INDIRECT( ADDRESS( ROW() + Row_Offset, INDIRECT( "Column_Number_" &amp; E$1), 4,1, tabname) ), "####")</f>
        <v/>
      </c>
      <c r="F144" s="15"/>
      <c r="G144" s="21" t="str">
        <f ca="1">IFERROR(INDEX(Rank_Table[],MATCH($D144&amp;$A144,Table4[Join],0)),"")</f>
        <v/>
      </c>
      <c r="H144" s="11" t="str">
        <f ca="1">IF(AND(D144="Juvenile Audiobook",LEFT(B144,8)="J CD BIO"),RIGHT(B144,LEN(B144)-9),
IF(AND(D144="Juvenile Audiobook",LEFT(B144,8)="J CD FIC"),B144,
IF(D144="Juvenile Audiobook",RIGHT(B144,LEN(B144)-5),
IF(AND(D144="Teen Audiobook",LEFT(B144,11)="TEEN CD BIO"),RIGHT(B144,LEN(B144)-12),
IF(AND(D144="Teen Audiobook",LEFT(B144,11)="TEEN CD FIC"),B144,
IF(D144="Juvenile Audiobook",RIGHT(B144,LEN(B144)-8),
IF(D144="Juvenile Nonfiction",RIGHT(B144,LEN(B144)-2),
IF(D144="Teen Nonfiction",RIGHT(B144,LEN(B144)-5),
IF(AND(D144="Audiobook",
              NOT(OR(Contains($B144,"CD BIO"),Contains($B144,"CD FIC")))),RIGHT(B144,LEN(B144)-3),
IF(D144="Juvenile Biography",RIGHT(B144,LEN(B144)-2),
IF(D144="Teen Biography",RIGHT(B144,LEN(B144)-5),
IF(AND(D144="Audiobook",
              IFERROR(FIND("BIO",$B144)&gt;0,FALSE)),RIGHT(B144,LEN(B144)-3),
IF(D144="Juvenile Large Type","J "&amp;RIGHT(B144,LEN(B144)-11),
IF(D144="Teen Large Type","TEEN "&amp;RIGHT(B144,LEN(B144)-14),
IF(D144="Reference",RIGHT(B144,LEN(B144)-4),
IF(D144="DVD Educational",RIGHT(B144,LEN(B144)-7),
IF(D144="Juvenile DVD Educational",RIGHT(B144,LEN(B144)-9),
B144)))))))))))))))))</f>
        <v/>
      </c>
    </row>
    <row r="145" spans="1:8" ht="27" customHeight="1" x14ac:dyDescent="0.25">
      <c r="A145" s="10" t="str">
        <f ca="1">TEXT( INDIRECT( ADDRESS( ROW() + Row_Offset, INDIRECT( "Column_Number_" &amp; A$1), 4,1, tabname) ), "")</f>
        <v/>
      </c>
      <c r="B145" s="10" t="str">
        <f ca="1">TEXT(  IFERROR( VLOOKUP( $D145, CollName_Simplifier_Table[], 2, FALSE),"") &amp;
        INDIRECT( ADDRESS( ROW() + Row_Offset, INDIRECT( "Column_Number_" &amp; $B$1), 4,1, tabname) ), "")</f>
        <v/>
      </c>
      <c r="C145" s="10" t="str">
        <f ca="1">TEXT( INDIRECT( ADDRESS( ROW() + Row_Offset, INDIRECT( "Column_Number_" &amp; C$1), 4,1, tabname) ), "")</f>
        <v/>
      </c>
      <c r="D145" s="10" t="str">
        <f ca="1">TEXT( INDIRECT( ADDRESS( ROW() + Row_Offset, INDIRECT( "Column_Number_" &amp; D$1), 4,1, tabname) ), "")</f>
        <v/>
      </c>
      <c r="E145" s="10" t="str">
        <f ca="1">TEXT( INDIRECT( ADDRESS( ROW() + Row_Offset, INDIRECT( "Column_Number_" &amp; E$1), 4,1, tabname) ), "####")</f>
        <v/>
      </c>
      <c r="F145" s="15"/>
      <c r="G145" s="21" t="str">
        <f ca="1">IFERROR(INDEX(Rank_Table[],MATCH($D145&amp;$A145,Table4[Join],0)),"")</f>
        <v/>
      </c>
      <c r="H145" s="11" t="str">
        <f ca="1">IF(AND(D145="Juvenile Audiobook",LEFT(B145,8)="J CD BIO"),RIGHT(B145,LEN(B145)-9),
IF(AND(D145="Juvenile Audiobook",LEFT(B145,8)="J CD FIC"),B145,
IF(D145="Juvenile Audiobook",RIGHT(B145,LEN(B145)-5),
IF(AND(D145="Teen Audiobook",LEFT(B145,11)="TEEN CD BIO"),RIGHT(B145,LEN(B145)-12),
IF(AND(D145="Teen Audiobook",LEFT(B145,11)="TEEN CD FIC"),B145,
IF(D145="Juvenile Audiobook",RIGHT(B145,LEN(B145)-8),
IF(D145="Juvenile Nonfiction",RIGHT(B145,LEN(B145)-2),
IF(D145="Teen Nonfiction",RIGHT(B145,LEN(B145)-5),
IF(AND(D145="Audiobook",
              NOT(OR(Contains($B145,"CD BIO"),Contains($B145,"CD FIC")))),RIGHT(B145,LEN(B145)-3),
IF(D145="Juvenile Biography",RIGHT(B145,LEN(B145)-2),
IF(D145="Teen Biography",RIGHT(B145,LEN(B145)-5),
IF(AND(D145="Audiobook",
              IFERROR(FIND("BIO",$B145)&gt;0,FALSE)),RIGHT(B145,LEN(B145)-3),
IF(D145="Juvenile Large Type","J "&amp;RIGHT(B145,LEN(B145)-11),
IF(D145="Teen Large Type","TEEN "&amp;RIGHT(B145,LEN(B145)-14),
IF(D145="Reference",RIGHT(B145,LEN(B145)-4),
IF(D145="DVD Educational",RIGHT(B145,LEN(B145)-7),
IF(D145="Juvenile DVD Educational",RIGHT(B145,LEN(B145)-9),
B145)))))))))))))))))</f>
        <v/>
      </c>
    </row>
    <row r="146" spans="1:8" ht="27" customHeight="1" x14ac:dyDescent="0.25">
      <c r="A146" s="10" t="str">
        <f ca="1">TEXT( INDIRECT( ADDRESS( ROW() + Row_Offset, INDIRECT( "Column_Number_" &amp; A$1), 4,1, tabname) ), "")</f>
        <v/>
      </c>
      <c r="B146" s="10" t="str">
        <f ca="1">TEXT(  IFERROR( VLOOKUP( $D146, CollName_Simplifier_Table[], 2, FALSE),"") &amp;
        INDIRECT( ADDRESS( ROW() + Row_Offset, INDIRECT( "Column_Number_" &amp; $B$1), 4,1, tabname) ), "")</f>
        <v/>
      </c>
      <c r="C146" s="10" t="str">
        <f ca="1">TEXT( INDIRECT( ADDRESS( ROW() + Row_Offset, INDIRECT( "Column_Number_" &amp; C$1), 4,1, tabname) ), "")</f>
        <v/>
      </c>
      <c r="D146" s="10" t="str">
        <f ca="1">TEXT( INDIRECT( ADDRESS( ROW() + Row_Offset, INDIRECT( "Column_Number_" &amp; D$1), 4,1, tabname) ), "")</f>
        <v/>
      </c>
      <c r="E146" s="10" t="str">
        <f ca="1">TEXT( INDIRECT( ADDRESS( ROW() + Row_Offset, INDIRECT( "Column_Number_" &amp; E$1), 4,1, tabname) ), "####")</f>
        <v/>
      </c>
      <c r="F146" s="15"/>
      <c r="G146" s="21" t="str">
        <f ca="1">IFERROR(INDEX(Rank_Table[],MATCH($D146&amp;$A146,Table4[Join],0)),"")</f>
        <v/>
      </c>
      <c r="H146" s="11" t="str">
        <f ca="1">IF(AND(D146="Juvenile Audiobook",LEFT(B146,8)="J CD BIO"),RIGHT(B146,LEN(B146)-9),
IF(AND(D146="Juvenile Audiobook",LEFT(B146,8)="J CD FIC"),B146,
IF(D146="Juvenile Audiobook",RIGHT(B146,LEN(B146)-5),
IF(AND(D146="Teen Audiobook",LEFT(B146,11)="TEEN CD BIO"),RIGHT(B146,LEN(B146)-12),
IF(AND(D146="Teen Audiobook",LEFT(B146,11)="TEEN CD FIC"),B146,
IF(D146="Juvenile Audiobook",RIGHT(B146,LEN(B146)-8),
IF(D146="Juvenile Nonfiction",RIGHT(B146,LEN(B146)-2),
IF(D146="Teen Nonfiction",RIGHT(B146,LEN(B146)-5),
IF(AND(D146="Audiobook",
              NOT(OR(Contains($B146,"CD BIO"),Contains($B146,"CD FIC")))),RIGHT(B146,LEN(B146)-3),
IF(D146="Juvenile Biography",RIGHT(B146,LEN(B146)-2),
IF(D146="Teen Biography",RIGHT(B146,LEN(B146)-5),
IF(AND(D146="Audiobook",
              IFERROR(FIND("BIO",$B146)&gt;0,FALSE)),RIGHT(B146,LEN(B146)-3),
IF(D146="Juvenile Large Type","J "&amp;RIGHT(B146,LEN(B146)-11),
IF(D146="Teen Large Type","TEEN "&amp;RIGHT(B146,LEN(B146)-14),
IF(D146="Reference",RIGHT(B146,LEN(B146)-4),
IF(D146="DVD Educational",RIGHT(B146,LEN(B146)-7),
IF(D146="Juvenile DVD Educational",RIGHT(B146,LEN(B146)-9),
B146)))))))))))))))))</f>
        <v/>
      </c>
    </row>
    <row r="147" spans="1:8" ht="27" customHeight="1" x14ac:dyDescent="0.25">
      <c r="A147" s="10" t="str">
        <f ca="1">TEXT( INDIRECT( ADDRESS( ROW() + Row_Offset, INDIRECT( "Column_Number_" &amp; A$1), 4,1, tabname) ), "")</f>
        <v/>
      </c>
      <c r="B147" s="10" t="str">
        <f ca="1">TEXT(  IFERROR( VLOOKUP( $D147, CollName_Simplifier_Table[], 2, FALSE),"") &amp;
        INDIRECT( ADDRESS( ROW() + Row_Offset, INDIRECT( "Column_Number_" &amp; $B$1), 4,1, tabname) ), "")</f>
        <v/>
      </c>
      <c r="C147" s="10" t="str">
        <f ca="1">TEXT( INDIRECT( ADDRESS( ROW() + Row_Offset, INDIRECT( "Column_Number_" &amp; C$1), 4,1, tabname) ), "")</f>
        <v/>
      </c>
      <c r="D147" s="10" t="str">
        <f ca="1">TEXT( INDIRECT( ADDRESS( ROW() + Row_Offset, INDIRECT( "Column_Number_" &amp; D$1), 4,1, tabname) ), "")</f>
        <v/>
      </c>
      <c r="E147" s="10" t="str">
        <f ca="1">TEXT( INDIRECT( ADDRESS( ROW() + Row_Offset, INDIRECT( "Column_Number_" &amp; E$1), 4,1, tabname) ), "####")</f>
        <v/>
      </c>
      <c r="F147" s="15"/>
      <c r="G147" s="21" t="str">
        <f ca="1">IFERROR(INDEX(Rank_Table[],MATCH($D147&amp;$A147,Table4[Join],0)),"")</f>
        <v/>
      </c>
      <c r="H147" s="11" t="str">
        <f ca="1">IF(AND(D147="Juvenile Audiobook",LEFT(B147,8)="J CD BIO"),RIGHT(B147,LEN(B147)-9),
IF(AND(D147="Juvenile Audiobook",LEFT(B147,8)="J CD FIC"),B147,
IF(D147="Juvenile Audiobook",RIGHT(B147,LEN(B147)-5),
IF(AND(D147="Teen Audiobook",LEFT(B147,11)="TEEN CD BIO"),RIGHT(B147,LEN(B147)-12),
IF(AND(D147="Teen Audiobook",LEFT(B147,11)="TEEN CD FIC"),B147,
IF(D147="Juvenile Audiobook",RIGHT(B147,LEN(B147)-8),
IF(D147="Juvenile Nonfiction",RIGHT(B147,LEN(B147)-2),
IF(D147="Teen Nonfiction",RIGHT(B147,LEN(B147)-5),
IF(AND(D147="Audiobook",
              NOT(OR(Contains($B147,"CD BIO"),Contains($B147,"CD FIC")))),RIGHT(B147,LEN(B147)-3),
IF(D147="Juvenile Biography",RIGHT(B147,LEN(B147)-2),
IF(D147="Teen Biography",RIGHT(B147,LEN(B147)-5),
IF(AND(D147="Audiobook",
              IFERROR(FIND("BIO",$B147)&gt;0,FALSE)),RIGHT(B147,LEN(B147)-3),
IF(D147="Juvenile Large Type","J "&amp;RIGHT(B147,LEN(B147)-11),
IF(D147="Teen Large Type","TEEN "&amp;RIGHT(B147,LEN(B147)-14),
IF(D147="Reference",RIGHT(B147,LEN(B147)-4),
IF(D147="DVD Educational",RIGHT(B147,LEN(B147)-7),
IF(D147="Juvenile DVD Educational",RIGHT(B147,LEN(B147)-9),
B147)))))))))))))))))</f>
        <v/>
      </c>
    </row>
    <row r="148" spans="1:8" ht="27" customHeight="1" x14ac:dyDescent="0.25">
      <c r="A148" s="10" t="str">
        <f ca="1">TEXT( INDIRECT( ADDRESS( ROW() + Row_Offset, INDIRECT( "Column_Number_" &amp; A$1), 4,1, tabname) ), "")</f>
        <v/>
      </c>
      <c r="B148" s="10" t="str">
        <f ca="1">TEXT(  IFERROR( VLOOKUP( $D148, CollName_Simplifier_Table[], 2, FALSE),"") &amp;
        INDIRECT( ADDRESS( ROW() + Row_Offset, INDIRECT( "Column_Number_" &amp; $B$1), 4,1, tabname) ), "")</f>
        <v/>
      </c>
      <c r="C148" s="10" t="str">
        <f ca="1">TEXT( INDIRECT( ADDRESS( ROW() + Row_Offset, INDIRECT( "Column_Number_" &amp; C$1), 4,1, tabname) ), "")</f>
        <v/>
      </c>
      <c r="D148" s="10" t="str">
        <f ca="1">TEXT( INDIRECT( ADDRESS( ROW() + Row_Offset, INDIRECT( "Column_Number_" &amp; D$1), 4,1, tabname) ), "")</f>
        <v/>
      </c>
      <c r="E148" s="10" t="str">
        <f ca="1">TEXT( INDIRECT( ADDRESS( ROW() + Row_Offset, INDIRECT( "Column_Number_" &amp; E$1), 4,1, tabname) ), "####")</f>
        <v/>
      </c>
      <c r="F148" s="15"/>
      <c r="G148" s="21" t="str">
        <f ca="1">IFERROR(INDEX(Rank_Table[],MATCH($D148&amp;$A148,Table4[Join],0)),"")</f>
        <v/>
      </c>
      <c r="H148" s="11" t="str">
        <f ca="1">IF(AND(D148="Juvenile Audiobook",LEFT(B148,8)="J CD BIO"),RIGHT(B148,LEN(B148)-9),
IF(AND(D148="Juvenile Audiobook",LEFT(B148,8)="J CD FIC"),B148,
IF(D148="Juvenile Audiobook",RIGHT(B148,LEN(B148)-5),
IF(AND(D148="Teen Audiobook",LEFT(B148,11)="TEEN CD BIO"),RIGHT(B148,LEN(B148)-12),
IF(AND(D148="Teen Audiobook",LEFT(B148,11)="TEEN CD FIC"),B148,
IF(D148="Juvenile Audiobook",RIGHT(B148,LEN(B148)-8),
IF(D148="Juvenile Nonfiction",RIGHT(B148,LEN(B148)-2),
IF(D148="Teen Nonfiction",RIGHT(B148,LEN(B148)-5),
IF(AND(D148="Audiobook",
              NOT(OR(Contains($B148,"CD BIO"),Contains($B148,"CD FIC")))),RIGHT(B148,LEN(B148)-3),
IF(D148="Juvenile Biography",RIGHT(B148,LEN(B148)-2),
IF(D148="Teen Biography",RIGHT(B148,LEN(B148)-5),
IF(AND(D148="Audiobook",
              IFERROR(FIND("BIO",$B148)&gt;0,FALSE)),RIGHT(B148,LEN(B148)-3),
IF(D148="Juvenile Large Type","J "&amp;RIGHT(B148,LEN(B148)-11),
IF(D148="Teen Large Type","TEEN "&amp;RIGHT(B148,LEN(B148)-14),
IF(D148="Reference",RIGHT(B148,LEN(B148)-4),
IF(D148="DVD Educational",RIGHT(B148,LEN(B148)-7),
IF(D148="Juvenile DVD Educational",RIGHT(B148,LEN(B148)-9),
B148)))))))))))))))))</f>
        <v/>
      </c>
    </row>
    <row r="149" spans="1:8" ht="27" customHeight="1" x14ac:dyDescent="0.25">
      <c r="A149" s="10" t="str">
        <f ca="1">TEXT( INDIRECT( ADDRESS( ROW() + Row_Offset, INDIRECT( "Column_Number_" &amp; A$1), 4,1, tabname) ), "")</f>
        <v/>
      </c>
      <c r="B149" s="10" t="str">
        <f ca="1">TEXT(  IFERROR( VLOOKUP( $D149, CollName_Simplifier_Table[], 2, FALSE),"") &amp;
        INDIRECT( ADDRESS( ROW() + Row_Offset, INDIRECT( "Column_Number_" &amp; $B$1), 4,1, tabname) ), "")</f>
        <v/>
      </c>
      <c r="C149" s="10" t="str">
        <f ca="1">TEXT( INDIRECT( ADDRESS( ROW() + Row_Offset, INDIRECT( "Column_Number_" &amp; C$1), 4,1, tabname) ), "")</f>
        <v/>
      </c>
      <c r="D149" s="10" t="str">
        <f ca="1">TEXT( INDIRECT( ADDRESS( ROW() + Row_Offset, INDIRECT( "Column_Number_" &amp; D$1), 4,1, tabname) ), "")</f>
        <v/>
      </c>
      <c r="E149" s="10" t="str">
        <f ca="1">TEXT( INDIRECT( ADDRESS( ROW() + Row_Offset, INDIRECT( "Column_Number_" &amp; E$1), 4,1, tabname) ), "####")</f>
        <v/>
      </c>
      <c r="F149" s="15"/>
      <c r="G149" s="21" t="str">
        <f ca="1">IFERROR(INDEX(Rank_Table[],MATCH($D149&amp;$A149,Table4[Join],0)),"")</f>
        <v/>
      </c>
      <c r="H149" s="11" t="str">
        <f ca="1">IF(AND(D149="Juvenile Audiobook",LEFT(B149,8)="J CD BIO"),RIGHT(B149,LEN(B149)-9),
IF(AND(D149="Juvenile Audiobook",LEFT(B149,8)="J CD FIC"),B149,
IF(D149="Juvenile Audiobook",RIGHT(B149,LEN(B149)-5),
IF(AND(D149="Teen Audiobook",LEFT(B149,11)="TEEN CD BIO"),RIGHT(B149,LEN(B149)-12),
IF(AND(D149="Teen Audiobook",LEFT(B149,11)="TEEN CD FIC"),B149,
IF(D149="Juvenile Audiobook",RIGHT(B149,LEN(B149)-8),
IF(D149="Juvenile Nonfiction",RIGHT(B149,LEN(B149)-2),
IF(D149="Teen Nonfiction",RIGHT(B149,LEN(B149)-5),
IF(AND(D149="Audiobook",
              NOT(OR(Contains($B149,"CD BIO"),Contains($B149,"CD FIC")))),RIGHT(B149,LEN(B149)-3),
IF(D149="Juvenile Biography",RIGHT(B149,LEN(B149)-2),
IF(D149="Teen Biography",RIGHT(B149,LEN(B149)-5),
IF(AND(D149="Audiobook",
              IFERROR(FIND("BIO",$B149)&gt;0,FALSE)),RIGHT(B149,LEN(B149)-3),
IF(D149="Juvenile Large Type","J "&amp;RIGHT(B149,LEN(B149)-11),
IF(D149="Teen Large Type","TEEN "&amp;RIGHT(B149,LEN(B149)-14),
IF(D149="Reference",RIGHT(B149,LEN(B149)-4),
IF(D149="DVD Educational",RIGHT(B149,LEN(B149)-7),
IF(D149="Juvenile DVD Educational",RIGHT(B149,LEN(B149)-9),
B149)))))))))))))))))</f>
        <v/>
      </c>
    </row>
    <row r="150" spans="1:8" ht="27" customHeight="1" x14ac:dyDescent="0.25">
      <c r="A150" s="10" t="str">
        <f ca="1">TEXT( INDIRECT( ADDRESS( ROW() + Row_Offset, INDIRECT( "Column_Number_" &amp; A$1), 4,1, tabname) ), "")</f>
        <v/>
      </c>
      <c r="B150" s="10" t="str">
        <f ca="1">TEXT(  IFERROR( VLOOKUP( $D150, CollName_Simplifier_Table[], 2, FALSE),"") &amp;
        INDIRECT( ADDRESS( ROW() + Row_Offset, INDIRECT( "Column_Number_" &amp; $B$1), 4,1, tabname) ), "")</f>
        <v/>
      </c>
      <c r="C150" s="10" t="str">
        <f ca="1">TEXT( INDIRECT( ADDRESS( ROW() + Row_Offset, INDIRECT( "Column_Number_" &amp; C$1), 4,1, tabname) ), "")</f>
        <v/>
      </c>
      <c r="D150" s="10" t="str">
        <f ca="1">TEXT( INDIRECT( ADDRESS( ROW() + Row_Offset, INDIRECT( "Column_Number_" &amp; D$1), 4,1, tabname) ), "")</f>
        <v/>
      </c>
      <c r="E150" s="10" t="str">
        <f ca="1">TEXT( INDIRECT( ADDRESS( ROW() + Row_Offset, INDIRECT( "Column_Number_" &amp; E$1), 4,1, tabname) ), "####")</f>
        <v/>
      </c>
      <c r="F150" s="15"/>
      <c r="G150" s="21" t="str">
        <f ca="1">IFERROR(INDEX(Rank_Table[],MATCH($D150&amp;$A150,Table4[Join],0)),"")</f>
        <v/>
      </c>
      <c r="H150" s="11" t="str">
        <f ca="1">IF(AND(D150="Juvenile Audiobook",LEFT(B150,8)="J CD BIO"),RIGHT(B150,LEN(B150)-9),
IF(AND(D150="Juvenile Audiobook",LEFT(B150,8)="J CD FIC"),B150,
IF(D150="Juvenile Audiobook",RIGHT(B150,LEN(B150)-5),
IF(AND(D150="Teen Audiobook",LEFT(B150,11)="TEEN CD BIO"),RIGHT(B150,LEN(B150)-12),
IF(AND(D150="Teen Audiobook",LEFT(B150,11)="TEEN CD FIC"),B150,
IF(D150="Juvenile Audiobook",RIGHT(B150,LEN(B150)-8),
IF(D150="Juvenile Nonfiction",RIGHT(B150,LEN(B150)-2),
IF(D150="Teen Nonfiction",RIGHT(B150,LEN(B150)-5),
IF(AND(D150="Audiobook",
              NOT(OR(Contains($B150,"CD BIO"),Contains($B150,"CD FIC")))),RIGHT(B150,LEN(B150)-3),
IF(D150="Juvenile Biography",RIGHT(B150,LEN(B150)-2),
IF(D150="Teen Biography",RIGHT(B150,LEN(B150)-5),
IF(AND(D150="Audiobook",
              IFERROR(FIND("BIO",$B150)&gt;0,FALSE)),RIGHT(B150,LEN(B150)-3),
IF(D150="Juvenile Large Type","J "&amp;RIGHT(B150,LEN(B150)-11),
IF(D150="Teen Large Type","TEEN "&amp;RIGHT(B150,LEN(B150)-14),
IF(D150="Reference",RIGHT(B150,LEN(B150)-4),
IF(D150="DVD Educational",RIGHT(B150,LEN(B150)-7),
IF(D150="Juvenile DVD Educational",RIGHT(B150,LEN(B150)-9),
B150)))))))))))))))))</f>
        <v/>
      </c>
    </row>
    <row r="151" spans="1:8" ht="27" customHeight="1" x14ac:dyDescent="0.25">
      <c r="A151" s="10" t="str">
        <f ca="1">TEXT( INDIRECT( ADDRESS( ROW() + Row_Offset, INDIRECT( "Column_Number_" &amp; A$1), 4,1, tabname) ), "")</f>
        <v/>
      </c>
      <c r="B151" s="10" t="str">
        <f ca="1">TEXT(  IFERROR( VLOOKUP( $D151, CollName_Simplifier_Table[], 2, FALSE),"") &amp;
        INDIRECT( ADDRESS( ROW() + Row_Offset, INDIRECT( "Column_Number_" &amp; $B$1), 4,1, tabname) ), "")</f>
        <v/>
      </c>
      <c r="C151" s="10" t="str">
        <f ca="1">TEXT( INDIRECT( ADDRESS( ROW() + Row_Offset, INDIRECT( "Column_Number_" &amp; C$1), 4,1, tabname) ), "")</f>
        <v/>
      </c>
      <c r="D151" s="10" t="str">
        <f ca="1">TEXT( INDIRECT( ADDRESS( ROW() + Row_Offset, INDIRECT( "Column_Number_" &amp; D$1), 4,1, tabname) ), "")</f>
        <v/>
      </c>
      <c r="E151" s="10" t="str">
        <f ca="1">TEXT( INDIRECT( ADDRESS( ROW() + Row_Offset, INDIRECT( "Column_Number_" &amp; E$1), 4,1, tabname) ), "####")</f>
        <v/>
      </c>
      <c r="F151" s="15"/>
      <c r="G151" s="21" t="str">
        <f ca="1">IFERROR(INDEX(Rank_Table[],MATCH($D151&amp;$A151,Table4[Join],0)),"")</f>
        <v/>
      </c>
      <c r="H151" s="11" t="str">
        <f ca="1">IF(AND(D151="Juvenile Audiobook",LEFT(B151,8)="J CD BIO"),RIGHT(B151,LEN(B151)-9),
IF(AND(D151="Juvenile Audiobook",LEFT(B151,8)="J CD FIC"),B151,
IF(D151="Juvenile Audiobook",RIGHT(B151,LEN(B151)-5),
IF(AND(D151="Teen Audiobook",LEFT(B151,11)="TEEN CD BIO"),RIGHT(B151,LEN(B151)-12),
IF(AND(D151="Teen Audiobook",LEFT(B151,11)="TEEN CD FIC"),B151,
IF(D151="Juvenile Audiobook",RIGHT(B151,LEN(B151)-8),
IF(D151="Juvenile Nonfiction",RIGHT(B151,LEN(B151)-2),
IF(D151="Teen Nonfiction",RIGHT(B151,LEN(B151)-5),
IF(AND(D151="Audiobook",
              NOT(OR(Contains($B151,"CD BIO"),Contains($B151,"CD FIC")))),RIGHT(B151,LEN(B151)-3),
IF(D151="Juvenile Biography",RIGHT(B151,LEN(B151)-2),
IF(D151="Teen Biography",RIGHT(B151,LEN(B151)-5),
IF(AND(D151="Audiobook",
              IFERROR(FIND("BIO",$B151)&gt;0,FALSE)),RIGHT(B151,LEN(B151)-3),
IF(D151="Juvenile Large Type","J "&amp;RIGHT(B151,LEN(B151)-11),
IF(D151="Teen Large Type","TEEN "&amp;RIGHT(B151,LEN(B151)-14),
IF(D151="Reference",RIGHT(B151,LEN(B151)-4),
IF(D151="DVD Educational",RIGHT(B151,LEN(B151)-7),
IF(D151="Juvenile DVD Educational",RIGHT(B151,LEN(B151)-9),
B151)))))))))))))))))</f>
        <v/>
      </c>
    </row>
    <row r="152" spans="1:8" ht="27" customHeight="1" x14ac:dyDescent="0.25">
      <c r="A152" s="10" t="str">
        <f ca="1">TEXT( INDIRECT( ADDRESS( ROW() + Row_Offset, INDIRECT( "Column_Number_" &amp; A$1), 4,1, tabname) ), "")</f>
        <v/>
      </c>
      <c r="B152" s="10" t="str">
        <f ca="1">TEXT(  IFERROR( VLOOKUP( $D152, CollName_Simplifier_Table[], 2, FALSE),"") &amp;
        INDIRECT( ADDRESS( ROW() + Row_Offset, INDIRECT( "Column_Number_" &amp; $B$1), 4,1, tabname) ), "")</f>
        <v/>
      </c>
      <c r="C152" s="10" t="str">
        <f ca="1">TEXT( INDIRECT( ADDRESS( ROW() + Row_Offset, INDIRECT( "Column_Number_" &amp; C$1), 4,1, tabname) ), "")</f>
        <v/>
      </c>
      <c r="D152" s="10" t="str">
        <f ca="1">TEXT( INDIRECT( ADDRESS( ROW() + Row_Offset, INDIRECT( "Column_Number_" &amp; D$1), 4,1, tabname) ), "")</f>
        <v/>
      </c>
      <c r="E152" s="10" t="str">
        <f ca="1">TEXT( INDIRECT( ADDRESS( ROW() + Row_Offset, INDIRECT( "Column_Number_" &amp; E$1), 4,1, tabname) ), "####")</f>
        <v/>
      </c>
      <c r="F152" s="15"/>
      <c r="G152" s="21" t="str">
        <f ca="1">IFERROR(INDEX(Rank_Table[],MATCH($D152&amp;$A152,Table4[Join],0)),"")</f>
        <v/>
      </c>
      <c r="H152" s="11" t="str">
        <f ca="1">IF(AND(D152="Juvenile Audiobook",LEFT(B152,8)="J CD BIO"),RIGHT(B152,LEN(B152)-9),
IF(AND(D152="Juvenile Audiobook",LEFT(B152,8)="J CD FIC"),B152,
IF(D152="Juvenile Audiobook",RIGHT(B152,LEN(B152)-5),
IF(AND(D152="Teen Audiobook",LEFT(B152,11)="TEEN CD BIO"),RIGHT(B152,LEN(B152)-12),
IF(AND(D152="Teen Audiobook",LEFT(B152,11)="TEEN CD FIC"),B152,
IF(D152="Juvenile Audiobook",RIGHT(B152,LEN(B152)-8),
IF(D152="Juvenile Nonfiction",RIGHT(B152,LEN(B152)-2),
IF(D152="Teen Nonfiction",RIGHT(B152,LEN(B152)-5),
IF(AND(D152="Audiobook",
              NOT(OR(Contains($B152,"CD BIO"),Contains($B152,"CD FIC")))),RIGHT(B152,LEN(B152)-3),
IF(D152="Juvenile Biography",RIGHT(B152,LEN(B152)-2),
IF(D152="Teen Biography",RIGHT(B152,LEN(B152)-5),
IF(AND(D152="Audiobook",
              IFERROR(FIND("BIO",$B152)&gt;0,FALSE)),RIGHT(B152,LEN(B152)-3),
IF(D152="Juvenile Large Type","J "&amp;RIGHT(B152,LEN(B152)-11),
IF(D152="Teen Large Type","TEEN "&amp;RIGHT(B152,LEN(B152)-14),
IF(D152="Reference",RIGHT(B152,LEN(B152)-4),
IF(D152="DVD Educational",RIGHT(B152,LEN(B152)-7),
IF(D152="Juvenile DVD Educational",RIGHT(B152,LEN(B152)-9),
B152)))))))))))))))))</f>
        <v/>
      </c>
    </row>
    <row r="153" spans="1:8" ht="27" customHeight="1" x14ac:dyDescent="0.25">
      <c r="A153" s="10" t="str">
        <f ca="1">TEXT( INDIRECT( ADDRESS( ROW() + Row_Offset, INDIRECT( "Column_Number_" &amp; A$1), 4,1, tabname) ), "")</f>
        <v/>
      </c>
      <c r="B153" s="10" t="str">
        <f ca="1">TEXT(  IFERROR( VLOOKUP( $D153, CollName_Simplifier_Table[], 2, FALSE),"") &amp;
        INDIRECT( ADDRESS( ROW() + Row_Offset, INDIRECT( "Column_Number_" &amp; $B$1), 4,1, tabname) ), "")</f>
        <v/>
      </c>
      <c r="C153" s="10" t="str">
        <f ca="1">TEXT( INDIRECT( ADDRESS( ROW() + Row_Offset, INDIRECT( "Column_Number_" &amp; C$1), 4,1, tabname) ), "")</f>
        <v/>
      </c>
      <c r="D153" s="10" t="str">
        <f ca="1">TEXT( INDIRECT( ADDRESS( ROW() + Row_Offset, INDIRECT( "Column_Number_" &amp; D$1), 4,1, tabname) ), "")</f>
        <v/>
      </c>
      <c r="E153" s="10" t="str">
        <f ca="1">TEXT( INDIRECT( ADDRESS( ROW() + Row_Offset, INDIRECT( "Column_Number_" &amp; E$1), 4,1, tabname) ), "####")</f>
        <v/>
      </c>
      <c r="F153" s="15"/>
      <c r="G153" s="21" t="str">
        <f ca="1">IFERROR(INDEX(Rank_Table[],MATCH($D153&amp;$A153,Table4[Join],0)),"")</f>
        <v/>
      </c>
      <c r="H153" s="11" t="str">
        <f ca="1">IF(AND(D153="Juvenile Audiobook",LEFT(B153,8)="J CD BIO"),RIGHT(B153,LEN(B153)-9),
IF(AND(D153="Juvenile Audiobook",LEFT(B153,8)="J CD FIC"),B153,
IF(D153="Juvenile Audiobook",RIGHT(B153,LEN(B153)-5),
IF(AND(D153="Teen Audiobook",LEFT(B153,11)="TEEN CD BIO"),RIGHT(B153,LEN(B153)-12),
IF(AND(D153="Teen Audiobook",LEFT(B153,11)="TEEN CD FIC"),B153,
IF(D153="Juvenile Audiobook",RIGHT(B153,LEN(B153)-8),
IF(D153="Juvenile Nonfiction",RIGHT(B153,LEN(B153)-2),
IF(D153="Teen Nonfiction",RIGHT(B153,LEN(B153)-5),
IF(AND(D153="Audiobook",
              NOT(OR(Contains($B153,"CD BIO"),Contains($B153,"CD FIC")))),RIGHT(B153,LEN(B153)-3),
IF(D153="Juvenile Biography",RIGHT(B153,LEN(B153)-2),
IF(D153="Teen Biography",RIGHT(B153,LEN(B153)-5),
IF(AND(D153="Audiobook",
              IFERROR(FIND("BIO",$B153)&gt;0,FALSE)),RIGHT(B153,LEN(B153)-3),
IF(D153="Juvenile Large Type","J "&amp;RIGHT(B153,LEN(B153)-11),
IF(D153="Teen Large Type","TEEN "&amp;RIGHT(B153,LEN(B153)-14),
IF(D153="Reference",RIGHT(B153,LEN(B153)-4),
IF(D153="DVD Educational",RIGHT(B153,LEN(B153)-7),
IF(D153="Juvenile DVD Educational",RIGHT(B153,LEN(B153)-9),
B153)))))))))))))))))</f>
        <v/>
      </c>
    </row>
    <row r="154" spans="1:8" ht="27" customHeight="1" x14ac:dyDescent="0.25">
      <c r="A154" s="10" t="str">
        <f ca="1">TEXT( INDIRECT( ADDRESS( ROW() + Row_Offset, INDIRECT( "Column_Number_" &amp; A$1), 4,1, tabname) ), "")</f>
        <v/>
      </c>
      <c r="B154" s="10" t="str">
        <f ca="1">TEXT(  IFERROR( VLOOKUP( $D154, CollName_Simplifier_Table[], 2, FALSE),"") &amp;
        INDIRECT( ADDRESS( ROW() + Row_Offset, INDIRECT( "Column_Number_" &amp; $B$1), 4,1, tabname) ), "")</f>
        <v/>
      </c>
      <c r="C154" s="10" t="str">
        <f ca="1">TEXT( INDIRECT( ADDRESS( ROW() + Row_Offset, INDIRECT( "Column_Number_" &amp; C$1), 4,1, tabname) ), "")</f>
        <v/>
      </c>
      <c r="D154" s="10" t="str">
        <f ca="1">TEXT( INDIRECT( ADDRESS( ROW() + Row_Offset, INDIRECT( "Column_Number_" &amp; D$1), 4,1, tabname) ), "")</f>
        <v/>
      </c>
      <c r="E154" s="10" t="str">
        <f ca="1">TEXT( INDIRECT( ADDRESS( ROW() + Row_Offset, INDIRECT( "Column_Number_" &amp; E$1), 4,1, tabname) ), "####")</f>
        <v/>
      </c>
      <c r="F154" s="15"/>
      <c r="G154" s="21" t="str">
        <f ca="1">IFERROR(INDEX(Rank_Table[],MATCH($D154&amp;$A154,Table4[Join],0)),"")</f>
        <v/>
      </c>
      <c r="H154" s="11" t="str">
        <f ca="1">IF(AND(D154="Juvenile Audiobook",LEFT(B154,8)="J CD BIO"),RIGHT(B154,LEN(B154)-9),
IF(AND(D154="Juvenile Audiobook",LEFT(B154,8)="J CD FIC"),B154,
IF(D154="Juvenile Audiobook",RIGHT(B154,LEN(B154)-5),
IF(AND(D154="Teen Audiobook",LEFT(B154,11)="TEEN CD BIO"),RIGHT(B154,LEN(B154)-12),
IF(AND(D154="Teen Audiobook",LEFT(B154,11)="TEEN CD FIC"),B154,
IF(D154="Juvenile Audiobook",RIGHT(B154,LEN(B154)-8),
IF(D154="Juvenile Nonfiction",RIGHT(B154,LEN(B154)-2),
IF(D154="Teen Nonfiction",RIGHT(B154,LEN(B154)-5),
IF(AND(D154="Audiobook",
              NOT(OR(Contains($B154,"CD BIO"),Contains($B154,"CD FIC")))),RIGHT(B154,LEN(B154)-3),
IF(D154="Juvenile Biography",RIGHT(B154,LEN(B154)-2),
IF(D154="Teen Biography",RIGHT(B154,LEN(B154)-5),
IF(AND(D154="Audiobook",
              IFERROR(FIND("BIO",$B154)&gt;0,FALSE)),RIGHT(B154,LEN(B154)-3),
IF(D154="Juvenile Large Type","J "&amp;RIGHT(B154,LEN(B154)-11),
IF(D154="Teen Large Type","TEEN "&amp;RIGHT(B154,LEN(B154)-14),
IF(D154="Reference",RIGHT(B154,LEN(B154)-4),
IF(D154="DVD Educational",RIGHT(B154,LEN(B154)-7),
IF(D154="Juvenile DVD Educational",RIGHT(B154,LEN(B154)-9),
B154)))))))))))))))))</f>
        <v/>
      </c>
    </row>
    <row r="155" spans="1:8" ht="27" customHeight="1" x14ac:dyDescent="0.25">
      <c r="A155" s="10" t="str">
        <f ca="1">TEXT( INDIRECT( ADDRESS( ROW() + Row_Offset, INDIRECT( "Column_Number_" &amp; A$1), 4,1, tabname) ), "")</f>
        <v/>
      </c>
      <c r="B155" s="10" t="str">
        <f ca="1">TEXT(  IFERROR( VLOOKUP( $D155, CollName_Simplifier_Table[], 2, FALSE),"") &amp;
        INDIRECT( ADDRESS( ROW() + Row_Offset, INDIRECT( "Column_Number_" &amp; $B$1), 4,1, tabname) ), "")</f>
        <v/>
      </c>
      <c r="C155" s="10" t="str">
        <f ca="1">TEXT( INDIRECT( ADDRESS( ROW() + Row_Offset, INDIRECT( "Column_Number_" &amp; C$1), 4,1, tabname) ), "")</f>
        <v/>
      </c>
      <c r="D155" s="10" t="str">
        <f ca="1">TEXT( INDIRECT( ADDRESS( ROW() + Row_Offset, INDIRECT( "Column_Number_" &amp; D$1), 4,1, tabname) ), "")</f>
        <v/>
      </c>
      <c r="E155" s="10" t="str">
        <f ca="1">TEXT( INDIRECT( ADDRESS( ROW() + Row_Offset, INDIRECT( "Column_Number_" &amp; E$1), 4,1, tabname) ), "####")</f>
        <v/>
      </c>
      <c r="F155" s="15"/>
      <c r="G155" s="21" t="str">
        <f ca="1">IFERROR(INDEX(Rank_Table[],MATCH($D155&amp;$A155,Table4[Join],0)),"")</f>
        <v/>
      </c>
      <c r="H155" s="11" t="str">
        <f ca="1">IF(AND(D155="Juvenile Audiobook",LEFT(B155,8)="J CD BIO"),RIGHT(B155,LEN(B155)-9),
IF(AND(D155="Juvenile Audiobook",LEFT(B155,8)="J CD FIC"),B155,
IF(D155="Juvenile Audiobook",RIGHT(B155,LEN(B155)-5),
IF(AND(D155="Teen Audiobook",LEFT(B155,11)="TEEN CD BIO"),RIGHT(B155,LEN(B155)-12),
IF(AND(D155="Teen Audiobook",LEFT(B155,11)="TEEN CD FIC"),B155,
IF(D155="Juvenile Audiobook",RIGHT(B155,LEN(B155)-8),
IF(D155="Juvenile Nonfiction",RIGHT(B155,LEN(B155)-2),
IF(D155="Teen Nonfiction",RIGHT(B155,LEN(B155)-5),
IF(AND(D155="Audiobook",
              NOT(OR(Contains($B155,"CD BIO"),Contains($B155,"CD FIC")))),RIGHT(B155,LEN(B155)-3),
IF(D155="Juvenile Biography",RIGHT(B155,LEN(B155)-2),
IF(D155="Teen Biography",RIGHT(B155,LEN(B155)-5),
IF(AND(D155="Audiobook",
              IFERROR(FIND("BIO",$B155)&gt;0,FALSE)),RIGHT(B155,LEN(B155)-3),
IF(D155="Juvenile Large Type","J "&amp;RIGHT(B155,LEN(B155)-11),
IF(D155="Teen Large Type","TEEN "&amp;RIGHT(B155,LEN(B155)-14),
IF(D155="Reference",RIGHT(B155,LEN(B155)-4),
IF(D155="DVD Educational",RIGHT(B155,LEN(B155)-7),
IF(D155="Juvenile DVD Educational",RIGHT(B155,LEN(B155)-9),
B155)))))))))))))))))</f>
        <v/>
      </c>
    </row>
    <row r="156" spans="1:8" ht="27" customHeight="1" x14ac:dyDescent="0.25">
      <c r="A156" s="10" t="str">
        <f ca="1">TEXT( INDIRECT( ADDRESS( ROW() + Row_Offset, INDIRECT( "Column_Number_" &amp; A$1), 4,1, tabname) ), "")</f>
        <v/>
      </c>
      <c r="B156" s="10" t="str">
        <f ca="1">TEXT(  IFERROR( VLOOKUP( $D156, CollName_Simplifier_Table[], 2, FALSE),"") &amp;
        INDIRECT( ADDRESS( ROW() + Row_Offset, INDIRECT( "Column_Number_" &amp; $B$1), 4,1, tabname) ), "")</f>
        <v/>
      </c>
      <c r="C156" s="10" t="str">
        <f ca="1">TEXT( INDIRECT( ADDRESS( ROW() + Row_Offset, INDIRECT( "Column_Number_" &amp; C$1), 4,1, tabname) ), "")</f>
        <v/>
      </c>
      <c r="D156" s="10" t="str">
        <f ca="1">TEXT( INDIRECT( ADDRESS( ROW() + Row_Offset, INDIRECT( "Column_Number_" &amp; D$1), 4,1, tabname) ), "")</f>
        <v/>
      </c>
      <c r="E156" s="10" t="str">
        <f ca="1">TEXT( INDIRECT( ADDRESS( ROW() + Row_Offset, INDIRECT( "Column_Number_" &amp; E$1), 4,1, tabname) ), "####")</f>
        <v/>
      </c>
      <c r="F156" s="15"/>
      <c r="G156" s="21" t="str">
        <f ca="1">IFERROR(INDEX(Rank_Table[],MATCH($D156&amp;$A156,Table4[Join],0)),"")</f>
        <v/>
      </c>
      <c r="H156" s="11" t="str">
        <f ca="1">IF(AND(D156="Juvenile Audiobook",LEFT(B156,8)="J CD BIO"),RIGHT(B156,LEN(B156)-9),
IF(AND(D156="Juvenile Audiobook",LEFT(B156,8)="J CD FIC"),B156,
IF(D156="Juvenile Audiobook",RIGHT(B156,LEN(B156)-5),
IF(AND(D156="Teen Audiobook",LEFT(B156,11)="TEEN CD BIO"),RIGHT(B156,LEN(B156)-12),
IF(AND(D156="Teen Audiobook",LEFT(B156,11)="TEEN CD FIC"),B156,
IF(D156="Juvenile Audiobook",RIGHT(B156,LEN(B156)-8),
IF(D156="Juvenile Nonfiction",RIGHT(B156,LEN(B156)-2),
IF(D156="Teen Nonfiction",RIGHT(B156,LEN(B156)-5),
IF(AND(D156="Audiobook",
              NOT(OR(Contains($B156,"CD BIO"),Contains($B156,"CD FIC")))),RIGHT(B156,LEN(B156)-3),
IF(D156="Juvenile Biography",RIGHT(B156,LEN(B156)-2),
IF(D156="Teen Biography",RIGHT(B156,LEN(B156)-5),
IF(AND(D156="Audiobook",
              IFERROR(FIND("BIO",$B156)&gt;0,FALSE)),RIGHT(B156,LEN(B156)-3),
IF(D156="Juvenile Large Type","J "&amp;RIGHT(B156,LEN(B156)-11),
IF(D156="Teen Large Type","TEEN "&amp;RIGHT(B156,LEN(B156)-14),
IF(D156="Reference",RIGHT(B156,LEN(B156)-4),
IF(D156="DVD Educational",RIGHT(B156,LEN(B156)-7),
IF(D156="Juvenile DVD Educational",RIGHT(B156,LEN(B156)-9),
B156)))))))))))))))))</f>
        <v/>
      </c>
    </row>
    <row r="157" spans="1:8" ht="27" customHeight="1" x14ac:dyDescent="0.25">
      <c r="A157" s="10" t="str">
        <f ca="1">TEXT( INDIRECT( ADDRESS( ROW() + Row_Offset, INDIRECT( "Column_Number_" &amp; A$1), 4,1, tabname) ), "")</f>
        <v/>
      </c>
      <c r="B157" s="10" t="str">
        <f ca="1">TEXT(  IFERROR( VLOOKUP( $D157, CollName_Simplifier_Table[], 2, FALSE),"") &amp;
        INDIRECT( ADDRESS( ROW() + Row_Offset, INDIRECT( "Column_Number_" &amp; $B$1), 4,1, tabname) ), "")</f>
        <v/>
      </c>
      <c r="C157" s="10" t="str">
        <f ca="1">TEXT( INDIRECT( ADDRESS( ROW() + Row_Offset, INDIRECT( "Column_Number_" &amp; C$1), 4,1, tabname) ), "")</f>
        <v/>
      </c>
      <c r="D157" s="10" t="str">
        <f ca="1">TEXT( INDIRECT( ADDRESS( ROW() + Row_Offset, INDIRECT( "Column_Number_" &amp; D$1), 4,1, tabname) ), "")</f>
        <v/>
      </c>
      <c r="E157" s="10" t="str">
        <f ca="1">TEXT( INDIRECT( ADDRESS( ROW() + Row_Offset, INDIRECT( "Column_Number_" &amp; E$1), 4,1, tabname) ), "####")</f>
        <v/>
      </c>
      <c r="F157" s="15"/>
      <c r="G157" s="21" t="str">
        <f ca="1">IFERROR(INDEX(Rank_Table[],MATCH($D157&amp;$A157,Table4[Join],0)),"")</f>
        <v/>
      </c>
      <c r="H157" s="11" t="str">
        <f ca="1">IF(AND(D157="Juvenile Audiobook",LEFT(B157,8)="J CD BIO"),RIGHT(B157,LEN(B157)-9),
IF(AND(D157="Juvenile Audiobook",LEFT(B157,8)="J CD FIC"),B157,
IF(D157="Juvenile Audiobook",RIGHT(B157,LEN(B157)-5),
IF(AND(D157="Teen Audiobook",LEFT(B157,11)="TEEN CD BIO"),RIGHT(B157,LEN(B157)-12),
IF(AND(D157="Teen Audiobook",LEFT(B157,11)="TEEN CD FIC"),B157,
IF(D157="Juvenile Audiobook",RIGHT(B157,LEN(B157)-8),
IF(D157="Juvenile Nonfiction",RIGHT(B157,LEN(B157)-2),
IF(D157="Teen Nonfiction",RIGHT(B157,LEN(B157)-5),
IF(AND(D157="Audiobook",
              NOT(OR(Contains($B157,"CD BIO"),Contains($B157,"CD FIC")))),RIGHT(B157,LEN(B157)-3),
IF(D157="Juvenile Biography",RIGHT(B157,LEN(B157)-2),
IF(D157="Teen Biography",RIGHT(B157,LEN(B157)-5),
IF(AND(D157="Audiobook",
              IFERROR(FIND("BIO",$B157)&gt;0,FALSE)),RIGHT(B157,LEN(B157)-3),
IF(D157="Juvenile Large Type","J "&amp;RIGHT(B157,LEN(B157)-11),
IF(D157="Teen Large Type","TEEN "&amp;RIGHT(B157,LEN(B157)-14),
IF(D157="Reference",RIGHT(B157,LEN(B157)-4),
IF(D157="DVD Educational",RIGHT(B157,LEN(B157)-7),
IF(D157="Juvenile DVD Educational",RIGHT(B157,LEN(B157)-9),
B157)))))))))))))))))</f>
        <v/>
      </c>
    </row>
    <row r="158" spans="1:8" ht="27" customHeight="1" x14ac:dyDescent="0.25">
      <c r="A158" s="10" t="str">
        <f ca="1">TEXT( INDIRECT( ADDRESS( ROW() + Row_Offset, INDIRECT( "Column_Number_" &amp; A$1), 4,1, tabname) ), "")</f>
        <v/>
      </c>
      <c r="B158" s="10" t="str">
        <f ca="1">TEXT(  IFERROR( VLOOKUP( $D158, CollName_Simplifier_Table[], 2, FALSE),"") &amp;
        INDIRECT( ADDRESS( ROW() + Row_Offset, INDIRECT( "Column_Number_" &amp; $B$1), 4,1, tabname) ), "")</f>
        <v/>
      </c>
      <c r="C158" s="10" t="str">
        <f ca="1">TEXT( INDIRECT( ADDRESS( ROW() + Row_Offset, INDIRECT( "Column_Number_" &amp; C$1), 4,1, tabname) ), "")</f>
        <v/>
      </c>
      <c r="D158" s="10" t="str">
        <f ca="1">TEXT( INDIRECT( ADDRESS( ROW() + Row_Offset, INDIRECT( "Column_Number_" &amp; D$1), 4,1, tabname) ), "")</f>
        <v/>
      </c>
      <c r="E158" s="10" t="str">
        <f ca="1">TEXT( INDIRECT( ADDRESS( ROW() + Row_Offset, INDIRECT( "Column_Number_" &amp; E$1), 4,1, tabname) ), "####")</f>
        <v/>
      </c>
      <c r="F158" s="15"/>
      <c r="G158" s="21" t="str">
        <f ca="1">IFERROR(INDEX(Rank_Table[],MATCH($D158&amp;$A158,Table4[Join],0)),"")</f>
        <v/>
      </c>
      <c r="H158" s="11" t="str">
        <f ca="1">IF(AND(D158="Juvenile Audiobook",LEFT(B158,8)="J CD BIO"),RIGHT(B158,LEN(B158)-9),
IF(AND(D158="Juvenile Audiobook",LEFT(B158,8)="J CD FIC"),B158,
IF(D158="Juvenile Audiobook",RIGHT(B158,LEN(B158)-5),
IF(AND(D158="Teen Audiobook",LEFT(B158,11)="TEEN CD BIO"),RIGHT(B158,LEN(B158)-12),
IF(AND(D158="Teen Audiobook",LEFT(B158,11)="TEEN CD FIC"),B158,
IF(D158="Juvenile Audiobook",RIGHT(B158,LEN(B158)-8),
IF(D158="Juvenile Nonfiction",RIGHT(B158,LEN(B158)-2),
IF(D158="Teen Nonfiction",RIGHT(B158,LEN(B158)-5),
IF(AND(D158="Audiobook",
              NOT(OR(Contains($B158,"CD BIO"),Contains($B158,"CD FIC")))),RIGHT(B158,LEN(B158)-3),
IF(D158="Juvenile Biography",RIGHT(B158,LEN(B158)-2),
IF(D158="Teen Biography",RIGHT(B158,LEN(B158)-5),
IF(AND(D158="Audiobook",
              IFERROR(FIND("BIO",$B158)&gt;0,FALSE)),RIGHT(B158,LEN(B158)-3),
IF(D158="Juvenile Large Type","J "&amp;RIGHT(B158,LEN(B158)-11),
IF(D158="Teen Large Type","TEEN "&amp;RIGHT(B158,LEN(B158)-14),
IF(D158="Reference",RIGHT(B158,LEN(B158)-4),
IF(D158="DVD Educational",RIGHT(B158,LEN(B158)-7),
IF(D158="Juvenile DVD Educational",RIGHT(B158,LEN(B158)-9),
B158)))))))))))))))))</f>
        <v/>
      </c>
    </row>
    <row r="159" spans="1:8" ht="27" customHeight="1" x14ac:dyDescent="0.25">
      <c r="A159" s="10" t="str">
        <f ca="1">TEXT( INDIRECT( ADDRESS( ROW() + Row_Offset, INDIRECT( "Column_Number_" &amp; A$1), 4,1, tabname) ), "")</f>
        <v/>
      </c>
      <c r="B159" s="10" t="str">
        <f ca="1">TEXT(  IFERROR( VLOOKUP( $D159, CollName_Simplifier_Table[], 2, FALSE),"") &amp;
        INDIRECT( ADDRESS( ROW() + Row_Offset, INDIRECT( "Column_Number_" &amp; $B$1), 4,1, tabname) ), "")</f>
        <v/>
      </c>
      <c r="C159" s="10" t="str">
        <f ca="1">TEXT( INDIRECT( ADDRESS( ROW() + Row_Offset, INDIRECT( "Column_Number_" &amp; C$1), 4,1, tabname) ), "")</f>
        <v/>
      </c>
      <c r="D159" s="10" t="str">
        <f ca="1">TEXT( INDIRECT( ADDRESS( ROW() + Row_Offset, INDIRECT( "Column_Number_" &amp; D$1), 4,1, tabname) ), "")</f>
        <v/>
      </c>
      <c r="E159" s="10" t="str">
        <f ca="1">TEXT( INDIRECT( ADDRESS( ROW() + Row_Offset, INDIRECT( "Column_Number_" &amp; E$1), 4,1, tabname) ), "####")</f>
        <v/>
      </c>
      <c r="F159" s="15"/>
      <c r="G159" s="21" t="str">
        <f ca="1">IFERROR(INDEX(Rank_Table[],MATCH($D159&amp;$A159,Table4[Join],0)),"")</f>
        <v/>
      </c>
      <c r="H159" s="11" t="str">
        <f ca="1">IF(AND(D159="Juvenile Audiobook",LEFT(B159,8)="J CD BIO"),RIGHT(B159,LEN(B159)-9),
IF(AND(D159="Juvenile Audiobook",LEFT(B159,8)="J CD FIC"),B159,
IF(D159="Juvenile Audiobook",RIGHT(B159,LEN(B159)-5),
IF(AND(D159="Teen Audiobook",LEFT(B159,11)="TEEN CD BIO"),RIGHT(B159,LEN(B159)-12),
IF(AND(D159="Teen Audiobook",LEFT(B159,11)="TEEN CD FIC"),B159,
IF(D159="Juvenile Audiobook",RIGHT(B159,LEN(B159)-8),
IF(D159="Juvenile Nonfiction",RIGHT(B159,LEN(B159)-2),
IF(D159="Teen Nonfiction",RIGHT(B159,LEN(B159)-5),
IF(AND(D159="Audiobook",
              NOT(OR(Contains($B159,"CD BIO"),Contains($B159,"CD FIC")))),RIGHT(B159,LEN(B159)-3),
IF(D159="Juvenile Biography",RIGHT(B159,LEN(B159)-2),
IF(D159="Teen Biography",RIGHT(B159,LEN(B159)-5),
IF(AND(D159="Audiobook",
              IFERROR(FIND("BIO",$B159)&gt;0,FALSE)),RIGHT(B159,LEN(B159)-3),
IF(D159="Juvenile Large Type","J "&amp;RIGHT(B159,LEN(B159)-11),
IF(D159="Teen Large Type","TEEN "&amp;RIGHT(B159,LEN(B159)-14),
IF(D159="Reference",RIGHT(B159,LEN(B159)-4),
IF(D159="DVD Educational",RIGHT(B159,LEN(B159)-7),
IF(D159="Juvenile DVD Educational",RIGHT(B159,LEN(B159)-9),
B159)))))))))))))))))</f>
        <v/>
      </c>
    </row>
    <row r="160" spans="1:8" ht="27" customHeight="1" x14ac:dyDescent="0.25">
      <c r="A160" s="10" t="str">
        <f ca="1">TEXT( INDIRECT( ADDRESS( ROW() + Row_Offset, INDIRECT( "Column_Number_" &amp; A$1), 4,1, tabname) ), "")</f>
        <v/>
      </c>
      <c r="B160" s="10" t="str">
        <f ca="1">TEXT(  IFERROR( VLOOKUP( $D160, CollName_Simplifier_Table[], 2, FALSE),"") &amp;
        INDIRECT( ADDRESS( ROW() + Row_Offset, INDIRECT( "Column_Number_" &amp; $B$1), 4,1, tabname) ), "")</f>
        <v/>
      </c>
      <c r="C160" s="10" t="str">
        <f ca="1">TEXT( INDIRECT( ADDRESS( ROW() + Row_Offset, INDIRECT( "Column_Number_" &amp; C$1), 4,1, tabname) ), "")</f>
        <v/>
      </c>
      <c r="D160" s="10" t="str">
        <f ca="1">TEXT( INDIRECT( ADDRESS( ROW() + Row_Offset, INDIRECT( "Column_Number_" &amp; D$1), 4,1, tabname) ), "")</f>
        <v/>
      </c>
      <c r="E160" s="10" t="str">
        <f ca="1">TEXT( INDIRECT( ADDRESS( ROW() + Row_Offset, INDIRECT( "Column_Number_" &amp; E$1), 4,1, tabname) ), "####")</f>
        <v/>
      </c>
      <c r="F160" s="15"/>
      <c r="G160" s="21" t="str">
        <f ca="1">IFERROR(INDEX(Rank_Table[],MATCH($D160&amp;$A160,Table4[Join],0)),"")</f>
        <v/>
      </c>
      <c r="H160" s="11" t="str">
        <f ca="1">IF(AND(D160="Juvenile Audiobook",LEFT(B160,8)="J CD BIO"),RIGHT(B160,LEN(B160)-9),
IF(AND(D160="Juvenile Audiobook",LEFT(B160,8)="J CD FIC"),B160,
IF(D160="Juvenile Audiobook",RIGHT(B160,LEN(B160)-5),
IF(AND(D160="Teen Audiobook",LEFT(B160,11)="TEEN CD BIO"),RIGHT(B160,LEN(B160)-12),
IF(AND(D160="Teen Audiobook",LEFT(B160,11)="TEEN CD FIC"),B160,
IF(D160="Juvenile Audiobook",RIGHT(B160,LEN(B160)-8),
IF(D160="Juvenile Nonfiction",RIGHT(B160,LEN(B160)-2),
IF(D160="Teen Nonfiction",RIGHT(B160,LEN(B160)-5),
IF(AND(D160="Audiobook",
              NOT(OR(Contains($B160,"CD BIO"),Contains($B160,"CD FIC")))),RIGHT(B160,LEN(B160)-3),
IF(D160="Juvenile Biography",RIGHT(B160,LEN(B160)-2),
IF(D160="Teen Biography",RIGHT(B160,LEN(B160)-5),
IF(AND(D160="Audiobook",
              IFERROR(FIND("BIO",$B160)&gt;0,FALSE)),RIGHT(B160,LEN(B160)-3),
IF(D160="Juvenile Large Type","J "&amp;RIGHT(B160,LEN(B160)-11),
IF(D160="Teen Large Type","TEEN "&amp;RIGHT(B160,LEN(B160)-14),
IF(D160="Reference",RIGHT(B160,LEN(B160)-4),
IF(D160="DVD Educational",RIGHT(B160,LEN(B160)-7),
IF(D160="Juvenile DVD Educational",RIGHT(B160,LEN(B160)-9),
B160)))))))))))))))))</f>
        <v/>
      </c>
    </row>
    <row r="161" spans="1:8" ht="27" customHeight="1" x14ac:dyDescent="0.25">
      <c r="A161" s="10" t="str">
        <f ca="1">TEXT( INDIRECT( ADDRESS( ROW() + Row_Offset, INDIRECT( "Column_Number_" &amp; A$1), 4,1, tabname) ), "")</f>
        <v/>
      </c>
      <c r="B161" s="10" t="str">
        <f ca="1">TEXT(  IFERROR( VLOOKUP( $D161, CollName_Simplifier_Table[], 2, FALSE),"") &amp;
        INDIRECT( ADDRESS( ROW() + Row_Offset, INDIRECT( "Column_Number_" &amp; $B$1), 4,1, tabname) ), "")</f>
        <v/>
      </c>
      <c r="C161" s="10" t="str">
        <f ca="1">TEXT( INDIRECT( ADDRESS( ROW() + Row_Offset, INDIRECT( "Column_Number_" &amp; C$1), 4,1, tabname) ), "")</f>
        <v/>
      </c>
      <c r="D161" s="10" t="str">
        <f ca="1">TEXT( INDIRECT( ADDRESS( ROW() + Row_Offset, INDIRECT( "Column_Number_" &amp; D$1), 4,1, tabname) ), "")</f>
        <v/>
      </c>
      <c r="E161" s="10" t="str">
        <f ca="1">TEXT( INDIRECT( ADDRESS( ROW() + Row_Offset, INDIRECT( "Column_Number_" &amp; E$1), 4,1, tabname) ), "####")</f>
        <v/>
      </c>
      <c r="F161" s="15"/>
      <c r="G161" s="21" t="str">
        <f ca="1">IFERROR(INDEX(Rank_Table[],MATCH($D161&amp;$A161,Table4[Join],0)),"")</f>
        <v/>
      </c>
      <c r="H161" s="11" t="str">
        <f ca="1">IF(AND(D161="Juvenile Audiobook",LEFT(B161,8)="J CD BIO"),RIGHT(B161,LEN(B161)-9),
IF(AND(D161="Juvenile Audiobook",LEFT(B161,8)="J CD FIC"),B161,
IF(D161="Juvenile Audiobook",RIGHT(B161,LEN(B161)-5),
IF(AND(D161="Teen Audiobook",LEFT(B161,11)="TEEN CD BIO"),RIGHT(B161,LEN(B161)-12),
IF(AND(D161="Teen Audiobook",LEFT(B161,11)="TEEN CD FIC"),B161,
IF(D161="Juvenile Audiobook",RIGHT(B161,LEN(B161)-8),
IF(D161="Juvenile Nonfiction",RIGHT(B161,LEN(B161)-2),
IF(D161="Teen Nonfiction",RIGHT(B161,LEN(B161)-5),
IF(AND(D161="Audiobook",
              NOT(OR(Contains($B161,"CD BIO"),Contains($B161,"CD FIC")))),RIGHT(B161,LEN(B161)-3),
IF(D161="Juvenile Biography",RIGHT(B161,LEN(B161)-2),
IF(D161="Teen Biography",RIGHT(B161,LEN(B161)-5),
IF(AND(D161="Audiobook",
              IFERROR(FIND("BIO",$B161)&gt;0,FALSE)),RIGHT(B161,LEN(B161)-3),
IF(D161="Juvenile Large Type","J "&amp;RIGHT(B161,LEN(B161)-11),
IF(D161="Teen Large Type","TEEN "&amp;RIGHT(B161,LEN(B161)-14),
IF(D161="Reference",RIGHT(B161,LEN(B161)-4),
IF(D161="DVD Educational",RIGHT(B161,LEN(B161)-7),
IF(D161="Juvenile DVD Educational",RIGHT(B161,LEN(B161)-9),
B161)))))))))))))))))</f>
        <v/>
      </c>
    </row>
    <row r="162" spans="1:8" ht="27" customHeight="1" x14ac:dyDescent="0.25">
      <c r="A162" s="10" t="str">
        <f ca="1">TEXT( INDIRECT( ADDRESS( ROW() + Row_Offset, INDIRECT( "Column_Number_" &amp; A$1), 4,1, tabname) ), "")</f>
        <v/>
      </c>
      <c r="B162" s="10" t="str">
        <f ca="1">TEXT(  IFERROR( VLOOKUP( $D162, CollName_Simplifier_Table[], 2, FALSE),"") &amp;
        INDIRECT( ADDRESS( ROW() + Row_Offset, INDIRECT( "Column_Number_" &amp; $B$1), 4,1, tabname) ), "")</f>
        <v/>
      </c>
      <c r="C162" s="10" t="str">
        <f ca="1">TEXT( INDIRECT( ADDRESS( ROW() + Row_Offset, INDIRECT( "Column_Number_" &amp; C$1), 4,1, tabname) ), "")</f>
        <v/>
      </c>
      <c r="D162" s="10" t="str">
        <f ca="1">TEXT( INDIRECT( ADDRESS( ROW() + Row_Offset, INDIRECT( "Column_Number_" &amp; D$1), 4,1, tabname) ), "")</f>
        <v/>
      </c>
      <c r="E162" s="10" t="str">
        <f ca="1">TEXT( INDIRECT( ADDRESS( ROW() + Row_Offset, INDIRECT( "Column_Number_" &amp; E$1), 4,1, tabname) ), "####")</f>
        <v/>
      </c>
      <c r="F162" s="15"/>
      <c r="G162" s="21" t="str">
        <f ca="1">IFERROR(INDEX(Rank_Table[],MATCH($D162&amp;$A162,Table4[Join],0)),"")</f>
        <v/>
      </c>
      <c r="H162" s="11" t="str">
        <f ca="1">IF(AND(D162="Juvenile Audiobook",LEFT(B162,8)="J CD BIO"),RIGHT(B162,LEN(B162)-9),
IF(AND(D162="Juvenile Audiobook",LEFT(B162,8)="J CD FIC"),B162,
IF(D162="Juvenile Audiobook",RIGHT(B162,LEN(B162)-5),
IF(AND(D162="Teen Audiobook",LEFT(B162,11)="TEEN CD BIO"),RIGHT(B162,LEN(B162)-12),
IF(AND(D162="Teen Audiobook",LEFT(B162,11)="TEEN CD FIC"),B162,
IF(D162="Juvenile Audiobook",RIGHT(B162,LEN(B162)-8),
IF(D162="Juvenile Nonfiction",RIGHT(B162,LEN(B162)-2),
IF(D162="Teen Nonfiction",RIGHT(B162,LEN(B162)-5),
IF(AND(D162="Audiobook",
              NOT(OR(Contains($B162,"CD BIO"),Contains($B162,"CD FIC")))),RIGHT(B162,LEN(B162)-3),
IF(D162="Juvenile Biography",RIGHT(B162,LEN(B162)-2),
IF(D162="Teen Biography",RIGHT(B162,LEN(B162)-5),
IF(AND(D162="Audiobook",
              IFERROR(FIND("BIO",$B162)&gt;0,FALSE)),RIGHT(B162,LEN(B162)-3),
IF(D162="Juvenile Large Type","J "&amp;RIGHT(B162,LEN(B162)-11),
IF(D162="Teen Large Type","TEEN "&amp;RIGHT(B162,LEN(B162)-14),
IF(D162="Reference",RIGHT(B162,LEN(B162)-4),
IF(D162="DVD Educational",RIGHT(B162,LEN(B162)-7),
IF(D162="Juvenile DVD Educational",RIGHT(B162,LEN(B162)-9),
B162)))))))))))))))))</f>
        <v/>
      </c>
    </row>
    <row r="163" spans="1:8" ht="27" customHeight="1" x14ac:dyDescent="0.25">
      <c r="A163" s="10" t="str">
        <f ca="1">TEXT( INDIRECT( ADDRESS( ROW() + Row_Offset, INDIRECT( "Column_Number_" &amp; A$1), 4,1, tabname) ), "")</f>
        <v/>
      </c>
      <c r="B163" s="10" t="str">
        <f ca="1">TEXT(  IFERROR( VLOOKUP( $D163, CollName_Simplifier_Table[], 2, FALSE),"") &amp;
        INDIRECT( ADDRESS( ROW() + Row_Offset, INDIRECT( "Column_Number_" &amp; $B$1), 4,1, tabname) ), "")</f>
        <v/>
      </c>
      <c r="C163" s="10" t="str">
        <f ca="1">TEXT( INDIRECT( ADDRESS( ROW() + Row_Offset, INDIRECT( "Column_Number_" &amp; C$1), 4,1, tabname) ), "")</f>
        <v/>
      </c>
      <c r="D163" s="10" t="str">
        <f ca="1">TEXT( INDIRECT( ADDRESS( ROW() + Row_Offset, INDIRECT( "Column_Number_" &amp; D$1), 4,1, tabname) ), "")</f>
        <v/>
      </c>
      <c r="E163" s="10" t="str">
        <f ca="1">TEXT( INDIRECT( ADDRESS( ROW() + Row_Offset, INDIRECT( "Column_Number_" &amp; E$1), 4,1, tabname) ), "####")</f>
        <v/>
      </c>
      <c r="F163" s="15"/>
      <c r="G163" s="21" t="str">
        <f ca="1">IFERROR(INDEX(Rank_Table[],MATCH($D163&amp;$A163,Table4[Join],0)),"")</f>
        <v/>
      </c>
      <c r="H163" s="11" t="str">
        <f ca="1">IF(AND(D163="Juvenile Audiobook",LEFT(B163,8)="J CD BIO"),RIGHT(B163,LEN(B163)-9),
IF(AND(D163="Juvenile Audiobook",LEFT(B163,8)="J CD FIC"),B163,
IF(D163="Juvenile Audiobook",RIGHT(B163,LEN(B163)-5),
IF(AND(D163="Teen Audiobook",LEFT(B163,11)="TEEN CD BIO"),RIGHT(B163,LEN(B163)-12),
IF(AND(D163="Teen Audiobook",LEFT(B163,11)="TEEN CD FIC"),B163,
IF(D163="Juvenile Audiobook",RIGHT(B163,LEN(B163)-8),
IF(D163="Juvenile Nonfiction",RIGHT(B163,LEN(B163)-2),
IF(D163="Teen Nonfiction",RIGHT(B163,LEN(B163)-5),
IF(AND(D163="Audiobook",
              NOT(OR(Contains($B163,"CD BIO"),Contains($B163,"CD FIC")))),RIGHT(B163,LEN(B163)-3),
IF(D163="Juvenile Biography",RIGHT(B163,LEN(B163)-2),
IF(D163="Teen Biography",RIGHT(B163,LEN(B163)-5),
IF(AND(D163="Audiobook",
              IFERROR(FIND("BIO",$B163)&gt;0,FALSE)),RIGHT(B163,LEN(B163)-3),
IF(D163="Juvenile Large Type","J "&amp;RIGHT(B163,LEN(B163)-11),
IF(D163="Teen Large Type","TEEN "&amp;RIGHT(B163,LEN(B163)-14),
IF(D163="Reference",RIGHT(B163,LEN(B163)-4),
IF(D163="DVD Educational",RIGHT(B163,LEN(B163)-7),
IF(D163="Juvenile DVD Educational",RIGHT(B163,LEN(B163)-9),
B163)))))))))))))))))</f>
        <v/>
      </c>
    </row>
    <row r="164" spans="1:8" ht="27" customHeight="1" x14ac:dyDescent="0.25">
      <c r="A164" s="10" t="str">
        <f ca="1">TEXT( INDIRECT( ADDRESS( ROW() + Row_Offset, INDIRECT( "Column_Number_" &amp; A$1), 4,1, tabname) ), "")</f>
        <v/>
      </c>
      <c r="B164" s="10" t="str">
        <f ca="1">TEXT(  IFERROR( VLOOKUP( $D164, CollName_Simplifier_Table[], 2, FALSE),"") &amp;
        INDIRECT( ADDRESS( ROW() + Row_Offset, INDIRECT( "Column_Number_" &amp; $B$1), 4,1, tabname) ), "")</f>
        <v/>
      </c>
      <c r="C164" s="10" t="str">
        <f ca="1">TEXT( INDIRECT( ADDRESS( ROW() + Row_Offset, INDIRECT( "Column_Number_" &amp; C$1), 4,1, tabname) ), "")</f>
        <v/>
      </c>
      <c r="D164" s="10" t="str">
        <f ca="1">TEXT( INDIRECT( ADDRESS( ROW() + Row_Offset, INDIRECT( "Column_Number_" &amp; D$1), 4,1, tabname) ), "")</f>
        <v/>
      </c>
      <c r="E164" s="10" t="str">
        <f ca="1">TEXT( INDIRECT( ADDRESS( ROW() + Row_Offset, INDIRECT( "Column_Number_" &amp; E$1), 4,1, tabname) ), "####")</f>
        <v/>
      </c>
      <c r="F164" s="15"/>
      <c r="G164" s="21" t="str">
        <f ca="1">IFERROR(INDEX(Rank_Table[],MATCH($D164&amp;$A164,Table4[Join],0)),"")</f>
        <v/>
      </c>
      <c r="H164" s="11" t="str">
        <f ca="1">IF(AND(D164="Juvenile Audiobook",LEFT(B164,8)="J CD BIO"),RIGHT(B164,LEN(B164)-9),
IF(AND(D164="Juvenile Audiobook",LEFT(B164,8)="J CD FIC"),B164,
IF(D164="Juvenile Audiobook",RIGHT(B164,LEN(B164)-5),
IF(AND(D164="Teen Audiobook",LEFT(B164,11)="TEEN CD BIO"),RIGHT(B164,LEN(B164)-12),
IF(AND(D164="Teen Audiobook",LEFT(B164,11)="TEEN CD FIC"),B164,
IF(D164="Juvenile Audiobook",RIGHT(B164,LEN(B164)-8),
IF(D164="Juvenile Nonfiction",RIGHT(B164,LEN(B164)-2),
IF(D164="Teen Nonfiction",RIGHT(B164,LEN(B164)-5),
IF(AND(D164="Audiobook",
              NOT(OR(Contains($B164,"CD BIO"),Contains($B164,"CD FIC")))),RIGHT(B164,LEN(B164)-3),
IF(D164="Juvenile Biography",RIGHT(B164,LEN(B164)-2),
IF(D164="Teen Biography",RIGHT(B164,LEN(B164)-5),
IF(AND(D164="Audiobook",
              IFERROR(FIND("BIO",$B164)&gt;0,FALSE)),RIGHT(B164,LEN(B164)-3),
IF(D164="Juvenile Large Type","J "&amp;RIGHT(B164,LEN(B164)-11),
IF(D164="Teen Large Type","TEEN "&amp;RIGHT(B164,LEN(B164)-14),
IF(D164="Reference",RIGHT(B164,LEN(B164)-4),
IF(D164="DVD Educational",RIGHT(B164,LEN(B164)-7),
IF(D164="Juvenile DVD Educational",RIGHT(B164,LEN(B164)-9),
B164)))))))))))))))))</f>
        <v/>
      </c>
    </row>
    <row r="165" spans="1:8" ht="27" customHeight="1" x14ac:dyDescent="0.25">
      <c r="A165" s="10" t="str">
        <f ca="1">TEXT( INDIRECT( ADDRESS( ROW() + Row_Offset, INDIRECT( "Column_Number_" &amp; A$1), 4,1, tabname) ), "")</f>
        <v/>
      </c>
      <c r="B165" s="10" t="str">
        <f ca="1">TEXT(  IFERROR( VLOOKUP( $D165, CollName_Simplifier_Table[], 2, FALSE),"") &amp;
        INDIRECT( ADDRESS( ROW() + Row_Offset, INDIRECT( "Column_Number_" &amp; $B$1), 4,1, tabname) ), "")</f>
        <v/>
      </c>
      <c r="C165" s="10" t="str">
        <f ca="1">TEXT( INDIRECT( ADDRESS( ROW() + Row_Offset, INDIRECT( "Column_Number_" &amp; C$1), 4,1, tabname) ), "")</f>
        <v/>
      </c>
      <c r="D165" s="10" t="str">
        <f ca="1">TEXT( INDIRECT( ADDRESS( ROW() + Row_Offset, INDIRECT( "Column_Number_" &amp; D$1), 4,1, tabname) ), "")</f>
        <v/>
      </c>
      <c r="E165" s="10" t="str">
        <f ca="1">TEXT( INDIRECT( ADDRESS( ROW() + Row_Offset, INDIRECT( "Column_Number_" &amp; E$1), 4,1, tabname) ), "####")</f>
        <v/>
      </c>
      <c r="F165" s="15"/>
      <c r="G165" s="21" t="str">
        <f ca="1">IFERROR(INDEX(Rank_Table[],MATCH($D165&amp;$A165,Table4[Join],0)),"")</f>
        <v/>
      </c>
      <c r="H165" s="11" t="str">
        <f ca="1">IF(AND(D165="Juvenile Audiobook",LEFT(B165,8)="J CD BIO"),RIGHT(B165,LEN(B165)-9),
IF(AND(D165="Juvenile Audiobook",LEFT(B165,8)="J CD FIC"),B165,
IF(D165="Juvenile Audiobook",RIGHT(B165,LEN(B165)-5),
IF(AND(D165="Teen Audiobook",LEFT(B165,11)="TEEN CD BIO"),RIGHT(B165,LEN(B165)-12),
IF(AND(D165="Teen Audiobook",LEFT(B165,11)="TEEN CD FIC"),B165,
IF(D165="Juvenile Audiobook",RIGHT(B165,LEN(B165)-8),
IF(D165="Juvenile Nonfiction",RIGHT(B165,LEN(B165)-2),
IF(D165="Teen Nonfiction",RIGHT(B165,LEN(B165)-5),
IF(AND(D165="Audiobook",
              NOT(OR(Contains($B165,"CD BIO"),Contains($B165,"CD FIC")))),RIGHT(B165,LEN(B165)-3),
IF(D165="Juvenile Biography",RIGHT(B165,LEN(B165)-2),
IF(D165="Teen Biography",RIGHT(B165,LEN(B165)-5),
IF(AND(D165="Audiobook",
              IFERROR(FIND("BIO",$B165)&gt;0,FALSE)),RIGHT(B165,LEN(B165)-3),
IF(D165="Juvenile Large Type","J "&amp;RIGHT(B165,LEN(B165)-11),
IF(D165="Teen Large Type","TEEN "&amp;RIGHT(B165,LEN(B165)-14),
IF(D165="Reference",RIGHT(B165,LEN(B165)-4),
IF(D165="DVD Educational",RIGHT(B165,LEN(B165)-7),
IF(D165="Juvenile DVD Educational",RIGHT(B165,LEN(B165)-9),
B165)))))))))))))))))</f>
        <v/>
      </c>
    </row>
    <row r="166" spans="1:8" ht="27" customHeight="1" x14ac:dyDescent="0.25">
      <c r="A166" s="10" t="str">
        <f ca="1">TEXT( INDIRECT( ADDRESS( ROW() + Row_Offset, INDIRECT( "Column_Number_" &amp; A$1), 4,1, tabname) ), "")</f>
        <v/>
      </c>
      <c r="B166" s="10" t="str">
        <f ca="1">TEXT(  IFERROR( VLOOKUP( $D166, CollName_Simplifier_Table[], 2, FALSE),"") &amp;
        INDIRECT( ADDRESS( ROW() + Row_Offset, INDIRECT( "Column_Number_" &amp; $B$1), 4,1, tabname) ), "")</f>
        <v/>
      </c>
      <c r="C166" s="10" t="str">
        <f ca="1">TEXT( INDIRECT( ADDRESS( ROW() + Row_Offset, INDIRECT( "Column_Number_" &amp; C$1), 4,1, tabname) ), "")</f>
        <v/>
      </c>
      <c r="D166" s="10" t="str">
        <f ca="1">TEXT( INDIRECT( ADDRESS( ROW() + Row_Offset, INDIRECT( "Column_Number_" &amp; D$1), 4,1, tabname) ), "")</f>
        <v/>
      </c>
      <c r="E166" s="10" t="str">
        <f ca="1">TEXT( INDIRECT( ADDRESS( ROW() + Row_Offset, INDIRECT( "Column_Number_" &amp; E$1), 4,1, tabname) ), "####")</f>
        <v/>
      </c>
      <c r="F166" s="15"/>
      <c r="G166" s="21" t="str">
        <f ca="1">IFERROR(INDEX(Rank_Table[],MATCH($D166&amp;$A166,Table4[Join],0)),"")</f>
        <v/>
      </c>
      <c r="H166" s="11" t="str">
        <f ca="1">IF(AND(D166="Juvenile Audiobook",LEFT(B166,8)="J CD BIO"),RIGHT(B166,LEN(B166)-9),
IF(AND(D166="Juvenile Audiobook",LEFT(B166,8)="J CD FIC"),B166,
IF(D166="Juvenile Audiobook",RIGHT(B166,LEN(B166)-5),
IF(AND(D166="Teen Audiobook",LEFT(B166,11)="TEEN CD BIO"),RIGHT(B166,LEN(B166)-12),
IF(AND(D166="Teen Audiobook",LEFT(B166,11)="TEEN CD FIC"),B166,
IF(D166="Juvenile Audiobook",RIGHT(B166,LEN(B166)-8),
IF(D166="Juvenile Nonfiction",RIGHT(B166,LEN(B166)-2),
IF(D166="Teen Nonfiction",RIGHT(B166,LEN(B166)-5),
IF(AND(D166="Audiobook",
              NOT(OR(Contains($B166,"CD BIO"),Contains($B166,"CD FIC")))),RIGHT(B166,LEN(B166)-3),
IF(D166="Juvenile Biography",RIGHT(B166,LEN(B166)-2),
IF(D166="Teen Biography",RIGHT(B166,LEN(B166)-5),
IF(AND(D166="Audiobook",
              IFERROR(FIND("BIO",$B166)&gt;0,FALSE)),RIGHT(B166,LEN(B166)-3),
IF(D166="Juvenile Large Type","J "&amp;RIGHT(B166,LEN(B166)-11),
IF(D166="Teen Large Type","TEEN "&amp;RIGHT(B166,LEN(B166)-14),
IF(D166="Reference",RIGHT(B166,LEN(B166)-4),
IF(D166="DVD Educational",RIGHT(B166,LEN(B166)-7),
IF(D166="Juvenile DVD Educational",RIGHT(B166,LEN(B166)-9),
B166)))))))))))))))))</f>
        <v/>
      </c>
    </row>
    <row r="167" spans="1:8" ht="27" customHeight="1" x14ac:dyDescent="0.25">
      <c r="A167" s="10" t="str">
        <f ca="1">TEXT( INDIRECT( ADDRESS( ROW() + Row_Offset, INDIRECT( "Column_Number_" &amp; A$1), 4,1, tabname) ), "")</f>
        <v/>
      </c>
      <c r="B167" s="10" t="str">
        <f ca="1">TEXT(  IFERROR( VLOOKUP( $D167, CollName_Simplifier_Table[], 2, FALSE),"") &amp;
        INDIRECT( ADDRESS( ROW() + Row_Offset, INDIRECT( "Column_Number_" &amp; $B$1), 4,1, tabname) ), "")</f>
        <v/>
      </c>
      <c r="C167" s="10" t="str">
        <f ca="1">TEXT( INDIRECT( ADDRESS( ROW() + Row_Offset, INDIRECT( "Column_Number_" &amp; C$1), 4,1, tabname) ), "")</f>
        <v/>
      </c>
      <c r="D167" s="10" t="str">
        <f ca="1">TEXT( INDIRECT( ADDRESS( ROW() + Row_Offset, INDIRECT( "Column_Number_" &amp; D$1), 4,1, tabname) ), "")</f>
        <v/>
      </c>
      <c r="E167" s="10" t="str">
        <f ca="1">TEXT( INDIRECT( ADDRESS( ROW() + Row_Offset, INDIRECT( "Column_Number_" &amp; E$1), 4,1, tabname) ), "####")</f>
        <v/>
      </c>
      <c r="F167" s="15"/>
      <c r="G167" s="21" t="str">
        <f ca="1">IFERROR(INDEX(Rank_Table[],MATCH($D167&amp;$A167,Table4[Join],0)),"")</f>
        <v/>
      </c>
      <c r="H167" s="11" t="str">
        <f ca="1">IF(AND(D167="Juvenile Audiobook",LEFT(B167,8)="J CD BIO"),RIGHT(B167,LEN(B167)-9),
IF(AND(D167="Juvenile Audiobook",LEFT(B167,8)="J CD FIC"),B167,
IF(D167="Juvenile Audiobook",RIGHT(B167,LEN(B167)-5),
IF(AND(D167="Teen Audiobook",LEFT(B167,11)="TEEN CD BIO"),RIGHT(B167,LEN(B167)-12),
IF(AND(D167="Teen Audiobook",LEFT(B167,11)="TEEN CD FIC"),B167,
IF(D167="Juvenile Audiobook",RIGHT(B167,LEN(B167)-8),
IF(D167="Juvenile Nonfiction",RIGHT(B167,LEN(B167)-2),
IF(D167="Teen Nonfiction",RIGHT(B167,LEN(B167)-5),
IF(AND(D167="Audiobook",
              NOT(OR(Contains($B167,"CD BIO"),Contains($B167,"CD FIC")))),RIGHT(B167,LEN(B167)-3),
IF(D167="Juvenile Biography",RIGHT(B167,LEN(B167)-2),
IF(D167="Teen Biography",RIGHT(B167,LEN(B167)-5),
IF(AND(D167="Audiobook",
              IFERROR(FIND("BIO",$B167)&gt;0,FALSE)),RIGHT(B167,LEN(B167)-3),
IF(D167="Juvenile Large Type","J "&amp;RIGHT(B167,LEN(B167)-11),
IF(D167="Teen Large Type","TEEN "&amp;RIGHT(B167,LEN(B167)-14),
IF(D167="Reference",RIGHT(B167,LEN(B167)-4),
IF(D167="DVD Educational",RIGHT(B167,LEN(B167)-7),
IF(D167="Juvenile DVD Educational",RIGHT(B167,LEN(B167)-9),
B167)))))))))))))))))</f>
        <v/>
      </c>
    </row>
    <row r="168" spans="1:8" ht="27" customHeight="1" x14ac:dyDescent="0.25">
      <c r="A168" s="10" t="str">
        <f ca="1">TEXT( INDIRECT( ADDRESS( ROW() + Row_Offset, INDIRECT( "Column_Number_" &amp; A$1), 4,1, tabname) ), "")</f>
        <v/>
      </c>
      <c r="B168" s="10" t="str">
        <f ca="1">TEXT(  IFERROR( VLOOKUP( $D168, CollName_Simplifier_Table[], 2, FALSE),"") &amp;
        INDIRECT( ADDRESS( ROW() + Row_Offset, INDIRECT( "Column_Number_" &amp; $B$1), 4,1, tabname) ), "")</f>
        <v/>
      </c>
      <c r="C168" s="10" t="str">
        <f ca="1">TEXT( INDIRECT( ADDRESS( ROW() + Row_Offset, INDIRECT( "Column_Number_" &amp; C$1), 4,1, tabname) ), "")</f>
        <v/>
      </c>
      <c r="D168" s="10" t="str">
        <f ca="1">TEXT( INDIRECT( ADDRESS( ROW() + Row_Offset, INDIRECT( "Column_Number_" &amp; D$1), 4,1, tabname) ), "")</f>
        <v/>
      </c>
      <c r="E168" s="10" t="str">
        <f ca="1">TEXT( INDIRECT( ADDRESS( ROW() + Row_Offset, INDIRECT( "Column_Number_" &amp; E$1), 4,1, tabname) ), "####")</f>
        <v/>
      </c>
      <c r="F168" s="15"/>
      <c r="G168" s="21" t="str">
        <f ca="1">IFERROR(INDEX(Rank_Table[],MATCH($D168&amp;$A168,Table4[Join],0)),"")</f>
        <v/>
      </c>
      <c r="H168" s="11" t="str">
        <f ca="1">IF(AND(D168="Juvenile Audiobook",LEFT(B168,8)="J CD BIO"),RIGHT(B168,LEN(B168)-9),
IF(AND(D168="Juvenile Audiobook",LEFT(B168,8)="J CD FIC"),B168,
IF(D168="Juvenile Audiobook",RIGHT(B168,LEN(B168)-5),
IF(AND(D168="Teen Audiobook",LEFT(B168,11)="TEEN CD BIO"),RIGHT(B168,LEN(B168)-12),
IF(AND(D168="Teen Audiobook",LEFT(B168,11)="TEEN CD FIC"),B168,
IF(D168="Juvenile Audiobook",RIGHT(B168,LEN(B168)-8),
IF(D168="Juvenile Nonfiction",RIGHT(B168,LEN(B168)-2),
IF(D168="Teen Nonfiction",RIGHT(B168,LEN(B168)-5),
IF(AND(D168="Audiobook",
              NOT(OR(Contains($B168,"CD BIO"),Contains($B168,"CD FIC")))),RIGHT(B168,LEN(B168)-3),
IF(D168="Juvenile Biography",RIGHT(B168,LEN(B168)-2),
IF(D168="Teen Biography",RIGHT(B168,LEN(B168)-5),
IF(AND(D168="Audiobook",
              IFERROR(FIND("BIO",$B168)&gt;0,FALSE)),RIGHT(B168,LEN(B168)-3),
IF(D168="Juvenile Large Type","J "&amp;RIGHT(B168,LEN(B168)-11),
IF(D168="Teen Large Type","TEEN "&amp;RIGHT(B168,LEN(B168)-14),
IF(D168="Reference",RIGHT(B168,LEN(B168)-4),
IF(D168="DVD Educational",RIGHT(B168,LEN(B168)-7),
IF(D168="Juvenile DVD Educational",RIGHT(B168,LEN(B168)-9),
B168)))))))))))))))))</f>
        <v/>
      </c>
    </row>
    <row r="169" spans="1:8" ht="27" customHeight="1" x14ac:dyDescent="0.25">
      <c r="A169" s="10" t="str">
        <f ca="1">TEXT( INDIRECT( ADDRESS( ROW() + Row_Offset, INDIRECT( "Column_Number_" &amp; A$1), 4,1, tabname) ), "")</f>
        <v/>
      </c>
      <c r="B169" s="10" t="str">
        <f ca="1">TEXT(  IFERROR( VLOOKUP( $D169, CollName_Simplifier_Table[], 2, FALSE),"") &amp;
        INDIRECT( ADDRESS( ROW() + Row_Offset, INDIRECT( "Column_Number_" &amp; $B$1), 4,1, tabname) ), "")</f>
        <v/>
      </c>
      <c r="C169" s="10" t="str">
        <f ca="1">TEXT( INDIRECT( ADDRESS( ROW() + Row_Offset, INDIRECT( "Column_Number_" &amp; C$1), 4,1, tabname) ), "")</f>
        <v/>
      </c>
      <c r="D169" s="10" t="str">
        <f ca="1">TEXT( INDIRECT( ADDRESS( ROW() + Row_Offset, INDIRECT( "Column_Number_" &amp; D$1), 4,1, tabname) ), "")</f>
        <v/>
      </c>
      <c r="E169" s="10" t="str">
        <f ca="1">TEXT( INDIRECT( ADDRESS( ROW() + Row_Offset, INDIRECT( "Column_Number_" &amp; E$1), 4,1, tabname) ), "####")</f>
        <v/>
      </c>
      <c r="F169" s="15"/>
      <c r="G169" s="21" t="str">
        <f ca="1">IFERROR(INDEX(Rank_Table[],MATCH($D169&amp;$A169,Table4[Join],0)),"")</f>
        <v/>
      </c>
      <c r="H169" s="11" t="str">
        <f ca="1">IF(AND(D169="Juvenile Audiobook",LEFT(B169,8)="J CD BIO"),RIGHT(B169,LEN(B169)-9),
IF(AND(D169="Juvenile Audiobook",LEFT(B169,8)="J CD FIC"),B169,
IF(D169="Juvenile Audiobook",RIGHT(B169,LEN(B169)-5),
IF(AND(D169="Teen Audiobook",LEFT(B169,11)="TEEN CD BIO"),RIGHT(B169,LEN(B169)-12),
IF(AND(D169="Teen Audiobook",LEFT(B169,11)="TEEN CD FIC"),B169,
IF(D169="Juvenile Audiobook",RIGHT(B169,LEN(B169)-8),
IF(D169="Juvenile Nonfiction",RIGHT(B169,LEN(B169)-2),
IF(D169="Teen Nonfiction",RIGHT(B169,LEN(B169)-5),
IF(AND(D169="Audiobook",
              NOT(OR(Contains($B169,"CD BIO"),Contains($B169,"CD FIC")))),RIGHT(B169,LEN(B169)-3),
IF(D169="Juvenile Biography",RIGHT(B169,LEN(B169)-2),
IF(D169="Teen Biography",RIGHT(B169,LEN(B169)-5),
IF(AND(D169="Audiobook",
              IFERROR(FIND("BIO",$B169)&gt;0,FALSE)),RIGHT(B169,LEN(B169)-3),
IF(D169="Juvenile Large Type","J "&amp;RIGHT(B169,LEN(B169)-11),
IF(D169="Teen Large Type","TEEN "&amp;RIGHT(B169,LEN(B169)-14),
IF(D169="Reference",RIGHT(B169,LEN(B169)-4),
IF(D169="DVD Educational",RIGHT(B169,LEN(B169)-7),
IF(D169="Juvenile DVD Educational",RIGHT(B169,LEN(B169)-9),
B169)))))))))))))))))</f>
        <v/>
      </c>
    </row>
    <row r="170" spans="1:8" ht="27" customHeight="1" x14ac:dyDescent="0.25">
      <c r="A170" s="10" t="str">
        <f ca="1">TEXT( INDIRECT( ADDRESS( ROW() + Row_Offset, INDIRECT( "Column_Number_" &amp; A$1), 4,1, tabname) ), "")</f>
        <v/>
      </c>
      <c r="B170" s="10" t="str">
        <f ca="1">TEXT(  IFERROR( VLOOKUP( $D170, CollName_Simplifier_Table[], 2, FALSE),"") &amp;
        INDIRECT( ADDRESS( ROW() + Row_Offset, INDIRECT( "Column_Number_" &amp; $B$1), 4,1, tabname) ), "")</f>
        <v/>
      </c>
      <c r="C170" s="10" t="str">
        <f ca="1">TEXT( INDIRECT( ADDRESS( ROW() + Row_Offset, INDIRECT( "Column_Number_" &amp; C$1), 4,1, tabname) ), "")</f>
        <v/>
      </c>
      <c r="D170" s="10" t="str">
        <f ca="1">TEXT( INDIRECT( ADDRESS( ROW() + Row_Offset, INDIRECT( "Column_Number_" &amp; D$1), 4,1, tabname) ), "")</f>
        <v/>
      </c>
      <c r="E170" s="10" t="str">
        <f ca="1">TEXT( INDIRECT( ADDRESS( ROW() + Row_Offset, INDIRECT( "Column_Number_" &amp; E$1), 4,1, tabname) ), "####")</f>
        <v/>
      </c>
      <c r="F170" s="15"/>
      <c r="G170" s="21" t="str">
        <f ca="1">IFERROR(INDEX(Rank_Table[],MATCH($D170&amp;$A170,Table4[Join],0)),"")</f>
        <v/>
      </c>
      <c r="H170" s="11" t="str">
        <f ca="1">IF(AND(D170="Juvenile Audiobook",LEFT(B170,8)="J CD BIO"),RIGHT(B170,LEN(B170)-9),
IF(AND(D170="Juvenile Audiobook",LEFT(B170,8)="J CD FIC"),B170,
IF(D170="Juvenile Audiobook",RIGHT(B170,LEN(B170)-5),
IF(AND(D170="Teen Audiobook",LEFT(B170,11)="TEEN CD BIO"),RIGHT(B170,LEN(B170)-12),
IF(AND(D170="Teen Audiobook",LEFT(B170,11)="TEEN CD FIC"),B170,
IF(D170="Juvenile Audiobook",RIGHT(B170,LEN(B170)-8),
IF(D170="Juvenile Nonfiction",RIGHT(B170,LEN(B170)-2),
IF(D170="Teen Nonfiction",RIGHT(B170,LEN(B170)-5),
IF(AND(D170="Audiobook",
              NOT(OR(Contains($B170,"CD BIO"),Contains($B170,"CD FIC")))),RIGHT(B170,LEN(B170)-3),
IF(D170="Juvenile Biography",RIGHT(B170,LEN(B170)-2),
IF(D170="Teen Biography",RIGHT(B170,LEN(B170)-5),
IF(AND(D170="Audiobook",
              IFERROR(FIND("BIO",$B170)&gt;0,FALSE)),RIGHT(B170,LEN(B170)-3),
IF(D170="Juvenile Large Type","J "&amp;RIGHT(B170,LEN(B170)-11),
IF(D170="Teen Large Type","TEEN "&amp;RIGHT(B170,LEN(B170)-14),
IF(D170="Reference",RIGHT(B170,LEN(B170)-4),
IF(D170="DVD Educational",RIGHT(B170,LEN(B170)-7),
IF(D170="Juvenile DVD Educational",RIGHT(B170,LEN(B170)-9),
B170)))))))))))))))))</f>
        <v/>
      </c>
    </row>
    <row r="171" spans="1:8" ht="27" customHeight="1" x14ac:dyDescent="0.25">
      <c r="A171" s="10" t="str">
        <f ca="1">TEXT( INDIRECT( ADDRESS( ROW() + Row_Offset, INDIRECT( "Column_Number_" &amp; A$1), 4,1, tabname) ), "")</f>
        <v/>
      </c>
      <c r="B171" s="10" t="str">
        <f ca="1">TEXT(  IFERROR( VLOOKUP( $D171, CollName_Simplifier_Table[], 2, FALSE),"") &amp;
        INDIRECT( ADDRESS( ROW() + Row_Offset, INDIRECT( "Column_Number_" &amp; $B$1), 4,1, tabname) ), "")</f>
        <v/>
      </c>
      <c r="C171" s="10" t="str">
        <f ca="1">TEXT( INDIRECT( ADDRESS( ROW() + Row_Offset, INDIRECT( "Column_Number_" &amp; C$1), 4,1, tabname) ), "")</f>
        <v/>
      </c>
      <c r="D171" s="10" t="str">
        <f ca="1">TEXT( INDIRECT( ADDRESS( ROW() + Row_Offset, INDIRECT( "Column_Number_" &amp; D$1), 4,1, tabname) ), "")</f>
        <v/>
      </c>
      <c r="E171" s="10" t="str">
        <f ca="1">TEXT( INDIRECT( ADDRESS( ROW() + Row_Offset, INDIRECT( "Column_Number_" &amp; E$1), 4,1, tabname) ), "####")</f>
        <v/>
      </c>
      <c r="F171" s="15"/>
      <c r="G171" s="21" t="str">
        <f ca="1">IFERROR(INDEX(Rank_Table[],MATCH($D171&amp;$A171,Table4[Join],0)),"")</f>
        <v/>
      </c>
      <c r="H171" s="11" t="str">
        <f ca="1">IF(AND(D171="Juvenile Audiobook",LEFT(B171,8)="J CD BIO"),RIGHT(B171,LEN(B171)-9),
IF(AND(D171="Juvenile Audiobook",LEFT(B171,8)="J CD FIC"),B171,
IF(D171="Juvenile Audiobook",RIGHT(B171,LEN(B171)-5),
IF(AND(D171="Teen Audiobook",LEFT(B171,11)="TEEN CD BIO"),RIGHT(B171,LEN(B171)-12),
IF(AND(D171="Teen Audiobook",LEFT(B171,11)="TEEN CD FIC"),B171,
IF(D171="Juvenile Audiobook",RIGHT(B171,LEN(B171)-8),
IF(D171="Juvenile Nonfiction",RIGHT(B171,LEN(B171)-2),
IF(D171="Teen Nonfiction",RIGHT(B171,LEN(B171)-5),
IF(AND(D171="Audiobook",
              NOT(OR(Contains($B171,"CD BIO"),Contains($B171,"CD FIC")))),RIGHT(B171,LEN(B171)-3),
IF(D171="Juvenile Biography",RIGHT(B171,LEN(B171)-2),
IF(D171="Teen Biography",RIGHT(B171,LEN(B171)-5),
IF(AND(D171="Audiobook",
              IFERROR(FIND("BIO",$B171)&gt;0,FALSE)),RIGHT(B171,LEN(B171)-3),
IF(D171="Juvenile Large Type","J "&amp;RIGHT(B171,LEN(B171)-11),
IF(D171="Teen Large Type","TEEN "&amp;RIGHT(B171,LEN(B171)-14),
IF(D171="Reference",RIGHT(B171,LEN(B171)-4),
IF(D171="DVD Educational",RIGHT(B171,LEN(B171)-7),
IF(D171="Juvenile DVD Educational",RIGHT(B171,LEN(B171)-9),
B171)))))))))))))))))</f>
        <v/>
      </c>
    </row>
    <row r="172" spans="1:8" ht="27" customHeight="1" x14ac:dyDescent="0.25">
      <c r="A172" s="10" t="str">
        <f ca="1">TEXT( INDIRECT( ADDRESS( ROW() + Row_Offset, INDIRECT( "Column_Number_" &amp; A$1), 4,1, tabname) ), "")</f>
        <v/>
      </c>
      <c r="B172" s="10" t="str">
        <f ca="1">TEXT(  IFERROR( VLOOKUP( $D172, CollName_Simplifier_Table[], 2, FALSE),"") &amp;
        INDIRECT( ADDRESS( ROW() + Row_Offset, INDIRECT( "Column_Number_" &amp; $B$1), 4,1, tabname) ), "")</f>
        <v/>
      </c>
      <c r="C172" s="10" t="str">
        <f ca="1">TEXT( INDIRECT( ADDRESS( ROW() + Row_Offset, INDIRECT( "Column_Number_" &amp; C$1), 4,1, tabname) ), "")</f>
        <v/>
      </c>
      <c r="D172" s="10" t="str">
        <f ca="1">TEXT( INDIRECT( ADDRESS( ROW() + Row_Offset, INDIRECT( "Column_Number_" &amp; D$1), 4,1, tabname) ), "")</f>
        <v/>
      </c>
      <c r="E172" s="10" t="str">
        <f ca="1">TEXT( INDIRECT( ADDRESS( ROW() + Row_Offset, INDIRECT( "Column_Number_" &amp; E$1), 4,1, tabname) ), "####")</f>
        <v/>
      </c>
      <c r="F172" s="15"/>
      <c r="G172" s="21" t="str">
        <f ca="1">IFERROR(INDEX(Rank_Table[],MATCH($D172&amp;$A172,Table4[Join],0)),"")</f>
        <v/>
      </c>
      <c r="H172" s="11" t="str">
        <f ca="1">IF(AND(D172="Juvenile Audiobook",LEFT(B172,8)="J CD BIO"),RIGHT(B172,LEN(B172)-9),
IF(AND(D172="Juvenile Audiobook",LEFT(B172,8)="J CD FIC"),B172,
IF(D172="Juvenile Audiobook",RIGHT(B172,LEN(B172)-5),
IF(AND(D172="Teen Audiobook",LEFT(B172,11)="TEEN CD BIO"),RIGHT(B172,LEN(B172)-12),
IF(AND(D172="Teen Audiobook",LEFT(B172,11)="TEEN CD FIC"),B172,
IF(D172="Juvenile Audiobook",RIGHT(B172,LEN(B172)-8),
IF(D172="Juvenile Nonfiction",RIGHT(B172,LEN(B172)-2),
IF(D172="Teen Nonfiction",RIGHT(B172,LEN(B172)-5),
IF(AND(D172="Audiobook",
              NOT(OR(Contains($B172,"CD BIO"),Contains($B172,"CD FIC")))),RIGHT(B172,LEN(B172)-3),
IF(D172="Juvenile Biography",RIGHT(B172,LEN(B172)-2),
IF(D172="Teen Biography",RIGHT(B172,LEN(B172)-5),
IF(AND(D172="Audiobook",
              IFERROR(FIND("BIO",$B172)&gt;0,FALSE)),RIGHT(B172,LEN(B172)-3),
IF(D172="Juvenile Large Type","J "&amp;RIGHT(B172,LEN(B172)-11),
IF(D172="Teen Large Type","TEEN "&amp;RIGHT(B172,LEN(B172)-14),
IF(D172="Reference",RIGHT(B172,LEN(B172)-4),
IF(D172="DVD Educational",RIGHT(B172,LEN(B172)-7),
IF(D172="Juvenile DVD Educational",RIGHT(B172,LEN(B172)-9),
B172)))))))))))))))))</f>
        <v/>
      </c>
    </row>
    <row r="173" spans="1:8" ht="27" customHeight="1" x14ac:dyDescent="0.25">
      <c r="A173" s="10" t="str">
        <f ca="1">TEXT( INDIRECT( ADDRESS( ROW() + Row_Offset, INDIRECT( "Column_Number_" &amp; A$1), 4,1, tabname) ), "")</f>
        <v/>
      </c>
      <c r="B173" s="10" t="str">
        <f ca="1">TEXT(  IFERROR( VLOOKUP( $D173, CollName_Simplifier_Table[], 2, FALSE),"") &amp;
        INDIRECT( ADDRESS( ROW() + Row_Offset, INDIRECT( "Column_Number_" &amp; $B$1), 4,1, tabname) ), "")</f>
        <v/>
      </c>
      <c r="C173" s="10" t="str">
        <f ca="1">TEXT( INDIRECT( ADDRESS( ROW() + Row_Offset, INDIRECT( "Column_Number_" &amp; C$1), 4,1, tabname) ), "")</f>
        <v/>
      </c>
      <c r="D173" s="10" t="str">
        <f ca="1">TEXT( INDIRECT( ADDRESS( ROW() + Row_Offset, INDIRECT( "Column_Number_" &amp; D$1), 4,1, tabname) ), "")</f>
        <v/>
      </c>
      <c r="E173" s="10" t="str">
        <f ca="1">TEXT( INDIRECT( ADDRESS( ROW() + Row_Offset, INDIRECT( "Column_Number_" &amp; E$1), 4,1, tabname) ), "####")</f>
        <v/>
      </c>
      <c r="F173" s="15"/>
      <c r="G173" s="21" t="str">
        <f ca="1">IFERROR(INDEX(Rank_Table[],MATCH($D173&amp;$A173,Table4[Join],0)),"")</f>
        <v/>
      </c>
      <c r="H173" s="11" t="str">
        <f ca="1">IF(AND(D173="Juvenile Audiobook",LEFT(B173,8)="J CD BIO"),RIGHT(B173,LEN(B173)-9),
IF(AND(D173="Juvenile Audiobook",LEFT(B173,8)="J CD FIC"),B173,
IF(D173="Juvenile Audiobook",RIGHT(B173,LEN(B173)-5),
IF(AND(D173="Teen Audiobook",LEFT(B173,11)="TEEN CD BIO"),RIGHT(B173,LEN(B173)-12),
IF(AND(D173="Teen Audiobook",LEFT(B173,11)="TEEN CD FIC"),B173,
IF(D173="Juvenile Audiobook",RIGHT(B173,LEN(B173)-8),
IF(D173="Juvenile Nonfiction",RIGHT(B173,LEN(B173)-2),
IF(D173="Teen Nonfiction",RIGHT(B173,LEN(B173)-5),
IF(AND(D173="Audiobook",
              NOT(OR(Contains($B173,"CD BIO"),Contains($B173,"CD FIC")))),RIGHT(B173,LEN(B173)-3),
IF(D173="Juvenile Biography",RIGHT(B173,LEN(B173)-2),
IF(D173="Teen Biography",RIGHT(B173,LEN(B173)-5),
IF(AND(D173="Audiobook",
              IFERROR(FIND("BIO",$B173)&gt;0,FALSE)),RIGHT(B173,LEN(B173)-3),
IF(D173="Juvenile Large Type","J "&amp;RIGHT(B173,LEN(B173)-11),
IF(D173="Teen Large Type","TEEN "&amp;RIGHT(B173,LEN(B173)-14),
IF(D173="Reference",RIGHT(B173,LEN(B173)-4),
IF(D173="DVD Educational",RIGHT(B173,LEN(B173)-7),
IF(D173="Juvenile DVD Educational",RIGHT(B173,LEN(B173)-9),
B173)))))))))))))))))</f>
        <v/>
      </c>
    </row>
    <row r="174" spans="1:8" ht="27" customHeight="1" x14ac:dyDescent="0.25">
      <c r="A174" s="10" t="str">
        <f ca="1">TEXT( INDIRECT( ADDRESS( ROW() + Row_Offset, INDIRECT( "Column_Number_" &amp; A$1), 4,1, tabname) ), "")</f>
        <v/>
      </c>
      <c r="B174" s="10" t="str">
        <f ca="1">TEXT(  IFERROR( VLOOKUP( $D174, CollName_Simplifier_Table[], 2, FALSE),"") &amp;
        INDIRECT( ADDRESS( ROW() + Row_Offset, INDIRECT( "Column_Number_" &amp; $B$1), 4,1, tabname) ), "")</f>
        <v/>
      </c>
      <c r="C174" s="10" t="str">
        <f ca="1">TEXT( INDIRECT( ADDRESS( ROW() + Row_Offset, INDIRECT( "Column_Number_" &amp; C$1), 4,1, tabname) ), "")</f>
        <v/>
      </c>
      <c r="D174" s="10" t="str">
        <f ca="1">TEXT( INDIRECT( ADDRESS( ROW() + Row_Offset, INDIRECT( "Column_Number_" &amp; D$1), 4,1, tabname) ), "")</f>
        <v/>
      </c>
      <c r="E174" s="10" t="str">
        <f ca="1">TEXT( INDIRECT( ADDRESS( ROW() + Row_Offset, INDIRECT( "Column_Number_" &amp; E$1), 4,1, tabname) ), "####")</f>
        <v/>
      </c>
      <c r="F174" s="15"/>
      <c r="G174" s="21" t="str">
        <f ca="1">IFERROR(INDEX(Rank_Table[],MATCH($D174&amp;$A174,Table4[Join],0)),"")</f>
        <v/>
      </c>
      <c r="H174" s="11" t="str">
        <f ca="1">IF(AND(D174="Juvenile Audiobook",LEFT(B174,8)="J CD BIO"),RIGHT(B174,LEN(B174)-9),
IF(AND(D174="Juvenile Audiobook",LEFT(B174,8)="J CD FIC"),B174,
IF(D174="Juvenile Audiobook",RIGHT(B174,LEN(B174)-5),
IF(AND(D174="Teen Audiobook",LEFT(B174,11)="TEEN CD BIO"),RIGHT(B174,LEN(B174)-12),
IF(AND(D174="Teen Audiobook",LEFT(B174,11)="TEEN CD FIC"),B174,
IF(D174="Juvenile Audiobook",RIGHT(B174,LEN(B174)-8),
IF(D174="Juvenile Nonfiction",RIGHT(B174,LEN(B174)-2),
IF(D174="Teen Nonfiction",RIGHT(B174,LEN(B174)-5),
IF(AND(D174="Audiobook",
              NOT(OR(Contains($B174,"CD BIO"),Contains($B174,"CD FIC")))),RIGHT(B174,LEN(B174)-3),
IF(D174="Juvenile Biography",RIGHT(B174,LEN(B174)-2),
IF(D174="Teen Biography",RIGHT(B174,LEN(B174)-5),
IF(AND(D174="Audiobook",
              IFERROR(FIND("BIO",$B174)&gt;0,FALSE)),RIGHT(B174,LEN(B174)-3),
IF(D174="Juvenile Large Type","J "&amp;RIGHT(B174,LEN(B174)-11),
IF(D174="Teen Large Type","TEEN "&amp;RIGHT(B174,LEN(B174)-14),
IF(D174="Reference",RIGHT(B174,LEN(B174)-4),
IF(D174="DVD Educational",RIGHT(B174,LEN(B174)-7),
IF(D174="Juvenile DVD Educational",RIGHT(B174,LEN(B174)-9),
B174)))))))))))))))))</f>
        <v/>
      </c>
    </row>
    <row r="175" spans="1:8" ht="27" customHeight="1" x14ac:dyDescent="0.25">
      <c r="A175" s="10" t="str">
        <f ca="1">TEXT( INDIRECT( ADDRESS( ROW() + Row_Offset, INDIRECT( "Column_Number_" &amp; A$1), 4,1, tabname) ), "")</f>
        <v/>
      </c>
      <c r="B175" s="10" t="str">
        <f ca="1">TEXT(  IFERROR( VLOOKUP( $D175, CollName_Simplifier_Table[], 2, FALSE),"") &amp;
        INDIRECT( ADDRESS( ROW() + Row_Offset, INDIRECT( "Column_Number_" &amp; $B$1), 4,1, tabname) ), "")</f>
        <v/>
      </c>
      <c r="C175" s="10" t="str">
        <f ca="1">TEXT( INDIRECT( ADDRESS( ROW() + Row_Offset, INDIRECT( "Column_Number_" &amp; C$1), 4,1, tabname) ), "")</f>
        <v/>
      </c>
      <c r="D175" s="10" t="str">
        <f ca="1">TEXT( INDIRECT( ADDRESS( ROW() + Row_Offset, INDIRECT( "Column_Number_" &amp; D$1), 4,1, tabname) ), "")</f>
        <v/>
      </c>
      <c r="E175" s="10" t="str">
        <f ca="1">TEXT( INDIRECT( ADDRESS( ROW() + Row_Offset, INDIRECT( "Column_Number_" &amp; E$1), 4,1, tabname) ), "####")</f>
        <v/>
      </c>
      <c r="F175" s="15"/>
      <c r="G175" s="21" t="str">
        <f ca="1">IFERROR(INDEX(Rank_Table[],MATCH($D175&amp;$A175,Table4[Join],0)),"")</f>
        <v/>
      </c>
      <c r="H175" s="11" t="str">
        <f ca="1">IF(AND(D175="Juvenile Audiobook",LEFT(B175,8)="J CD BIO"),RIGHT(B175,LEN(B175)-9),
IF(AND(D175="Juvenile Audiobook",LEFT(B175,8)="J CD FIC"),B175,
IF(D175="Juvenile Audiobook",RIGHT(B175,LEN(B175)-5),
IF(AND(D175="Teen Audiobook",LEFT(B175,11)="TEEN CD BIO"),RIGHT(B175,LEN(B175)-12),
IF(AND(D175="Teen Audiobook",LEFT(B175,11)="TEEN CD FIC"),B175,
IF(D175="Juvenile Audiobook",RIGHT(B175,LEN(B175)-8),
IF(D175="Juvenile Nonfiction",RIGHT(B175,LEN(B175)-2),
IF(D175="Teen Nonfiction",RIGHT(B175,LEN(B175)-5),
IF(AND(D175="Audiobook",
              NOT(OR(Contains($B175,"CD BIO"),Contains($B175,"CD FIC")))),RIGHT(B175,LEN(B175)-3),
IF(D175="Juvenile Biography",RIGHT(B175,LEN(B175)-2),
IF(D175="Teen Biography",RIGHT(B175,LEN(B175)-5),
IF(AND(D175="Audiobook",
              IFERROR(FIND("BIO",$B175)&gt;0,FALSE)),RIGHT(B175,LEN(B175)-3),
IF(D175="Juvenile Large Type","J "&amp;RIGHT(B175,LEN(B175)-11),
IF(D175="Teen Large Type","TEEN "&amp;RIGHT(B175,LEN(B175)-14),
IF(D175="Reference",RIGHT(B175,LEN(B175)-4),
IF(D175="DVD Educational",RIGHT(B175,LEN(B175)-7),
IF(D175="Juvenile DVD Educational",RIGHT(B175,LEN(B175)-9),
B175)))))))))))))))))</f>
        <v/>
      </c>
    </row>
    <row r="176" spans="1:8" ht="27" customHeight="1" x14ac:dyDescent="0.25">
      <c r="A176" s="10" t="str">
        <f ca="1">TEXT( INDIRECT( ADDRESS( ROW() + Row_Offset, INDIRECT( "Column_Number_" &amp; A$1), 4,1, tabname) ), "")</f>
        <v/>
      </c>
      <c r="B176" s="10" t="str">
        <f ca="1">TEXT(  IFERROR( VLOOKUP( $D176, CollName_Simplifier_Table[], 2, FALSE),"") &amp;
        INDIRECT( ADDRESS( ROW() + Row_Offset, INDIRECT( "Column_Number_" &amp; $B$1), 4,1, tabname) ), "")</f>
        <v/>
      </c>
      <c r="C176" s="10" t="str">
        <f ca="1">TEXT( INDIRECT( ADDRESS( ROW() + Row_Offset, INDIRECT( "Column_Number_" &amp; C$1), 4,1, tabname) ), "")</f>
        <v/>
      </c>
      <c r="D176" s="10" t="str">
        <f ca="1">TEXT( INDIRECT( ADDRESS( ROW() + Row_Offset, INDIRECT( "Column_Number_" &amp; D$1), 4,1, tabname) ), "")</f>
        <v/>
      </c>
      <c r="E176" s="10" t="str">
        <f ca="1">TEXT( INDIRECT( ADDRESS( ROW() + Row_Offset, INDIRECT( "Column_Number_" &amp; E$1), 4,1, tabname) ), "####")</f>
        <v/>
      </c>
      <c r="F176" s="15"/>
      <c r="G176" s="21" t="str">
        <f ca="1">IFERROR(INDEX(Rank_Table[],MATCH($D176&amp;$A176,Table4[Join],0)),"")</f>
        <v/>
      </c>
      <c r="H176" s="11" t="str">
        <f ca="1">IF(AND(D176="Juvenile Audiobook",LEFT(B176,8)="J CD BIO"),RIGHT(B176,LEN(B176)-9),
IF(AND(D176="Juvenile Audiobook",LEFT(B176,8)="J CD FIC"),B176,
IF(D176="Juvenile Audiobook",RIGHT(B176,LEN(B176)-5),
IF(AND(D176="Teen Audiobook",LEFT(B176,11)="TEEN CD BIO"),RIGHT(B176,LEN(B176)-12),
IF(AND(D176="Teen Audiobook",LEFT(B176,11)="TEEN CD FIC"),B176,
IF(D176="Juvenile Audiobook",RIGHT(B176,LEN(B176)-8),
IF(D176="Juvenile Nonfiction",RIGHT(B176,LEN(B176)-2),
IF(D176="Teen Nonfiction",RIGHT(B176,LEN(B176)-5),
IF(AND(D176="Audiobook",
              NOT(OR(Contains($B176,"CD BIO"),Contains($B176,"CD FIC")))),RIGHT(B176,LEN(B176)-3),
IF(D176="Juvenile Biography",RIGHT(B176,LEN(B176)-2),
IF(D176="Teen Biography",RIGHT(B176,LEN(B176)-5),
IF(AND(D176="Audiobook",
              IFERROR(FIND("BIO",$B176)&gt;0,FALSE)),RIGHT(B176,LEN(B176)-3),
IF(D176="Juvenile Large Type","J "&amp;RIGHT(B176,LEN(B176)-11),
IF(D176="Teen Large Type","TEEN "&amp;RIGHT(B176,LEN(B176)-14),
IF(D176="Reference",RIGHT(B176,LEN(B176)-4),
IF(D176="DVD Educational",RIGHT(B176,LEN(B176)-7),
IF(D176="Juvenile DVD Educational",RIGHT(B176,LEN(B176)-9),
B176)))))))))))))))))</f>
        <v/>
      </c>
    </row>
    <row r="177" spans="1:8" ht="27" customHeight="1" x14ac:dyDescent="0.25">
      <c r="A177" s="10" t="str">
        <f ca="1">TEXT( INDIRECT( ADDRESS( ROW() + Row_Offset, INDIRECT( "Column_Number_" &amp; A$1), 4,1, tabname) ), "")</f>
        <v/>
      </c>
      <c r="B177" s="10" t="str">
        <f ca="1">TEXT(  IFERROR( VLOOKUP( $D177, CollName_Simplifier_Table[], 2, FALSE),"") &amp;
        INDIRECT( ADDRESS( ROW() + Row_Offset, INDIRECT( "Column_Number_" &amp; $B$1), 4,1, tabname) ), "")</f>
        <v/>
      </c>
      <c r="C177" s="10" t="str">
        <f ca="1">TEXT( INDIRECT( ADDRESS( ROW() + Row_Offset, INDIRECT( "Column_Number_" &amp; C$1), 4,1, tabname) ), "")</f>
        <v/>
      </c>
      <c r="D177" s="10" t="str">
        <f ca="1">TEXT( INDIRECT( ADDRESS( ROW() + Row_Offset, INDIRECT( "Column_Number_" &amp; D$1), 4,1, tabname) ), "")</f>
        <v/>
      </c>
      <c r="E177" s="10" t="str">
        <f ca="1">TEXT( INDIRECT( ADDRESS( ROW() + Row_Offset, INDIRECT( "Column_Number_" &amp; E$1), 4,1, tabname) ), "####")</f>
        <v/>
      </c>
      <c r="F177" s="15"/>
      <c r="G177" s="21" t="str">
        <f ca="1">IFERROR(INDEX(Rank_Table[],MATCH($D177&amp;$A177,Table4[Join],0)),"")</f>
        <v/>
      </c>
      <c r="H177" s="11" t="str">
        <f ca="1">IF(AND(D177="Juvenile Audiobook",LEFT(B177,8)="J CD BIO"),RIGHT(B177,LEN(B177)-9),
IF(AND(D177="Juvenile Audiobook",LEFT(B177,8)="J CD FIC"),B177,
IF(D177="Juvenile Audiobook",RIGHT(B177,LEN(B177)-5),
IF(AND(D177="Teen Audiobook",LEFT(B177,11)="TEEN CD BIO"),RIGHT(B177,LEN(B177)-12),
IF(AND(D177="Teen Audiobook",LEFT(B177,11)="TEEN CD FIC"),B177,
IF(D177="Juvenile Audiobook",RIGHT(B177,LEN(B177)-8),
IF(D177="Juvenile Nonfiction",RIGHT(B177,LEN(B177)-2),
IF(D177="Teen Nonfiction",RIGHT(B177,LEN(B177)-5),
IF(AND(D177="Audiobook",
              NOT(OR(Contains($B177,"CD BIO"),Contains($B177,"CD FIC")))),RIGHT(B177,LEN(B177)-3),
IF(D177="Juvenile Biography",RIGHT(B177,LEN(B177)-2),
IF(D177="Teen Biography",RIGHT(B177,LEN(B177)-5),
IF(AND(D177="Audiobook",
              IFERROR(FIND("BIO",$B177)&gt;0,FALSE)),RIGHT(B177,LEN(B177)-3),
IF(D177="Juvenile Large Type","J "&amp;RIGHT(B177,LEN(B177)-11),
IF(D177="Teen Large Type","TEEN "&amp;RIGHT(B177,LEN(B177)-14),
IF(D177="Reference",RIGHT(B177,LEN(B177)-4),
IF(D177="DVD Educational",RIGHT(B177,LEN(B177)-7),
IF(D177="Juvenile DVD Educational",RIGHT(B177,LEN(B177)-9),
B177)))))))))))))))))</f>
        <v/>
      </c>
    </row>
    <row r="178" spans="1:8" ht="27" customHeight="1" x14ac:dyDescent="0.25">
      <c r="A178" s="10" t="str">
        <f ca="1">TEXT( INDIRECT( ADDRESS( ROW() + Row_Offset, INDIRECT( "Column_Number_" &amp; A$1), 4,1, tabname) ), "")</f>
        <v/>
      </c>
      <c r="B178" s="10" t="str">
        <f ca="1">TEXT(  IFERROR( VLOOKUP( $D178, CollName_Simplifier_Table[], 2, FALSE),"") &amp;
        INDIRECT( ADDRESS( ROW() + Row_Offset, INDIRECT( "Column_Number_" &amp; $B$1), 4,1, tabname) ), "")</f>
        <v/>
      </c>
      <c r="C178" s="10" t="str">
        <f ca="1">TEXT( INDIRECT( ADDRESS( ROW() + Row_Offset, INDIRECT( "Column_Number_" &amp; C$1), 4,1, tabname) ), "")</f>
        <v/>
      </c>
      <c r="D178" s="10" t="str">
        <f ca="1">TEXT( INDIRECT( ADDRESS( ROW() + Row_Offset, INDIRECT( "Column_Number_" &amp; D$1), 4,1, tabname) ), "")</f>
        <v/>
      </c>
      <c r="E178" s="10" t="str">
        <f ca="1">TEXT( INDIRECT( ADDRESS( ROW() + Row_Offset, INDIRECT( "Column_Number_" &amp; E$1), 4,1, tabname) ), "####")</f>
        <v/>
      </c>
      <c r="F178" s="15"/>
      <c r="G178" s="21" t="str">
        <f ca="1">IFERROR(INDEX(Rank_Table[],MATCH($D178&amp;$A178,Table4[Join],0)),"")</f>
        <v/>
      </c>
      <c r="H178" s="11" t="str">
        <f ca="1">IF(AND(D178="Juvenile Audiobook",LEFT(B178,8)="J CD BIO"),RIGHT(B178,LEN(B178)-9),
IF(AND(D178="Juvenile Audiobook",LEFT(B178,8)="J CD FIC"),B178,
IF(D178="Juvenile Audiobook",RIGHT(B178,LEN(B178)-5),
IF(AND(D178="Teen Audiobook",LEFT(B178,11)="TEEN CD BIO"),RIGHT(B178,LEN(B178)-12),
IF(AND(D178="Teen Audiobook",LEFT(B178,11)="TEEN CD FIC"),B178,
IF(D178="Juvenile Audiobook",RIGHT(B178,LEN(B178)-8),
IF(D178="Juvenile Nonfiction",RIGHT(B178,LEN(B178)-2),
IF(D178="Teen Nonfiction",RIGHT(B178,LEN(B178)-5),
IF(AND(D178="Audiobook",
              NOT(OR(Contains($B178,"CD BIO"),Contains($B178,"CD FIC")))),RIGHT(B178,LEN(B178)-3),
IF(D178="Juvenile Biography",RIGHT(B178,LEN(B178)-2),
IF(D178="Teen Biography",RIGHT(B178,LEN(B178)-5),
IF(AND(D178="Audiobook",
              IFERROR(FIND("BIO",$B178)&gt;0,FALSE)),RIGHT(B178,LEN(B178)-3),
IF(D178="Juvenile Large Type","J "&amp;RIGHT(B178,LEN(B178)-11),
IF(D178="Teen Large Type","TEEN "&amp;RIGHT(B178,LEN(B178)-14),
IF(D178="Reference",RIGHT(B178,LEN(B178)-4),
IF(D178="DVD Educational",RIGHT(B178,LEN(B178)-7),
IF(D178="Juvenile DVD Educational",RIGHT(B178,LEN(B178)-9),
B178)))))))))))))))))</f>
        <v/>
      </c>
    </row>
    <row r="179" spans="1:8" ht="27" customHeight="1" x14ac:dyDescent="0.25">
      <c r="A179" s="10" t="str">
        <f ca="1">TEXT( INDIRECT( ADDRESS( ROW() + Row_Offset, INDIRECT( "Column_Number_" &amp; A$1), 4,1, tabname) ), "")</f>
        <v/>
      </c>
      <c r="B179" s="10" t="str">
        <f ca="1">TEXT(  IFERROR( VLOOKUP( $D179, CollName_Simplifier_Table[], 2, FALSE),"") &amp;
        INDIRECT( ADDRESS( ROW() + Row_Offset, INDIRECT( "Column_Number_" &amp; $B$1), 4,1, tabname) ), "")</f>
        <v/>
      </c>
      <c r="C179" s="10" t="str">
        <f ca="1">TEXT( INDIRECT( ADDRESS( ROW() + Row_Offset, INDIRECT( "Column_Number_" &amp; C$1), 4,1, tabname) ), "")</f>
        <v/>
      </c>
      <c r="D179" s="10" t="str">
        <f ca="1">TEXT( INDIRECT( ADDRESS( ROW() + Row_Offset, INDIRECT( "Column_Number_" &amp; D$1), 4,1, tabname) ), "")</f>
        <v/>
      </c>
      <c r="E179" s="10" t="str">
        <f ca="1">TEXT( INDIRECT( ADDRESS( ROW() + Row_Offset, INDIRECT( "Column_Number_" &amp; E$1), 4,1, tabname) ), "####")</f>
        <v/>
      </c>
      <c r="F179" s="15"/>
      <c r="G179" s="21" t="str">
        <f ca="1">IFERROR(INDEX(Rank_Table[],MATCH($D179&amp;$A179,Table4[Join],0)),"")</f>
        <v/>
      </c>
      <c r="H179" s="11" t="str">
        <f ca="1">IF(AND(D179="Juvenile Audiobook",LEFT(B179,8)="J CD BIO"),RIGHT(B179,LEN(B179)-9),
IF(AND(D179="Juvenile Audiobook",LEFT(B179,8)="J CD FIC"),B179,
IF(D179="Juvenile Audiobook",RIGHT(B179,LEN(B179)-5),
IF(AND(D179="Teen Audiobook",LEFT(B179,11)="TEEN CD BIO"),RIGHT(B179,LEN(B179)-12),
IF(AND(D179="Teen Audiobook",LEFT(B179,11)="TEEN CD FIC"),B179,
IF(D179="Juvenile Audiobook",RIGHT(B179,LEN(B179)-8),
IF(D179="Juvenile Nonfiction",RIGHT(B179,LEN(B179)-2),
IF(D179="Teen Nonfiction",RIGHT(B179,LEN(B179)-5),
IF(AND(D179="Audiobook",
              NOT(OR(Contains($B179,"CD BIO"),Contains($B179,"CD FIC")))),RIGHT(B179,LEN(B179)-3),
IF(D179="Juvenile Biography",RIGHT(B179,LEN(B179)-2),
IF(D179="Teen Biography",RIGHT(B179,LEN(B179)-5),
IF(AND(D179="Audiobook",
              IFERROR(FIND("BIO",$B179)&gt;0,FALSE)),RIGHT(B179,LEN(B179)-3),
IF(D179="Juvenile Large Type","J "&amp;RIGHT(B179,LEN(B179)-11),
IF(D179="Teen Large Type","TEEN "&amp;RIGHT(B179,LEN(B179)-14),
IF(D179="Reference",RIGHT(B179,LEN(B179)-4),
IF(D179="DVD Educational",RIGHT(B179,LEN(B179)-7),
IF(D179="Juvenile DVD Educational",RIGHT(B179,LEN(B179)-9),
B179)))))))))))))))))</f>
        <v/>
      </c>
    </row>
    <row r="180" spans="1:8" ht="27" customHeight="1" x14ac:dyDescent="0.25">
      <c r="A180" s="10" t="str">
        <f ca="1">TEXT( INDIRECT( ADDRESS( ROW() + Row_Offset, INDIRECT( "Column_Number_" &amp; A$1), 4,1, tabname) ), "")</f>
        <v/>
      </c>
      <c r="B180" s="10" t="str">
        <f ca="1">TEXT(  IFERROR( VLOOKUP( $D180, CollName_Simplifier_Table[], 2, FALSE),"") &amp;
        INDIRECT( ADDRESS( ROW() + Row_Offset, INDIRECT( "Column_Number_" &amp; $B$1), 4,1, tabname) ), "")</f>
        <v/>
      </c>
      <c r="C180" s="10" t="str">
        <f ca="1">TEXT( INDIRECT( ADDRESS( ROW() + Row_Offset, INDIRECT( "Column_Number_" &amp; C$1), 4,1, tabname) ), "")</f>
        <v/>
      </c>
      <c r="D180" s="10" t="str">
        <f ca="1">TEXT( INDIRECT( ADDRESS( ROW() + Row_Offset, INDIRECT( "Column_Number_" &amp; D$1), 4,1, tabname) ), "")</f>
        <v/>
      </c>
      <c r="E180" s="10" t="str">
        <f ca="1">TEXT( INDIRECT( ADDRESS( ROW() + Row_Offset, INDIRECT( "Column_Number_" &amp; E$1), 4,1, tabname) ), "####")</f>
        <v/>
      </c>
      <c r="F180" s="15"/>
      <c r="G180" s="21" t="str">
        <f ca="1">IFERROR(INDEX(Rank_Table[],MATCH($D180&amp;$A180,Table4[Join],0)),"")</f>
        <v/>
      </c>
      <c r="H180" s="11" t="str">
        <f ca="1">IF(AND(D180="Juvenile Audiobook",LEFT(B180,8)="J CD BIO"),RIGHT(B180,LEN(B180)-9),
IF(AND(D180="Juvenile Audiobook",LEFT(B180,8)="J CD FIC"),B180,
IF(D180="Juvenile Audiobook",RIGHT(B180,LEN(B180)-5),
IF(AND(D180="Teen Audiobook",LEFT(B180,11)="TEEN CD BIO"),RIGHT(B180,LEN(B180)-12),
IF(AND(D180="Teen Audiobook",LEFT(B180,11)="TEEN CD FIC"),B180,
IF(D180="Juvenile Audiobook",RIGHT(B180,LEN(B180)-8),
IF(D180="Juvenile Nonfiction",RIGHT(B180,LEN(B180)-2),
IF(D180="Teen Nonfiction",RIGHT(B180,LEN(B180)-5),
IF(AND(D180="Audiobook",
              NOT(OR(Contains($B180,"CD BIO"),Contains($B180,"CD FIC")))),RIGHT(B180,LEN(B180)-3),
IF(D180="Juvenile Biography",RIGHT(B180,LEN(B180)-2),
IF(D180="Teen Biography",RIGHT(B180,LEN(B180)-5),
IF(AND(D180="Audiobook",
              IFERROR(FIND("BIO",$B180)&gt;0,FALSE)),RIGHT(B180,LEN(B180)-3),
IF(D180="Juvenile Large Type","J "&amp;RIGHT(B180,LEN(B180)-11),
IF(D180="Teen Large Type","TEEN "&amp;RIGHT(B180,LEN(B180)-14),
IF(D180="Reference",RIGHT(B180,LEN(B180)-4),
IF(D180="DVD Educational",RIGHT(B180,LEN(B180)-7),
IF(D180="Juvenile DVD Educational",RIGHT(B180,LEN(B180)-9),
B180)))))))))))))))))</f>
        <v/>
      </c>
    </row>
    <row r="181" spans="1:8" ht="27" customHeight="1" x14ac:dyDescent="0.25">
      <c r="A181" s="10" t="str">
        <f ca="1">TEXT( INDIRECT( ADDRESS( ROW() + Row_Offset, INDIRECT( "Column_Number_" &amp; A$1), 4,1, tabname) ), "")</f>
        <v/>
      </c>
      <c r="B181" s="10" t="str">
        <f ca="1">TEXT(  IFERROR( VLOOKUP( $D181, CollName_Simplifier_Table[], 2, FALSE),"") &amp;
        INDIRECT( ADDRESS( ROW() + Row_Offset, INDIRECT( "Column_Number_" &amp; $B$1), 4,1, tabname) ), "")</f>
        <v/>
      </c>
      <c r="C181" s="10" t="str">
        <f ca="1">TEXT( INDIRECT( ADDRESS( ROW() + Row_Offset, INDIRECT( "Column_Number_" &amp; C$1), 4,1, tabname) ), "")</f>
        <v/>
      </c>
      <c r="D181" s="10" t="str">
        <f ca="1">TEXT( INDIRECT( ADDRESS( ROW() + Row_Offset, INDIRECT( "Column_Number_" &amp; D$1), 4,1, tabname) ), "")</f>
        <v/>
      </c>
      <c r="E181" s="10" t="str">
        <f ca="1">TEXT( INDIRECT( ADDRESS( ROW() + Row_Offset, INDIRECT( "Column_Number_" &amp; E$1), 4,1, tabname) ), "####")</f>
        <v/>
      </c>
      <c r="F181" s="15"/>
      <c r="G181" s="21" t="str">
        <f ca="1">IFERROR(INDEX(Rank_Table[],MATCH($D181&amp;$A181,Table4[Join],0)),"")</f>
        <v/>
      </c>
      <c r="H181" s="11" t="str">
        <f ca="1">IF(AND(D181="Juvenile Audiobook",LEFT(B181,8)="J CD BIO"),RIGHT(B181,LEN(B181)-9),
IF(AND(D181="Juvenile Audiobook",LEFT(B181,8)="J CD FIC"),B181,
IF(D181="Juvenile Audiobook",RIGHT(B181,LEN(B181)-5),
IF(AND(D181="Teen Audiobook",LEFT(B181,11)="TEEN CD BIO"),RIGHT(B181,LEN(B181)-12),
IF(AND(D181="Teen Audiobook",LEFT(B181,11)="TEEN CD FIC"),B181,
IF(D181="Juvenile Audiobook",RIGHT(B181,LEN(B181)-8),
IF(D181="Juvenile Nonfiction",RIGHT(B181,LEN(B181)-2),
IF(D181="Teen Nonfiction",RIGHT(B181,LEN(B181)-5),
IF(AND(D181="Audiobook",
              NOT(OR(Contains($B181,"CD BIO"),Contains($B181,"CD FIC")))),RIGHT(B181,LEN(B181)-3),
IF(D181="Juvenile Biography",RIGHT(B181,LEN(B181)-2),
IF(D181="Teen Biography",RIGHT(B181,LEN(B181)-5),
IF(AND(D181="Audiobook",
              IFERROR(FIND("BIO",$B181)&gt;0,FALSE)),RIGHT(B181,LEN(B181)-3),
IF(D181="Juvenile Large Type","J "&amp;RIGHT(B181,LEN(B181)-11),
IF(D181="Teen Large Type","TEEN "&amp;RIGHT(B181,LEN(B181)-14),
IF(D181="Reference",RIGHT(B181,LEN(B181)-4),
IF(D181="DVD Educational",RIGHT(B181,LEN(B181)-7),
IF(D181="Juvenile DVD Educational",RIGHT(B181,LEN(B181)-9),
B181)))))))))))))))))</f>
        <v/>
      </c>
    </row>
    <row r="182" spans="1:8" ht="27" customHeight="1" x14ac:dyDescent="0.25">
      <c r="A182" s="10" t="str">
        <f ca="1">TEXT( INDIRECT( ADDRESS( ROW() + Row_Offset, INDIRECT( "Column_Number_" &amp; A$1), 4,1, tabname) ), "")</f>
        <v/>
      </c>
      <c r="B182" s="10" t="str">
        <f ca="1">TEXT(  IFERROR( VLOOKUP( $D182, CollName_Simplifier_Table[], 2, FALSE),"") &amp;
        INDIRECT( ADDRESS( ROW() + Row_Offset, INDIRECT( "Column_Number_" &amp; $B$1), 4,1, tabname) ), "")</f>
        <v/>
      </c>
      <c r="C182" s="10" t="str">
        <f ca="1">TEXT( INDIRECT( ADDRESS( ROW() + Row_Offset, INDIRECT( "Column_Number_" &amp; C$1), 4,1, tabname) ), "")</f>
        <v/>
      </c>
      <c r="D182" s="10" t="str">
        <f ca="1">TEXT( INDIRECT( ADDRESS( ROW() + Row_Offset, INDIRECT( "Column_Number_" &amp; D$1), 4,1, tabname) ), "")</f>
        <v/>
      </c>
      <c r="E182" s="10" t="str">
        <f ca="1">TEXT( INDIRECT( ADDRESS( ROW() + Row_Offset, INDIRECT( "Column_Number_" &amp; E$1), 4,1, tabname) ), "####")</f>
        <v/>
      </c>
      <c r="F182" s="15"/>
      <c r="G182" s="21" t="str">
        <f ca="1">IFERROR(INDEX(Rank_Table[],MATCH($D182&amp;$A182,Table4[Join],0)),"")</f>
        <v/>
      </c>
      <c r="H182" s="11" t="str">
        <f ca="1">IF(AND(D182="Juvenile Audiobook",LEFT(B182,8)="J CD BIO"),RIGHT(B182,LEN(B182)-9),
IF(AND(D182="Juvenile Audiobook",LEFT(B182,8)="J CD FIC"),B182,
IF(D182="Juvenile Audiobook",RIGHT(B182,LEN(B182)-5),
IF(AND(D182="Teen Audiobook",LEFT(B182,11)="TEEN CD BIO"),RIGHT(B182,LEN(B182)-12),
IF(AND(D182="Teen Audiobook",LEFT(B182,11)="TEEN CD FIC"),B182,
IF(D182="Juvenile Audiobook",RIGHT(B182,LEN(B182)-8),
IF(D182="Juvenile Nonfiction",RIGHT(B182,LEN(B182)-2),
IF(D182="Teen Nonfiction",RIGHT(B182,LEN(B182)-5),
IF(AND(D182="Audiobook",
              NOT(OR(Contains($B182,"CD BIO"),Contains($B182,"CD FIC")))),RIGHT(B182,LEN(B182)-3),
IF(D182="Juvenile Biography",RIGHT(B182,LEN(B182)-2),
IF(D182="Teen Biography",RIGHT(B182,LEN(B182)-5),
IF(AND(D182="Audiobook",
              IFERROR(FIND("BIO",$B182)&gt;0,FALSE)),RIGHT(B182,LEN(B182)-3),
IF(D182="Juvenile Large Type","J "&amp;RIGHT(B182,LEN(B182)-11),
IF(D182="Teen Large Type","TEEN "&amp;RIGHT(B182,LEN(B182)-14),
IF(D182="Reference",RIGHT(B182,LEN(B182)-4),
IF(D182="DVD Educational",RIGHT(B182,LEN(B182)-7),
IF(D182="Juvenile DVD Educational",RIGHT(B182,LEN(B182)-9),
B182)))))))))))))))))</f>
        <v/>
      </c>
    </row>
    <row r="183" spans="1:8" ht="27" customHeight="1" x14ac:dyDescent="0.25">
      <c r="A183" s="10" t="str">
        <f ca="1">TEXT( INDIRECT( ADDRESS( ROW() + Row_Offset, INDIRECT( "Column_Number_" &amp; A$1), 4,1, tabname) ), "")</f>
        <v/>
      </c>
      <c r="B183" s="10" t="str">
        <f ca="1">TEXT(  IFERROR( VLOOKUP( $D183, CollName_Simplifier_Table[], 2, FALSE),"") &amp;
        INDIRECT( ADDRESS( ROW() + Row_Offset, INDIRECT( "Column_Number_" &amp; $B$1), 4,1, tabname) ), "")</f>
        <v/>
      </c>
      <c r="C183" s="10" t="str">
        <f ca="1">TEXT( INDIRECT( ADDRESS( ROW() + Row_Offset, INDIRECT( "Column_Number_" &amp; C$1), 4,1, tabname) ), "")</f>
        <v/>
      </c>
      <c r="D183" s="10" t="str">
        <f ca="1">TEXT( INDIRECT( ADDRESS( ROW() + Row_Offset, INDIRECT( "Column_Number_" &amp; D$1), 4,1, tabname) ), "")</f>
        <v/>
      </c>
      <c r="E183" s="10" t="str">
        <f ca="1">TEXT( INDIRECT( ADDRESS( ROW() + Row_Offset, INDIRECT( "Column_Number_" &amp; E$1), 4,1, tabname) ), "####")</f>
        <v/>
      </c>
      <c r="F183" s="15"/>
      <c r="G183" s="21" t="str">
        <f ca="1">IFERROR(INDEX(Rank_Table[],MATCH($D183&amp;$A183,Table4[Join],0)),"")</f>
        <v/>
      </c>
      <c r="H183" s="11" t="str">
        <f ca="1">IF(AND(D183="Juvenile Audiobook",LEFT(B183,8)="J CD BIO"),RIGHT(B183,LEN(B183)-9),
IF(AND(D183="Juvenile Audiobook",LEFT(B183,8)="J CD FIC"),B183,
IF(D183="Juvenile Audiobook",RIGHT(B183,LEN(B183)-5),
IF(AND(D183="Teen Audiobook",LEFT(B183,11)="TEEN CD BIO"),RIGHT(B183,LEN(B183)-12),
IF(AND(D183="Teen Audiobook",LEFT(B183,11)="TEEN CD FIC"),B183,
IF(D183="Juvenile Audiobook",RIGHT(B183,LEN(B183)-8),
IF(D183="Juvenile Nonfiction",RIGHT(B183,LEN(B183)-2),
IF(D183="Teen Nonfiction",RIGHT(B183,LEN(B183)-5),
IF(AND(D183="Audiobook",
              NOT(OR(Contains($B183,"CD BIO"),Contains($B183,"CD FIC")))),RIGHT(B183,LEN(B183)-3),
IF(D183="Juvenile Biography",RIGHT(B183,LEN(B183)-2),
IF(D183="Teen Biography",RIGHT(B183,LEN(B183)-5),
IF(AND(D183="Audiobook",
              IFERROR(FIND("BIO",$B183)&gt;0,FALSE)),RIGHT(B183,LEN(B183)-3),
IF(D183="Juvenile Large Type","J "&amp;RIGHT(B183,LEN(B183)-11),
IF(D183="Teen Large Type","TEEN "&amp;RIGHT(B183,LEN(B183)-14),
IF(D183="Reference",RIGHT(B183,LEN(B183)-4),
IF(D183="DVD Educational",RIGHT(B183,LEN(B183)-7),
IF(D183="Juvenile DVD Educational",RIGHT(B183,LEN(B183)-9),
B183)))))))))))))))))</f>
        <v/>
      </c>
    </row>
    <row r="184" spans="1:8" ht="27" customHeight="1" x14ac:dyDescent="0.25">
      <c r="A184" s="10" t="str">
        <f ca="1">TEXT( INDIRECT( ADDRESS( ROW() + Row_Offset, INDIRECT( "Column_Number_" &amp; A$1), 4,1, tabname) ), "")</f>
        <v/>
      </c>
      <c r="B184" s="10" t="str">
        <f ca="1">TEXT(  IFERROR( VLOOKUP( $D184, CollName_Simplifier_Table[], 2, FALSE),"") &amp;
        INDIRECT( ADDRESS( ROW() + Row_Offset, INDIRECT( "Column_Number_" &amp; $B$1), 4,1, tabname) ), "")</f>
        <v/>
      </c>
      <c r="C184" s="10" t="str">
        <f ca="1">TEXT( INDIRECT( ADDRESS( ROW() + Row_Offset, INDIRECT( "Column_Number_" &amp; C$1), 4,1, tabname) ), "")</f>
        <v/>
      </c>
      <c r="D184" s="10" t="str">
        <f ca="1">TEXT( INDIRECT( ADDRESS( ROW() + Row_Offset, INDIRECT( "Column_Number_" &amp; D$1), 4,1, tabname) ), "")</f>
        <v/>
      </c>
      <c r="E184" s="10" t="str">
        <f ca="1">TEXT( INDIRECT( ADDRESS( ROW() + Row_Offset, INDIRECT( "Column_Number_" &amp; E$1), 4,1, tabname) ), "####")</f>
        <v/>
      </c>
      <c r="F184" s="15"/>
      <c r="G184" s="21" t="str">
        <f ca="1">IFERROR(INDEX(Rank_Table[],MATCH($D184&amp;$A184,Table4[Join],0)),"")</f>
        <v/>
      </c>
      <c r="H184" s="11" t="str">
        <f ca="1">IF(AND(D184="Juvenile Audiobook",LEFT(B184,8)="J CD BIO"),RIGHT(B184,LEN(B184)-9),
IF(AND(D184="Juvenile Audiobook",LEFT(B184,8)="J CD FIC"),B184,
IF(D184="Juvenile Audiobook",RIGHT(B184,LEN(B184)-5),
IF(AND(D184="Teen Audiobook",LEFT(B184,11)="TEEN CD BIO"),RIGHT(B184,LEN(B184)-12),
IF(AND(D184="Teen Audiobook",LEFT(B184,11)="TEEN CD FIC"),B184,
IF(D184="Juvenile Audiobook",RIGHT(B184,LEN(B184)-8),
IF(D184="Juvenile Nonfiction",RIGHT(B184,LEN(B184)-2),
IF(D184="Teen Nonfiction",RIGHT(B184,LEN(B184)-5),
IF(AND(D184="Audiobook",
              NOT(OR(Contains($B184,"CD BIO"),Contains($B184,"CD FIC")))),RIGHT(B184,LEN(B184)-3),
IF(D184="Juvenile Biography",RIGHT(B184,LEN(B184)-2),
IF(D184="Teen Biography",RIGHT(B184,LEN(B184)-5),
IF(AND(D184="Audiobook",
              IFERROR(FIND("BIO",$B184)&gt;0,FALSE)),RIGHT(B184,LEN(B184)-3),
IF(D184="Juvenile Large Type","J "&amp;RIGHT(B184,LEN(B184)-11),
IF(D184="Teen Large Type","TEEN "&amp;RIGHT(B184,LEN(B184)-14),
IF(D184="Reference",RIGHT(B184,LEN(B184)-4),
IF(D184="DVD Educational",RIGHT(B184,LEN(B184)-7),
IF(D184="Juvenile DVD Educational",RIGHT(B184,LEN(B184)-9),
B184)))))))))))))))))</f>
        <v/>
      </c>
    </row>
    <row r="185" spans="1:8" ht="27" customHeight="1" x14ac:dyDescent="0.25">
      <c r="A185" s="10" t="str">
        <f ca="1">TEXT( INDIRECT( ADDRESS( ROW() + Row_Offset, INDIRECT( "Column_Number_" &amp; A$1), 4,1, tabname) ), "")</f>
        <v/>
      </c>
      <c r="B185" s="10" t="str">
        <f ca="1">TEXT(  IFERROR( VLOOKUP( $D185, CollName_Simplifier_Table[], 2, FALSE),"") &amp;
        INDIRECT( ADDRESS( ROW() + Row_Offset, INDIRECT( "Column_Number_" &amp; $B$1), 4,1, tabname) ), "")</f>
        <v/>
      </c>
      <c r="C185" s="10" t="str">
        <f ca="1">TEXT( INDIRECT( ADDRESS( ROW() + Row_Offset, INDIRECT( "Column_Number_" &amp; C$1), 4,1, tabname) ), "")</f>
        <v/>
      </c>
      <c r="D185" s="10" t="str">
        <f ca="1">TEXT( INDIRECT( ADDRESS( ROW() + Row_Offset, INDIRECT( "Column_Number_" &amp; D$1), 4,1, tabname) ), "")</f>
        <v/>
      </c>
      <c r="E185" s="10" t="str">
        <f ca="1">TEXT( INDIRECT( ADDRESS( ROW() + Row_Offset, INDIRECT( "Column_Number_" &amp; E$1), 4,1, tabname) ), "####")</f>
        <v/>
      </c>
      <c r="F185" s="15"/>
      <c r="G185" s="21" t="str">
        <f ca="1">IFERROR(INDEX(Rank_Table[],MATCH($D185&amp;$A185,Table4[Join],0)),"")</f>
        <v/>
      </c>
      <c r="H185" s="11" t="str">
        <f ca="1">IF(AND(D185="Juvenile Audiobook",LEFT(B185,8)="J CD BIO"),RIGHT(B185,LEN(B185)-9),
IF(AND(D185="Juvenile Audiobook",LEFT(B185,8)="J CD FIC"),B185,
IF(D185="Juvenile Audiobook",RIGHT(B185,LEN(B185)-5),
IF(AND(D185="Teen Audiobook",LEFT(B185,11)="TEEN CD BIO"),RIGHT(B185,LEN(B185)-12),
IF(AND(D185="Teen Audiobook",LEFT(B185,11)="TEEN CD FIC"),B185,
IF(D185="Juvenile Audiobook",RIGHT(B185,LEN(B185)-8),
IF(D185="Juvenile Nonfiction",RIGHT(B185,LEN(B185)-2),
IF(D185="Teen Nonfiction",RIGHT(B185,LEN(B185)-5),
IF(AND(D185="Audiobook",
              NOT(OR(Contains($B185,"CD BIO"),Contains($B185,"CD FIC")))),RIGHT(B185,LEN(B185)-3),
IF(D185="Juvenile Biography",RIGHT(B185,LEN(B185)-2),
IF(D185="Teen Biography",RIGHT(B185,LEN(B185)-5),
IF(AND(D185="Audiobook",
              IFERROR(FIND("BIO",$B185)&gt;0,FALSE)),RIGHT(B185,LEN(B185)-3),
IF(D185="Juvenile Large Type","J "&amp;RIGHT(B185,LEN(B185)-11),
IF(D185="Teen Large Type","TEEN "&amp;RIGHT(B185,LEN(B185)-14),
IF(D185="Reference",RIGHT(B185,LEN(B185)-4),
IF(D185="DVD Educational",RIGHT(B185,LEN(B185)-7),
IF(D185="Juvenile DVD Educational",RIGHT(B185,LEN(B185)-9),
B185)))))))))))))))))</f>
        <v/>
      </c>
    </row>
    <row r="186" spans="1:8" ht="27" customHeight="1" x14ac:dyDescent="0.25">
      <c r="A186" s="10" t="str">
        <f ca="1">TEXT( INDIRECT( ADDRESS( ROW() + Row_Offset, INDIRECT( "Column_Number_" &amp; A$1), 4,1, tabname) ), "")</f>
        <v/>
      </c>
      <c r="B186" s="10" t="str">
        <f ca="1">TEXT(  IFERROR( VLOOKUP( $D186, CollName_Simplifier_Table[], 2, FALSE),"") &amp;
        INDIRECT( ADDRESS( ROW() + Row_Offset, INDIRECT( "Column_Number_" &amp; $B$1), 4,1, tabname) ), "")</f>
        <v/>
      </c>
      <c r="C186" s="10" t="str">
        <f ca="1">TEXT( INDIRECT( ADDRESS( ROW() + Row_Offset, INDIRECT( "Column_Number_" &amp; C$1), 4,1, tabname) ), "")</f>
        <v/>
      </c>
      <c r="D186" s="10" t="str">
        <f ca="1">TEXT( INDIRECT( ADDRESS( ROW() + Row_Offset, INDIRECT( "Column_Number_" &amp; D$1), 4,1, tabname) ), "")</f>
        <v/>
      </c>
      <c r="E186" s="10" t="str">
        <f ca="1">TEXT( INDIRECT( ADDRESS( ROW() + Row_Offset, INDIRECT( "Column_Number_" &amp; E$1), 4,1, tabname) ), "####")</f>
        <v/>
      </c>
      <c r="F186" s="15"/>
      <c r="G186" s="21" t="str">
        <f ca="1">IFERROR(INDEX(Rank_Table[],MATCH($D186&amp;$A186,Table4[Join],0)),"")</f>
        <v/>
      </c>
      <c r="H186" s="11" t="str">
        <f ca="1">IF(AND(D186="Juvenile Audiobook",LEFT(B186,8)="J CD BIO"),RIGHT(B186,LEN(B186)-9),
IF(AND(D186="Juvenile Audiobook",LEFT(B186,8)="J CD FIC"),B186,
IF(D186="Juvenile Audiobook",RIGHT(B186,LEN(B186)-5),
IF(AND(D186="Teen Audiobook",LEFT(B186,11)="TEEN CD BIO"),RIGHT(B186,LEN(B186)-12),
IF(AND(D186="Teen Audiobook",LEFT(B186,11)="TEEN CD FIC"),B186,
IF(D186="Juvenile Audiobook",RIGHT(B186,LEN(B186)-8),
IF(D186="Juvenile Nonfiction",RIGHT(B186,LEN(B186)-2),
IF(D186="Teen Nonfiction",RIGHT(B186,LEN(B186)-5),
IF(AND(D186="Audiobook",
              NOT(OR(Contains($B186,"CD BIO"),Contains($B186,"CD FIC")))),RIGHT(B186,LEN(B186)-3),
IF(D186="Juvenile Biography",RIGHT(B186,LEN(B186)-2),
IF(D186="Teen Biography",RIGHT(B186,LEN(B186)-5),
IF(AND(D186="Audiobook",
              IFERROR(FIND("BIO",$B186)&gt;0,FALSE)),RIGHT(B186,LEN(B186)-3),
IF(D186="Juvenile Large Type","J "&amp;RIGHT(B186,LEN(B186)-11),
IF(D186="Teen Large Type","TEEN "&amp;RIGHT(B186,LEN(B186)-14),
IF(D186="Reference",RIGHT(B186,LEN(B186)-4),
IF(D186="DVD Educational",RIGHT(B186,LEN(B186)-7),
IF(D186="Juvenile DVD Educational",RIGHT(B186,LEN(B186)-9),
B186)))))))))))))))))</f>
        <v/>
      </c>
    </row>
    <row r="187" spans="1:8" ht="27" customHeight="1" x14ac:dyDescent="0.25">
      <c r="A187" s="10" t="str">
        <f ca="1">TEXT( INDIRECT( ADDRESS( ROW() + Row_Offset, INDIRECT( "Column_Number_" &amp; A$1), 4,1, tabname) ), "")</f>
        <v/>
      </c>
      <c r="B187" s="10" t="str">
        <f ca="1">TEXT(  IFERROR( VLOOKUP( $D187, CollName_Simplifier_Table[], 2, FALSE),"") &amp;
        INDIRECT( ADDRESS( ROW() + Row_Offset, INDIRECT( "Column_Number_" &amp; $B$1), 4,1, tabname) ), "")</f>
        <v/>
      </c>
      <c r="C187" s="10" t="str">
        <f ca="1">TEXT( INDIRECT( ADDRESS( ROW() + Row_Offset, INDIRECT( "Column_Number_" &amp; C$1), 4,1, tabname) ), "")</f>
        <v/>
      </c>
      <c r="D187" s="10" t="str">
        <f ca="1">TEXT( INDIRECT( ADDRESS( ROW() + Row_Offset, INDIRECT( "Column_Number_" &amp; D$1), 4,1, tabname) ), "")</f>
        <v/>
      </c>
      <c r="E187" s="10" t="str">
        <f ca="1">TEXT( INDIRECT( ADDRESS( ROW() + Row_Offset, INDIRECT( "Column_Number_" &amp; E$1), 4,1, tabname) ), "####")</f>
        <v/>
      </c>
      <c r="F187" s="15"/>
      <c r="G187" s="21" t="str">
        <f ca="1">IFERROR(INDEX(Rank_Table[],MATCH($D187&amp;$A187,Table4[Join],0)),"")</f>
        <v/>
      </c>
      <c r="H187" s="11" t="str">
        <f ca="1">IF(AND(D187="Juvenile Audiobook",LEFT(B187,8)="J CD BIO"),RIGHT(B187,LEN(B187)-9),
IF(AND(D187="Juvenile Audiobook",LEFT(B187,8)="J CD FIC"),B187,
IF(D187="Juvenile Audiobook",RIGHT(B187,LEN(B187)-5),
IF(AND(D187="Teen Audiobook",LEFT(B187,11)="TEEN CD BIO"),RIGHT(B187,LEN(B187)-12),
IF(AND(D187="Teen Audiobook",LEFT(B187,11)="TEEN CD FIC"),B187,
IF(D187="Juvenile Audiobook",RIGHT(B187,LEN(B187)-8),
IF(D187="Juvenile Nonfiction",RIGHT(B187,LEN(B187)-2),
IF(D187="Teen Nonfiction",RIGHT(B187,LEN(B187)-5),
IF(AND(D187="Audiobook",
              NOT(OR(Contains($B187,"CD BIO"),Contains($B187,"CD FIC")))),RIGHT(B187,LEN(B187)-3),
IF(D187="Juvenile Biography",RIGHT(B187,LEN(B187)-2),
IF(D187="Teen Biography",RIGHT(B187,LEN(B187)-5),
IF(AND(D187="Audiobook",
              IFERROR(FIND("BIO",$B187)&gt;0,FALSE)),RIGHT(B187,LEN(B187)-3),
IF(D187="Juvenile Large Type","J "&amp;RIGHT(B187,LEN(B187)-11),
IF(D187="Teen Large Type","TEEN "&amp;RIGHT(B187,LEN(B187)-14),
IF(D187="Reference",RIGHT(B187,LEN(B187)-4),
IF(D187="DVD Educational",RIGHT(B187,LEN(B187)-7),
IF(D187="Juvenile DVD Educational",RIGHT(B187,LEN(B187)-9),
B187)))))))))))))))))</f>
        <v/>
      </c>
    </row>
    <row r="188" spans="1:8" ht="27" customHeight="1" x14ac:dyDescent="0.25">
      <c r="A188" s="10" t="str">
        <f ca="1">TEXT( INDIRECT( ADDRESS( ROW() + Row_Offset, INDIRECT( "Column_Number_" &amp; A$1), 4,1, tabname) ), "")</f>
        <v/>
      </c>
      <c r="B188" s="10" t="str">
        <f ca="1">TEXT(  IFERROR( VLOOKUP( $D188, CollName_Simplifier_Table[], 2, FALSE),"") &amp;
        INDIRECT( ADDRESS( ROW() + Row_Offset, INDIRECT( "Column_Number_" &amp; $B$1), 4,1, tabname) ), "")</f>
        <v/>
      </c>
      <c r="C188" s="10" t="str">
        <f ca="1">TEXT( INDIRECT( ADDRESS( ROW() + Row_Offset, INDIRECT( "Column_Number_" &amp; C$1), 4,1, tabname) ), "")</f>
        <v/>
      </c>
      <c r="D188" s="10" t="str">
        <f ca="1">TEXT( INDIRECT( ADDRESS( ROW() + Row_Offset, INDIRECT( "Column_Number_" &amp; D$1), 4,1, tabname) ), "")</f>
        <v/>
      </c>
      <c r="E188" s="10" t="str">
        <f ca="1">TEXT( INDIRECT( ADDRESS( ROW() + Row_Offset, INDIRECT( "Column_Number_" &amp; E$1), 4,1, tabname) ), "####")</f>
        <v/>
      </c>
      <c r="F188" s="15"/>
      <c r="G188" s="21" t="str">
        <f ca="1">IFERROR(INDEX(Rank_Table[],MATCH($D188&amp;$A188,Table4[Join],0)),"")</f>
        <v/>
      </c>
      <c r="H188" s="11" t="str">
        <f ca="1">IF(AND(D188="Juvenile Audiobook",LEFT(B188,8)="J CD BIO"),RIGHT(B188,LEN(B188)-9),
IF(AND(D188="Juvenile Audiobook",LEFT(B188,8)="J CD FIC"),B188,
IF(D188="Juvenile Audiobook",RIGHT(B188,LEN(B188)-5),
IF(AND(D188="Teen Audiobook",LEFT(B188,11)="TEEN CD BIO"),RIGHT(B188,LEN(B188)-12),
IF(AND(D188="Teen Audiobook",LEFT(B188,11)="TEEN CD FIC"),B188,
IF(D188="Juvenile Audiobook",RIGHT(B188,LEN(B188)-8),
IF(D188="Juvenile Nonfiction",RIGHT(B188,LEN(B188)-2),
IF(D188="Teen Nonfiction",RIGHT(B188,LEN(B188)-5),
IF(AND(D188="Audiobook",
              NOT(OR(Contains($B188,"CD BIO"),Contains($B188,"CD FIC")))),RIGHT(B188,LEN(B188)-3),
IF(D188="Juvenile Biography",RIGHT(B188,LEN(B188)-2),
IF(D188="Teen Biography",RIGHT(B188,LEN(B188)-5),
IF(AND(D188="Audiobook",
              IFERROR(FIND("BIO",$B188)&gt;0,FALSE)),RIGHT(B188,LEN(B188)-3),
IF(D188="Juvenile Large Type","J "&amp;RIGHT(B188,LEN(B188)-11),
IF(D188="Teen Large Type","TEEN "&amp;RIGHT(B188,LEN(B188)-14),
IF(D188="Reference",RIGHT(B188,LEN(B188)-4),
IF(D188="DVD Educational",RIGHT(B188,LEN(B188)-7),
IF(D188="Juvenile DVD Educational",RIGHT(B188,LEN(B188)-9),
B188)))))))))))))))))</f>
        <v/>
      </c>
    </row>
    <row r="189" spans="1:8" ht="27" customHeight="1" x14ac:dyDescent="0.25">
      <c r="A189" s="10" t="str">
        <f ca="1">TEXT( INDIRECT( ADDRESS( ROW() + Row_Offset, INDIRECT( "Column_Number_" &amp; A$1), 4,1, tabname) ), "")</f>
        <v/>
      </c>
      <c r="B189" s="10" t="str">
        <f ca="1">TEXT(  IFERROR( VLOOKUP( $D189, CollName_Simplifier_Table[], 2, FALSE),"") &amp;
        INDIRECT( ADDRESS( ROW() + Row_Offset, INDIRECT( "Column_Number_" &amp; $B$1), 4,1, tabname) ), "")</f>
        <v/>
      </c>
      <c r="C189" s="10" t="str">
        <f ca="1">TEXT( INDIRECT( ADDRESS( ROW() + Row_Offset, INDIRECT( "Column_Number_" &amp; C$1), 4,1, tabname) ), "")</f>
        <v/>
      </c>
      <c r="D189" s="10" t="str">
        <f ca="1">TEXT( INDIRECT( ADDRESS( ROW() + Row_Offset, INDIRECT( "Column_Number_" &amp; D$1), 4,1, tabname) ), "")</f>
        <v/>
      </c>
      <c r="E189" s="10" t="str">
        <f ca="1">TEXT( INDIRECT( ADDRESS( ROW() + Row_Offset, INDIRECT( "Column_Number_" &amp; E$1), 4,1, tabname) ), "####")</f>
        <v/>
      </c>
      <c r="F189" s="15"/>
      <c r="G189" s="21" t="str">
        <f ca="1">IFERROR(INDEX(Rank_Table[],MATCH($D189&amp;$A189,Table4[Join],0)),"")</f>
        <v/>
      </c>
      <c r="H189" s="11" t="str">
        <f ca="1">IF(AND(D189="Juvenile Audiobook",LEFT(B189,8)="J CD BIO"),RIGHT(B189,LEN(B189)-9),
IF(AND(D189="Juvenile Audiobook",LEFT(B189,8)="J CD FIC"),B189,
IF(D189="Juvenile Audiobook",RIGHT(B189,LEN(B189)-5),
IF(AND(D189="Teen Audiobook",LEFT(B189,11)="TEEN CD BIO"),RIGHT(B189,LEN(B189)-12),
IF(AND(D189="Teen Audiobook",LEFT(B189,11)="TEEN CD FIC"),B189,
IF(D189="Juvenile Audiobook",RIGHT(B189,LEN(B189)-8),
IF(D189="Juvenile Nonfiction",RIGHT(B189,LEN(B189)-2),
IF(D189="Teen Nonfiction",RIGHT(B189,LEN(B189)-5),
IF(AND(D189="Audiobook",
              NOT(OR(Contains($B189,"CD BIO"),Contains($B189,"CD FIC")))),RIGHT(B189,LEN(B189)-3),
IF(D189="Juvenile Biography",RIGHT(B189,LEN(B189)-2),
IF(D189="Teen Biography",RIGHT(B189,LEN(B189)-5),
IF(AND(D189="Audiobook",
              IFERROR(FIND("BIO",$B189)&gt;0,FALSE)),RIGHT(B189,LEN(B189)-3),
IF(D189="Juvenile Large Type","J "&amp;RIGHT(B189,LEN(B189)-11),
IF(D189="Teen Large Type","TEEN "&amp;RIGHT(B189,LEN(B189)-14),
IF(D189="Reference",RIGHT(B189,LEN(B189)-4),
IF(D189="DVD Educational",RIGHT(B189,LEN(B189)-7),
IF(D189="Juvenile DVD Educational",RIGHT(B189,LEN(B189)-9),
B189)))))))))))))))))</f>
        <v/>
      </c>
    </row>
    <row r="190" spans="1:8" ht="27" customHeight="1" x14ac:dyDescent="0.25">
      <c r="A190" s="10" t="str">
        <f ca="1">TEXT( INDIRECT( ADDRESS( ROW() + Row_Offset, INDIRECT( "Column_Number_" &amp; A$1), 4,1, tabname) ), "")</f>
        <v/>
      </c>
      <c r="B190" s="10" t="str">
        <f ca="1">TEXT(  IFERROR( VLOOKUP( $D190, CollName_Simplifier_Table[], 2, FALSE),"") &amp;
        INDIRECT( ADDRESS( ROW() + Row_Offset, INDIRECT( "Column_Number_" &amp; $B$1), 4,1, tabname) ), "")</f>
        <v/>
      </c>
      <c r="C190" s="10" t="str">
        <f ca="1">TEXT( INDIRECT( ADDRESS( ROW() + Row_Offset, INDIRECT( "Column_Number_" &amp; C$1), 4,1, tabname) ), "")</f>
        <v/>
      </c>
      <c r="D190" s="10" t="str">
        <f ca="1">TEXT( INDIRECT( ADDRESS( ROW() + Row_Offset, INDIRECT( "Column_Number_" &amp; D$1), 4,1, tabname) ), "")</f>
        <v/>
      </c>
      <c r="E190" s="10" t="str">
        <f ca="1">TEXT( INDIRECT( ADDRESS( ROW() + Row_Offset, INDIRECT( "Column_Number_" &amp; E$1), 4,1, tabname) ), "####")</f>
        <v/>
      </c>
      <c r="F190" s="15"/>
      <c r="G190" s="21" t="str">
        <f ca="1">IFERROR(INDEX(Rank_Table[],MATCH($D190&amp;$A190,Table4[Join],0)),"")</f>
        <v/>
      </c>
      <c r="H190" s="11" t="str">
        <f ca="1">IF(AND(D190="Juvenile Audiobook",LEFT(B190,8)="J CD BIO"),RIGHT(B190,LEN(B190)-9),
IF(AND(D190="Juvenile Audiobook",LEFT(B190,8)="J CD FIC"),B190,
IF(D190="Juvenile Audiobook",RIGHT(B190,LEN(B190)-5),
IF(AND(D190="Teen Audiobook",LEFT(B190,11)="TEEN CD BIO"),RIGHT(B190,LEN(B190)-12),
IF(AND(D190="Teen Audiobook",LEFT(B190,11)="TEEN CD FIC"),B190,
IF(D190="Juvenile Audiobook",RIGHT(B190,LEN(B190)-8),
IF(D190="Juvenile Nonfiction",RIGHT(B190,LEN(B190)-2),
IF(D190="Teen Nonfiction",RIGHT(B190,LEN(B190)-5),
IF(AND(D190="Audiobook",
              NOT(OR(Contains($B190,"CD BIO"),Contains($B190,"CD FIC")))),RIGHT(B190,LEN(B190)-3),
IF(D190="Juvenile Biography",RIGHT(B190,LEN(B190)-2),
IF(D190="Teen Biography",RIGHT(B190,LEN(B190)-5),
IF(AND(D190="Audiobook",
              IFERROR(FIND("BIO",$B190)&gt;0,FALSE)),RIGHT(B190,LEN(B190)-3),
IF(D190="Juvenile Large Type","J "&amp;RIGHT(B190,LEN(B190)-11),
IF(D190="Teen Large Type","TEEN "&amp;RIGHT(B190,LEN(B190)-14),
IF(D190="Reference",RIGHT(B190,LEN(B190)-4),
IF(D190="DVD Educational",RIGHT(B190,LEN(B190)-7),
IF(D190="Juvenile DVD Educational",RIGHT(B190,LEN(B190)-9),
B190)))))))))))))))))</f>
        <v/>
      </c>
    </row>
    <row r="191" spans="1:8" ht="27" customHeight="1" x14ac:dyDescent="0.25">
      <c r="A191" s="10" t="str">
        <f ca="1">TEXT( INDIRECT( ADDRESS( ROW() + Row_Offset, INDIRECT( "Column_Number_" &amp; A$1), 4,1, tabname) ), "")</f>
        <v/>
      </c>
      <c r="B191" s="10" t="str">
        <f ca="1">TEXT(  IFERROR( VLOOKUP( $D191, CollName_Simplifier_Table[], 2, FALSE),"") &amp;
        INDIRECT( ADDRESS( ROW() + Row_Offset, INDIRECT( "Column_Number_" &amp; $B$1), 4,1, tabname) ), "")</f>
        <v/>
      </c>
      <c r="C191" s="10" t="str">
        <f ca="1">TEXT( INDIRECT( ADDRESS( ROW() + Row_Offset, INDIRECT( "Column_Number_" &amp; C$1), 4,1, tabname) ), "")</f>
        <v/>
      </c>
      <c r="D191" s="10" t="str">
        <f ca="1">TEXT( INDIRECT( ADDRESS( ROW() + Row_Offset, INDIRECT( "Column_Number_" &amp; D$1), 4,1, tabname) ), "")</f>
        <v/>
      </c>
      <c r="E191" s="10" t="str">
        <f ca="1">TEXT( INDIRECT( ADDRESS( ROW() + Row_Offset, INDIRECT( "Column_Number_" &amp; E$1), 4,1, tabname) ), "####")</f>
        <v/>
      </c>
      <c r="F191" s="15"/>
      <c r="G191" s="21" t="str">
        <f ca="1">IFERROR(INDEX(Rank_Table[],MATCH($D191&amp;$A191,Table4[Join],0)),"")</f>
        <v/>
      </c>
      <c r="H191" s="11" t="str">
        <f ca="1">IF(AND(D191="Juvenile Audiobook",LEFT(B191,8)="J CD BIO"),RIGHT(B191,LEN(B191)-9),
IF(AND(D191="Juvenile Audiobook",LEFT(B191,8)="J CD FIC"),B191,
IF(D191="Juvenile Audiobook",RIGHT(B191,LEN(B191)-5),
IF(AND(D191="Teen Audiobook",LEFT(B191,11)="TEEN CD BIO"),RIGHT(B191,LEN(B191)-12),
IF(AND(D191="Teen Audiobook",LEFT(B191,11)="TEEN CD FIC"),B191,
IF(D191="Juvenile Audiobook",RIGHT(B191,LEN(B191)-8),
IF(D191="Juvenile Nonfiction",RIGHT(B191,LEN(B191)-2),
IF(D191="Teen Nonfiction",RIGHT(B191,LEN(B191)-5),
IF(AND(D191="Audiobook",
              NOT(OR(Contains($B191,"CD BIO"),Contains($B191,"CD FIC")))),RIGHT(B191,LEN(B191)-3),
IF(D191="Juvenile Biography",RIGHT(B191,LEN(B191)-2),
IF(D191="Teen Biography",RIGHT(B191,LEN(B191)-5),
IF(AND(D191="Audiobook",
              IFERROR(FIND("BIO",$B191)&gt;0,FALSE)),RIGHT(B191,LEN(B191)-3),
IF(D191="Juvenile Large Type","J "&amp;RIGHT(B191,LEN(B191)-11),
IF(D191="Teen Large Type","TEEN "&amp;RIGHT(B191,LEN(B191)-14),
IF(D191="Reference",RIGHT(B191,LEN(B191)-4),
IF(D191="DVD Educational",RIGHT(B191,LEN(B191)-7),
IF(D191="Juvenile DVD Educational",RIGHT(B191,LEN(B191)-9),
B191)))))))))))))))))</f>
        <v/>
      </c>
    </row>
    <row r="192" spans="1:8" ht="27" customHeight="1" x14ac:dyDescent="0.25">
      <c r="A192" s="10" t="str">
        <f ca="1">TEXT( INDIRECT( ADDRESS( ROW() + Row_Offset, INDIRECT( "Column_Number_" &amp; A$1), 4,1, tabname) ), "")</f>
        <v/>
      </c>
      <c r="B192" s="10" t="str">
        <f ca="1">TEXT(  IFERROR( VLOOKUP( $D192, CollName_Simplifier_Table[], 2, FALSE),"") &amp;
        INDIRECT( ADDRESS( ROW() + Row_Offset, INDIRECT( "Column_Number_" &amp; $B$1), 4,1, tabname) ), "")</f>
        <v/>
      </c>
      <c r="C192" s="10" t="str">
        <f ca="1">TEXT( INDIRECT( ADDRESS( ROW() + Row_Offset, INDIRECT( "Column_Number_" &amp; C$1), 4,1, tabname) ), "")</f>
        <v/>
      </c>
      <c r="D192" s="10" t="str">
        <f ca="1">TEXT( INDIRECT( ADDRESS( ROW() + Row_Offset, INDIRECT( "Column_Number_" &amp; D$1), 4,1, tabname) ), "")</f>
        <v/>
      </c>
      <c r="E192" s="10" t="str">
        <f ca="1">TEXT( INDIRECT( ADDRESS( ROW() + Row_Offset, INDIRECT( "Column_Number_" &amp; E$1), 4,1, tabname) ), "####")</f>
        <v/>
      </c>
      <c r="F192" s="15"/>
      <c r="G192" s="21" t="str">
        <f ca="1">IFERROR(INDEX(Rank_Table[],MATCH($D192&amp;$A192,Table4[Join],0)),"")</f>
        <v/>
      </c>
      <c r="H192" s="11" t="str">
        <f ca="1">IF(AND(D192="Juvenile Audiobook",LEFT(B192,8)="J CD BIO"),RIGHT(B192,LEN(B192)-9),
IF(AND(D192="Juvenile Audiobook",LEFT(B192,8)="J CD FIC"),B192,
IF(D192="Juvenile Audiobook",RIGHT(B192,LEN(B192)-5),
IF(AND(D192="Teen Audiobook",LEFT(B192,11)="TEEN CD BIO"),RIGHT(B192,LEN(B192)-12),
IF(AND(D192="Teen Audiobook",LEFT(B192,11)="TEEN CD FIC"),B192,
IF(D192="Juvenile Audiobook",RIGHT(B192,LEN(B192)-8),
IF(D192="Juvenile Nonfiction",RIGHT(B192,LEN(B192)-2),
IF(D192="Teen Nonfiction",RIGHT(B192,LEN(B192)-5),
IF(AND(D192="Audiobook",
              NOT(OR(Contains($B192,"CD BIO"),Contains($B192,"CD FIC")))),RIGHT(B192,LEN(B192)-3),
IF(D192="Juvenile Biography",RIGHT(B192,LEN(B192)-2),
IF(D192="Teen Biography",RIGHT(B192,LEN(B192)-5),
IF(AND(D192="Audiobook",
              IFERROR(FIND("BIO",$B192)&gt;0,FALSE)),RIGHT(B192,LEN(B192)-3),
IF(D192="Juvenile Large Type","J "&amp;RIGHT(B192,LEN(B192)-11),
IF(D192="Teen Large Type","TEEN "&amp;RIGHT(B192,LEN(B192)-14),
IF(D192="Reference",RIGHT(B192,LEN(B192)-4),
IF(D192="DVD Educational",RIGHT(B192,LEN(B192)-7),
IF(D192="Juvenile DVD Educational",RIGHT(B192,LEN(B192)-9),
B192)))))))))))))))))</f>
        <v/>
      </c>
    </row>
    <row r="193" spans="1:8" ht="27" customHeight="1" x14ac:dyDescent="0.25">
      <c r="A193" s="10" t="str">
        <f ca="1">TEXT( INDIRECT( ADDRESS( ROW() + Row_Offset, INDIRECT( "Column_Number_" &amp; A$1), 4,1, tabname) ), "")</f>
        <v/>
      </c>
      <c r="B193" s="10" t="str">
        <f ca="1">TEXT(  IFERROR( VLOOKUP( $D193, CollName_Simplifier_Table[], 2, FALSE),"") &amp;
        INDIRECT( ADDRESS( ROW() + Row_Offset, INDIRECT( "Column_Number_" &amp; $B$1), 4,1, tabname) ), "")</f>
        <v/>
      </c>
      <c r="C193" s="10" t="str">
        <f ca="1">TEXT( INDIRECT( ADDRESS( ROW() + Row_Offset, INDIRECT( "Column_Number_" &amp; C$1), 4,1, tabname) ), "")</f>
        <v/>
      </c>
      <c r="D193" s="10" t="str">
        <f ca="1">TEXT( INDIRECT( ADDRESS( ROW() + Row_Offset, INDIRECT( "Column_Number_" &amp; D$1), 4,1, tabname) ), "")</f>
        <v/>
      </c>
      <c r="E193" s="10" t="str">
        <f ca="1">TEXT( INDIRECT( ADDRESS( ROW() + Row_Offset, INDIRECT( "Column_Number_" &amp; E$1), 4,1, tabname) ), "####")</f>
        <v/>
      </c>
      <c r="F193" s="15"/>
      <c r="G193" s="21" t="str">
        <f ca="1">IFERROR(INDEX(Rank_Table[],MATCH($D193&amp;$A193,Table4[Join],0)),"")</f>
        <v/>
      </c>
      <c r="H193" s="11" t="str">
        <f ca="1">IF(AND(D193="Juvenile Audiobook",LEFT(B193,8)="J CD BIO"),RIGHT(B193,LEN(B193)-9),
IF(AND(D193="Juvenile Audiobook",LEFT(B193,8)="J CD FIC"),B193,
IF(D193="Juvenile Audiobook",RIGHT(B193,LEN(B193)-5),
IF(AND(D193="Teen Audiobook",LEFT(B193,11)="TEEN CD BIO"),RIGHT(B193,LEN(B193)-12),
IF(AND(D193="Teen Audiobook",LEFT(B193,11)="TEEN CD FIC"),B193,
IF(D193="Juvenile Audiobook",RIGHT(B193,LEN(B193)-8),
IF(D193="Juvenile Nonfiction",RIGHT(B193,LEN(B193)-2),
IF(D193="Teen Nonfiction",RIGHT(B193,LEN(B193)-5),
IF(AND(D193="Audiobook",
              NOT(OR(Contains($B193,"CD BIO"),Contains($B193,"CD FIC")))),RIGHT(B193,LEN(B193)-3),
IF(D193="Juvenile Biography",RIGHT(B193,LEN(B193)-2),
IF(D193="Teen Biography",RIGHT(B193,LEN(B193)-5),
IF(AND(D193="Audiobook",
              IFERROR(FIND("BIO",$B193)&gt;0,FALSE)),RIGHT(B193,LEN(B193)-3),
IF(D193="Juvenile Large Type","J "&amp;RIGHT(B193,LEN(B193)-11),
IF(D193="Teen Large Type","TEEN "&amp;RIGHT(B193,LEN(B193)-14),
IF(D193="Reference",RIGHT(B193,LEN(B193)-4),
IF(D193="DVD Educational",RIGHT(B193,LEN(B193)-7),
IF(D193="Juvenile DVD Educational",RIGHT(B193,LEN(B193)-9),
B193)))))))))))))))))</f>
        <v/>
      </c>
    </row>
    <row r="194" spans="1:8" ht="27" customHeight="1" x14ac:dyDescent="0.25">
      <c r="A194" s="10" t="str">
        <f ca="1">TEXT( INDIRECT( ADDRESS( ROW() + Row_Offset, INDIRECT( "Column_Number_" &amp; A$1), 4,1, tabname) ), "")</f>
        <v/>
      </c>
      <c r="B194" s="10" t="str">
        <f ca="1">TEXT(  IFERROR( VLOOKUP( $D194, CollName_Simplifier_Table[], 2, FALSE),"") &amp;
        INDIRECT( ADDRESS( ROW() + Row_Offset, INDIRECT( "Column_Number_" &amp; $B$1), 4,1, tabname) ), "")</f>
        <v/>
      </c>
      <c r="C194" s="10" t="str">
        <f ca="1">TEXT( INDIRECT( ADDRESS( ROW() + Row_Offset, INDIRECT( "Column_Number_" &amp; C$1), 4,1, tabname) ), "")</f>
        <v/>
      </c>
      <c r="D194" s="10" t="str">
        <f ca="1">TEXT( INDIRECT( ADDRESS( ROW() + Row_Offset, INDIRECT( "Column_Number_" &amp; D$1), 4,1, tabname) ), "")</f>
        <v/>
      </c>
      <c r="E194" s="10" t="str">
        <f ca="1">TEXT( INDIRECT( ADDRESS( ROW() + Row_Offset, INDIRECT( "Column_Number_" &amp; E$1), 4,1, tabname) ), "####")</f>
        <v/>
      </c>
      <c r="F194" s="15"/>
      <c r="G194" s="21" t="str">
        <f ca="1">IFERROR(INDEX(Rank_Table[],MATCH($D194&amp;$A194,Table4[Join],0)),"")</f>
        <v/>
      </c>
      <c r="H194" s="11" t="str">
        <f ca="1">IF(AND(D194="Juvenile Audiobook",LEFT(B194,8)="J CD BIO"),RIGHT(B194,LEN(B194)-9),
IF(AND(D194="Juvenile Audiobook",LEFT(B194,8)="J CD FIC"),B194,
IF(D194="Juvenile Audiobook",RIGHT(B194,LEN(B194)-5),
IF(AND(D194="Teen Audiobook",LEFT(B194,11)="TEEN CD BIO"),RIGHT(B194,LEN(B194)-12),
IF(AND(D194="Teen Audiobook",LEFT(B194,11)="TEEN CD FIC"),B194,
IF(D194="Juvenile Audiobook",RIGHT(B194,LEN(B194)-8),
IF(D194="Juvenile Nonfiction",RIGHT(B194,LEN(B194)-2),
IF(D194="Teen Nonfiction",RIGHT(B194,LEN(B194)-5),
IF(AND(D194="Audiobook",
              NOT(OR(Contains($B194,"CD BIO"),Contains($B194,"CD FIC")))),RIGHT(B194,LEN(B194)-3),
IF(D194="Juvenile Biography",RIGHT(B194,LEN(B194)-2),
IF(D194="Teen Biography",RIGHT(B194,LEN(B194)-5),
IF(AND(D194="Audiobook",
              IFERROR(FIND("BIO",$B194)&gt;0,FALSE)),RIGHT(B194,LEN(B194)-3),
IF(D194="Juvenile Large Type","J "&amp;RIGHT(B194,LEN(B194)-11),
IF(D194="Teen Large Type","TEEN "&amp;RIGHT(B194,LEN(B194)-14),
IF(D194="Reference",RIGHT(B194,LEN(B194)-4),
IF(D194="DVD Educational",RIGHT(B194,LEN(B194)-7),
IF(D194="Juvenile DVD Educational",RIGHT(B194,LEN(B194)-9),
B194)))))))))))))))))</f>
        <v/>
      </c>
    </row>
    <row r="195" spans="1:8" ht="27" customHeight="1" x14ac:dyDescent="0.25">
      <c r="A195" s="10" t="str">
        <f ca="1">TEXT( INDIRECT( ADDRESS( ROW() + Row_Offset, INDIRECT( "Column_Number_" &amp; A$1), 4,1, tabname) ), "")</f>
        <v/>
      </c>
      <c r="B195" s="10" t="str">
        <f ca="1">TEXT(  IFERROR( VLOOKUP( $D195, CollName_Simplifier_Table[], 2, FALSE),"") &amp;
        INDIRECT( ADDRESS( ROW() + Row_Offset, INDIRECT( "Column_Number_" &amp; $B$1), 4,1, tabname) ), "")</f>
        <v/>
      </c>
      <c r="C195" s="10" t="str">
        <f ca="1">TEXT( INDIRECT( ADDRESS( ROW() + Row_Offset, INDIRECT( "Column_Number_" &amp; C$1), 4,1, tabname) ), "")</f>
        <v/>
      </c>
      <c r="D195" s="10" t="str">
        <f ca="1">TEXT( INDIRECT( ADDRESS( ROW() + Row_Offset, INDIRECT( "Column_Number_" &amp; D$1), 4,1, tabname) ), "")</f>
        <v/>
      </c>
      <c r="E195" s="10" t="str">
        <f ca="1">TEXT( INDIRECT( ADDRESS( ROW() + Row_Offset, INDIRECT( "Column_Number_" &amp; E$1), 4,1, tabname) ), "####")</f>
        <v/>
      </c>
      <c r="F195" s="15"/>
      <c r="G195" s="21" t="str">
        <f ca="1">IFERROR(INDEX(Rank_Table[],MATCH($D195&amp;$A195,Table4[Join],0)),"")</f>
        <v/>
      </c>
      <c r="H195" s="11" t="str">
        <f ca="1">IF(AND(D195="Juvenile Audiobook",LEFT(B195,8)="J CD BIO"),RIGHT(B195,LEN(B195)-9),
IF(AND(D195="Juvenile Audiobook",LEFT(B195,8)="J CD FIC"),B195,
IF(D195="Juvenile Audiobook",RIGHT(B195,LEN(B195)-5),
IF(AND(D195="Teen Audiobook",LEFT(B195,11)="TEEN CD BIO"),RIGHT(B195,LEN(B195)-12),
IF(AND(D195="Teen Audiobook",LEFT(B195,11)="TEEN CD FIC"),B195,
IF(D195="Juvenile Audiobook",RIGHT(B195,LEN(B195)-8),
IF(D195="Juvenile Nonfiction",RIGHT(B195,LEN(B195)-2),
IF(D195="Teen Nonfiction",RIGHT(B195,LEN(B195)-5),
IF(AND(D195="Audiobook",
              NOT(OR(Contains($B195,"CD BIO"),Contains($B195,"CD FIC")))),RIGHT(B195,LEN(B195)-3),
IF(D195="Juvenile Biography",RIGHT(B195,LEN(B195)-2),
IF(D195="Teen Biography",RIGHT(B195,LEN(B195)-5),
IF(AND(D195="Audiobook",
              IFERROR(FIND("BIO",$B195)&gt;0,FALSE)),RIGHT(B195,LEN(B195)-3),
IF(D195="Juvenile Large Type","J "&amp;RIGHT(B195,LEN(B195)-11),
IF(D195="Teen Large Type","TEEN "&amp;RIGHT(B195,LEN(B195)-14),
IF(D195="Reference",RIGHT(B195,LEN(B195)-4),
IF(D195="DVD Educational",RIGHT(B195,LEN(B195)-7),
IF(D195="Juvenile DVD Educational",RIGHT(B195,LEN(B195)-9),
B195)))))))))))))))))</f>
        <v/>
      </c>
    </row>
    <row r="196" spans="1:8" ht="27" customHeight="1" x14ac:dyDescent="0.25">
      <c r="A196" s="10" t="str">
        <f ca="1">TEXT( INDIRECT( ADDRESS( ROW() + Row_Offset, INDIRECT( "Column_Number_" &amp; A$1), 4,1, tabname) ), "")</f>
        <v/>
      </c>
      <c r="B196" s="10" t="str">
        <f ca="1">TEXT(  IFERROR( VLOOKUP( $D196, CollName_Simplifier_Table[], 2, FALSE),"") &amp;
        INDIRECT( ADDRESS( ROW() + Row_Offset, INDIRECT( "Column_Number_" &amp; $B$1), 4,1, tabname) ), "")</f>
        <v/>
      </c>
      <c r="C196" s="10" t="str">
        <f ca="1">TEXT( INDIRECT( ADDRESS( ROW() + Row_Offset, INDIRECT( "Column_Number_" &amp; C$1), 4,1, tabname) ), "")</f>
        <v/>
      </c>
      <c r="D196" s="10" t="str">
        <f ca="1">TEXT( INDIRECT( ADDRESS( ROW() + Row_Offset, INDIRECT( "Column_Number_" &amp; D$1), 4,1, tabname) ), "")</f>
        <v/>
      </c>
      <c r="E196" s="10" t="str">
        <f ca="1">TEXT( INDIRECT( ADDRESS( ROW() + Row_Offset, INDIRECT( "Column_Number_" &amp; E$1), 4,1, tabname) ), "####")</f>
        <v/>
      </c>
      <c r="F196" s="15"/>
      <c r="G196" s="21" t="str">
        <f ca="1">IFERROR(INDEX(Rank_Table[],MATCH($D196&amp;$A196,Table4[Join],0)),"")</f>
        <v/>
      </c>
      <c r="H196" s="11" t="str">
        <f ca="1">IF(AND(D196="Juvenile Audiobook",LEFT(B196,8)="J CD BIO"),RIGHT(B196,LEN(B196)-9),
IF(AND(D196="Juvenile Audiobook",LEFT(B196,8)="J CD FIC"),B196,
IF(D196="Juvenile Audiobook",RIGHT(B196,LEN(B196)-5),
IF(AND(D196="Teen Audiobook",LEFT(B196,11)="TEEN CD BIO"),RIGHT(B196,LEN(B196)-12),
IF(AND(D196="Teen Audiobook",LEFT(B196,11)="TEEN CD FIC"),B196,
IF(D196="Juvenile Audiobook",RIGHT(B196,LEN(B196)-8),
IF(D196="Juvenile Nonfiction",RIGHT(B196,LEN(B196)-2),
IF(D196="Teen Nonfiction",RIGHT(B196,LEN(B196)-5),
IF(AND(D196="Audiobook",
              NOT(OR(Contains($B196,"CD BIO"),Contains($B196,"CD FIC")))),RIGHT(B196,LEN(B196)-3),
IF(D196="Juvenile Biography",RIGHT(B196,LEN(B196)-2),
IF(D196="Teen Biography",RIGHT(B196,LEN(B196)-5),
IF(AND(D196="Audiobook",
              IFERROR(FIND("BIO",$B196)&gt;0,FALSE)),RIGHT(B196,LEN(B196)-3),
IF(D196="Juvenile Large Type","J "&amp;RIGHT(B196,LEN(B196)-11),
IF(D196="Teen Large Type","TEEN "&amp;RIGHT(B196,LEN(B196)-14),
IF(D196="Reference",RIGHT(B196,LEN(B196)-4),
IF(D196="DVD Educational",RIGHT(B196,LEN(B196)-7),
IF(D196="Juvenile DVD Educational",RIGHT(B196,LEN(B196)-9),
B196)))))))))))))))))</f>
        <v/>
      </c>
    </row>
    <row r="197" spans="1:8" ht="27" customHeight="1" x14ac:dyDescent="0.25">
      <c r="A197" s="10" t="str">
        <f ca="1">TEXT( INDIRECT( ADDRESS( ROW() + Row_Offset, INDIRECT( "Column_Number_" &amp; A$1), 4,1, tabname) ), "")</f>
        <v/>
      </c>
      <c r="B197" s="10" t="str">
        <f ca="1">TEXT(  IFERROR( VLOOKUP( $D197, CollName_Simplifier_Table[], 2, FALSE),"") &amp;
        INDIRECT( ADDRESS( ROW() + Row_Offset, INDIRECT( "Column_Number_" &amp; $B$1), 4,1, tabname) ), "")</f>
        <v/>
      </c>
      <c r="C197" s="10" t="str">
        <f ca="1">TEXT( INDIRECT( ADDRESS( ROW() + Row_Offset, INDIRECT( "Column_Number_" &amp; C$1), 4,1, tabname) ), "")</f>
        <v/>
      </c>
      <c r="D197" s="10" t="str">
        <f ca="1">TEXT( INDIRECT( ADDRESS( ROW() + Row_Offset, INDIRECT( "Column_Number_" &amp; D$1), 4,1, tabname) ), "")</f>
        <v/>
      </c>
      <c r="E197" s="10" t="str">
        <f ca="1">TEXT( INDIRECT( ADDRESS( ROW() + Row_Offset, INDIRECT( "Column_Number_" &amp; E$1), 4,1, tabname) ), "####")</f>
        <v/>
      </c>
      <c r="F197" s="15"/>
      <c r="G197" s="21" t="str">
        <f ca="1">IFERROR(INDEX(Rank_Table[],MATCH($D197&amp;$A197,Table4[Join],0)),"")</f>
        <v/>
      </c>
      <c r="H197" s="11" t="str">
        <f ca="1">IF(AND(D197="Juvenile Audiobook",LEFT(B197,8)="J CD BIO"),RIGHT(B197,LEN(B197)-9),
IF(AND(D197="Juvenile Audiobook",LEFT(B197,8)="J CD FIC"),B197,
IF(D197="Juvenile Audiobook",RIGHT(B197,LEN(B197)-5),
IF(AND(D197="Teen Audiobook",LEFT(B197,11)="TEEN CD BIO"),RIGHT(B197,LEN(B197)-12),
IF(AND(D197="Teen Audiobook",LEFT(B197,11)="TEEN CD FIC"),B197,
IF(D197="Juvenile Audiobook",RIGHT(B197,LEN(B197)-8),
IF(D197="Juvenile Nonfiction",RIGHT(B197,LEN(B197)-2),
IF(D197="Teen Nonfiction",RIGHT(B197,LEN(B197)-5),
IF(AND(D197="Audiobook",
              NOT(OR(Contains($B197,"CD BIO"),Contains($B197,"CD FIC")))),RIGHT(B197,LEN(B197)-3),
IF(D197="Juvenile Biography",RIGHT(B197,LEN(B197)-2),
IF(D197="Teen Biography",RIGHT(B197,LEN(B197)-5),
IF(AND(D197="Audiobook",
              IFERROR(FIND("BIO",$B197)&gt;0,FALSE)),RIGHT(B197,LEN(B197)-3),
IF(D197="Juvenile Large Type","J "&amp;RIGHT(B197,LEN(B197)-11),
IF(D197="Teen Large Type","TEEN "&amp;RIGHT(B197,LEN(B197)-14),
IF(D197="Reference",RIGHT(B197,LEN(B197)-4),
IF(D197="DVD Educational",RIGHT(B197,LEN(B197)-7),
IF(D197="Juvenile DVD Educational",RIGHT(B197,LEN(B197)-9),
B197)))))))))))))))))</f>
        <v/>
      </c>
    </row>
    <row r="198" spans="1:8" ht="27" customHeight="1" x14ac:dyDescent="0.25">
      <c r="A198" s="10" t="str">
        <f ca="1">TEXT( INDIRECT( ADDRESS( ROW() + Row_Offset, INDIRECT( "Column_Number_" &amp; A$1), 4,1, tabname) ), "")</f>
        <v/>
      </c>
      <c r="B198" s="10" t="str">
        <f ca="1">TEXT(  IFERROR( VLOOKUP( $D198, CollName_Simplifier_Table[], 2, FALSE),"") &amp;
        INDIRECT( ADDRESS( ROW() + Row_Offset, INDIRECT( "Column_Number_" &amp; $B$1), 4,1, tabname) ), "")</f>
        <v/>
      </c>
      <c r="C198" s="10" t="str">
        <f ca="1">TEXT( INDIRECT( ADDRESS( ROW() + Row_Offset, INDIRECT( "Column_Number_" &amp; C$1), 4,1, tabname) ), "")</f>
        <v/>
      </c>
      <c r="D198" s="10" t="str">
        <f ca="1">TEXT( INDIRECT( ADDRESS( ROW() + Row_Offset, INDIRECT( "Column_Number_" &amp; D$1), 4,1, tabname) ), "")</f>
        <v/>
      </c>
      <c r="E198" s="10" t="str">
        <f ca="1">TEXT( INDIRECT( ADDRESS( ROW() + Row_Offset, INDIRECT( "Column_Number_" &amp; E$1), 4,1, tabname) ), "####")</f>
        <v/>
      </c>
      <c r="F198" s="15"/>
      <c r="G198" s="21" t="str">
        <f ca="1">IFERROR(INDEX(Rank_Table[],MATCH($D198&amp;$A198,Table4[Join],0)),"")</f>
        <v/>
      </c>
      <c r="H198" s="11" t="str">
        <f ca="1">IF(AND(D198="Juvenile Audiobook",LEFT(B198,8)="J CD BIO"),RIGHT(B198,LEN(B198)-9),
IF(AND(D198="Juvenile Audiobook",LEFT(B198,8)="J CD FIC"),B198,
IF(D198="Juvenile Audiobook",RIGHT(B198,LEN(B198)-5),
IF(AND(D198="Teen Audiobook",LEFT(B198,11)="TEEN CD BIO"),RIGHT(B198,LEN(B198)-12),
IF(AND(D198="Teen Audiobook",LEFT(B198,11)="TEEN CD FIC"),B198,
IF(D198="Juvenile Audiobook",RIGHT(B198,LEN(B198)-8),
IF(D198="Juvenile Nonfiction",RIGHT(B198,LEN(B198)-2),
IF(D198="Teen Nonfiction",RIGHT(B198,LEN(B198)-5),
IF(AND(D198="Audiobook",
              NOT(OR(Contains($B198,"CD BIO"),Contains($B198,"CD FIC")))),RIGHT(B198,LEN(B198)-3),
IF(D198="Juvenile Biography",RIGHT(B198,LEN(B198)-2),
IF(D198="Teen Biography",RIGHT(B198,LEN(B198)-5),
IF(AND(D198="Audiobook",
              IFERROR(FIND("BIO",$B198)&gt;0,FALSE)),RIGHT(B198,LEN(B198)-3),
IF(D198="Juvenile Large Type","J "&amp;RIGHT(B198,LEN(B198)-11),
IF(D198="Teen Large Type","TEEN "&amp;RIGHT(B198,LEN(B198)-14),
IF(D198="Reference",RIGHT(B198,LEN(B198)-4),
IF(D198="DVD Educational",RIGHT(B198,LEN(B198)-7),
IF(D198="Juvenile DVD Educational",RIGHT(B198,LEN(B198)-9),
B198)))))))))))))))))</f>
        <v/>
      </c>
    </row>
    <row r="199" spans="1:8" ht="27" customHeight="1" x14ac:dyDescent="0.25">
      <c r="A199" s="10" t="str">
        <f ca="1">TEXT( INDIRECT( ADDRESS( ROW() + Row_Offset, INDIRECT( "Column_Number_" &amp; A$1), 4,1, tabname) ), "")</f>
        <v/>
      </c>
      <c r="B199" s="10" t="str">
        <f ca="1">TEXT(  IFERROR( VLOOKUP( $D199, CollName_Simplifier_Table[], 2, FALSE),"") &amp;
        INDIRECT( ADDRESS( ROW() + Row_Offset, INDIRECT( "Column_Number_" &amp; $B$1), 4,1, tabname) ), "")</f>
        <v/>
      </c>
      <c r="C199" s="10" t="str">
        <f ca="1">TEXT( INDIRECT( ADDRESS( ROW() + Row_Offset, INDIRECT( "Column_Number_" &amp; C$1), 4,1, tabname) ), "")</f>
        <v/>
      </c>
      <c r="D199" s="10" t="str">
        <f ca="1">TEXT( INDIRECT( ADDRESS( ROW() + Row_Offset, INDIRECT( "Column_Number_" &amp; D$1), 4,1, tabname) ), "")</f>
        <v/>
      </c>
      <c r="E199" s="10" t="str">
        <f ca="1">TEXT( INDIRECT( ADDRESS( ROW() + Row_Offset, INDIRECT( "Column_Number_" &amp; E$1), 4,1, tabname) ), "####")</f>
        <v/>
      </c>
      <c r="F199" s="15"/>
      <c r="G199" s="21" t="str">
        <f ca="1">IFERROR(INDEX(Rank_Table[],MATCH($D199&amp;$A199,Table4[Join],0)),"")</f>
        <v/>
      </c>
      <c r="H199" s="11" t="str">
        <f ca="1">IF(AND(D199="Juvenile Audiobook",LEFT(B199,8)="J CD BIO"),RIGHT(B199,LEN(B199)-9),
IF(AND(D199="Juvenile Audiobook",LEFT(B199,8)="J CD FIC"),B199,
IF(D199="Juvenile Audiobook",RIGHT(B199,LEN(B199)-5),
IF(AND(D199="Teen Audiobook",LEFT(B199,11)="TEEN CD BIO"),RIGHT(B199,LEN(B199)-12),
IF(AND(D199="Teen Audiobook",LEFT(B199,11)="TEEN CD FIC"),B199,
IF(D199="Juvenile Audiobook",RIGHT(B199,LEN(B199)-8),
IF(D199="Juvenile Nonfiction",RIGHT(B199,LEN(B199)-2),
IF(D199="Teen Nonfiction",RIGHT(B199,LEN(B199)-5),
IF(AND(D199="Audiobook",
              NOT(OR(Contains($B199,"CD BIO"),Contains($B199,"CD FIC")))),RIGHT(B199,LEN(B199)-3),
IF(D199="Juvenile Biography",RIGHT(B199,LEN(B199)-2),
IF(D199="Teen Biography",RIGHT(B199,LEN(B199)-5),
IF(AND(D199="Audiobook",
              IFERROR(FIND("BIO",$B199)&gt;0,FALSE)),RIGHT(B199,LEN(B199)-3),
IF(D199="Juvenile Large Type","J "&amp;RIGHT(B199,LEN(B199)-11),
IF(D199="Teen Large Type","TEEN "&amp;RIGHT(B199,LEN(B199)-14),
IF(D199="Reference",RIGHT(B199,LEN(B199)-4),
IF(D199="DVD Educational",RIGHT(B199,LEN(B199)-7),
IF(D199="Juvenile DVD Educational",RIGHT(B199,LEN(B199)-9),
B199)))))))))))))))))</f>
        <v/>
      </c>
    </row>
    <row r="200" spans="1:8" ht="27" customHeight="1" x14ac:dyDescent="0.25">
      <c r="A200" s="10" t="str">
        <f ca="1">TEXT( INDIRECT( ADDRESS( ROW() + Row_Offset, INDIRECT( "Column_Number_" &amp; A$1), 4,1, tabname) ), "")</f>
        <v/>
      </c>
      <c r="B200" s="10" t="str">
        <f ca="1">TEXT(  IFERROR( VLOOKUP( $D200, CollName_Simplifier_Table[], 2, FALSE),"") &amp;
        INDIRECT( ADDRESS( ROW() + Row_Offset, INDIRECT( "Column_Number_" &amp; $B$1), 4,1, tabname) ), "")</f>
        <v/>
      </c>
      <c r="C200" s="10" t="str">
        <f ca="1">TEXT( INDIRECT( ADDRESS( ROW() + Row_Offset, INDIRECT( "Column_Number_" &amp; C$1), 4,1, tabname) ), "")</f>
        <v/>
      </c>
      <c r="D200" s="10" t="str">
        <f ca="1">TEXT( INDIRECT( ADDRESS( ROW() + Row_Offset, INDIRECT( "Column_Number_" &amp; D$1), 4,1, tabname) ), "")</f>
        <v/>
      </c>
      <c r="E200" s="10" t="str">
        <f ca="1">TEXT( INDIRECT( ADDRESS( ROW() + Row_Offset, INDIRECT( "Column_Number_" &amp; E$1), 4,1, tabname) ), "####")</f>
        <v/>
      </c>
      <c r="F200" s="15"/>
      <c r="G200" s="21" t="str">
        <f ca="1">IFERROR(INDEX(Rank_Table[],MATCH($D200&amp;$A200,Table4[Join],0)),"")</f>
        <v/>
      </c>
      <c r="H200" s="11" t="str">
        <f ca="1">IF(AND(D200="Juvenile Audiobook",LEFT(B200,8)="J CD BIO"),RIGHT(B200,LEN(B200)-9),
IF(AND(D200="Juvenile Audiobook",LEFT(B200,8)="J CD FIC"),B200,
IF(D200="Juvenile Audiobook",RIGHT(B200,LEN(B200)-5),
IF(AND(D200="Teen Audiobook",LEFT(B200,11)="TEEN CD BIO"),RIGHT(B200,LEN(B200)-12),
IF(AND(D200="Teen Audiobook",LEFT(B200,11)="TEEN CD FIC"),B200,
IF(D200="Juvenile Audiobook",RIGHT(B200,LEN(B200)-8),
IF(D200="Juvenile Nonfiction",RIGHT(B200,LEN(B200)-2),
IF(D200="Teen Nonfiction",RIGHT(B200,LEN(B200)-5),
IF(AND(D200="Audiobook",
              NOT(OR(Contains($B200,"CD BIO"),Contains($B200,"CD FIC")))),RIGHT(B200,LEN(B200)-3),
IF(D200="Juvenile Biography",RIGHT(B200,LEN(B200)-2),
IF(D200="Teen Biography",RIGHT(B200,LEN(B200)-5),
IF(AND(D200="Audiobook",
              IFERROR(FIND("BIO",$B200)&gt;0,FALSE)),RIGHT(B200,LEN(B200)-3),
IF(D200="Juvenile Large Type","J "&amp;RIGHT(B200,LEN(B200)-11),
IF(D200="Teen Large Type","TEEN "&amp;RIGHT(B200,LEN(B200)-14),
IF(D200="Reference",RIGHT(B200,LEN(B200)-4),
IF(D200="DVD Educational",RIGHT(B200,LEN(B200)-7),
IF(D200="Juvenile DVD Educational",RIGHT(B200,LEN(B200)-9),
B200)))))))))))))))))</f>
        <v/>
      </c>
    </row>
    <row r="201" spans="1:8" ht="27" customHeight="1" x14ac:dyDescent="0.25">
      <c r="A201" s="10" t="str">
        <f ca="1">TEXT( INDIRECT( ADDRESS( ROW() + Row_Offset, INDIRECT( "Column_Number_" &amp; A$1), 4,1, tabname) ), "")</f>
        <v/>
      </c>
      <c r="B201" s="10" t="str">
        <f ca="1">TEXT(  IFERROR( VLOOKUP( $D201, CollName_Simplifier_Table[], 2, FALSE),"") &amp;
        INDIRECT( ADDRESS( ROW() + Row_Offset, INDIRECT( "Column_Number_" &amp; $B$1), 4,1, tabname) ), "")</f>
        <v/>
      </c>
      <c r="C201" s="10" t="str">
        <f ca="1">TEXT( INDIRECT( ADDRESS( ROW() + Row_Offset, INDIRECT( "Column_Number_" &amp; C$1), 4,1, tabname) ), "")</f>
        <v/>
      </c>
      <c r="D201" s="10" t="str">
        <f ca="1">TEXT( INDIRECT( ADDRESS( ROW() + Row_Offset, INDIRECT( "Column_Number_" &amp; D$1), 4,1, tabname) ), "")</f>
        <v/>
      </c>
      <c r="E201" s="10" t="str">
        <f ca="1">TEXT( INDIRECT( ADDRESS( ROW() + Row_Offset, INDIRECT( "Column_Number_" &amp; E$1), 4,1, tabname) ), "####")</f>
        <v/>
      </c>
      <c r="F201" s="15"/>
      <c r="G201" s="21" t="str">
        <f ca="1">IFERROR(INDEX(Rank_Table[],MATCH($D201&amp;$A201,Table4[Join],0)),"")</f>
        <v/>
      </c>
      <c r="H201" s="11" t="str">
        <f ca="1">IF(AND(D201="Juvenile Audiobook",LEFT(B201,8)="J CD BIO"),RIGHT(B201,LEN(B201)-9),
IF(AND(D201="Juvenile Audiobook",LEFT(B201,8)="J CD FIC"),B201,
IF(D201="Juvenile Audiobook",RIGHT(B201,LEN(B201)-5),
IF(AND(D201="Teen Audiobook",LEFT(B201,11)="TEEN CD BIO"),RIGHT(B201,LEN(B201)-12),
IF(AND(D201="Teen Audiobook",LEFT(B201,11)="TEEN CD FIC"),B201,
IF(D201="Juvenile Audiobook",RIGHT(B201,LEN(B201)-8),
IF(D201="Juvenile Nonfiction",RIGHT(B201,LEN(B201)-2),
IF(D201="Teen Nonfiction",RIGHT(B201,LEN(B201)-5),
IF(AND(D201="Audiobook",
              NOT(OR(Contains($B201,"CD BIO"),Contains($B201,"CD FIC")))),RIGHT(B201,LEN(B201)-3),
IF(D201="Juvenile Biography",RIGHT(B201,LEN(B201)-2),
IF(D201="Teen Biography",RIGHT(B201,LEN(B201)-5),
IF(AND(D201="Audiobook",
              IFERROR(FIND("BIO",$B201)&gt;0,FALSE)),RIGHT(B201,LEN(B201)-3),
IF(D201="Juvenile Large Type","J "&amp;RIGHT(B201,LEN(B201)-11),
IF(D201="Teen Large Type","TEEN "&amp;RIGHT(B201,LEN(B201)-14),
IF(D201="Reference",RIGHT(B201,LEN(B201)-4),
IF(D201="DVD Educational",RIGHT(B201,LEN(B201)-7),
IF(D201="Juvenile DVD Educational",RIGHT(B201,LEN(B201)-9),
B201)))))))))))))))))</f>
        <v/>
      </c>
    </row>
    <row r="202" spans="1:8" ht="27" customHeight="1" x14ac:dyDescent="0.25">
      <c r="A202" s="10" t="str">
        <f ca="1">TEXT( INDIRECT( ADDRESS( ROW() + Row_Offset, INDIRECT( "Column_Number_" &amp; A$1), 4,1, tabname) ), "")</f>
        <v/>
      </c>
      <c r="B202" s="10" t="str">
        <f ca="1">TEXT(  IFERROR( VLOOKUP( $D202, CollName_Simplifier_Table[], 2, FALSE),"") &amp;
        INDIRECT( ADDRESS( ROW() + Row_Offset, INDIRECT( "Column_Number_" &amp; $B$1), 4,1, tabname) ), "")</f>
        <v/>
      </c>
      <c r="C202" s="10" t="str">
        <f ca="1">TEXT( INDIRECT( ADDRESS( ROW() + Row_Offset, INDIRECT( "Column_Number_" &amp; C$1), 4,1, tabname) ), "")</f>
        <v/>
      </c>
      <c r="D202" s="10" t="str">
        <f ca="1">TEXT( INDIRECT( ADDRESS( ROW() + Row_Offset, INDIRECT( "Column_Number_" &amp; D$1), 4,1, tabname) ), "")</f>
        <v/>
      </c>
      <c r="E202" s="10" t="str">
        <f ca="1">TEXT( INDIRECT( ADDRESS( ROW() + Row_Offset, INDIRECT( "Column_Number_" &amp; E$1), 4,1, tabname) ), "####")</f>
        <v/>
      </c>
      <c r="F202" s="15"/>
      <c r="G202" s="21" t="str">
        <f ca="1">IFERROR(INDEX(Rank_Table[],MATCH($D202&amp;$A202,Table4[Join],0)),"")</f>
        <v/>
      </c>
      <c r="H202" s="11" t="str">
        <f ca="1">IF(AND(D202="Juvenile Audiobook",LEFT(B202,8)="J CD BIO"),RIGHT(B202,LEN(B202)-9),
IF(AND(D202="Juvenile Audiobook",LEFT(B202,8)="J CD FIC"),B202,
IF(D202="Juvenile Audiobook",RIGHT(B202,LEN(B202)-5),
IF(AND(D202="Teen Audiobook",LEFT(B202,11)="TEEN CD BIO"),RIGHT(B202,LEN(B202)-12),
IF(AND(D202="Teen Audiobook",LEFT(B202,11)="TEEN CD FIC"),B202,
IF(D202="Juvenile Audiobook",RIGHT(B202,LEN(B202)-8),
IF(D202="Juvenile Nonfiction",RIGHT(B202,LEN(B202)-2),
IF(D202="Teen Nonfiction",RIGHT(B202,LEN(B202)-5),
IF(AND(D202="Audiobook",
              NOT(OR(Contains($B202,"CD BIO"),Contains($B202,"CD FIC")))),RIGHT(B202,LEN(B202)-3),
IF(D202="Juvenile Biography",RIGHT(B202,LEN(B202)-2),
IF(D202="Teen Biography",RIGHT(B202,LEN(B202)-5),
IF(AND(D202="Audiobook",
              IFERROR(FIND("BIO",$B202)&gt;0,FALSE)),RIGHT(B202,LEN(B202)-3),
IF(D202="Juvenile Large Type","J "&amp;RIGHT(B202,LEN(B202)-11),
IF(D202="Teen Large Type","TEEN "&amp;RIGHT(B202,LEN(B202)-14),
IF(D202="Reference",RIGHT(B202,LEN(B202)-4),
IF(D202="DVD Educational",RIGHT(B202,LEN(B202)-7),
IF(D202="Juvenile DVD Educational",RIGHT(B202,LEN(B202)-9),
B202)))))))))))))))))</f>
        <v/>
      </c>
    </row>
    <row r="203" spans="1:8" ht="27" customHeight="1" x14ac:dyDescent="0.25">
      <c r="A203" s="10" t="str">
        <f ca="1">TEXT( INDIRECT( ADDRESS( ROW() + Row_Offset, INDIRECT( "Column_Number_" &amp; A$1), 4,1, tabname) ), "")</f>
        <v/>
      </c>
      <c r="B203" s="10" t="str">
        <f ca="1">TEXT(  IFERROR( VLOOKUP( $D203, CollName_Simplifier_Table[], 2, FALSE),"") &amp;
        INDIRECT( ADDRESS( ROW() + Row_Offset, INDIRECT( "Column_Number_" &amp; $B$1), 4,1, tabname) ), "")</f>
        <v/>
      </c>
      <c r="C203" s="10" t="str">
        <f ca="1">TEXT( INDIRECT( ADDRESS( ROW() + Row_Offset, INDIRECT( "Column_Number_" &amp; C$1), 4,1, tabname) ), "")</f>
        <v/>
      </c>
      <c r="D203" s="10" t="str">
        <f ca="1">TEXT( INDIRECT( ADDRESS( ROW() + Row_Offset, INDIRECT( "Column_Number_" &amp; D$1), 4,1, tabname) ), "")</f>
        <v/>
      </c>
      <c r="E203" s="10" t="str">
        <f ca="1">TEXT( INDIRECT( ADDRESS( ROW() + Row_Offset, INDIRECT( "Column_Number_" &amp; E$1), 4,1, tabname) ), "####")</f>
        <v/>
      </c>
      <c r="F203" s="15"/>
      <c r="G203" s="21" t="str">
        <f ca="1">IFERROR(INDEX(Rank_Table[],MATCH($D203&amp;$A203,Table4[Join],0)),"")</f>
        <v/>
      </c>
      <c r="H203" s="11" t="str">
        <f ca="1">IF(AND(D203="Juvenile Audiobook",LEFT(B203,8)="J CD BIO"),RIGHT(B203,LEN(B203)-9),
IF(AND(D203="Juvenile Audiobook",LEFT(B203,8)="J CD FIC"),B203,
IF(D203="Juvenile Audiobook",RIGHT(B203,LEN(B203)-5),
IF(AND(D203="Teen Audiobook",LEFT(B203,11)="TEEN CD BIO"),RIGHT(B203,LEN(B203)-12),
IF(AND(D203="Teen Audiobook",LEFT(B203,11)="TEEN CD FIC"),B203,
IF(D203="Juvenile Audiobook",RIGHT(B203,LEN(B203)-8),
IF(D203="Juvenile Nonfiction",RIGHT(B203,LEN(B203)-2),
IF(D203="Teen Nonfiction",RIGHT(B203,LEN(B203)-5),
IF(AND(D203="Audiobook",
              NOT(OR(Contains($B203,"CD BIO"),Contains($B203,"CD FIC")))),RIGHT(B203,LEN(B203)-3),
IF(D203="Juvenile Biography",RIGHT(B203,LEN(B203)-2),
IF(D203="Teen Biography",RIGHT(B203,LEN(B203)-5),
IF(AND(D203="Audiobook",
              IFERROR(FIND("BIO",$B203)&gt;0,FALSE)),RIGHT(B203,LEN(B203)-3),
IF(D203="Juvenile Large Type","J "&amp;RIGHT(B203,LEN(B203)-11),
IF(D203="Teen Large Type","TEEN "&amp;RIGHT(B203,LEN(B203)-14),
IF(D203="Reference",RIGHT(B203,LEN(B203)-4),
IF(D203="DVD Educational",RIGHT(B203,LEN(B203)-7),
IF(D203="Juvenile DVD Educational",RIGHT(B203,LEN(B203)-9),
B203)))))))))))))))))</f>
        <v/>
      </c>
    </row>
    <row r="204" spans="1:8" ht="27" customHeight="1" x14ac:dyDescent="0.25">
      <c r="A204" s="10" t="str">
        <f ca="1">TEXT( INDIRECT( ADDRESS( ROW() + Row_Offset, INDIRECT( "Column_Number_" &amp; A$1), 4,1, tabname) ), "")</f>
        <v/>
      </c>
      <c r="B204" s="10" t="str">
        <f ca="1">TEXT(  IFERROR( VLOOKUP( $D204, CollName_Simplifier_Table[], 2, FALSE),"") &amp;
        INDIRECT( ADDRESS( ROW() + Row_Offset, INDIRECT( "Column_Number_" &amp; $B$1), 4,1, tabname) ), "")</f>
        <v/>
      </c>
      <c r="C204" s="10" t="str">
        <f ca="1">TEXT( INDIRECT( ADDRESS( ROW() + Row_Offset, INDIRECT( "Column_Number_" &amp; C$1), 4,1, tabname) ), "")</f>
        <v/>
      </c>
      <c r="D204" s="10" t="str">
        <f ca="1">TEXT( INDIRECT( ADDRESS( ROW() + Row_Offset, INDIRECT( "Column_Number_" &amp; D$1), 4,1, tabname) ), "")</f>
        <v/>
      </c>
      <c r="E204" s="10" t="str">
        <f ca="1">TEXT( INDIRECT( ADDRESS( ROW() + Row_Offset, INDIRECT( "Column_Number_" &amp; E$1), 4,1, tabname) ), "####")</f>
        <v/>
      </c>
      <c r="F204" s="15"/>
      <c r="G204" s="21" t="str">
        <f ca="1">IFERROR(INDEX(Rank_Table[],MATCH($D204&amp;$A204,Table4[Join],0)),"")</f>
        <v/>
      </c>
      <c r="H204" s="11" t="str">
        <f ca="1">IF(AND(D204="Juvenile Audiobook",LEFT(B204,8)="J CD BIO"),RIGHT(B204,LEN(B204)-9),
IF(AND(D204="Juvenile Audiobook",LEFT(B204,8)="J CD FIC"),B204,
IF(D204="Juvenile Audiobook",RIGHT(B204,LEN(B204)-5),
IF(AND(D204="Teen Audiobook",LEFT(B204,11)="TEEN CD BIO"),RIGHT(B204,LEN(B204)-12),
IF(AND(D204="Teen Audiobook",LEFT(B204,11)="TEEN CD FIC"),B204,
IF(D204="Juvenile Audiobook",RIGHT(B204,LEN(B204)-8),
IF(D204="Juvenile Nonfiction",RIGHT(B204,LEN(B204)-2),
IF(D204="Teen Nonfiction",RIGHT(B204,LEN(B204)-5),
IF(AND(D204="Audiobook",
              NOT(OR(Contains($B204,"CD BIO"),Contains($B204,"CD FIC")))),RIGHT(B204,LEN(B204)-3),
IF(D204="Juvenile Biography",RIGHT(B204,LEN(B204)-2),
IF(D204="Teen Biography",RIGHT(B204,LEN(B204)-5),
IF(AND(D204="Audiobook",
              IFERROR(FIND("BIO",$B204)&gt;0,FALSE)),RIGHT(B204,LEN(B204)-3),
IF(D204="Juvenile Large Type","J "&amp;RIGHT(B204,LEN(B204)-11),
IF(D204="Teen Large Type","TEEN "&amp;RIGHT(B204,LEN(B204)-14),
IF(D204="Reference",RIGHT(B204,LEN(B204)-4),
IF(D204="DVD Educational",RIGHT(B204,LEN(B204)-7),
IF(D204="Juvenile DVD Educational",RIGHT(B204,LEN(B204)-9),
B204)))))))))))))))))</f>
        <v/>
      </c>
    </row>
    <row r="205" spans="1:8" ht="27" customHeight="1" x14ac:dyDescent="0.25">
      <c r="A205" s="10" t="str">
        <f ca="1">TEXT( INDIRECT( ADDRESS( ROW() + Row_Offset, INDIRECT( "Column_Number_" &amp; A$1), 4,1, tabname) ), "")</f>
        <v/>
      </c>
      <c r="B205" s="10" t="str">
        <f ca="1">TEXT(  IFERROR( VLOOKUP( $D205, CollName_Simplifier_Table[], 2, FALSE),"") &amp;
        INDIRECT( ADDRESS( ROW() + Row_Offset, INDIRECT( "Column_Number_" &amp; $B$1), 4,1, tabname) ), "")</f>
        <v/>
      </c>
      <c r="C205" s="10" t="str">
        <f ca="1">TEXT( INDIRECT( ADDRESS( ROW() + Row_Offset, INDIRECT( "Column_Number_" &amp; C$1), 4,1, tabname) ), "")</f>
        <v/>
      </c>
      <c r="D205" s="10" t="str">
        <f ca="1">TEXT( INDIRECT( ADDRESS( ROW() + Row_Offset, INDIRECT( "Column_Number_" &amp; D$1), 4,1, tabname) ), "")</f>
        <v/>
      </c>
      <c r="E205" s="10" t="str">
        <f ca="1">TEXT( INDIRECT( ADDRESS( ROW() + Row_Offset, INDIRECT( "Column_Number_" &amp; E$1), 4,1, tabname) ), "####")</f>
        <v/>
      </c>
      <c r="F205" s="15"/>
      <c r="G205" s="21" t="str">
        <f ca="1">IFERROR(INDEX(Rank_Table[],MATCH($D205&amp;$A205,Table4[Join],0)),"")</f>
        <v/>
      </c>
      <c r="H205" s="11" t="str">
        <f ca="1">IF(AND(D205="Juvenile Audiobook",LEFT(B205,8)="J CD BIO"),RIGHT(B205,LEN(B205)-9),
IF(AND(D205="Juvenile Audiobook",LEFT(B205,8)="J CD FIC"),B205,
IF(D205="Juvenile Audiobook",RIGHT(B205,LEN(B205)-5),
IF(AND(D205="Teen Audiobook",LEFT(B205,11)="TEEN CD BIO"),RIGHT(B205,LEN(B205)-12),
IF(AND(D205="Teen Audiobook",LEFT(B205,11)="TEEN CD FIC"),B205,
IF(D205="Juvenile Audiobook",RIGHT(B205,LEN(B205)-8),
IF(D205="Juvenile Nonfiction",RIGHT(B205,LEN(B205)-2),
IF(D205="Teen Nonfiction",RIGHT(B205,LEN(B205)-5),
IF(AND(D205="Audiobook",
              NOT(OR(Contains($B205,"CD BIO"),Contains($B205,"CD FIC")))),RIGHT(B205,LEN(B205)-3),
IF(D205="Juvenile Biography",RIGHT(B205,LEN(B205)-2),
IF(D205="Teen Biography",RIGHT(B205,LEN(B205)-5),
IF(AND(D205="Audiobook",
              IFERROR(FIND("BIO",$B205)&gt;0,FALSE)),RIGHT(B205,LEN(B205)-3),
IF(D205="Juvenile Large Type","J "&amp;RIGHT(B205,LEN(B205)-11),
IF(D205="Teen Large Type","TEEN "&amp;RIGHT(B205,LEN(B205)-14),
IF(D205="Reference",RIGHT(B205,LEN(B205)-4),
IF(D205="DVD Educational",RIGHT(B205,LEN(B205)-7),
IF(D205="Juvenile DVD Educational",RIGHT(B205,LEN(B205)-9),
B205)))))))))))))))))</f>
        <v/>
      </c>
    </row>
    <row r="206" spans="1:8" ht="27" customHeight="1" x14ac:dyDescent="0.25">
      <c r="A206" s="10" t="str">
        <f ca="1">TEXT( INDIRECT( ADDRESS( ROW() + Row_Offset, INDIRECT( "Column_Number_" &amp; A$1), 4,1, tabname) ), "")</f>
        <v/>
      </c>
      <c r="B206" s="10" t="str">
        <f ca="1">TEXT(  IFERROR( VLOOKUP( $D206, CollName_Simplifier_Table[], 2, FALSE),"") &amp;
        INDIRECT( ADDRESS( ROW() + Row_Offset, INDIRECT( "Column_Number_" &amp; $B$1), 4,1, tabname) ), "")</f>
        <v/>
      </c>
      <c r="C206" s="10" t="str">
        <f ca="1">TEXT( INDIRECT( ADDRESS( ROW() + Row_Offset, INDIRECT( "Column_Number_" &amp; C$1), 4,1, tabname) ), "")</f>
        <v/>
      </c>
      <c r="D206" s="10" t="str">
        <f ca="1">TEXT( INDIRECT( ADDRESS( ROW() + Row_Offset, INDIRECT( "Column_Number_" &amp; D$1), 4,1, tabname) ), "")</f>
        <v/>
      </c>
      <c r="E206" s="10" t="str">
        <f ca="1">TEXT( INDIRECT( ADDRESS( ROW() + Row_Offset, INDIRECT( "Column_Number_" &amp; E$1), 4,1, tabname) ), "####")</f>
        <v/>
      </c>
      <c r="F206" s="15"/>
      <c r="G206" s="21" t="str">
        <f ca="1">IFERROR(INDEX(Rank_Table[],MATCH($D206&amp;$A206,Table4[Join],0)),"")</f>
        <v/>
      </c>
      <c r="H206" s="11" t="str">
        <f ca="1">IF(AND(D206="Juvenile Audiobook",LEFT(B206,8)="J CD BIO"),RIGHT(B206,LEN(B206)-9),
IF(AND(D206="Juvenile Audiobook",LEFT(B206,8)="J CD FIC"),B206,
IF(D206="Juvenile Audiobook",RIGHT(B206,LEN(B206)-5),
IF(AND(D206="Teen Audiobook",LEFT(B206,11)="TEEN CD BIO"),RIGHT(B206,LEN(B206)-12),
IF(AND(D206="Teen Audiobook",LEFT(B206,11)="TEEN CD FIC"),B206,
IF(D206="Juvenile Audiobook",RIGHT(B206,LEN(B206)-8),
IF(D206="Juvenile Nonfiction",RIGHT(B206,LEN(B206)-2),
IF(D206="Teen Nonfiction",RIGHT(B206,LEN(B206)-5),
IF(AND(D206="Audiobook",
              NOT(OR(Contains($B206,"CD BIO"),Contains($B206,"CD FIC")))),RIGHT(B206,LEN(B206)-3),
IF(D206="Juvenile Biography",RIGHT(B206,LEN(B206)-2),
IF(D206="Teen Biography",RIGHT(B206,LEN(B206)-5),
IF(AND(D206="Audiobook",
              IFERROR(FIND("BIO",$B206)&gt;0,FALSE)),RIGHT(B206,LEN(B206)-3),
IF(D206="Juvenile Large Type","J "&amp;RIGHT(B206,LEN(B206)-11),
IF(D206="Teen Large Type","TEEN "&amp;RIGHT(B206,LEN(B206)-14),
IF(D206="Reference",RIGHT(B206,LEN(B206)-4),
IF(D206="DVD Educational",RIGHT(B206,LEN(B206)-7),
IF(D206="Juvenile DVD Educational",RIGHT(B206,LEN(B206)-9),
B206)))))))))))))))))</f>
        <v/>
      </c>
    </row>
    <row r="207" spans="1:8" ht="27" customHeight="1" x14ac:dyDescent="0.25">
      <c r="A207" s="10" t="str">
        <f ca="1">TEXT( INDIRECT( ADDRESS( ROW() + Row_Offset, INDIRECT( "Column_Number_" &amp; A$1), 4,1, tabname) ), "")</f>
        <v/>
      </c>
      <c r="B207" s="10" t="str">
        <f ca="1">TEXT(  IFERROR( VLOOKUP( $D207, CollName_Simplifier_Table[], 2, FALSE),"") &amp;
        INDIRECT( ADDRESS( ROW() + Row_Offset, INDIRECT( "Column_Number_" &amp; $B$1), 4,1, tabname) ), "")</f>
        <v/>
      </c>
      <c r="C207" s="10" t="str">
        <f ca="1">TEXT( INDIRECT( ADDRESS( ROW() + Row_Offset, INDIRECT( "Column_Number_" &amp; C$1), 4,1, tabname) ), "")</f>
        <v/>
      </c>
      <c r="D207" s="10" t="str">
        <f ca="1">TEXT( INDIRECT( ADDRESS( ROW() + Row_Offset, INDIRECT( "Column_Number_" &amp; D$1), 4,1, tabname) ), "")</f>
        <v/>
      </c>
      <c r="E207" s="10" t="str">
        <f ca="1">TEXT( INDIRECT( ADDRESS( ROW() + Row_Offset, INDIRECT( "Column_Number_" &amp; E$1), 4,1, tabname) ), "####")</f>
        <v/>
      </c>
      <c r="F207" s="15"/>
      <c r="G207" s="21" t="str">
        <f ca="1">IFERROR(INDEX(Rank_Table[],MATCH($D207&amp;$A207,Table4[Join],0)),"")</f>
        <v/>
      </c>
      <c r="H207" s="11" t="str">
        <f ca="1">IF(AND(D207="Juvenile Audiobook",LEFT(B207,8)="J CD BIO"),RIGHT(B207,LEN(B207)-9),
IF(AND(D207="Juvenile Audiobook",LEFT(B207,8)="J CD FIC"),B207,
IF(D207="Juvenile Audiobook",RIGHT(B207,LEN(B207)-5),
IF(AND(D207="Teen Audiobook",LEFT(B207,11)="TEEN CD BIO"),RIGHT(B207,LEN(B207)-12),
IF(AND(D207="Teen Audiobook",LEFT(B207,11)="TEEN CD FIC"),B207,
IF(D207="Juvenile Audiobook",RIGHT(B207,LEN(B207)-8),
IF(D207="Juvenile Nonfiction",RIGHT(B207,LEN(B207)-2),
IF(D207="Teen Nonfiction",RIGHT(B207,LEN(B207)-5),
IF(AND(D207="Audiobook",
              NOT(OR(Contains($B207,"CD BIO"),Contains($B207,"CD FIC")))),RIGHT(B207,LEN(B207)-3),
IF(D207="Juvenile Biography",RIGHT(B207,LEN(B207)-2),
IF(D207="Teen Biography",RIGHT(B207,LEN(B207)-5),
IF(AND(D207="Audiobook",
              IFERROR(FIND("BIO",$B207)&gt;0,FALSE)),RIGHT(B207,LEN(B207)-3),
IF(D207="Juvenile Large Type","J "&amp;RIGHT(B207,LEN(B207)-11),
IF(D207="Teen Large Type","TEEN "&amp;RIGHT(B207,LEN(B207)-14),
IF(D207="Reference",RIGHT(B207,LEN(B207)-4),
IF(D207="DVD Educational",RIGHT(B207,LEN(B207)-7),
IF(D207="Juvenile DVD Educational",RIGHT(B207,LEN(B207)-9),
B207)))))))))))))))))</f>
        <v/>
      </c>
    </row>
    <row r="208" spans="1:8" ht="27" customHeight="1" x14ac:dyDescent="0.25">
      <c r="A208" s="10" t="str">
        <f ca="1">TEXT( INDIRECT( ADDRESS( ROW() + Row_Offset, INDIRECT( "Column_Number_" &amp; A$1), 4,1, tabname) ), "")</f>
        <v/>
      </c>
      <c r="B208" s="10" t="str">
        <f ca="1">TEXT(  IFERROR( VLOOKUP( $D208, CollName_Simplifier_Table[], 2, FALSE),"") &amp;
        INDIRECT( ADDRESS( ROW() + Row_Offset, INDIRECT( "Column_Number_" &amp; $B$1), 4,1, tabname) ), "")</f>
        <v/>
      </c>
      <c r="C208" s="10" t="str">
        <f ca="1">TEXT( INDIRECT( ADDRESS( ROW() + Row_Offset, INDIRECT( "Column_Number_" &amp; C$1), 4,1, tabname) ), "")</f>
        <v/>
      </c>
      <c r="D208" s="10" t="str">
        <f ca="1">TEXT( INDIRECT( ADDRESS( ROW() + Row_Offset, INDIRECT( "Column_Number_" &amp; D$1), 4,1, tabname) ), "")</f>
        <v/>
      </c>
      <c r="E208" s="10" t="str">
        <f ca="1">TEXT( INDIRECT( ADDRESS( ROW() + Row_Offset, INDIRECT( "Column_Number_" &amp; E$1), 4,1, tabname) ), "####")</f>
        <v/>
      </c>
      <c r="F208" s="15"/>
      <c r="G208" s="21" t="str">
        <f ca="1">IFERROR(INDEX(Rank_Table[],MATCH($D208&amp;$A208,Table4[Join],0)),"")</f>
        <v/>
      </c>
      <c r="H208" s="11" t="str">
        <f ca="1">IF(AND(D208="Juvenile Audiobook",LEFT(B208,8)="J CD BIO"),RIGHT(B208,LEN(B208)-9),
IF(AND(D208="Juvenile Audiobook",LEFT(B208,8)="J CD FIC"),B208,
IF(D208="Juvenile Audiobook",RIGHT(B208,LEN(B208)-5),
IF(AND(D208="Teen Audiobook",LEFT(B208,11)="TEEN CD BIO"),RIGHT(B208,LEN(B208)-12),
IF(AND(D208="Teen Audiobook",LEFT(B208,11)="TEEN CD FIC"),B208,
IF(D208="Juvenile Audiobook",RIGHT(B208,LEN(B208)-8),
IF(D208="Juvenile Nonfiction",RIGHT(B208,LEN(B208)-2),
IF(D208="Teen Nonfiction",RIGHT(B208,LEN(B208)-5),
IF(AND(D208="Audiobook",
              NOT(OR(Contains($B208,"CD BIO"),Contains($B208,"CD FIC")))),RIGHT(B208,LEN(B208)-3),
IF(D208="Juvenile Biography",RIGHT(B208,LEN(B208)-2),
IF(D208="Teen Biography",RIGHT(B208,LEN(B208)-5),
IF(AND(D208="Audiobook",
              IFERROR(FIND("BIO",$B208)&gt;0,FALSE)),RIGHT(B208,LEN(B208)-3),
IF(D208="Juvenile Large Type","J "&amp;RIGHT(B208,LEN(B208)-11),
IF(D208="Teen Large Type","TEEN "&amp;RIGHT(B208,LEN(B208)-14),
IF(D208="Reference",RIGHT(B208,LEN(B208)-4),
IF(D208="DVD Educational",RIGHT(B208,LEN(B208)-7),
IF(D208="Juvenile DVD Educational",RIGHT(B208,LEN(B208)-9),
B208)))))))))))))))))</f>
        <v/>
      </c>
    </row>
    <row r="209" spans="1:8" ht="27" customHeight="1" x14ac:dyDescent="0.25">
      <c r="A209" s="10" t="str">
        <f ca="1">TEXT( INDIRECT( ADDRESS( ROW() + Row_Offset, INDIRECT( "Column_Number_" &amp; A$1), 4,1, tabname) ), "")</f>
        <v/>
      </c>
      <c r="B209" s="10" t="str">
        <f ca="1">TEXT(  IFERROR( VLOOKUP( $D209, CollName_Simplifier_Table[], 2, FALSE),"") &amp;
        INDIRECT( ADDRESS( ROW() + Row_Offset, INDIRECT( "Column_Number_" &amp; $B$1), 4,1, tabname) ), "")</f>
        <v/>
      </c>
      <c r="C209" s="10" t="str">
        <f ca="1">TEXT( INDIRECT( ADDRESS( ROW() + Row_Offset, INDIRECT( "Column_Number_" &amp; C$1), 4,1, tabname) ), "")</f>
        <v/>
      </c>
      <c r="D209" s="10" t="str">
        <f ca="1">TEXT( INDIRECT( ADDRESS( ROW() + Row_Offset, INDIRECT( "Column_Number_" &amp; D$1), 4,1, tabname) ), "")</f>
        <v/>
      </c>
      <c r="E209" s="10" t="str">
        <f ca="1">TEXT( INDIRECT( ADDRESS( ROW() + Row_Offset, INDIRECT( "Column_Number_" &amp; E$1), 4,1, tabname) ), "####")</f>
        <v/>
      </c>
      <c r="F209" s="15"/>
      <c r="G209" s="21" t="str">
        <f ca="1">IFERROR(INDEX(Rank_Table[],MATCH($D209&amp;$A209,Table4[Join],0)),"")</f>
        <v/>
      </c>
      <c r="H209" s="11" t="str">
        <f ca="1">IF(AND(D209="Juvenile Audiobook",LEFT(B209,8)="J CD BIO"),RIGHT(B209,LEN(B209)-9),
IF(AND(D209="Juvenile Audiobook",LEFT(B209,8)="J CD FIC"),B209,
IF(D209="Juvenile Audiobook",RIGHT(B209,LEN(B209)-5),
IF(AND(D209="Teen Audiobook",LEFT(B209,11)="TEEN CD BIO"),RIGHT(B209,LEN(B209)-12),
IF(AND(D209="Teen Audiobook",LEFT(B209,11)="TEEN CD FIC"),B209,
IF(D209="Juvenile Audiobook",RIGHT(B209,LEN(B209)-8),
IF(D209="Juvenile Nonfiction",RIGHT(B209,LEN(B209)-2),
IF(D209="Teen Nonfiction",RIGHT(B209,LEN(B209)-5),
IF(AND(D209="Audiobook",
              NOT(OR(Contains($B209,"CD BIO"),Contains($B209,"CD FIC")))),RIGHT(B209,LEN(B209)-3),
IF(D209="Juvenile Biography",RIGHT(B209,LEN(B209)-2),
IF(D209="Teen Biography",RIGHT(B209,LEN(B209)-5),
IF(AND(D209="Audiobook",
              IFERROR(FIND("BIO",$B209)&gt;0,FALSE)),RIGHT(B209,LEN(B209)-3),
IF(D209="Juvenile Large Type","J "&amp;RIGHT(B209,LEN(B209)-11),
IF(D209="Teen Large Type","TEEN "&amp;RIGHT(B209,LEN(B209)-14),
IF(D209="Reference",RIGHT(B209,LEN(B209)-4),
IF(D209="DVD Educational",RIGHT(B209,LEN(B209)-7),
IF(D209="Juvenile DVD Educational",RIGHT(B209,LEN(B209)-9),
B209)))))))))))))))))</f>
        <v/>
      </c>
    </row>
    <row r="210" spans="1:8" ht="27" customHeight="1" x14ac:dyDescent="0.25">
      <c r="A210" s="10" t="str">
        <f ca="1">TEXT( INDIRECT( ADDRESS( ROW() + Row_Offset, INDIRECT( "Column_Number_" &amp; A$1), 4,1, tabname) ), "")</f>
        <v/>
      </c>
      <c r="B210" s="10" t="str">
        <f ca="1">TEXT(  IFERROR( VLOOKUP( $D210, CollName_Simplifier_Table[], 2, FALSE),"") &amp;
        INDIRECT( ADDRESS( ROW() + Row_Offset, INDIRECT( "Column_Number_" &amp; $B$1), 4,1, tabname) ), "")</f>
        <v/>
      </c>
      <c r="C210" s="10" t="str">
        <f ca="1">TEXT( INDIRECT( ADDRESS( ROW() + Row_Offset, INDIRECT( "Column_Number_" &amp; C$1), 4,1, tabname) ), "")</f>
        <v/>
      </c>
      <c r="D210" s="10" t="str">
        <f ca="1">TEXT( INDIRECT( ADDRESS( ROW() + Row_Offset, INDIRECT( "Column_Number_" &amp; D$1), 4,1, tabname) ), "")</f>
        <v/>
      </c>
      <c r="E210" s="10" t="str">
        <f ca="1">TEXT( INDIRECT( ADDRESS( ROW() + Row_Offset, INDIRECT( "Column_Number_" &amp; E$1), 4,1, tabname) ), "####")</f>
        <v/>
      </c>
      <c r="F210" s="15"/>
      <c r="G210" s="21" t="str">
        <f ca="1">IFERROR(INDEX(Rank_Table[],MATCH($D210&amp;$A210,Table4[Join],0)),"")</f>
        <v/>
      </c>
      <c r="H210" s="11" t="str">
        <f ca="1">IF(AND(D210="Juvenile Audiobook",LEFT(B210,8)="J CD BIO"),RIGHT(B210,LEN(B210)-9),
IF(AND(D210="Juvenile Audiobook",LEFT(B210,8)="J CD FIC"),B210,
IF(D210="Juvenile Audiobook",RIGHT(B210,LEN(B210)-5),
IF(AND(D210="Teen Audiobook",LEFT(B210,11)="TEEN CD BIO"),RIGHT(B210,LEN(B210)-12),
IF(AND(D210="Teen Audiobook",LEFT(B210,11)="TEEN CD FIC"),B210,
IF(D210="Juvenile Audiobook",RIGHT(B210,LEN(B210)-8),
IF(D210="Juvenile Nonfiction",RIGHT(B210,LEN(B210)-2),
IF(D210="Teen Nonfiction",RIGHT(B210,LEN(B210)-5),
IF(AND(D210="Audiobook",
              NOT(OR(Contains($B210,"CD BIO"),Contains($B210,"CD FIC")))),RIGHT(B210,LEN(B210)-3),
IF(D210="Juvenile Biography",RIGHT(B210,LEN(B210)-2),
IF(D210="Teen Biography",RIGHT(B210,LEN(B210)-5),
IF(AND(D210="Audiobook",
              IFERROR(FIND("BIO",$B210)&gt;0,FALSE)),RIGHT(B210,LEN(B210)-3),
IF(D210="Juvenile Large Type","J "&amp;RIGHT(B210,LEN(B210)-11),
IF(D210="Teen Large Type","TEEN "&amp;RIGHT(B210,LEN(B210)-14),
IF(D210="Reference",RIGHT(B210,LEN(B210)-4),
IF(D210="DVD Educational",RIGHT(B210,LEN(B210)-7),
IF(D210="Juvenile DVD Educational",RIGHT(B210,LEN(B210)-9),
B210)))))))))))))))))</f>
        <v/>
      </c>
    </row>
    <row r="211" spans="1:8" ht="27" customHeight="1" x14ac:dyDescent="0.25">
      <c r="A211" s="10" t="str">
        <f ca="1">TEXT( INDIRECT( ADDRESS( ROW() + Row_Offset, INDIRECT( "Column_Number_" &amp; A$1), 4,1, tabname) ), "")</f>
        <v/>
      </c>
      <c r="B211" s="10" t="str">
        <f ca="1">TEXT(  IFERROR( VLOOKUP( $D211, CollName_Simplifier_Table[], 2, FALSE),"") &amp;
        INDIRECT( ADDRESS( ROW() + Row_Offset, INDIRECT( "Column_Number_" &amp; $B$1), 4,1, tabname) ), "")</f>
        <v/>
      </c>
      <c r="C211" s="10" t="str">
        <f ca="1">TEXT( INDIRECT( ADDRESS( ROW() + Row_Offset, INDIRECT( "Column_Number_" &amp; C$1), 4,1, tabname) ), "")</f>
        <v/>
      </c>
      <c r="D211" s="10" t="str">
        <f ca="1">TEXT( INDIRECT( ADDRESS( ROW() + Row_Offset, INDIRECT( "Column_Number_" &amp; D$1), 4,1, tabname) ), "")</f>
        <v/>
      </c>
      <c r="E211" s="10" t="str">
        <f ca="1">TEXT( INDIRECT( ADDRESS( ROW() + Row_Offset, INDIRECT( "Column_Number_" &amp; E$1), 4,1, tabname) ), "####")</f>
        <v/>
      </c>
      <c r="F211" s="15"/>
      <c r="G211" s="21" t="str">
        <f ca="1">IFERROR(INDEX(Rank_Table[],MATCH($D211&amp;$A211,Table4[Join],0)),"")</f>
        <v/>
      </c>
      <c r="H211" s="11" t="str">
        <f ca="1">IF(AND(D211="Juvenile Audiobook",LEFT(B211,8)="J CD BIO"),RIGHT(B211,LEN(B211)-9),
IF(AND(D211="Juvenile Audiobook",LEFT(B211,8)="J CD FIC"),B211,
IF(D211="Juvenile Audiobook",RIGHT(B211,LEN(B211)-5),
IF(AND(D211="Teen Audiobook",LEFT(B211,11)="TEEN CD BIO"),RIGHT(B211,LEN(B211)-12),
IF(AND(D211="Teen Audiobook",LEFT(B211,11)="TEEN CD FIC"),B211,
IF(D211="Juvenile Audiobook",RIGHT(B211,LEN(B211)-8),
IF(D211="Juvenile Nonfiction",RIGHT(B211,LEN(B211)-2),
IF(D211="Teen Nonfiction",RIGHT(B211,LEN(B211)-5),
IF(AND(D211="Audiobook",
              NOT(OR(Contains($B211,"CD BIO"),Contains($B211,"CD FIC")))),RIGHT(B211,LEN(B211)-3),
IF(D211="Juvenile Biography",RIGHT(B211,LEN(B211)-2),
IF(D211="Teen Biography",RIGHT(B211,LEN(B211)-5),
IF(AND(D211="Audiobook",
              IFERROR(FIND("BIO",$B211)&gt;0,FALSE)),RIGHT(B211,LEN(B211)-3),
IF(D211="Juvenile Large Type","J "&amp;RIGHT(B211,LEN(B211)-11),
IF(D211="Teen Large Type","TEEN "&amp;RIGHT(B211,LEN(B211)-14),
IF(D211="Reference",RIGHT(B211,LEN(B211)-4),
IF(D211="DVD Educational",RIGHT(B211,LEN(B211)-7),
IF(D211="Juvenile DVD Educational",RIGHT(B211,LEN(B211)-9),
B211)))))))))))))))))</f>
        <v/>
      </c>
    </row>
    <row r="212" spans="1:8" ht="27" customHeight="1" x14ac:dyDescent="0.25">
      <c r="A212" s="10" t="str">
        <f ca="1">TEXT( INDIRECT( ADDRESS( ROW() + Row_Offset, INDIRECT( "Column_Number_" &amp; A$1), 4,1, tabname) ), "")</f>
        <v/>
      </c>
      <c r="B212" s="10" t="str">
        <f ca="1">TEXT(  IFERROR( VLOOKUP( $D212, CollName_Simplifier_Table[], 2, FALSE),"") &amp;
        INDIRECT( ADDRESS( ROW() + Row_Offset, INDIRECT( "Column_Number_" &amp; $B$1), 4,1, tabname) ), "")</f>
        <v/>
      </c>
      <c r="C212" s="10" t="str">
        <f ca="1">TEXT( INDIRECT( ADDRESS( ROW() + Row_Offset, INDIRECT( "Column_Number_" &amp; C$1), 4,1, tabname) ), "")</f>
        <v/>
      </c>
      <c r="D212" s="10" t="str">
        <f ca="1">TEXT( INDIRECT( ADDRESS( ROW() + Row_Offset, INDIRECT( "Column_Number_" &amp; D$1), 4,1, tabname) ), "")</f>
        <v/>
      </c>
      <c r="E212" s="10" t="str">
        <f ca="1">TEXT( INDIRECT( ADDRESS( ROW() + Row_Offset, INDIRECT( "Column_Number_" &amp; E$1), 4,1, tabname) ), "####")</f>
        <v/>
      </c>
      <c r="F212" s="15"/>
      <c r="G212" s="21" t="str">
        <f ca="1">IFERROR(INDEX(Rank_Table[],MATCH($D212&amp;$A212,Table4[Join],0)),"")</f>
        <v/>
      </c>
      <c r="H212" s="11" t="str">
        <f ca="1">IF(AND(D212="Juvenile Audiobook",LEFT(B212,8)="J CD BIO"),RIGHT(B212,LEN(B212)-9),
IF(AND(D212="Juvenile Audiobook",LEFT(B212,8)="J CD FIC"),B212,
IF(D212="Juvenile Audiobook",RIGHT(B212,LEN(B212)-5),
IF(AND(D212="Teen Audiobook",LEFT(B212,11)="TEEN CD BIO"),RIGHT(B212,LEN(B212)-12),
IF(AND(D212="Teen Audiobook",LEFT(B212,11)="TEEN CD FIC"),B212,
IF(D212="Juvenile Audiobook",RIGHT(B212,LEN(B212)-8),
IF(D212="Juvenile Nonfiction",RIGHT(B212,LEN(B212)-2),
IF(D212="Teen Nonfiction",RIGHT(B212,LEN(B212)-5),
IF(AND(D212="Audiobook",
              NOT(OR(Contains($B212,"CD BIO"),Contains($B212,"CD FIC")))),RIGHT(B212,LEN(B212)-3),
IF(D212="Juvenile Biography",RIGHT(B212,LEN(B212)-2),
IF(D212="Teen Biography",RIGHT(B212,LEN(B212)-5),
IF(AND(D212="Audiobook",
              IFERROR(FIND("BIO",$B212)&gt;0,FALSE)),RIGHT(B212,LEN(B212)-3),
IF(D212="Juvenile Large Type","J "&amp;RIGHT(B212,LEN(B212)-11),
IF(D212="Teen Large Type","TEEN "&amp;RIGHT(B212,LEN(B212)-14),
IF(D212="Reference",RIGHT(B212,LEN(B212)-4),
IF(D212="DVD Educational",RIGHT(B212,LEN(B212)-7),
IF(D212="Juvenile DVD Educational",RIGHT(B212,LEN(B212)-9),
B212)))))))))))))))))</f>
        <v/>
      </c>
    </row>
    <row r="213" spans="1:8" ht="27" customHeight="1" x14ac:dyDescent="0.25">
      <c r="A213" s="10" t="str">
        <f ca="1">TEXT( INDIRECT( ADDRESS( ROW() + Row_Offset, INDIRECT( "Column_Number_" &amp; A$1), 4,1, tabname) ), "")</f>
        <v/>
      </c>
      <c r="B213" s="10" t="str">
        <f ca="1">TEXT(  IFERROR( VLOOKUP( $D213, CollName_Simplifier_Table[], 2, FALSE),"") &amp;
        INDIRECT( ADDRESS( ROW() + Row_Offset, INDIRECT( "Column_Number_" &amp; $B$1), 4,1, tabname) ), "")</f>
        <v/>
      </c>
      <c r="C213" s="10" t="str">
        <f ca="1">TEXT( INDIRECT( ADDRESS( ROW() + Row_Offset, INDIRECT( "Column_Number_" &amp; C$1), 4,1, tabname) ), "")</f>
        <v/>
      </c>
      <c r="D213" s="10" t="str">
        <f ca="1">TEXT( INDIRECT( ADDRESS( ROW() + Row_Offset, INDIRECT( "Column_Number_" &amp; D$1), 4,1, tabname) ), "")</f>
        <v/>
      </c>
      <c r="E213" s="10" t="str">
        <f ca="1">TEXT( INDIRECT( ADDRESS( ROW() + Row_Offset, INDIRECT( "Column_Number_" &amp; E$1), 4,1, tabname) ), "####")</f>
        <v/>
      </c>
      <c r="F213" s="15"/>
      <c r="G213" s="21" t="str">
        <f ca="1">IFERROR(INDEX(Rank_Table[],MATCH($D213&amp;$A213,Table4[Join],0)),"")</f>
        <v/>
      </c>
      <c r="H213" s="11" t="str">
        <f ca="1">IF(AND(D213="Juvenile Audiobook",LEFT(B213,8)="J CD BIO"),RIGHT(B213,LEN(B213)-9),
IF(AND(D213="Juvenile Audiobook",LEFT(B213,8)="J CD FIC"),B213,
IF(D213="Juvenile Audiobook",RIGHT(B213,LEN(B213)-5),
IF(AND(D213="Teen Audiobook",LEFT(B213,11)="TEEN CD BIO"),RIGHT(B213,LEN(B213)-12),
IF(AND(D213="Teen Audiobook",LEFT(B213,11)="TEEN CD FIC"),B213,
IF(D213="Juvenile Audiobook",RIGHT(B213,LEN(B213)-8),
IF(D213="Juvenile Nonfiction",RIGHT(B213,LEN(B213)-2),
IF(D213="Teen Nonfiction",RIGHT(B213,LEN(B213)-5),
IF(AND(D213="Audiobook",
              NOT(OR(Contains($B213,"CD BIO"),Contains($B213,"CD FIC")))),RIGHT(B213,LEN(B213)-3),
IF(D213="Juvenile Biography",RIGHT(B213,LEN(B213)-2),
IF(D213="Teen Biography",RIGHT(B213,LEN(B213)-5),
IF(AND(D213="Audiobook",
              IFERROR(FIND("BIO",$B213)&gt;0,FALSE)),RIGHT(B213,LEN(B213)-3),
IF(D213="Juvenile Large Type","J "&amp;RIGHT(B213,LEN(B213)-11),
IF(D213="Teen Large Type","TEEN "&amp;RIGHT(B213,LEN(B213)-14),
IF(D213="Reference",RIGHT(B213,LEN(B213)-4),
IF(D213="DVD Educational",RIGHT(B213,LEN(B213)-7),
IF(D213="Juvenile DVD Educational",RIGHT(B213,LEN(B213)-9),
B213)))))))))))))))))</f>
        <v/>
      </c>
    </row>
    <row r="214" spans="1:8" ht="27" customHeight="1" x14ac:dyDescent="0.25">
      <c r="A214" s="10" t="str">
        <f ca="1">TEXT( INDIRECT( ADDRESS( ROW() + Row_Offset, INDIRECT( "Column_Number_" &amp; A$1), 4,1, tabname) ), "")</f>
        <v/>
      </c>
      <c r="B214" s="10" t="str">
        <f ca="1">TEXT(  IFERROR( VLOOKUP( $D214, CollName_Simplifier_Table[], 2, FALSE),"") &amp;
        INDIRECT( ADDRESS( ROW() + Row_Offset, INDIRECT( "Column_Number_" &amp; $B$1), 4,1, tabname) ), "")</f>
        <v/>
      </c>
      <c r="C214" s="10" t="str">
        <f ca="1">TEXT( INDIRECT( ADDRESS( ROW() + Row_Offset, INDIRECT( "Column_Number_" &amp; C$1), 4,1, tabname) ), "")</f>
        <v/>
      </c>
      <c r="D214" s="10" t="str">
        <f ca="1">TEXT( INDIRECT( ADDRESS( ROW() + Row_Offset, INDIRECT( "Column_Number_" &amp; D$1), 4,1, tabname) ), "")</f>
        <v/>
      </c>
      <c r="E214" s="10" t="str">
        <f ca="1">TEXT( INDIRECT( ADDRESS( ROW() + Row_Offset, INDIRECT( "Column_Number_" &amp; E$1), 4,1, tabname) ), "####")</f>
        <v/>
      </c>
      <c r="F214" s="15"/>
      <c r="G214" s="21" t="str">
        <f ca="1">IFERROR(INDEX(Rank_Table[],MATCH($D214&amp;$A214,Table4[Join],0)),"")</f>
        <v/>
      </c>
      <c r="H214" s="11" t="str">
        <f ca="1">IF(AND(D214="Juvenile Audiobook",LEFT(B214,8)="J CD BIO"),RIGHT(B214,LEN(B214)-9),
IF(AND(D214="Juvenile Audiobook",LEFT(B214,8)="J CD FIC"),B214,
IF(D214="Juvenile Audiobook",RIGHT(B214,LEN(B214)-5),
IF(AND(D214="Teen Audiobook",LEFT(B214,11)="TEEN CD BIO"),RIGHT(B214,LEN(B214)-12),
IF(AND(D214="Teen Audiobook",LEFT(B214,11)="TEEN CD FIC"),B214,
IF(D214="Juvenile Audiobook",RIGHT(B214,LEN(B214)-8),
IF(D214="Juvenile Nonfiction",RIGHT(B214,LEN(B214)-2),
IF(D214="Teen Nonfiction",RIGHT(B214,LEN(B214)-5),
IF(AND(D214="Audiobook",
              NOT(OR(Contains($B214,"CD BIO"),Contains($B214,"CD FIC")))),RIGHT(B214,LEN(B214)-3),
IF(D214="Juvenile Biography",RIGHT(B214,LEN(B214)-2),
IF(D214="Teen Biography",RIGHT(B214,LEN(B214)-5),
IF(AND(D214="Audiobook",
              IFERROR(FIND("BIO",$B214)&gt;0,FALSE)),RIGHT(B214,LEN(B214)-3),
IF(D214="Juvenile Large Type","J "&amp;RIGHT(B214,LEN(B214)-11),
IF(D214="Teen Large Type","TEEN "&amp;RIGHT(B214,LEN(B214)-14),
IF(D214="Reference",RIGHT(B214,LEN(B214)-4),
IF(D214="DVD Educational",RIGHT(B214,LEN(B214)-7),
IF(D214="Juvenile DVD Educational",RIGHT(B214,LEN(B214)-9),
B214)))))))))))))))))</f>
        <v/>
      </c>
    </row>
    <row r="215" spans="1:8" ht="27" customHeight="1" x14ac:dyDescent="0.25">
      <c r="A215" s="10" t="str">
        <f ca="1">TEXT( INDIRECT( ADDRESS( ROW() + Row_Offset, INDIRECT( "Column_Number_" &amp; A$1), 4,1, tabname) ), "")</f>
        <v/>
      </c>
      <c r="B215" s="10" t="str">
        <f ca="1">TEXT(  IFERROR( VLOOKUP( $D215, CollName_Simplifier_Table[], 2, FALSE),"") &amp;
        INDIRECT( ADDRESS( ROW() + Row_Offset, INDIRECT( "Column_Number_" &amp; $B$1), 4,1, tabname) ), "")</f>
        <v/>
      </c>
      <c r="C215" s="10" t="str">
        <f ca="1">TEXT( INDIRECT( ADDRESS( ROW() + Row_Offset, INDIRECT( "Column_Number_" &amp; C$1), 4,1, tabname) ), "")</f>
        <v/>
      </c>
      <c r="D215" s="10" t="str">
        <f ca="1">TEXT( INDIRECT( ADDRESS( ROW() + Row_Offset, INDIRECT( "Column_Number_" &amp; D$1), 4,1, tabname) ), "")</f>
        <v/>
      </c>
      <c r="E215" s="10" t="str">
        <f ca="1">TEXT( INDIRECT( ADDRESS( ROW() + Row_Offset, INDIRECT( "Column_Number_" &amp; E$1), 4,1, tabname) ), "####")</f>
        <v/>
      </c>
      <c r="F215" s="15"/>
      <c r="G215" s="21" t="str">
        <f ca="1">IFERROR(INDEX(Rank_Table[],MATCH($D215&amp;$A215,Table4[Join],0)),"")</f>
        <v/>
      </c>
      <c r="H215" s="11" t="str">
        <f ca="1">IF(AND(D215="Juvenile Audiobook",LEFT(B215,8)="J CD BIO"),RIGHT(B215,LEN(B215)-9),
IF(AND(D215="Juvenile Audiobook",LEFT(B215,8)="J CD FIC"),B215,
IF(D215="Juvenile Audiobook",RIGHT(B215,LEN(B215)-5),
IF(AND(D215="Teen Audiobook",LEFT(B215,11)="TEEN CD BIO"),RIGHT(B215,LEN(B215)-12),
IF(AND(D215="Teen Audiobook",LEFT(B215,11)="TEEN CD FIC"),B215,
IF(D215="Juvenile Audiobook",RIGHT(B215,LEN(B215)-8),
IF(D215="Juvenile Nonfiction",RIGHT(B215,LEN(B215)-2),
IF(D215="Teen Nonfiction",RIGHT(B215,LEN(B215)-5),
IF(AND(D215="Audiobook",
              NOT(OR(Contains($B215,"CD BIO"),Contains($B215,"CD FIC")))),RIGHT(B215,LEN(B215)-3),
IF(D215="Juvenile Biography",RIGHT(B215,LEN(B215)-2),
IF(D215="Teen Biography",RIGHT(B215,LEN(B215)-5),
IF(AND(D215="Audiobook",
              IFERROR(FIND("BIO",$B215)&gt;0,FALSE)),RIGHT(B215,LEN(B215)-3),
IF(D215="Juvenile Large Type","J "&amp;RIGHT(B215,LEN(B215)-11),
IF(D215="Teen Large Type","TEEN "&amp;RIGHT(B215,LEN(B215)-14),
IF(D215="Reference",RIGHT(B215,LEN(B215)-4),
IF(D215="DVD Educational",RIGHT(B215,LEN(B215)-7),
IF(D215="Juvenile DVD Educational",RIGHT(B215,LEN(B215)-9),
B215)))))))))))))))))</f>
        <v/>
      </c>
    </row>
    <row r="216" spans="1:8" ht="27" customHeight="1" x14ac:dyDescent="0.25">
      <c r="A216" s="10" t="str">
        <f ca="1">TEXT( INDIRECT( ADDRESS( ROW() + Row_Offset, INDIRECT( "Column_Number_" &amp; A$1), 4,1, tabname) ), "")</f>
        <v/>
      </c>
      <c r="B216" s="10" t="str">
        <f ca="1">TEXT(  IFERROR( VLOOKUP( $D216, CollName_Simplifier_Table[], 2, FALSE),"") &amp;
        INDIRECT( ADDRESS( ROW() + Row_Offset, INDIRECT( "Column_Number_" &amp; $B$1), 4,1, tabname) ), "")</f>
        <v/>
      </c>
      <c r="C216" s="10" t="str">
        <f ca="1">TEXT( INDIRECT( ADDRESS( ROW() + Row_Offset, INDIRECT( "Column_Number_" &amp; C$1), 4,1, tabname) ), "")</f>
        <v/>
      </c>
      <c r="D216" s="10" t="str">
        <f ca="1">TEXT( INDIRECT( ADDRESS( ROW() + Row_Offset, INDIRECT( "Column_Number_" &amp; D$1), 4,1, tabname) ), "")</f>
        <v/>
      </c>
      <c r="E216" s="10" t="str">
        <f ca="1">TEXT( INDIRECT( ADDRESS( ROW() + Row_Offset, INDIRECT( "Column_Number_" &amp; E$1), 4,1, tabname) ), "####")</f>
        <v/>
      </c>
      <c r="F216" s="15"/>
      <c r="G216" s="21" t="str">
        <f ca="1">IFERROR(INDEX(Rank_Table[],MATCH($D216&amp;$A216,Table4[Join],0)),"")</f>
        <v/>
      </c>
      <c r="H216" s="11" t="str">
        <f ca="1">IF(AND(D216="Juvenile Audiobook",LEFT(B216,8)="J CD BIO"),RIGHT(B216,LEN(B216)-9),
IF(AND(D216="Juvenile Audiobook",LEFT(B216,8)="J CD FIC"),B216,
IF(D216="Juvenile Audiobook",RIGHT(B216,LEN(B216)-5),
IF(AND(D216="Teen Audiobook",LEFT(B216,11)="TEEN CD BIO"),RIGHT(B216,LEN(B216)-12),
IF(AND(D216="Teen Audiobook",LEFT(B216,11)="TEEN CD FIC"),B216,
IF(D216="Juvenile Audiobook",RIGHT(B216,LEN(B216)-8),
IF(D216="Juvenile Nonfiction",RIGHT(B216,LEN(B216)-2),
IF(D216="Teen Nonfiction",RIGHT(B216,LEN(B216)-5),
IF(AND(D216="Audiobook",
              NOT(OR(Contains($B216,"CD BIO"),Contains($B216,"CD FIC")))),RIGHT(B216,LEN(B216)-3),
IF(D216="Juvenile Biography",RIGHT(B216,LEN(B216)-2),
IF(D216="Teen Biography",RIGHT(B216,LEN(B216)-5),
IF(AND(D216="Audiobook",
              IFERROR(FIND("BIO",$B216)&gt;0,FALSE)),RIGHT(B216,LEN(B216)-3),
IF(D216="Juvenile Large Type","J "&amp;RIGHT(B216,LEN(B216)-11),
IF(D216="Teen Large Type","TEEN "&amp;RIGHT(B216,LEN(B216)-14),
IF(D216="Reference",RIGHT(B216,LEN(B216)-4),
IF(D216="DVD Educational",RIGHT(B216,LEN(B216)-7),
IF(D216="Juvenile DVD Educational",RIGHT(B216,LEN(B216)-9),
B216)))))))))))))))))</f>
        <v/>
      </c>
    </row>
    <row r="217" spans="1:8" ht="27" customHeight="1" x14ac:dyDescent="0.25">
      <c r="A217" s="10" t="str">
        <f ca="1">TEXT( INDIRECT( ADDRESS( ROW() + Row_Offset, INDIRECT( "Column_Number_" &amp; A$1), 4,1, tabname) ), "")</f>
        <v/>
      </c>
      <c r="B217" s="10" t="str">
        <f ca="1">TEXT(  IFERROR( VLOOKUP( $D217, CollName_Simplifier_Table[], 2, FALSE),"") &amp;
        INDIRECT( ADDRESS( ROW() + Row_Offset, INDIRECT( "Column_Number_" &amp; $B$1), 4,1, tabname) ), "")</f>
        <v/>
      </c>
      <c r="C217" s="10" t="str">
        <f ca="1">TEXT( INDIRECT( ADDRESS( ROW() + Row_Offset, INDIRECT( "Column_Number_" &amp; C$1), 4,1, tabname) ), "")</f>
        <v/>
      </c>
      <c r="D217" s="10" t="str">
        <f ca="1">TEXT( INDIRECT( ADDRESS( ROW() + Row_Offset, INDIRECT( "Column_Number_" &amp; D$1), 4,1, tabname) ), "")</f>
        <v/>
      </c>
      <c r="E217" s="10" t="str">
        <f ca="1">TEXT( INDIRECT( ADDRESS( ROW() + Row_Offset, INDIRECT( "Column_Number_" &amp; E$1), 4,1, tabname) ), "####")</f>
        <v/>
      </c>
      <c r="F217" s="15"/>
      <c r="G217" s="21" t="str">
        <f ca="1">IFERROR(INDEX(Rank_Table[],MATCH($D217&amp;$A217,Table4[Join],0)),"")</f>
        <v/>
      </c>
      <c r="H217" s="11" t="str">
        <f ca="1">IF(AND(D217="Juvenile Audiobook",LEFT(B217,8)="J CD BIO"),RIGHT(B217,LEN(B217)-9),
IF(AND(D217="Juvenile Audiobook",LEFT(B217,8)="J CD FIC"),B217,
IF(D217="Juvenile Audiobook",RIGHT(B217,LEN(B217)-5),
IF(AND(D217="Teen Audiobook",LEFT(B217,11)="TEEN CD BIO"),RIGHT(B217,LEN(B217)-12),
IF(AND(D217="Teen Audiobook",LEFT(B217,11)="TEEN CD FIC"),B217,
IF(D217="Juvenile Audiobook",RIGHT(B217,LEN(B217)-8),
IF(D217="Juvenile Nonfiction",RIGHT(B217,LEN(B217)-2),
IF(D217="Teen Nonfiction",RIGHT(B217,LEN(B217)-5),
IF(AND(D217="Audiobook",
              NOT(OR(Contains($B217,"CD BIO"),Contains($B217,"CD FIC")))),RIGHT(B217,LEN(B217)-3),
IF(D217="Juvenile Biography",RIGHT(B217,LEN(B217)-2),
IF(D217="Teen Biography",RIGHT(B217,LEN(B217)-5),
IF(AND(D217="Audiobook",
              IFERROR(FIND("BIO",$B217)&gt;0,FALSE)),RIGHT(B217,LEN(B217)-3),
IF(D217="Juvenile Large Type","J "&amp;RIGHT(B217,LEN(B217)-11),
IF(D217="Teen Large Type","TEEN "&amp;RIGHT(B217,LEN(B217)-14),
IF(D217="Reference",RIGHT(B217,LEN(B217)-4),
IF(D217="DVD Educational",RIGHT(B217,LEN(B217)-7),
IF(D217="Juvenile DVD Educational",RIGHT(B217,LEN(B217)-9),
B217)))))))))))))))))</f>
        <v/>
      </c>
    </row>
    <row r="218" spans="1:8" ht="27" customHeight="1" x14ac:dyDescent="0.25">
      <c r="A218" s="10" t="str">
        <f ca="1">TEXT( INDIRECT( ADDRESS( ROW() + Row_Offset, INDIRECT( "Column_Number_" &amp; A$1), 4,1, tabname) ), "")</f>
        <v/>
      </c>
      <c r="B218" s="10" t="str">
        <f ca="1">TEXT(  IFERROR( VLOOKUP( $D218, CollName_Simplifier_Table[], 2, FALSE),"") &amp;
        INDIRECT( ADDRESS( ROW() + Row_Offset, INDIRECT( "Column_Number_" &amp; $B$1), 4,1, tabname) ), "")</f>
        <v/>
      </c>
      <c r="C218" s="10" t="str">
        <f ca="1">TEXT( INDIRECT( ADDRESS( ROW() + Row_Offset, INDIRECT( "Column_Number_" &amp; C$1), 4,1, tabname) ), "")</f>
        <v/>
      </c>
      <c r="D218" s="10" t="str">
        <f ca="1">TEXT( INDIRECT( ADDRESS( ROW() + Row_Offset, INDIRECT( "Column_Number_" &amp; D$1), 4,1, tabname) ), "")</f>
        <v/>
      </c>
      <c r="E218" s="10" t="str">
        <f ca="1">TEXT( INDIRECT( ADDRESS( ROW() + Row_Offset, INDIRECT( "Column_Number_" &amp; E$1), 4,1, tabname) ), "####")</f>
        <v/>
      </c>
      <c r="F218" s="15"/>
      <c r="G218" s="21" t="str">
        <f ca="1">IFERROR(INDEX(Rank_Table[],MATCH($D218&amp;$A218,Table4[Join],0)),"")</f>
        <v/>
      </c>
      <c r="H218" s="11" t="str">
        <f ca="1">IF(AND(D218="Juvenile Audiobook",LEFT(B218,8)="J CD BIO"),RIGHT(B218,LEN(B218)-9),
IF(AND(D218="Juvenile Audiobook",LEFT(B218,8)="J CD FIC"),B218,
IF(D218="Juvenile Audiobook",RIGHT(B218,LEN(B218)-5),
IF(AND(D218="Teen Audiobook",LEFT(B218,11)="TEEN CD BIO"),RIGHT(B218,LEN(B218)-12),
IF(AND(D218="Teen Audiobook",LEFT(B218,11)="TEEN CD FIC"),B218,
IF(D218="Juvenile Audiobook",RIGHT(B218,LEN(B218)-8),
IF(D218="Juvenile Nonfiction",RIGHT(B218,LEN(B218)-2),
IF(D218="Teen Nonfiction",RIGHT(B218,LEN(B218)-5),
IF(AND(D218="Audiobook",
              NOT(OR(Contains($B218,"CD BIO"),Contains($B218,"CD FIC")))),RIGHT(B218,LEN(B218)-3),
IF(D218="Juvenile Biography",RIGHT(B218,LEN(B218)-2),
IF(D218="Teen Biography",RIGHT(B218,LEN(B218)-5),
IF(AND(D218="Audiobook",
              IFERROR(FIND("BIO",$B218)&gt;0,FALSE)),RIGHT(B218,LEN(B218)-3),
IF(D218="Juvenile Large Type","J "&amp;RIGHT(B218,LEN(B218)-11),
IF(D218="Teen Large Type","TEEN "&amp;RIGHT(B218,LEN(B218)-14),
IF(D218="Reference",RIGHT(B218,LEN(B218)-4),
IF(D218="DVD Educational",RIGHT(B218,LEN(B218)-7),
IF(D218="Juvenile DVD Educational",RIGHT(B218,LEN(B218)-9),
B218)))))))))))))))))</f>
        <v/>
      </c>
    </row>
    <row r="219" spans="1:8" ht="27" customHeight="1" x14ac:dyDescent="0.25">
      <c r="A219" s="10" t="str">
        <f ca="1">TEXT( INDIRECT( ADDRESS( ROW() + Row_Offset, INDIRECT( "Column_Number_" &amp; A$1), 4,1, tabname) ), "")</f>
        <v/>
      </c>
      <c r="B219" s="10" t="str">
        <f ca="1">TEXT(  IFERROR( VLOOKUP( $D219, CollName_Simplifier_Table[], 2, FALSE),"") &amp;
        INDIRECT( ADDRESS( ROW() + Row_Offset, INDIRECT( "Column_Number_" &amp; $B$1), 4,1, tabname) ), "")</f>
        <v/>
      </c>
      <c r="C219" s="10" t="str">
        <f ca="1">TEXT( INDIRECT( ADDRESS( ROW() + Row_Offset, INDIRECT( "Column_Number_" &amp; C$1), 4,1, tabname) ), "")</f>
        <v/>
      </c>
      <c r="D219" s="10" t="str">
        <f ca="1">TEXT( INDIRECT( ADDRESS( ROW() + Row_Offset, INDIRECT( "Column_Number_" &amp; D$1), 4,1, tabname) ), "")</f>
        <v/>
      </c>
      <c r="E219" s="10" t="str">
        <f ca="1">TEXT( INDIRECT( ADDRESS( ROW() + Row_Offset, INDIRECT( "Column_Number_" &amp; E$1), 4,1, tabname) ), "####")</f>
        <v/>
      </c>
      <c r="F219" s="15"/>
      <c r="G219" s="21" t="str">
        <f ca="1">IFERROR(INDEX(Rank_Table[],MATCH($D219&amp;$A219,Table4[Join],0)),"")</f>
        <v/>
      </c>
      <c r="H219" s="11" t="str">
        <f ca="1">IF(AND(D219="Juvenile Audiobook",LEFT(B219,8)="J CD BIO"),RIGHT(B219,LEN(B219)-9),
IF(AND(D219="Juvenile Audiobook",LEFT(B219,8)="J CD FIC"),B219,
IF(D219="Juvenile Audiobook",RIGHT(B219,LEN(B219)-5),
IF(AND(D219="Teen Audiobook",LEFT(B219,11)="TEEN CD BIO"),RIGHT(B219,LEN(B219)-12),
IF(AND(D219="Teen Audiobook",LEFT(B219,11)="TEEN CD FIC"),B219,
IF(D219="Juvenile Audiobook",RIGHT(B219,LEN(B219)-8),
IF(D219="Juvenile Nonfiction",RIGHT(B219,LEN(B219)-2),
IF(D219="Teen Nonfiction",RIGHT(B219,LEN(B219)-5),
IF(AND(D219="Audiobook",
              NOT(OR(Contains($B219,"CD BIO"),Contains($B219,"CD FIC")))),RIGHT(B219,LEN(B219)-3),
IF(D219="Juvenile Biography",RIGHT(B219,LEN(B219)-2),
IF(D219="Teen Biography",RIGHT(B219,LEN(B219)-5),
IF(AND(D219="Audiobook",
              IFERROR(FIND("BIO",$B219)&gt;0,FALSE)),RIGHT(B219,LEN(B219)-3),
IF(D219="Juvenile Large Type","J "&amp;RIGHT(B219,LEN(B219)-11),
IF(D219="Teen Large Type","TEEN "&amp;RIGHT(B219,LEN(B219)-14),
IF(D219="Reference",RIGHT(B219,LEN(B219)-4),
IF(D219="DVD Educational",RIGHT(B219,LEN(B219)-7),
IF(D219="Juvenile DVD Educational",RIGHT(B219,LEN(B219)-9),
B219)))))))))))))))))</f>
        <v/>
      </c>
    </row>
    <row r="220" spans="1:8" ht="27" customHeight="1" x14ac:dyDescent="0.25">
      <c r="A220" s="10" t="str">
        <f ca="1">TEXT( INDIRECT( ADDRESS( ROW() + Row_Offset, INDIRECT( "Column_Number_" &amp; A$1), 4,1, tabname) ), "")</f>
        <v/>
      </c>
      <c r="B220" s="10" t="str">
        <f ca="1">TEXT(  IFERROR( VLOOKUP( $D220, CollName_Simplifier_Table[], 2, FALSE),"") &amp;
        INDIRECT( ADDRESS( ROW() + Row_Offset, INDIRECT( "Column_Number_" &amp; $B$1), 4,1, tabname) ), "")</f>
        <v/>
      </c>
      <c r="C220" s="10" t="str">
        <f ca="1">TEXT( INDIRECT( ADDRESS( ROW() + Row_Offset, INDIRECT( "Column_Number_" &amp; C$1), 4,1, tabname) ), "")</f>
        <v/>
      </c>
      <c r="D220" s="10" t="str">
        <f ca="1">TEXT( INDIRECT( ADDRESS( ROW() + Row_Offset, INDIRECT( "Column_Number_" &amp; D$1), 4,1, tabname) ), "")</f>
        <v/>
      </c>
      <c r="E220" s="10" t="str">
        <f ca="1">TEXT( INDIRECT( ADDRESS( ROW() + Row_Offset, INDIRECT( "Column_Number_" &amp; E$1), 4,1, tabname) ), "####")</f>
        <v/>
      </c>
      <c r="F220" s="15"/>
      <c r="G220" s="21" t="str">
        <f ca="1">IFERROR(INDEX(Rank_Table[],MATCH($D220&amp;$A220,Table4[Join],0)),"")</f>
        <v/>
      </c>
      <c r="H220" s="11" t="str">
        <f ca="1">IF(AND(D220="Juvenile Audiobook",LEFT(B220,8)="J CD BIO"),RIGHT(B220,LEN(B220)-9),
IF(AND(D220="Juvenile Audiobook",LEFT(B220,8)="J CD FIC"),B220,
IF(D220="Juvenile Audiobook",RIGHT(B220,LEN(B220)-5),
IF(AND(D220="Teen Audiobook",LEFT(B220,11)="TEEN CD BIO"),RIGHT(B220,LEN(B220)-12),
IF(AND(D220="Teen Audiobook",LEFT(B220,11)="TEEN CD FIC"),B220,
IF(D220="Juvenile Audiobook",RIGHT(B220,LEN(B220)-8),
IF(D220="Juvenile Nonfiction",RIGHT(B220,LEN(B220)-2),
IF(D220="Teen Nonfiction",RIGHT(B220,LEN(B220)-5),
IF(AND(D220="Audiobook",
              NOT(OR(Contains($B220,"CD BIO"),Contains($B220,"CD FIC")))),RIGHT(B220,LEN(B220)-3),
IF(D220="Juvenile Biography",RIGHT(B220,LEN(B220)-2),
IF(D220="Teen Biography",RIGHT(B220,LEN(B220)-5),
IF(AND(D220="Audiobook",
              IFERROR(FIND("BIO",$B220)&gt;0,FALSE)),RIGHT(B220,LEN(B220)-3),
IF(D220="Juvenile Large Type","J "&amp;RIGHT(B220,LEN(B220)-11),
IF(D220="Teen Large Type","TEEN "&amp;RIGHT(B220,LEN(B220)-14),
IF(D220="Reference",RIGHT(B220,LEN(B220)-4),
IF(D220="DVD Educational",RIGHT(B220,LEN(B220)-7),
IF(D220="Juvenile DVD Educational",RIGHT(B220,LEN(B220)-9),
B220)))))))))))))))))</f>
        <v/>
      </c>
    </row>
    <row r="221" spans="1:8" ht="27" customHeight="1" x14ac:dyDescent="0.25">
      <c r="A221" s="10" t="str">
        <f ca="1">TEXT( INDIRECT( ADDRESS( ROW() + Row_Offset, INDIRECT( "Column_Number_" &amp; A$1), 4,1, tabname) ), "")</f>
        <v/>
      </c>
      <c r="B221" s="10" t="str">
        <f ca="1">TEXT(  IFERROR( VLOOKUP( $D221, CollName_Simplifier_Table[], 2, FALSE),"") &amp;
        INDIRECT( ADDRESS( ROW() + Row_Offset, INDIRECT( "Column_Number_" &amp; $B$1), 4,1, tabname) ), "")</f>
        <v/>
      </c>
      <c r="C221" s="10" t="str">
        <f ca="1">TEXT( INDIRECT( ADDRESS( ROW() + Row_Offset, INDIRECT( "Column_Number_" &amp; C$1), 4,1, tabname) ), "")</f>
        <v/>
      </c>
      <c r="D221" s="10" t="str">
        <f ca="1">TEXT( INDIRECT( ADDRESS( ROW() + Row_Offset, INDIRECT( "Column_Number_" &amp; D$1), 4,1, tabname) ), "")</f>
        <v/>
      </c>
      <c r="E221" s="10" t="str">
        <f ca="1">TEXT( INDIRECT( ADDRESS( ROW() + Row_Offset, INDIRECT( "Column_Number_" &amp; E$1), 4,1, tabname) ), "####")</f>
        <v/>
      </c>
      <c r="F221" s="15"/>
      <c r="G221" s="21" t="str">
        <f ca="1">IFERROR(INDEX(Rank_Table[],MATCH($D221&amp;$A221,Table4[Join],0)),"")</f>
        <v/>
      </c>
      <c r="H221" s="11" t="str">
        <f ca="1">IF(AND(D221="Juvenile Audiobook",LEFT(B221,8)="J CD BIO"),RIGHT(B221,LEN(B221)-9),
IF(AND(D221="Juvenile Audiobook",LEFT(B221,8)="J CD FIC"),B221,
IF(D221="Juvenile Audiobook",RIGHT(B221,LEN(B221)-5),
IF(AND(D221="Teen Audiobook",LEFT(B221,11)="TEEN CD BIO"),RIGHT(B221,LEN(B221)-12),
IF(AND(D221="Teen Audiobook",LEFT(B221,11)="TEEN CD FIC"),B221,
IF(D221="Juvenile Audiobook",RIGHT(B221,LEN(B221)-8),
IF(D221="Juvenile Nonfiction",RIGHT(B221,LEN(B221)-2),
IF(D221="Teen Nonfiction",RIGHT(B221,LEN(B221)-5),
IF(AND(D221="Audiobook",
              NOT(OR(Contains($B221,"CD BIO"),Contains($B221,"CD FIC")))),RIGHT(B221,LEN(B221)-3),
IF(D221="Juvenile Biography",RIGHT(B221,LEN(B221)-2),
IF(D221="Teen Biography",RIGHT(B221,LEN(B221)-5),
IF(AND(D221="Audiobook",
              IFERROR(FIND("BIO",$B221)&gt;0,FALSE)),RIGHT(B221,LEN(B221)-3),
IF(D221="Juvenile Large Type","J "&amp;RIGHT(B221,LEN(B221)-11),
IF(D221="Teen Large Type","TEEN "&amp;RIGHT(B221,LEN(B221)-14),
IF(D221="Reference",RIGHT(B221,LEN(B221)-4),
IF(D221="DVD Educational",RIGHT(B221,LEN(B221)-7),
IF(D221="Juvenile DVD Educational",RIGHT(B221,LEN(B221)-9),
B221)))))))))))))))))</f>
        <v/>
      </c>
    </row>
    <row r="222" spans="1:8" ht="27" customHeight="1" x14ac:dyDescent="0.25">
      <c r="A222" s="10" t="str">
        <f ca="1">TEXT( INDIRECT( ADDRESS( ROW() + Row_Offset, INDIRECT( "Column_Number_" &amp; A$1), 4,1, tabname) ), "")</f>
        <v/>
      </c>
      <c r="B222" s="10" t="str">
        <f ca="1">TEXT(  IFERROR( VLOOKUP( $D222, CollName_Simplifier_Table[], 2, FALSE),"") &amp;
        INDIRECT( ADDRESS( ROW() + Row_Offset, INDIRECT( "Column_Number_" &amp; $B$1), 4,1, tabname) ), "")</f>
        <v/>
      </c>
      <c r="C222" s="10" t="str">
        <f ca="1">TEXT( INDIRECT( ADDRESS( ROW() + Row_Offset, INDIRECT( "Column_Number_" &amp; C$1), 4,1, tabname) ), "")</f>
        <v/>
      </c>
      <c r="D222" s="10" t="str">
        <f ca="1">TEXT( INDIRECT( ADDRESS( ROW() + Row_Offset, INDIRECT( "Column_Number_" &amp; D$1), 4,1, tabname) ), "")</f>
        <v/>
      </c>
      <c r="E222" s="10" t="str">
        <f ca="1">TEXT( INDIRECT( ADDRESS( ROW() + Row_Offset, INDIRECT( "Column_Number_" &amp; E$1), 4,1, tabname) ), "####")</f>
        <v/>
      </c>
      <c r="F222" s="15"/>
      <c r="G222" s="21" t="str">
        <f ca="1">IFERROR(INDEX(Rank_Table[],MATCH($D222&amp;$A222,Table4[Join],0)),"")</f>
        <v/>
      </c>
      <c r="H222" s="11" t="str">
        <f ca="1">IF(AND(D222="Juvenile Audiobook",LEFT(B222,8)="J CD BIO"),RIGHT(B222,LEN(B222)-9),
IF(AND(D222="Juvenile Audiobook",LEFT(B222,8)="J CD FIC"),B222,
IF(D222="Juvenile Audiobook",RIGHT(B222,LEN(B222)-5),
IF(AND(D222="Teen Audiobook",LEFT(B222,11)="TEEN CD BIO"),RIGHT(B222,LEN(B222)-12),
IF(AND(D222="Teen Audiobook",LEFT(B222,11)="TEEN CD FIC"),B222,
IF(D222="Juvenile Audiobook",RIGHT(B222,LEN(B222)-8),
IF(D222="Juvenile Nonfiction",RIGHT(B222,LEN(B222)-2),
IF(D222="Teen Nonfiction",RIGHT(B222,LEN(B222)-5),
IF(AND(D222="Audiobook",
              NOT(OR(Contains($B222,"CD BIO"),Contains($B222,"CD FIC")))),RIGHT(B222,LEN(B222)-3),
IF(D222="Juvenile Biography",RIGHT(B222,LEN(B222)-2),
IF(D222="Teen Biography",RIGHT(B222,LEN(B222)-5),
IF(AND(D222="Audiobook",
              IFERROR(FIND("BIO",$B222)&gt;0,FALSE)),RIGHT(B222,LEN(B222)-3),
IF(D222="Juvenile Large Type","J "&amp;RIGHT(B222,LEN(B222)-11),
IF(D222="Teen Large Type","TEEN "&amp;RIGHT(B222,LEN(B222)-14),
IF(D222="Reference",RIGHT(B222,LEN(B222)-4),
IF(D222="DVD Educational",RIGHT(B222,LEN(B222)-7),
IF(D222="Juvenile DVD Educational",RIGHT(B222,LEN(B222)-9),
B222)))))))))))))))))</f>
        <v/>
      </c>
    </row>
    <row r="223" spans="1:8" ht="27" customHeight="1" x14ac:dyDescent="0.25">
      <c r="A223" s="10" t="str">
        <f ca="1">TEXT( INDIRECT( ADDRESS( ROW() + Row_Offset, INDIRECT( "Column_Number_" &amp; A$1), 4,1, tabname) ), "")</f>
        <v/>
      </c>
      <c r="B223" s="10" t="str">
        <f ca="1">TEXT(  IFERROR( VLOOKUP( $D223, CollName_Simplifier_Table[], 2, FALSE),"") &amp;
        INDIRECT( ADDRESS( ROW() + Row_Offset, INDIRECT( "Column_Number_" &amp; $B$1), 4,1, tabname) ), "")</f>
        <v/>
      </c>
      <c r="C223" s="10" t="str">
        <f ca="1">TEXT( INDIRECT( ADDRESS( ROW() + Row_Offset, INDIRECT( "Column_Number_" &amp; C$1), 4,1, tabname) ), "")</f>
        <v/>
      </c>
      <c r="D223" s="10" t="str">
        <f ca="1">TEXT( INDIRECT( ADDRESS( ROW() + Row_Offset, INDIRECT( "Column_Number_" &amp; D$1), 4,1, tabname) ), "")</f>
        <v/>
      </c>
      <c r="E223" s="10" t="str">
        <f ca="1">TEXT( INDIRECT( ADDRESS( ROW() + Row_Offset, INDIRECT( "Column_Number_" &amp; E$1), 4,1, tabname) ), "####")</f>
        <v/>
      </c>
      <c r="F223" s="15"/>
      <c r="G223" s="21" t="str">
        <f ca="1">IFERROR(INDEX(Rank_Table[],MATCH($D223&amp;$A223,Table4[Join],0)),"")</f>
        <v/>
      </c>
      <c r="H223" s="11" t="str">
        <f ca="1">IF(AND(D223="Juvenile Audiobook",LEFT(B223,8)="J CD BIO"),RIGHT(B223,LEN(B223)-9),
IF(AND(D223="Juvenile Audiobook",LEFT(B223,8)="J CD FIC"),B223,
IF(D223="Juvenile Audiobook",RIGHT(B223,LEN(B223)-5),
IF(AND(D223="Teen Audiobook",LEFT(B223,11)="TEEN CD BIO"),RIGHT(B223,LEN(B223)-12),
IF(AND(D223="Teen Audiobook",LEFT(B223,11)="TEEN CD FIC"),B223,
IF(D223="Juvenile Audiobook",RIGHT(B223,LEN(B223)-8),
IF(D223="Juvenile Nonfiction",RIGHT(B223,LEN(B223)-2),
IF(D223="Teen Nonfiction",RIGHT(B223,LEN(B223)-5),
IF(AND(D223="Audiobook",
              NOT(OR(Contains($B223,"CD BIO"),Contains($B223,"CD FIC")))),RIGHT(B223,LEN(B223)-3),
IF(D223="Juvenile Biography",RIGHT(B223,LEN(B223)-2),
IF(D223="Teen Biography",RIGHT(B223,LEN(B223)-5),
IF(AND(D223="Audiobook",
              IFERROR(FIND("BIO",$B223)&gt;0,FALSE)),RIGHT(B223,LEN(B223)-3),
IF(D223="Juvenile Large Type","J "&amp;RIGHT(B223,LEN(B223)-11),
IF(D223="Teen Large Type","TEEN "&amp;RIGHT(B223,LEN(B223)-14),
IF(D223="Reference",RIGHT(B223,LEN(B223)-4),
IF(D223="DVD Educational",RIGHT(B223,LEN(B223)-7),
IF(D223="Juvenile DVD Educational",RIGHT(B223,LEN(B223)-9),
B223)))))))))))))))))</f>
        <v/>
      </c>
    </row>
    <row r="224" spans="1:8" ht="27" customHeight="1" x14ac:dyDescent="0.25">
      <c r="A224" s="10" t="str">
        <f ca="1">TEXT( INDIRECT( ADDRESS( ROW() + Row_Offset, INDIRECT( "Column_Number_" &amp; A$1), 4,1, tabname) ), "")</f>
        <v/>
      </c>
      <c r="B224" s="10" t="str">
        <f ca="1">TEXT(  IFERROR( VLOOKUP( $D224, CollName_Simplifier_Table[], 2, FALSE),"") &amp;
        INDIRECT( ADDRESS( ROW() + Row_Offset, INDIRECT( "Column_Number_" &amp; $B$1), 4,1, tabname) ), "")</f>
        <v/>
      </c>
      <c r="C224" s="10" t="str">
        <f ca="1">TEXT( INDIRECT( ADDRESS( ROW() + Row_Offset, INDIRECT( "Column_Number_" &amp; C$1), 4,1, tabname) ), "")</f>
        <v/>
      </c>
      <c r="D224" s="10" t="str">
        <f ca="1">TEXT( INDIRECT( ADDRESS( ROW() + Row_Offset, INDIRECT( "Column_Number_" &amp; D$1), 4,1, tabname) ), "")</f>
        <v/>
      </c>
      <c r="E224" s="10" t="str">
        <f ca="1">TEXT( INDIRECT( ADDRESS( ROW() + Row_Offset, INDIRECT( "Column_Number_" &amp; E$1), 4,1, tabname) ), "####")</f>
        <v/>
      </c>
      <c r="F224" s="15"/>
      <c r="G224" s="21" t="str">
        <f ca="1">IFERROR(INDEX(Rank_Table[],MATCH($D224&amp;$A224,Table4[Join],0)),"")</f>
        <v/>
      </c>
      <c r="H224" s="11" t="str">
        <f ca="1">IF(AND(D224="Juvenile Audiobook",LEFT(B224,8)="J CD BIO"),RIGHT(B224,LEN(B224)-9),
IF(AND(D224="Juvenile Audiobook",LEFT(B224,8)="J CD FIC"),B224,
IF(D224="Juvenile Audiobook",RIGHT(B224,LEN(B224)-5),
IF(AND(D224="Teen Audiobook",LEFT(B224,11)="TEEN CD BIO"),RIGHT(B224,LEN(B224)-12),
IF(AND(D224="Teen Audiobook",LEFT(B224,11)="TEEN CD FIC"),B224,
IF(D224="Juvenile Audiobook",RIGHT(B224,LEN(B224)-8),
IF(D224="Juvenile Nonfiction",RIGHT(B224,LEN(B224)-2),
IF(D224="Teen Nonfiction",RIGHT(B224,LEN(B224)-5),
IF(AND(D224="Audiobook",
              NOT(OR(Contains($B224,"CD BIO"),Contains($B224,"CD FIC")))),RIGHT(B224,LEN(B224)-3),
IF(D224="Juvenile Biography",RIGHT(B224,LEN(B224)-2),
IF(D224="Teen Biography",RIGHT(B224,LEN(B224)-5),
IF(AND(D224="Audiobook",
              IFERROR(FIND("BIO",$B224)&gt;0,FALSE)),RIGHT(B224,LEN(B224)-3),
IF(D224="Juvenile Large Type","J "&amp;RIGHT(B224,LEN(B224)-11),
IF(D224="Teen Large Type","TEEN "&amp;RIGHT(B224,LEN(B224)-14),
IF(D224="Reference",RIGHT(B224,LEN(B224)-4),
IF(D224="DVD Educational",RIGHT(B224,LEN(B224)-7),
IF(D224="Juvenile DVD Educational",RIGHT(B224,LEN(B224)-9),
B224)))))))))))))))))</f>
        <v/>
      </c>
    </row>
    <row r="225" spans="1:8" ht="27" customHeight="1" x14ac:dyDescent="0.25">
      <c r="A225" s="10" t="str">
        <f ca="1">TEXT( INDIRECT( ADDRESS( ROW() + Row_Offset, INDIRECT( "Column_Number_" &amp; A$1), 4,1, tabname) ), "")</f>
        <v/>
      </c>
      <c r="B225" s="10" t="str">
        <f ca="1">TEXT(  IFERROR( VLOOKUP( $D225, CollName_Simplifier_Table[], 2, FALSE),"") &amp;
        INDIRECT( ADDRESS( ROW() + Row_Offset, INDIRECT( "Column_Number_" &amp; $B$1), 4,1, tabname) ), "")</f>
        <v/>
      </c>
      <c r="C225" s="10" t="str">
        <f ca="1">TEXT( INDIRECT( ADDRESS( ROW() + Row_Offset, INDIRECT( "Column_Number_" &amp; C$1), 4,1, tabname) ), "")</f>
        <v/>
      </c>
      <c r="D225" s="10" t="str">
        <f ca="1">TEXT( INDIRECT( ADDRESS( ROW() + Row_Offset, INDIRECT( "Column_Number_" &amp; D$1), 4,1, tabname) ), "")</f>
        <v/>
      </c>
      <c r="E225" s="10" t="str">
        <f ca="1">TEXT( INDIRECT( ADDRESS( ROW() + Row_Offset, INDIRECT( "Column_Number_" &amp; E$1), 4,1, tabname) ), "####")</f>
        <v/>
      </c>
      <c r="F225" s="15"/>
      <c r="G225" s="21" t="str">
        <f ca="1">IFERROR(INDEX(Rank_Table[],MATCH($D225&amp;$A225,Table4[Join],0)),"")</f>
        <v/>
      </c>
      <c r="H225" s="11" t="str">
        <f ca="1">IF(AND(D225="Juvenile Audiobook",LEFT(B225,8)="J CD BIO"),RIGHT(B225,LEN(B225)-9),
IF(AND(D225="Juvenile Audiobook",LEFT(B225,8)="J CD FIC"),B225,
IF(D225="Juvenile Audiobook",RIGHT(B225,LEN(B225)-5),
IF(AND(D225="Teen Audiobook",LEFT(B225,11)="TEEN CD BIO"),RIGHT(B225,LEN(B225)-12),
IF(AND(D225="Teen Audiobook",LEFT(B225,11)="TEEN CD FIC"),B225,
IF(D225="Juvenile Audiobook",RIGHT(B225,LEN(B225)-8),
IF(D225="Juvenile Nonfiction",RIGHT(B225,LEN(B225)-2),
IF(D225="Teen Nonfiction",RIGHT(B225,LEN(B225)-5),
IF(AND(D225="Audiobook",
              NOT(OR(Contains($B225,"CD BIO"),Contains($B225,"CD FIC")))),RIGHT(B225,LEN(B225)-3),
IF(D225="Juvenile Biography",RIGHT(B225,LEN(B225)-2),
IF(D225="Teen Biography",RIGHT(B225,LEN(B225)-5),
IF(AND(D225="Audiobook",
              IFERROR(FIND("BIO",$B225)&gt;0,FALSE)),RIGHT(B225,LEN(B225)-3),
IF(D225="Juvenile Large Type","J "&amp;RIGHT(B225,LEN(B225)-11),
IF(D225="Teen Large Type","TEEN "&amp;RIGHT(B225,LEN(B225)-14),
IF(D225="Reference",RIGHT(B225,LEN(B225)-4),
IF(D225="DVD Educational",RIGHT(B225,LEN(B225)-7),
IF(D225="Juvenile DVD Educational",RIGHT(B225,LEN(B225)-9),
B225)))))))))))))))))</f>
        <v/>
      </c>
    </row>
    <row r="226" spans="1:8" ht="27" customHeight="1" x14ac:dyDescent="0.25">
      <c r="A226" s="10" t="str">
        <f ca="1">TEXT( INDIRECT( ADDRESS( ROW() + Row_Offset, INDIRECT( "Column_Number_" &amp; A$1), 4,1, tabname) ), "")</f>
        <v/>
      </c>
      <c r="B226" s="10" t="str">
        <f ca="1">TEXT(  IFERROR( VLOOKUP( $D226, CollName_Simplifier_Table[], 2, FALSE),"") &amp;
        INDIRECT( ADDRESS( ROW() + Row_Offset, INDIRECT( "Column_Number_" &amp; $B$1), 4,1, tabname) ), "")</f>
        <v/>
      </c>
      <c r="C226" s="10" t="str">
        <f ca="1">TEXT( INDIRECT( ADDRESS( ROW() + Row_Offset, INDIRECT( "Column_Number_" &amp; C$1), 4,1, tabname) ), "")</f>
        <v/>
      </c>
      <c r="D226" s="10" t="str">
        <f ca="1">TEXT( INDIRECT( ADDRESS( ROW() + Row_Offset, INDIRECT( "Column_Number_" &amp; D$1), 4,1, tabname) ), "")</f>
        <v/>
      </c>
      <c r="E226" s="10" t="str">
        <f ca="1">TEXT( INDIRECT( ADDRESS( ROW() + Row_Offset, INDIRECT( "Column_Number_" &amp; E$1), 4,1, tabname) ), "####")</f>
        <v/>
      </c>
      <c r="F226" s="15"/>
      <c r="G226" s="21" t="str">
        <f ca="1">IFERROR(INDEX(Rank_Table[],MATCH($D226&amp;$A226,Table4[Join],0)),"")</f>
        <v/>
      </c>
      <c r="H226" s="11" t="str">
        <f ca="1">IF(AND(D226="Juvenile Audiobook",LEFT(B226,8)="J CD BIO"),RIGHT(B226,LEN(B226)-9),
IF(AND(D226="Juvenile Audiobook",LEFT(B226,8)="J CD FIC"),B226,
IF(D226="Juvenile Audiobook",RIGHT(B226,LEN(B226)-5),
IF(AND(D226="Teen Audiobook",LEFT(B226,11)="TEEN CD BIO"),RIGHT(B226,LEN(B226)-12),
IF(AND(D226="Teen Audiobook",LEFT(B226,11)="TEEN CD FIC"),B226,
IF(D226="Juvenile Audiobook",RIGHT(B226,LEN(B226)-8),
IF(D226="Juvenile Nonfiction",RIGHT(B226,LEN(B226)-2),
IF(D226="Teen Nonfiction",RIGHT(B226,LEN(B226)-5),
IF(AND(D226="Audiobook",
              NOT(OR(Contains($B226,"CD BIO"),Contains($B226,"CD FIC")))),RIGHT(B226,LEN(B226)-3),
IF(D226="Juvenile Biography",RIGHT(B226,LEN(B226)-2),
IF(D226="Teen Biography",RIGHT(B226,LEN(B226)-5),
IF(AND(D226="Audiobook",
              IFERROR(FIND("BIO",$B226)&gt;0,FALSE)),RIGHT(B226,LEN(B226)-3),
IF(D226="Juvenile Large Type","J "&amp;RIGHT(B226,LEN(B226)-11),
IF(D226="Teen Large Type","TEEN "&amp;RIGHT(B226,LEN(B226)-14),
IF(D226="Reference",RIGHT(B226,LEN(B226)-4),
IF(D226="DVD Educational",RIGHT(B226,LEN(B226)-7),
IF(D226="Juvenile DVD Educational",RIGHT(B226,LEN(B226)-9),
B226)))))))))))))))))</f>
        <v/>
      </c>
    </row>
    <row r="227" spans="1:8" ht="27" customHeight="1" x14ac:dyDescent="0.25">
      <c r="A227" s="10" t="str">
        <f ca="1">TEXT( INDIRECT( ADDRESS( ROW() + Row_Offset, INDIRECT( "Column_Number_" &amp; A$1), 4,1, tabname) ), "")</f>
        <v/>
      </c>
      <c r="B227" s="10" t="str">
        <f ca="1">TEXT(  IFERROR( VLOOKUP( $D227, CollName_Simplifier_Table[], 2, FALSE),"") &amp;
        INDIRECT( ADDRESS( ROW() + Row_Offset, INDIRECT( "Column_Number_" &amp; $B$1), 4,1, tabname) ), "")</f>
        <v/>
      </c>
      <c r="C227" s="10" t="str">
        <f ca="1">TEXT( INDIRECT( ADDRESS( ROW() + Row_Offset, INDIRECT( "Column_Number_" &amp; C$1), 4,1, tabname) ), "")</f>
        <v/>
      </c>
      <c r="D227" s="10" t="str">
        <f ca="1">TEXT( INDIRECT( ADDRESS( ROW() + Row_Offset, INDIRECT( "Column_Number_" &amp; D$1), 4,1, tabname) ), "")</f>
        <v/>
      </c>
      <c r="E227" s="10" t="str">
        <f ca="1">TEXT( INDIRECT( ADDRESS( ROW() + Row_Offset, INDIRECT( "Column_Number_" &amp; E$1), 4,1, tabname) ), "####")</f>
        <v/>
      </c>
      <c r="F227" s="15"/>
      <c r="G227" s="21" t="str">
        <f ca="1">IFERROR(INDEX(Rank_Table[],MATCH($D227&amp;$A227,Table4[Join],0)),"")</f>
        <v/>
      </c>
      <c r="H227" s="11" t="str">
        <f ca="1">IF(AND(D227="Juvenile Audiobook",LEFT(B227,8)="J CD BIO"),RIGHT(B227,LEN(B227)-9),
IF(AND(D227="Juvenile Audiobook",LEFT(B227,8)="J CD FIC"),B227,
IF(D227="Juvenile Audiobook",RIGHT(B227,LEN(B227)-5),
IF(AND(D227="Teen Audiobook",LEFT(B227,11)="TEEN CD BIO"),RIGHT(B227,LEN(B227)-12),
IF(AND(D227="Teen Audiobook",LEFT(B227,11)="TEEN CD FIC"),B227,
IF(D227="Juvenile Audiobook",RIGHT(B227,LEN(B227)-8),
IF(D227="Juvenile Nonfiction",RIGHT(B227,LEN(B227)-2),
IF(D227="Teen Nonfiction",RIGHT(B227,LEN(B227)-5),
IF(AND(D227="Audiobook",
              NOT(OR(Contains($B227,"CD BIO"),Contains($B227,"CD FIC")))),RIGHT(B227,LEN(B227)-3),
IF(D227="Juvenile Biography",RIGHT(B227,LEN(B227)-2),
IF(D227="Teen Biography",RIGHT(B227,LEN(B227)-5),
IF(AND(D227="Audiobook",
              IFERROR(FIND("BIO",$B227)&gt;0,FALSE)),RIGHT(B227,LEN(B227)-3),
IF(D227="Juvenile Large Type","J "&amp;RIGHT(B227,LEN(B227)-11),
IF(D227="Teen Large Type","TEEN "&amp;RIGHT(B227,LEN(B227)-14),
IF(D227="Reference",RIGHT(B227,LEN(B227)-4),
IF(D227="DVD Educational",RIGHT(B227,LEN(B227)-7),
IF(D227="Juvenile DVD Educational",RIGHT(B227,LEN(B227)-9),
B227)))))))))))))))))</f>
        <v/>
      </c>
    </row>
    <row r="228" spans="1:8" ht="27" customHeight="1" x14ac:dyDescent="0.25">
      <c r="A228" s="10" t="str">
        <f ca="1">TEXT( INDIRECT( ADDRESS( ROW() + Row_Offset, INDIRECT( "Column_Number_" &amp; A$1), 4,1, tabname) ), "")</f>
        <v/>
      </c>
      <c r="B228" s="10" t="str">
        <f ca="1">TEXT(  IFERROR( VLOOKUP( $D228, CollName_Simplifier_Table[], 2, FALSE),"") &amp;
        INDIRECT( ADDRESS( ROW() + Row_Offset, INDIRECT( "Column_Number_" &amp; $B$1), 4,1, tabname) ), "")</f>
        <v/>
      </c>
      <c r="C228" s="10" t="str">
        <f ca="1">TEXT( INDIRECT( ADDRESS( ROW() + Row_Offset, INDIRECT( "Column_Number_" &amp; C$1), 4,1, tabname) ), "")</f>
        <v/>
      </c>
      <c r="D228" s="10" t="str">
        <f ca="1">TEXT( INDIRECT( ADDRESS( ROW() + Row_Offset, INDIRECT( "Column_Number_" &amp; D$1), 4,1, tabname) ), "")</f>
        <v/>
      </c>
      <c r="E228" s="10" t="str">
        <f ca="1">TEXT( INDIRECT( ADDRESS( ROW() + Row_Offset, INDIRECT( "Column_Number_" &amp; E$1), 4,1, tabname) ), "####")</f>
        <v/>
      </c>
      <c r="F228" s="15"/>
      <c r="G228" s="21" t="str">
        <f ca="1">IFERROR(INDEX(Rank_Table[],MATCH($D228&amp;$A228,Table4[Join],0)),"")</f>
        <v/>
      </c>
      <c r="H228" s="11" t="str">
        <f ca="1">IF(AND(D228="Juvenile Audiobook",LEFT(B228,8)="J CD BIO"),RIGHT(B228,LEN(B228)-9),
IF(AND(D228="Juvenile Audiobook",LEFT(B228,8)="J CD FIC"),B228,
IF(D228="Juvenile Audiobook",RIGHT(B228,LEN(B228)-5),
IF(AND(D228="Teen Audiobook",LEFT(B228,11)="TEEN CD BIO"),RIGHT(B228,LEN(B228)-12),
IF(AND(D228="Teen Audiobook",LEFT(B228,11)="TEEN CD FIC"),B228,
IF(D228="Juvenile Audiobook",RIGHT(B228,LEN(B228)-8),
IF(D228="Juvenile Nonfiction",RIGHT(B228,LEN(B228)-2),
IF(D228="Teen Nonfiction",RIGHT(B228,LEN(B228)-5),
IF(AND(D228="Audiobook",
              NOT(OR(Contains($B228,"CD BIO"),Contains($B228,"CD FIC")))),RIGHT(B228,LEN(B228)-3),
IF(D228="Juvenile Biography",RIGHT(B228,LEN(B228)-2),
IF(D228="Teen Biography",RIGHT(B228,LEN(B228)-5),
IF(AND(D228="Audiobook",
              IFERROR(FIND("BIO",$B228)&gt;0,FALSE)),RIGHT(B228,LEN(B228)-3),
IF(D228="Juvenile Large Type","J "&amp;RIGHT(B228,LEN(B228)-11),
IF(D228="Teen Large Type","TEEN "&amp;RIGHT(B228,LEN(B228)-14),
IF(D228="Reference",RIGHT(B228,LEN(B228)-4),
IF(D228="DVD Educational",RIGHT(B228,LEN(B228)-7),
IF(D228="Juvenile DVD Educational",RIGHT(B228,LEN(B228)-9),
B228)))))))))))))))))</f>
        <v/>
      </c>
    </row>
    <row r="229" spans="1:8" ht="27" customHeight="1" x14ac:dyDescent="0.25">
      <c r="A229" s="10" t="str">
        <f ca="1">TEXT( INDIRECT( ADDRESS( ROW() + Row_Offset, INDIRECT( "Column_Number_" &amp; A$1), 4,1, tabname) ), "")</f>
        <v/>
      </c>
      <c r="B229" s="10" t="str">
        <f ca="1">TEXT(  IFERROR( VLOOKUP( $D229, CollName_Simplifier_Table[], 2, FALSE),"") &amp;
        INDIRECT( ADDRESS( ROW() + Row_Offset, INDIRECT( "Column_Number_" &amp; $B$1), 4,1, tabname) ), "")</f>
        <v/>
      </c>
      <c r="C229" s="10" t="str">
        <f ca="1">TEXT( INDIRECT( ADDRESS( ROW() + Row_Offset, INDIRECT( "Column_Number_" &amp; C$1), 4,1, tabname) ), "")</f>
        <v/>
      </c>
      <c r="D229" s="10" t="str">
        <f ca="1">TEXT( INDIRECT( ADDRESS( ROW() + Row_Offset, INDIRECT( "Column_Number_" &amp; D$1), 4,1, tabname) ), "")</f>
        <v/>
      </c>
      <c r="E229" s="10" t="str">
        <f ca="1">TEXT( INDIRECT( ADDRESS( ROW() + Row_Offset, INDIRECT( "Column_Number_" &amp; E$1), 4,1, tabname) ), "####")</f>
        <v/>
      </c>
      <c r="F229" s="15"/>
      <c r="G229" s="21" t="str">
        <f ca="1">IFERROR(INDEX(Rank_Table[],MATCH($D229&amp;$A229,Table4[Join],0)),"")</f>
        <v/>
      </c>
      <c r="H229" s="11" t="str">
        <f ca="1">IF(AND(D229="Juvenile Audiobook",LEFT(B229,8)="J CD BIO"),RIGHT(B229,LEN(B229)-9),
IF(AND(D229="Juvenile Audiobook",LEFT(B229,8)="J CD FIC"),B229,
IF(D229="Juvenile Audiobook",RIGHT(B229,LEN(B229)-5),
IF(AND(D229="Teen Audiobook",LEFT(B229,11)="TEEN CD BIO"),RIGHT(B229,LEN(B229)-12),
IF(AND(D229="Teen Audiobook",LEFT(B229,11)="TEEN CD FIC"),B229,
IF(D229="Juvenile Audiobook",RIGHT(B229,LEN(B229)-8),
IF(D229="Juvenile Nonfiction",RIGHT(B229,LEN(B229)-2),
IF(D229="Teen Nonfiction",RIGHT(B229,LEN(B229)-5),
IF(AND(D229="Audiobook",
              NOT(OR(Contains($B229,"CD BIO"),Contains($B229,"CD FIC")))),RIGHT(B229,LEN(B229)-3),
IF(D229="Juvenile Biography",RIGHT(B229,LEN(B229)-2),
IF(D229="Teen Biography",RIGHT(B229,LEN(B229)-5),
IF(AND(D229="Audiobook",
              IFERROR(FIND("BIO",$B229)&gt;0,FALSE)),RIGHT(B229,LEN(B229)-3),
IF(D229="Juvenile Large Type","J "&amp;RIGHT(B229,LEN(B229)-11),
IF(D229="Teen Large Type","TEEN "&amp;RIGHT(B229,LEN(B229)-14),
IF(D229="Reference",RIGHT(B229,LEN(B229)-4),
IF(D229="DVD Educational",RIGHT(B229,LEN(B229)-7),
IF(D229="Juvenile DVD Educational",RIGHT(B229,LEN(B229)-9),
B229)))))))))))))))))</f>
        <v/>
      </c>
    </row>
    <row r="230" spans="1:8" ht="27" customHeight="1" x14ac:dyDescent="0.25">
      <c r="A230" s="10" t="str">
        <f ca="1">TEXT( INDIRECT( ADDRESS( ROW() + Row_Offset, INDIRECT( "Column_Number_" &amp; A$1), 4,1, tabname) ), "")</f>
        <v/>
      </c>
      <c r="B230" s="10" t="str">
        <f ca="1">TEXT(  IFERROR( VLOOKUP( $D230, CollName_Simplifier_Table[], 2, FALSE),"") &amp;
        INDIRECT( ADDRESS( ROW() + Row_Offset, INDIRECT( "Column_Number_" &amp; $B$1), 4,1, tabname) ), "")</f>
        <v/>
      </c>
      <c r="C230" s="10" t="str">
        <f ca="1">TEXT( INDIRECT( ADDRESS( ROW() + Row_Offset, INDIRECT( "Column_Number_" &amp; C$1), 4,1, tabname) ), "")</f>
        <v/>
      </c>
      <c r="D230" s="10" t="str">
        <f ca="1">TEXT( INDIRECT( ADDRESS( ROW() + Row_Offset, INDIRECT( "Column_Number_" &amp; D$1), 4,1, tabname) ), "")</f>
        <v/>
      </c>
      <c r="E230" s="10" t="str">
        <f ca="1">TEXT( INDIRECT( ADDRESS( ROW() + Row_Offset, INDIRECT( "Column_Number_" &amp; E$1), 4,1, tabname) ), "####")</f>
        <v/>
      </c>
      <c r="F230" s="15"/>
      <c r="G230" s="21" t="str">
        <f ca="1">IFERROR(INDEX(Rank_Table[],MATCH($D230&amp;$A230,Table4[Join],0)),"")</f>
        <v/>
      </c>
      <c r="H230" s="11" t="str">
        <f ca="1">IF(AND(D230="Juvenile Audiobook",LEFT(B230,8)="J CD BIO"),RIGHT(B230,LEN(B230)-9),
IF(AND(D230="Juvenile Audiobook",LEFT(B230,8)="J CD FIC"),B230,
IF(D230="Juvenile Audiobook",RIGHT(B230,LEN(B230)-5),
IF(AND(D230="Teen Audiobook",LEFT(B230,11)="TEEN CD BIO"),RIGHT(B230,LEN(B230)-12),
IF(AND(D230="Teen Audiobook",LEFT(B230,11)="TEEN CD FIC"),B230,
IF(D230="Juvenile Audiobook",RIGHT(B230,LEN(B230)-8),
IF(D230="Juvenile Nonfiction",RIGHT(B230,LEN(B230)-2),
IF(D230="Teen Nonfiction",RIGHT(B230,LEN(B230)-5),
IF(AND(D230="Audiobook",
              NOT(OR(Contains($B230,"CD BIO"),Contains($B230,"CD FIC")))),RIGHT(B230,LEN(B230)-3),
IF(D230="Juvenile Biography",RIGHT(B230,LEN(B230)-2),
IF(D230="Teen Biography",RIGHT(B230,LEN(B230)-5),
IF(AND(D230="Audiobook",
              IFERROR(FIND("BIO",$B230)&gt;0,FALSE)),RIGHT(B230,LEN(B230)-3),
IF(D230="Juvenile Large Type","J "&amp;RIGHT(B230,LEN(B230)-11),
IF(D230="Teen Large Type","TEEN "&amp;RIGHT(B230,LEN(B230)-14),
IF(D230="Reference",RIGHT(B230,LEN(B230)-4),
IF(D230="DVD Educational",RIGHT(B230,LEN(B230)-7),
IF(D230="Juvenile DVD Educational",RIGHT(B230,LEN(B230)-9),
B230)))))))))))))))))</f>
        <v/>
      </c>
    </row>
    <row r="231" spans="1:8" ht="27" customHeight="1" x14ac:dyDescent="0.25">
      <c r="A231" s="10" t="str">
        <f ca="1">TEXT( INDIRECT( ADDRESS( ROW() + Row_Offset, INDIRECT( "Column_Number_" &amp; A$1), 4,1, tabname) ), "")</f>
        <v/>
      </c>
      <c r="B231" s="10" t="str">
        <f ca="1">TEXT(  IFERROR( VLOOKUP( $D231, CollName_Simplifier_Table[], 2, FALSE),"") &amp;
        INDIRECT( ADDRESS( ROW() + Row_Offset, INDIRECT( "Column_Number_" &amp; $B$1), 4,1, tabname) ), "")</f>
        <v/>
      </c>
      <c r="C231" s="10" t="str">
        <f ca="1">TEXT( INDIRECT( ADDRESS( ROW() + Row_Offset, INDIRECT( "Column_Number_" &amp; C$1), 4,1, tabname) ), "")</f>
        <v/>
      </c>
      <c r="D231" s="10" t="str">
        <f ca="1">TEXT( INDIRECT( ADDRESS( ROW() + Row_Offset, INDIRECT( "Column_Number_" &amp; D$1), 4,1, tabname) ), "")</f>
        <v/>
      </c>
      <c r="E231" s="10" t="str">
        <f ca="1">TEXT( INDIRECT( ADDRESS( ROW() + Row_Offset, INDIRECT( "Column_Number_" &amp; E$1), 4,1, tabname) ), "####")</f>
        <v/>
      </c>
      <c r="F231" s="15"/>
      <c r="G231" s="21" t="str">
        <f ca="1">IFERROR(INDEX(Rank_Table[],MATCH($D231&amp;$A231,Table4[Join],0)),"")</f>
        <v/>
      </c>
      <c r="H231" s="11" t="str">
        <f ca="1">IF(AND(D231="Juvenile Audiobook",LEFT(B231,8)="J CD BIO"),RIGHT(B231,LEN(B231)-9),
IF(AND(D231="Juvenile Audiobook",LEFT(B231,8)="J CD FIC"),B231,
IF(D231="Juvenile Audiobook",RIGHT(B231,LEN(B231)-5),
IF(AND(D231="Teen Audiobook",LEFT(B231,11)="TEEN CD BIO"),RIGHT(B231,LEN(B231)-12),
IF(AND(D231="Teen Audiobook",LEFT(B231,11)="TEEN CD FIC"),B231,
IF(D231="Juvenile Audiobook",RIGHT(B231,LEN(B231)-8),
IF(D231="Juvenile Nonfiction",RIGHT(B231,LEN(B231)-2),
IF(D231="Teen Nonfiction",RIGHT(B231,LEN(B231)-5),
IF(AND(D231="Audiobook",
              NOT(OR(Contains($B231,"CD BIO"),Contains($B231,"CD FIC")))),RIGHT(B231,LEN(B231)-3),
IF(D231="Juvenile Biography",RIGHT(B231,LEN(B231)-2),
IF(D231="Teen Biography",RIGHT(B231,LEN(B231)-5),
IF(AND(D231="Audiobook",
              IFERROR(FIND("BIO",$B231)&gt;0,FALSE)),RIGHT(B231,LEN(B231)-3),
IF(D231="Juvenile Large Type","J "&amp;RIGHT(B231,LEN(B231)-11),
IF(D231="Teen Large Type","TEEN "&amp;RIGHT(B231,LEN(B231)-14),
IF(D231="Reference",RIGHT(B231,LEN(B231)-4),
IF(D231="DVD Educational",RIGHT(B231,LEN(B231)-7),
IF(D231="Juvenile DVD Educational",RIGHT(B231,LEN(B231)-9),
B231)))))))))))))))))</f>
        <v/>
      </c>
    </row>
    <row r="232" spans="1:8" ht="27" customHeight="1" x14ac:dyDescent="0.25">
      <c r="A232" s="10" t="str">
        <f ca="1">TEXT( INDIRECT( ADDRESS( ROW() + Row_Offset, INDIRECT( "Column_Number_" &amp; A$1), 4,1, tabname) ), "")</f>
        <v/>
      </c>
      <c r="B232" s="10" t="str">
        <f ca="1">TEXT(  IFERROR( VLOOKUP( $D232, CollName_Simplifier_Table[], 2, FALSE),"") &amp;
        INDIRECT( ADDRESS( ROW() + Row_Offset, INDIRECT( "Column_Number_" &amp; $B$1), 4,1, tabname) ), "")</f>
        <v/>
      </c>
      <c r="C232" s="10" t="str">
        <f ca="1">TEXT( INDIRECT( ADDRESS( ROW() + Row_Offset, INDIRECT( "Column_Number_" &amp; C$1), 4,1, tabname) ), "")</f>
        <v/>
      </c>
      <c r="D232" s="10" t="str">
        <f ca="1">TEXT( INDIRECT( ADDRESS( ROW() + Row_Offset, INDIRECT( "Column_Number_" &amp; D$1), 4,1, tabname) ), "")</f>
        <v/>
      </c>
      <c r="E232" s="10" t="str">
        <f ca="1">TEXT( INDIRECT( ADDRESS( ROW() + Row_Offset, INDIRECT( "Column_Number_" &amp; E$1), 4,1, tabname) ), "####")</f>
        <v/>
      </c>
      <c r="F232" s="15"/>
      <c r="G232" s="21" t="str">
        <f ca="1">IFERROR(INDEX(Rank_Table[],MATCH($D232&amp;$A232,Table4[Join],0)),"")</f>
        <v/>
      </c>
      <c r="H232" s="11" t="str">
        <f ca="1">IF(AND(D232="Juvenile Audiobook",LEFT(B232,8)="J CD BIO"),RIGHT(B232,LEN(B232)-9),
IF(AND(D232="Juvenile Audiobook",LEFT(B232,8)="J CD FIC"),B232,
IF(D232="Juvenile Audiobook",RIGHT(B232,LEN(B232)-5),
IF(AND(D232="Teen Audiobook",LEFT(B232,11)="TEEN CD BIO"),RIGHT(B232,LEN(B232)-12),
IF(AND(D232="Teen Audiobook",LEFT(B232,11)="TEEN CD FIC"),B232,
IF(D232="Juvenile Audiobook",RIGHT(B232,LEN(B232)-8),
IF(D232="Juvenile Nonfiction",RIGHT(B232,LEN(B232)-2),
IF(D232="Teen Nonfiction",RIGHT(B232,LEN(B232)-5),
IF(AND(D232="Audiobook",
              NOT(OR(Contains($B232,"CD BIO"),Contains($B232,"CD FIC")))),RIGHT(B232,LEN(B232)-3),
IF(D232="Juvenile Biography",RIGHT(B232,LEN(B232)-2),
IF(D232="Teen Biography",RIGHT(B232,LEN(B232)-5),
IF(AND(D232="Audiobook",
              IFERROR(FIND("BIO",$B232)&gt;0,FALSE)),RIGHT(B232,LEN(B232)-3),
IF(D232="Juvenile Large Type","J "&amp;RIGHT(B232,LEN(B232)-11),
IF(D232="Teen Large Type","TEEN "&amp;RIGHT(B232,LEN(B232)-14),
IF(D232="Reference",RIGHT(B232,LEN(B232)-4),
IF(D232="DVD Educational",RIGHT(B232,LEN(B232)-7),
IF(D232="Juvenile DVD Educational",RIGHT(B232,LEN(B232)-9),
B232)))))))))))))))))</f>
        <v/>
      </c>
    </row>
    <row r="233" spans="1:8" ht="27" customHeight="1" x14ac:dyDescent="0.25">
      <c r="A233" s="10" t="str">
        <f ca="1">TEXT( INDIRECT( ADDRESS( ROW() + Row_Offset, INDIRECT( "Column_Number_" &amp; A$1), 4,1, tabname) ), "")</f>
        <v/>
      </c>
      <c r="B233" s="10" t="str">
        <f ca="1">TEXT(  IFERROR( VLOOKUP( $D233, CollName_Simplifier_Table[], 2, FALSE),"") &amp;
        INDIRECT( ADDRESS( ROW() + Row_Offset, INDIRECT( "Column_Number_" &amp; $B$1), 4,1, tabname) ), "")</f>
        <v/>
      </c>
      <c r="C233" s="10" t="str">
        <f ca="1">TEXT( INDIRECT( ADDRESS( ROW() + Row_Offset, INDIRECT( "Column_Number_" &amp; C$1), 4,1, tabname) ), "")</f>
        <v/>
      </c>
      <c r="D233" s="10" t="str">
        <f ca="1">TEXT( INDIRECT( ADDRESS( ROW() + Row_Offset, INDIRECT( "Column_Number_" &amp; D$1), 4,1, tabname) ), "")</f>
        <v/>
      </c>
      <c r="E233" s="10" t="str">
        <f ca="1">TEXT( INDIRECT( ADDRESS( ROW() + Row_Offset, INDIRECT( "Column_Number_" &amp; E$1), 4,1, tabname) ), "####")</f>
        <v/>
      </c>
      <c r="F233" s="15"/>
      <c r="G233" s="21" t="str">
        <f ca="1">IFERROR(INDEX(Rank_Table[],MATCH($D233&amp;$A233,Table4[Join],0)),"")</f>
        <v/>
      </c>
      <c r="H233" s="11" t="str">
        <f ca="1">IF(AND(D233="Juvenile Audiobook",LEFT(B233,8)="J CD BIO"),RIGHT(B233,LEN(B233)-9),
IF(AND(D233="Juvenile Audiobook",LEFT(B233,8)="J CD FIC"),B233,
IF(D233="Juvenile Audiobook",RIGHT(B233,LEN(B233)-5),
IF(AND(D233="Teen Audiobook",LEFT(B233,11)="TEEN CD BIO"),RIGHT(B233,LEN(B233)-12),
IF(AND(D233="Teen Audiobook",LEFT(B233,11)="TEEN CD FIC"),B233,
IF(D233="Juvenile Audiobook",RIGHT(B233,LEN(B233)-8),
IF(D233="Juvenile Nonfiction",RIGHT(B233,LEN(B233)-2),
IF(D233="Teen Nonfiction",RIGHT(B233,LEN(B233)-5),
IF(AND(D233="Audiobook",
              NOT(OR(Contains($B233,"CD BIO"),Contains($B233,"CD FIC")))),RIGHT(B233,LEN(B233)-3),
IF(D233="Juvenile Biography",RIGHT(B233,LEN(B233)-2),
IF(D233="Teen Biography",RIGHT(B233,LEN(B233)-5),
IF(AND(D233="Audiobook",
              IFERROR(FIND("BIO",$B233)&gt;0,FALSE)),RIGHT(B233,LEN(B233)-3),
IF(D233="Juvenile Large Type","J "&amp;RIGHT(B233,LEN(B233)-11),
IF(D233="Teen Large Type","TEEN "&amp;RIGHT(B233,LEN(B233)-14),
IF(D233="Reference",RIGHT(B233,LEN(B233)-4),
IF(D233="DVD Educational",RIGHT(B233,LEN(B233)-7),
IF(D233="Juvenile DVD Educational",RIGHT(B233,LEN(B233)-9),
B233)))))))))))))))))</f>
        <v/>
      </c>
    </row>
    <row r="234" spans="1:8" ht="27" customHeight="1" x14ac:dyDescent="0.25">
      <c r="A234" s="10" t="str">
        <f ca="1">TEXT( INDIRECT( ADDRESS( ROW() + Row_Offset, INDIRECT( "Column_Number_" &amp; A$1), 4,1, tabname) ), "")</f>
        <v/>
      </c>
      <c r="B234" s="10" t="str">
        <f ca="1">TEXT(  IFERROR( VLOOKUP( $D234, CollName_Simplifier_Table[], 2, FALSE),"") &amp;
        INDIRECT( ADDRESS( ROW() + Row_Offset, INDIRECT( "Column_Number_" &amp; $B$1), 4,1, tabname) ), "")</f>
        <v/>
      </c>
      <c r="C234" s="10" t="str">
        <f ca="1">TEXT( INDIRECT( ADDRESS( ROW() + Row_Offset, INDIRECT( "Column_Number_" &amp; C$1), 4,1, tabname) ), "")</f>
        <v/>
      </c>
      <c r="D234" s="10" t="str">
        <f ca="1">TEXT( INDIRECT( ADDRESS( ROW() + Row_Offset, INDIRECT( "Column_Number_" &amp; D$1), 4,1, tabname) ), "")</f>
        <v/>
      </c>
      <c r="E234" s="10" t="str">
        <f ca="1">TEXT( INDIRECT( ADDRESS( ROW() + Row_Offset, INDIRECT( "Column_Number_" &amp; E$1), 4,1, tabname) ), "####")</f>
        <v/>
      </c>
      <c r="F234" s="15"/>
      <c r="G234" s="21" t="str">
        <f ca="1">IFERROR(INDEX(Rank_Table[],MATCH($D234&amp;$A234,Table4[Join],0)),"")</f>
        <v/>
      </c>
      <c r="H234" s="11" t="str">
        <f ca="1">IF(AND(D234="Juvenile Audiobook",LEFT(B234,8)="J CD BIO"),RIGHT(B234,LEN(B234)-9),
IF(AND(D234="Juvenile Audiobook",LEFT(B234,8)="J CD FIC"),B234,
IF(D234="Juvenile Audiobook",RIGHT(B234,LEN(B234)-5),
IF(AND(D234="Teen Audiobook",LEFT(B234,11)="TEEN CD BIO"),RIGHT(B234,LEN(B234)-12),
IF(AND(D234="Teen Audiobook",LEFT(B234,11)="TEEN CD FIC"),B234,
IF(D234="Juvenile Audiobook",RIGHT(B234,LEN(B234)-8),
IF(D234="Juvenile Nonfiction",RIGHT(B234,LEN(B234)-2),
IF(D234="Teen Nonfiction",RIGHT(B234,LEN(B234)-5),
IF(AND(D234="Audiobook",
              NOT(OR(Contains($B234,"CD BIO"),Contains($B234,"CD FIC")))),RIGHT(B234,LEN(B234)-3),
IF(D234="Juvenile Biography",RIGHT(B234,LEN(B234)-2),
IF(D234="Teen Biography",RIGHT(B234,LEN(B234)-5),
IF(AND(D234="Audiobook",
              IFERROR(FIND("BIO",$B234)&gt;0,FALSE)),RIGHT(B234,LEN(B234)-3),
IF(D234="Juvenile Large Type","J "&amp;RIGHT(B234,LEN(B234)-11),
IF(D234="Teen Large Type","TEEN "&amp;RIGHT(B234,LEN(B234)-14),
IF(D234="Reference",RIGHT(B234,LEN(B234)-4),
IF(D234="DVD Educational",RIGHT(B234,LEN(B234)-7),
IF(D234="Juvenile DVD Educational",RIGHT(B234,LEN(B234)-9),
B234)))))))))))))))))</f>
        <v/>
      </c>
    </row>
    <row r="235" spans="1:8" ht="27" customHeight="1" x14ac:dyDescent="0.25">
      <c r="A235" s="10" t="str">
        <f ca="1">TEXT( INDIRECT( ADDRESS( ROW() + Row_Offset, INDIRECT( "Column_Number_" &amp; A$1), 4,1, tabname) ), "")</f>
        <v/>
      </c>
      <c r="B235" s="10" t="str">
        <f ca="1">TEXT(  IFERROR( VLOOKUP( $D235, CollName_Simplifier_Table[], 2, FALSE),"") &amp;
        INDIRECT( ADDRESS( ROW() + Row_Offset, INDIRECT( "Column_Number_" &amp; $B$1), 4,1, tabname) ), "")</f>
        <v/>
      </c>
      <c r="C235" s="10" t="str">
        <f ca="1">TEXT( INDIRECT( ADDRESS( ROW() + Row_Offset, INDIRECT( "Column_Number_" &amp; C$1), 4,1, tabname) ), "")</f>
        <v/>
      </c>
      <c r="D235" s="10" t="str">
        <f ca="1">TEXT( INDIRECT( ADDRESS( ROW() + Row_Offset, INDIRECT( "Column_Number_" &amp; D$1), 4,1, tabname) ), "")</f>
        <v/>
      </c>
      <c r="E235" s="10" t="str">
        <f ca="1">TEXT( INDIRECT( ADDRESS( ROW() + Row_Offset, INDIRECT( "Column_Number_" &amp; E$1), 4,1, tabname) ), "####")</f>
        <v/>
      </c>
      <c r="F235" s="15"/>
      <c r="G235" s="21" t="str">
        <f ca="1">IFERROR(INDEX(Rank_Table[],MATCH($D235&amp;$A235,Table4[Join],0)),"")</f>
        <v/>
      </c>
      <c r="H235" s="11" t="str">
        <f ca="1">IF(AND(D235="Juvenile Audiobook",LEFT(B235,8)="J CD BIO"),RIGHT(B235,LEN(B235)-9),
IF(AND(D235="Juvenile Audiobook",LEFT(B235,8)="J CD FIC"),B235,
IF(D235="Juvenile Audiobook",RIGHT(B235,LEN(B235)-5),
IF(AND(D235="Teen Audiobook",LEFT(B235,11)="TEEN CD BIO"),RIGHT(B235,LEN(B235)-12),
IF(AND(D235="Teen Audiobook",LEFT(B235,11)="TEEN CD FIC"),B235,
IF(D235="Juvenile Audiobook",RIGHT(B235,LEN(B235)-8),
IF(D235="Juvenile Nonfiction",RIGHT(B235,LEN(B235)-2),
IF(D235="Teen Nonfiction",RIGHT(B235,LEN(B235)-5),
IF(AND(D235="Audiobook",
              NOT(OR(Contains($B235,"CD BIO"),Contains($B235,"CD FIC")))),RIGHT(B235,LEN(B235)-3),
IF(D235="Juvenile Biography",RIGHT(B235,LEN(B235)-2),
IF(D235="Teen Biography",RIGHT(B235,LEN(B235)-5),
IF(AND(D235="Audiobook",
              IFERROR(FIND("BIO",$B235)&gt;0,FALSE)),RIGHT(B235,LEN(B235)-3),
IF(D235="Juvenile Large Type","J "&amp;RIGHT(B235,LEN(B235)-11),
IF(D235="Teen Large Type","TEEN "&amp;RIGHT(B235,LEN(B235)-14),
IF(D235="Reference",RIGHT(B235,LEN(B235)-4),
IF(D235="DVD Educational",RIGHT(B235,LEN(B235)-7),
IF(D235="Juvenile DVD Educational",RIGHT(B235,LEN(B235)-9),
B235)))))))))))))))))</f>
        <v/>
      </c>
    </row>
    <row r="236" spans="1:8" ht="27" customHeight="1" x14ac:dyDescent="0.25">
      <c r="A236" s="10" t="str">
        <f ca="1">TEXT( INDIRECT( ADDRESS( ROW() + Row_Offset, INDIRECT( "Column_Number_" &amp; A$1), 4,1, tabname) ), "")</f>
        <v/>
      </c>
      <c r="B236" s="10" t="str">
        <f ca="1">TEXT(  IFERROR( VLOOKUP( $D236, CollName_Simplifier_Table[], 2, FALSE),"") &amp;
        INDIRECT( ADDRESS( ROW() + Row_Offset, INDIRECT( "Column_Number_" &amp; $B$1), 4,1, tabname) ), "")</f>
        <v/>
      </c>
      <c r="C236" s="10" t="str">
        <f ca="1">TEXT( INDIRECT( ADDRESS( ROW() + Row_Offset, INDIRECT( "Column_Number_" &amp; C$1), 4,1, tabname) ), "")</f>
        <v/>
      </c>
      <c r="D236" s="10" t="str">
        <f ca="1">TEXT( INDIRECT( ADDRESS( ROW() + Row_Offset, INDIRECT( "Column_Number_" &amp; D$1), 4,1, tabname) ), "")</f>
        <v/>
      </c>
      <c r="E236" s="10" t="str">
        <f ca="1">TEXT( INDIRECT( ADDRESS( ROW() + Row_Offset, INDIRECT( "Column_Number_" &amp; E$1), 4,1, tabname) ), "####")</f>
        <v/>
      </c>
      <c r="F236" s="15"/>
      <c r="G236" s="21" t="str">
        <f ca="1">IFERROR(INDEX(Rank_Table[],MATCH($D236&amp;$A236,Table4[Join],0)),"")</f>
        <v/>
      </c>
      <c r="H236" s="11" t="str">
        <f ca="1">IF(AND(D236="Juvenile Audiobook",LEFT(B236,8)="J CD BIO"),RIGHT(B236,LEN(B236)-9),
IF(AND(D236="Juvenile Audiobook",LEFT(B236,8)="J CD FIC"),B236,
IF(D236="Juvenile Audiobook",RIGHT(B236,LEN(B236)-5),
IF(AND(D236="Teen Audiobook",LEFT(B236,11)="TEEN CD BIO"),RIGHT(B236,LEN(B236)-12),
IF(AND(D236="Teen Audiobook",LEFT(B236,11)="TEEN CD FIC"),B236,
IF(D236="Juvenile Audiobook",RIGHT(B236,LEN(B236)-8),
IF(D236="Juvenile Nonfiction",RIGHT(B236,LEN(B236)-2),
IF(D236="Teen Nonfiction",RIGHT(B236,LEN(B236)-5),
IF(AND(D236="Audiobook",
              NOT(OR(Contains($B236,"CD BIO"),Contains($B236,"CD FIC")))),RIGHT(B236,LEN(B236)-3),
IF(D236="Juvenile Biography",RIGHT(B236,LEN(B236)-2),
IF(D236="Teen Biography",RIGHT(B236,LEN(B236)-5),
IF(AND(D236="Audiobook",
              IFERROR(FIND("BIO",$B236)&gt;0,FALSE)),RIGHT(B236,LEN(B236)-3),
IF(D236="Juvenile Large Type","J "&amp;RIGHT(B236,LEN(B236)-11),
IF(D236="Teen Large Type","TEEN "&amp;RIGHT(B236,LEN(B236)-14),
IF(D236="Reference",RIGHT(B236,LEN(B236)-4),
IF(D236="DVD Educational",RIGHT(B236,LEN(B236)-7),
IF(D236="Juvenile DVD Educational",RIGHT(B236,LEN(B236)-9),
B236)))))))))))))))))</f>
        <v/>
      </c>
    </row>
    <row r="237" spans="1:8" ht="27" customHeight="1" x14ac:dyDescent="0.25">
      <c r="A237" s="10" t="str">
        <f ca="1">TEXT( INDIRECT( ADDRESS( ROW() + Row_Offset, INDIRECT( "Column_Number_" &amp; A$1), 4,1, tabname) ), "")</f>
        <v/>
      </c>
      <c r="B237" s="10" t="str">
        <f ca="1">TEXT(  IFERROR( VLOOKUP( $D237, CollName_Simplifier_Table[], 2, FALSE),"") &amp;
        INDIRECT( ADDRESS( ROW() + Row_Offset, INDIRECT( "Column_Number_" &amp; $B$1), 4,1, tabname) ), "")</f>
        <v/>
      </c>
      <c r="C237" s="10" t="str">
        <f ca="1">TEXT( INDIRECT( ADDRESS( ROW() + Row_Offset, INDIRECT( "Column_Number_" &amp; C$1), 4,1, tabname) ), "")</f>
        <v/>
      </c>
      <c r="D237" s="10" t="str">
        <f ca="1">TEXT( INDIRECT( ADDRESS( ROW() + Row_Offset, INDIRECT( "Column_Number_" &amp; D$1), 4,1, tabname) ), "")</f>
        <v/>
      </c>
      <c r="E237" s="10" t="str">
        <f ca="1">TEXT( INDIRECT( ADDRESS( ROW() + Row_Offset, INDIRECT( "Column_Number_" &amp; E$1), 4,1, tabname) ), "####")</f>
        <v/>
      </c>
      <c r="F237" s="15"/>
      <c r="G237" s="21" t="str">
        <f ca="1">IFERROR(INDEX(Rank_Table[],MATCH($D237&amp;$A237,Table4[Join],0)),"")</f>
        <v/>
      </c>
      <c r="H237" s="11" t="str">
        <f ca="1">IF(AND(D237="Juvenile Audiobook",LEFT(B237,8)="J CD BIO"),RIGHT(B237,LEN(B237)-9),
IF(AND(D237="Juvenile Audiobook",LEFT(B237,8)="J CD FIC"),B237,
IF(D237="Juvenile Audiobook",RIGHT(B237,LEN(B237)-5),
IF(AND(D237="Teen Audiobook",LEFT(B237,11)="TEEN CD BIO"),RIGHT(B237,LEN(B237)-12),
IF(AND(D237="Teen Audiobook",LEFT(B237,11)="TEEN CD FIC"),B237,
IF(D237="Juvenile Audiobook",RIGHT(B237,LEN(B237)-8),
IF(D237="Juvenile Nonfiction",RIGHT(B237,LEN(B237)-2),
IF(D237="Teen Nonfiction",RIGHT(B237,LEN(B237)-5),
IF(AND(D237="Audiobook",
              NOT(OR(Contains($B237,"CD BIO"),Contains($B237,"CD FIC")))),RIGHT(B237,LEN(B237)-3),
IF(D237="Juvenile Biography",RIGHT(B237,LEN(B237)-2),
IF(D237="Teen Biography",RIGHT(B237,LEN(B237)-5),
IF(AND(D237="Audiobook",
              IFERROR(FIND("BIO",$B237)&gt;0,FALSE)),RIGHT(B237,LEN(B237)-3),
IF(D237="Juvenile Large Type","J "&amp;RIGHT(B237,LEN(B237)-11),
IF(D237="Teen Large Type","TEEN "&amp;RIGHT(B237,LEN(B237)-14),
IF(D237="Reference",RIGHT(B237,LEN(B237)-4),
IF(D237="DVD Educational",RIGHT(B237,LEN(B237)-7),
IF(D237="Juvenile DVD Educational",RIGHT(B237,LEN(B237)-9),
B237)))))))))))))))))</f>
        <v/>
      </c>
    </row>
    <row r="238" spans="1:8" ht="27" customHeight="1" x14ac:dyDescent="0.25">
      <c r="A238" s="10" t="str">
        <f ca="1">TEXT( INDIRECT( ADDRESS( ROW() + Row_Offset, INDIRECT( "Column_Number_" &amp; A$1), 4,1, tabname) ), "")</f>
        <v/>
      </c>
      <c r="B238" s="10" t="str">
        <f ca="1">TEXT(  IFERROR( VLOOKUP( $D238, CollName_Simplifier_Table[], 2, FALSE),"") &amp;
        INDIRECT( ADDRESS( ROW() + Row_Offset, INDIRECT( "Column_Number_" &amp; $B$1), 4,1, tabname) ), "")</f>
        <v/>
      </c>
      <c r="C238" s="10" t="str">
        <f ca="1">TEXT( INDIRECT( ADDRESS( ROW() + Row_Offset, INDIRECT( "Column_Number_" &amp; C$1), 4,1, tabname) ), "")</f>
        <v/>
      </c>
      <c r="D238" s="10" t="str">
        <f ca="1">TEXT( INDIRECT( ADDRESS( ROW() + Row_Offset, INDIRECT( "Column_Number_" &amp; D$1), 4,1, tabname) ), "")</f>
        <v/>
      </c>
      <c r="E238" s="10" t="str">
        <f ca="1">TEXT( INDIRECT( ADDRESS( ROW() + Row_Offset, INDIRECT( "Column_Number_" &amp; E$1), 4,1, tabname) ), "####")</f>
        <v/>
      </c>
      <c r="F238" s="15"/>
      <c r="G238" s="21" t="str">
        <f ca="1">IFERROR(INDEX(Rank_Table[],MATCH($D238&amp;$A238,Table4[Join],0)),"")</f>
        <v/>
      </c>
      <c r="H238" s="11" t="str">
        <f ca="1">IF(AND(D238="Juvenile Audiobook",LEFT(B238,8)="J CD BIO"),RIGHT(B238,LEN(B238)-9),
IF(AND(D238="Juvenile Audiobook",LEFT(B238,8)="J CD FIC"),B238,
IF(D238="Juvenile Audiobook",RIGHT(B238,LEN(B238)-5),
IF(AND(D238="Teen Audiobook",LEFT(B238,11)="TEEN CD BIO"),RIGHT(B238,LEN(B238)-12),
IF(AND(D238="Teen Audiobook",LEFT(B238,11)="TEEN CD FIC"),B238,
IF(D238="Juvenile Audiobook",RIGHT(B238,LEN(B238)-8),
IF(D238="Juvenile Nonfiction",RIGHT(B238,LEN(B238)-2),
IF(D238="Teen Nonfiction",RIGHT(B238,LEN(B238)-5),
IF(AND(D238="Audiobook",
              NOT(OR(Contains($B238,"CD BIO"),Contains($B238,"CD FIC")))),RIGHT(B238,LEN(B238)-3),
IF(D238="Juvenile Biography",RIGHT(B238,LEN(B238)-2),
IF(D238="Teen Biography",RIGHT(B238,LEN(B238)-5),
IF(AND(D238="Audiobook",
              IFERROR(FIND("BIO",$B238)&gt;0,FALSE)),RIGHT(B238,LEN(B238)-3),
IF(D238="Juvenile Large Type","J "&amp;RIGHT(B238,LEN(B238)-11),
IF(D238="Teen Large Type","TEEN "&amp;RIGHT(B238,LEN(B238)-14),
IF(D238="Reference",RIGHT(B238,LEN(B238)-4),
IF(D238="DVD Educational",RIGHT(B238,LEN(B238)-7),
IF(D238="Juvenile DVD Educational",RIGHT(B238,LEN(B238)-9),
B238)))))))))))))))))</f>
        <v/>
      </c>
    </row>
    <row r="239" spans="1:8" ht="27" customHeight="1" x14ac:dyDescent="0.25">
      <c r="A239" s="10" t="str">
        <f ca="1">TEXT( INDIRECT( ADDRESS( ROW() + Row_Offset, INDIRECT( "Column_Number_" &amp; A$1), 4,1, tabname) ), "")</f>
        <v/>
      </c>
      <c r="B239" s="10" t="str">
        <f ca="1">TEXT(  IFERROR( VLOOKUP( $D239, CollName_Simplifier_Table[], 2, FALSE),"") &amp;
        INDIRECT( ADDRESS( ROW() + Row_Offset, INDIRECT( "Column_Number_" &amp; $B$1), 4,1, tabname) ), "")</f>
        <v/>
      </c>
      <c r="C239" s="10" t="str">
        <f ca="1">TEXT( INDIRECT( ADDRESS( ROW() + Row_Offset, INDIRECT( "Column_Number_" &amp; C$1), 4,1, tabname) ), "")</f>
        <v/>
      </c>
      <c r="D239" s="10" t="str">
        <f ca="1">TEXT( INDIRECT( ADDRESS( ROW() + Row_Offset, INDIRECT( "Column_Number_" &amp; D$1), 4,1, tabname) ), "")</f>
        <v/>
      </c>
      <c r="E239" s="10" t="str">
        <f ca="1">TEXT( INDIRECT( ADDRESS( ROW() + Row_Offset, INDIRECT( "Column_Number_" &amp; E$1), 4,1, tabname) ), "####")</f>
        <v/>
      </c>
      <c r="F239" s="15"/>
      <c r="G239" s="21" t="str">
        <f ca="1">IFERROR(INDEX(Rank_Table[],MATCH($D239&amp;$A239,Table4[Join],0)),"")</f>
        <v/>
      </c>
      <c r="H239" s="11" t="str">
        <f ca="1">IF(AND(D239="Juvenile Audiobook",LEFT(B239,8)="J CD BIO"),RIGHT(B239,LEN(B239)-9),
IF(AND(D239="Juvenile Audiobook",LEFT(B239,8)="J CD FIC"),B239,
IF(D239="Juvenile Audiobook",RIGHT(B239,LEN(B239)-5),
IF(AND(D239="Teen Audiobook",LEFT(B239,11)="TEEN CD BIO"),RIGHT(B239,LEN(B239)-12),
IF(AND(D239="Teen Audiobook",LEFT(B239,11)="TEEN CD FIC"),B239,
IF(D239="Juvenile Audiobook",RIGHT(B239,LEN(B239)-8),
IF(D239="Juvenile Nonfiction",RIGHT(B239,LEN(B239)-2),
IF(D239="Teen Nonfiction",RIGHT(B239,LEN(B239)-5),
IF(AND(D239="Audiobook",
              NOT(OR(Contains($B239,"CD BIO"),Contains($B239,"CD FIC")))),RIGHT(B239,LEN(B239)-3),
IF(D239="Juvenile Biography",RIGHT(B239,LEN(B239)-2),
IF(D239="Teen Biography",RIGHT(B239,LEN(B239)-5),
IF(AND(D239="Audiobook",
              IFERROR(FIND("BIO",$B239)&gt;0,FALSE)),RIGHT(B239,LEN(B239)-3),
IF(D239="Juvenile Large Type","J "&amp;RIGHT(B239,LEN(B239)-11),
IF(D239="Teen Large Type","TEEN "&amp;RIGHT(B239,LEN(B239)-14),
IF(D239="Reference",RIGHT(B239,LEN(B239)-4),
IF(D239="DVD Educational",RIGHT(B239,LEN(B239)-7),
IF(D239="Juvenile DVD Educational",RIGHT(B239,LEN(B239)-9),
B239)))))))))))))))))</f>
        <v/>
      </c>
    </row>
    <row r="240" spans="1:8" ht="27" customHeight="1" x14ac:dyDescent="0.25">
      <c r="A240" s="10" t="str">
        <f ca="1">TEXT( INDIRECT( ADDRESS( ROW() + Row_Offset, INDIRECT( "Column_Number_" &amp; A$1), 4,1, tabname) ), "")</f>
        <v/>
      </c>
      <c r="B240" s="10" t="str">
        <f ca="1">TEXT(  IFERROR( VLOOKUP( $D240, CollName_Simplifier_Table[], 2, FALSE),"") &amp;
        INDIRECT( ADDRESS( ROW() + Row_Offset, INDIRECT( "Column_Number_" &amp; $B$1), 4,1, tabname) ), "")</f>
        <v/>
      </c>
      <c r="C240" s="10" t="str">
        <f ca="1">TEXT( INDIRECT( ADDRESS( ROW() + Row_Offset, INDIRECT( "Column_Number_" &amp; C$1), 4,1, tabname) ), "")</f>
        <v/>
      </c>
      <c r="D240" s="10" t="str">
        <f ca="1">TEXT( INDIRECT( ADDRESS( ROW() + Row_Offset, INDIRECT( "Column_Number_" &amp; D$1), 4,1, tabname) ), "")</f>
        <v/>
      </c>
      <c r="E240" s="10" t="str">
        <f ca="1">TEXT( INDIRECT( ADDRESS( ROW() + Row_Offset, INDIRECT( "Column_Number_" &amp; E$1), 4,1, tabname) ), "####")</f>
        <v/>
      </c>
      <c r="F240" s="15"/>
      <c r="G240" s="21" t="str">
        <f ca="1">IFERROR(INDEX(Rank_Table[],MATCH($D240&amp;$A240,Table4[Join],0)),"")</f>
        <v/>
      </c>
      <c r="H240" s="11" t="str">
        <f ca="1">IF(AND(D240="Juvenile Audiobook",LEFT(B240,8)="J CD BIO"),RIGHT(B240,LEN(B240)-9),
IF(AND(D240="Juvenile Audiobook",LEFT(B240,8)="J CD FIC"),B240,
IF(D240="Juvenile Audiobook",RIGHT(B240,LEN(B240)-5),
IF(AND(D240="Teen Audiobook",LEFT(B240,11)="TEEN CD BIO"),RIGHT(B240,LEN(B240)-12),
IF(AND(D240="Teen Audiobook",LEFT(B240,11)="TEEN CD FIC"),B240,
IF(D240="Juvenile Audiobook",RIGHT(B240,LEN(B240)-8),
IF(D240="Juvenile Nonfiction",RIGHT(B240,LEN(B240)-2),
IF(D240="Teen Nonfiction",RIGHT(B240,LEN(B240)-5),
IF(AND(D240="Audiobook",
              NOT(OR(Contains($B240,"CD BIO"),Contains($B240,"CD FIC")))),RIGHT(B240,LEN(B240)-3),
IF(D240="Juvenile Biography",RIGHT(B240,LEN(B240)-2),
IF(D240="Teen Biography",RIGHT(B240,LEN(B240)-5),
IF(AND(D240="Audiobook",
              IFERROR(FIND("BIO",$B240)&gt;0,FALSE)),RIGHT(B240,LEN(B240)-3),
IF(D240="Juvenile Large Type","J "&amp;RIGHT(B240,LEN(B240)-11),
IF(D240="Teen Large Type","TEEN "&amp;RIGHT(B240,LEN(B240)-14),
IF(D240="Reference",RIGHT(B240,LEN(B240)-4),
IF(D240="DVD Educational",RIGHT(B240,LEN(B240)-7),
IF(D240="Juvenile DVD Educational",RIGHT(B240,LEN(B240)-9),
B240)))))))))))))))))</f>
        <v/>
      </c>
    </row>
    <row r="241" spans="1:8" ht="27" customHeight="1" x14ac:dyDescent="0.25">
      <c r="A241" s="10" t="str">
        <f ca="1">TEXT( INDIRECT( ADDRESS( ROW() + Row_Offset, INDIRECT( "Column_Number_" &amp; A$1), 4,1, tabname) ), "")</f>
        <v/>
      </c>
      <c r="B241" s="10" t="str">
        <f ca="1">TEXT(  IFERROR( VLOOKUP( $D241, CollName_Simplifier_Table[], 2, FALSE),"") &amp;
        INDIRECT( ADDRESS( ROW() + Row_Offset, INDIRECT( "Column_Number_" &amp; $B$1), 4,1, tabname) ), "")</f>
        <v/>
      </c>
      <c r="C241" s="10" t="str">
        <f ca="1">TEXT( INDIRECT( ADDRESS( ROW() + Row_Offset, INDIRECT( "Column_Number_" &amp; C$1), 4,1, tabname) ), "")</f>
        <v/>
      </c>
      <c r="D241" s="10" t="str">
        <f ca="1">TEXT( INDIRECT( ADDRESS( ROW() + Row_Offset, INDIRECT( "Column_Number_" &amp; D$1), 4,1, tabname) ), "")</f>
        <v/>
      </c>
      <c r="E241" s="10" t="str">
        <f ca="1">TEXT( INDIRECT( ADDRESS( ROW() + Row_Offset, INDIRECT( "Column_Number_" &amp; E$1), 4,1, tabname) ), "####")</f>
        <v/>
      </c>
      <c r="F241" s="15"/>
      <c r="G241" s="21" t="str">
        <f ca="1">IFERROR(INDEX(Rank_Table[],MATCH($D241&amp;$A241,Table4[Join],0)),"")</f>
        <v/>
      </c>
      <c r="H241" s="11" t="str">
        <f ca="1">IF(AND(D241="Juvenile Audiobook",LEFT(B241,8)="J CD BIO"),RIGHT(B241,LEN(B241)-9),
IF(AND(D241="Juvenile Audiobook",LEFT(B241,8)="J CD FIC"),B241,
IF(D241="Juvenile Audiobook",RIGHT(B241,LEN(B241)-5),
IF(AND(D241="Teen Audiobook",LEFT(B241,11)="TEEN CD BIO"),RIGHT(B241,LEN(B241)-12),
IF(AND(D241="Teen Audiobook",LEFT(B241,11)="TEEN CD FIC"),B241,
IF(D241="Juvenile Audiobook",RIGHT(B241,LEN(B241)-8),
IF(D241="Juvenile Nonfiction",RIGHT(B241,LEN(B241)-2),
IF(D241="Teen Nonfiction",RIGHT(B241,LEN(B241)-5),
IF(AND(D241="Audiobook",
              NOT(OR(Contains($B241,"CD BIO"),Contains($B241,"CD FIC")))),RIGHT(B241,LEN(B241)-3),
IF(D241="Juvenile Biography",RIGHT(B241,LEN(B241)-2),
IF(D241="Teen Biography",RIGHT(B241,LEN(B241)-5),
IF(AND(D241="Audiobook",
              IFERROR(FIND("BIO",$B241)&gt;0,FALSE)),RIGHT(B241,LEN(B241)-3),
IF(D241="Juvenile Large Type","J "&amp;RIGHT(B241,LEN(B241)-11),
IF(D241="Teen Large Type","TEEN "&amp;RIGHT(B241,LEN(B241)-14),
IF(D241="Reference",RIGHT(B241,LEN(B241)-4),
IF(D241="DVD Educational",RIGHT(B241,LEN(B241)-7),
IF(D241="Juvenile DVD Educational",RIGHT(B241,LEN(B241)-9),
B241)))))))))))))))))</f>
        <v/>
      </c>
    </row>
    <row r="242" spans="1:8" ht="27" customHeight="1" x14ac:dyDescent="0.25">
      <c r="A242" s="10" t="str">
        <f ca="1">TEXT( INDIRECT( ADDRESS( ROW() + Row_Offset, INDIRECT( "Column_Number_" &amp; A$1), 4,1, tabname) ), "")</f>
        <v/>
      </c>
      <c r="B242" s="10" t="str">
        <f ca="1">TEXT(  IFERROR( VLOOKUP( $D242, CollName_Simplifier_Table[], 2, FALSE),"") &amp;
        INDIRECT( ADDRESS( ROW() + Row_Offset, INDIRECT( "Column_Number_" &amp; $B$1), 4,1, tabname) ), "")</f>
        <v/>
      </c>
      <c r="C242" s="10" t="str">
        <f ca="1">TEXT( INDIRECT( ADDRESS( ROW() + Row_Offset, INDIRECT( "Column_Number_" &amp; C$1), 4,1, tabname) ), "")</f>
        <v/>
      </c>
      <c r="D242" s="10" t="str">
        <f ca="1">TEXT( INDIRECT( ADDRESS( ROW() + Row_Offset, INDIRECT( "Column_Number_" &amp; D$1), 4,1, tabname) ), "")</f>
        <v/>
      </c>
      <c r="E242" s="10" t="str">
        <f ca="1">TEXT( INDIRECT( ADDRESS( ROW() + Row_Offset, INDIRECT( "Column_Number_" &amp; E$1), 4,1, tabname) ), "####")</f>
        <v/>
      </c>
      <c r="F242" s="15"/>
      <c r="G242" s="21" t="str">
        <f ca="1">IFERROR(INDEX(Rank_Table[],MATCH($D242&amp;$A242,Table4[Join],0)),"")</f>
        <v/>
      </c>
      <c r="H242" s="11" t="str">
        <f ca="1">IF(AND(D242="Juvenile Audiobook",LEFT(B242,8)="J CD BIO"),RIGHT(B242,LEN(B242)-9),
IF(AND(D242="Juvenile Audiobook",LEFT(B242,8)="J CD FIC"),B242,
IF(D242="Juvenile Audiobook",RIGHT(B242,LEN(B242)-5),
IF(AND(D242="Teen Audiobook",LEFT(B242,11)="TEEN CD BIO"),RIGHT(B242,LEN(B242)-12),
IF(AND(D242="Teen Audiobook",LEFT(B242,11)="TEEN CD FIC"),B242,
IF(D242="Juvenile Audiobook",RIGHT(B242,LEN(B242)-8),
IF(D242="Juvenile Nonfiction",RIGHT(B242,LEN(B242)-2),
IF(D242="Teen Nonfiction",RIGHT(B242,LEN(B242)-5),
IF(AND(D242="Audiobook",
              NOT(OR(Contains($B242,"CD BIO"),Contains($B242,"CD FIC")))),RIGHT(B242,LEN(B242)-3),
IF(D242="Juvenile Biography",RIGHT(B242,LEN(B242)-2),
IF(D242="Teen Biography",RIGHT(B242,LEN(B242)-5),
IF(AND(D242="Audiobook",
              IFERROR(FIND("BIO",$B242)&gt;0,FALSE)),RIGHT(B242,LEN(B242)-3),
IF(D242="Juvenile Large Type","J "&amp;RIGHT(B242,LEN(B242)-11),
IF(D242="Teen Large Type","TEEN "&amp;RIGHT(B242,LEN(B242)-14),
IF(D242="Reference",RIGHT(B242,LEN(B242)-4),
IF(D242="DVD Educational",RIGHT(B242,LEN(B242)-7),
IF(D242="Juvenile DVD Educational",RIGHT(B242,LEN(B242)-9),
B242)))))))))))))))))</f>
        <v/>
      </c>
    </row>
    <row r="243" spans="1:8" ht="27" customHeight="1" x14ac:dyDescent="0.25">
      <c r="A243" s="10" t="str">
        <f ca="1">TEXT( INDIRECT( ADDRESS( ROW() + Row_Offset, INDIRECT( "Column_Number_" &amp; A$1), 4,1, tabname) ), "")</f>
        <v/>
      </c>
      <c r="B243" s="10" t="str">
        <f ca="1">TEXT(  IFERROR( VLOOKUP( $D243, CollName_Simplifier_Table[], 2, FALSE),"") &amp;
        INDIRECT( ADDRESS( ROW() + Row_Offset, INDIRECT( "Column_Number_" &amp; $B$1), 4,1, tabname) ), "")</f>
        <v/>
      </c>
      <c r="C243" s="10" t="str">
        <f ca="1">TEXT( INDIRECT( ADDRESS( ROW() + Row_Offset, INDIRECT( "Column_Number_" &amp; C$1), 4,1, tabname) ), "")</f>
        <v/>
      </c>
      <c r="D243" s="10" t="str">
        <f ca="1">TEXT( INDIRECT( ADDRESS( ROW() + Row_Offset, INDIRECT( "Column_Number_" &amp; D$1), 4,1, tabname) ), "")</f>
        <v/>
      </c>
      <c r="E243" s="10" t="str">
        <f ca="1">TEXT( INDIRECT( ADDRESS( ROW() + Row_Offset, INDIRECT( "Column_Number_" &amp; E$1), 4,1, tabname) ), "####")</f>
        <v/>
      </c>
      <c r="F243" s="15"/>
      <c r="G243" s="21" t="str">
        <f ca="1">IFERROR(INDEX(Rank_Table[],MATCH($D243&amp;$A243,Table4[Join],0)),"")</f>
        <v/>
      </c>
      <c r="H243" s="11" t="str">
        <f ca="1">IF(AND(D243="Juvenile Audiobook",LEFT(B243,8)="J CD BIO"),RIGHT(B243,LEN(B243)-9),
IF(AND(D243="Juvenile Audiobook",LEFT(B243,8)="J CD FIC"),B243,
IF(D243="Juvenile Audiobook",RIGHT(B243,LEN(B243)-5),
IF(AND(D243="Teen Audiobook",LEFT(B243,11)="TEEN CD BIO"),RIGHT(B243,LEN(B243)-12),
IF(AND(D243="Teen Audiobook",LEFT(B243,11)="TEEN CD FIC"),B243,
IF(D243="Juvenile Audiobook",RIGHT(B243,LEN(B243)-8),
IF(D243="Juvenile Nonfiction",RIGHT(B243,LEN(B243)-2),
IF(D243="Teen Nonfiction",RIGHT(B243,LEN(B243)-5),
IF(AND(D243="Audiobook",
              NOT(OR(Contains($B243,"CD BIO"),Contains($B243,"CD FIC")))),RIGHT(B243,LEN(B243)-3),
IF(D243="Juvenile Biography",RIGHT(B243,LEN(B243)-2),
IF(D243="Teen Biography",RIGHT(B243,LEN(B243)-5),
IF(AND(D243="Audiobook",
              IFERROR(FIND("BIO",$B243)&gt;0,FALSE)),RIGHT(B243,LEN(B243)-3),
IF(D243="Juvenile Large Type","J "&amp;RIGHT(B243,LEN(B243)-11),
IF(D243="Teen Large Type","TEEN "&amp;RIGHT(B243,LEN(B243)-14),
IF(D243="Reference",RIGHT(B243,LEN(B243)-4),
IF(D243="DVD Educational",RIGHT(B243,LEN(B243)-7),
IF(D243="Juvenile DVD Educational",RIGHT(B243,LEN(B243)-9),
B243)))))))))))))))))</f>
        <v/>
      </c>
    </row>
    <row r="244" spans="1:8" ht="27" customHeight="1" x14ac:dyDescent="0.25">
      <c r="A244" s="10" t="str">
        <f ca="1">TEXT( INDIRECT( ADDRESS( ROW() + Row_Offset, INDIRECT( "Column_Number_" &amp; A$1), 4,1, tabname) ), "")</f>
        <v/>
      </c>
      <c r="B244" s="10" t="str">
        <f ca="1">TEXT(  IFERROR( VLOOKUP( $D244, CollName_Simplifier_Table[], 2, FALSE),"") &amp;
        INDIRECT( ADDRESS( ROW() + Row_Offset, INDIRECT( "Column_Number_" &amp; $B$1), 4,1, tabname) ), "")</f>
        <v/>
      </c>
      <c r="C244" s="10" t="str">
        <f ca="1">TEXT( INDIRECT( ADDRESS( ROW() + Row_Offset, INDIRECT( "Column_Number_" &amp; C$1), 4,1, tabname) ), "")</f>
        <v/>
      </c>
      <c r="D244" s="10" t="str">
        <f ca="1">TEXT( INDIRECT( ADDRESS( ROW() + Row_Offset, INDIRECT( "Column_Number_" &amp; D$1), 4,1, tabname) ), "")</f>
        <v/>
      </c>
      <c r="E244" s="10" t="str">
        <f ca="1">TEXT( INDIRECT( ADDRESS( ROW() + Row_Offset, INDIRECT( "Column_Number_" &amp; E$1), 4,1, tabname) ), "####")</f>
        <v/>
      </c>
      <c r="F244" s="15"/>
      <c r="G244" s="21" t="str">
        <f ca="1">IFERROR(INDEX(Rank_Table[],MATCH($D244&amp;$A244,Table4[Join],0)),"")</f>
        <v/>
      </c>
      <c r="H244" s="11" t="str">
        <f ca="1">IF(AND(D244="Juvenile Audiobook",LEFT(B244,8)="J CD BIO"),RIGHT(B244,LEN(B244)-9),
IF(AND(D244="Juvenile Audiobook",LEFT(B244,8)="J CD FIC"),B244,
IF(D244="Juvenile Audiobook",RIGHT(B244,LEN(B244)-5),
IF(AND(D244="Teen Audiobook",LEFT(B244,11)="TEEN CD BIO"),RIGHT(B244,LEN(B244)-12),
IF(AND(D244="Teen Audiobook",LEFT(B244,11)="TEEN CD FIC"),B244,
IF(D244="Juvenile Audiobook",RIGHT(B244,LEN(B244)-8),
IF(D244="Juvenile Nonfiction",RIGHT(B244,LEN(B244)-2),
IF(D244="Teen Nonfiction",RIGHT(B244,LEN(B244)-5),
IF(AND(D244="Audiobook",
              NOT(OR(Contains($B244,"CD BIO"),Contains($B244,"CD FIC")))),RIGHT(B244,LEN(B244)-3),
IF(D244="Juvenile Biography",RIGHT(B244,LEN(B244)-2),
IF(D244="Teen Biography",RIGHT(B244,LEN(B244)-5),
IF(AND(D244="Audiobook",
              IFERROR(FIND("BIO",$B244)&gt;0,FALSE)),RIGHT(B244,LEN(B244)-3),
IF(D244="Juvenile Large Type","J "&amp;RIGHT(B244,LEN(B244)-11),
IF(D244="Teen Large Type","TEEN "&amp;RIGHT(B244,LEN(B244)-14),
IF(D244="Reference",RIGHT(B244,LEN(B244)-4),
IF(D244="DVD Educational",RIGHT(B244,LEN(B244)-7),
IF(D244="Juvenile DVD Educational",RIGHT(B244,LEN(B244)-9),
B244)))))))))))))))))</f>
        <v/>
      </c>
    </row>
    <row r="245" spans="1:8" ht="27" customHeight="1" x14ac:dyDescent="0.25">
      <c r="A245" s="10" t="str">
        <f ca="1">TEXT( INDIRECT( ADDRESS( ROW() + Row_Offset, INDIRECT( "Column_Number_" &amp; A$1), 4,1, tabname) ), "")</f>
        <v/>
      </c>
      <c r="B245" s="10" t="str">
        <f ca="1">TEXT(  IFERROR( VLOOKUP( $D245, CollName_Simplifier_Table[], 2, FALSE),"") &amp;
        INDIRECT( ADDRESS( ROW() + Row_Offset, INDIRECT( "Column_Number_" &amp; $B$1), 4,1, tabname) ), "")</f>
        <v/>
      </c>
      <c r="C245" s="10" t="str">
        <f ca="1">TEXT( INDIRECT( ADDRESS( ROW() + Row_Offset, INDIRECT( "Column_Number_" &amp; C$1), 4,1, tabname) ), "")</f>
        <v/>
      </c>
      <c r="D245" s="10" t="str">
        <f ca="1">TEXT( INDIRECT( ADDRESS( ROW() + Row_Offset, INDIRECT( "Column_Number_" &amp; D$1), 4,1, tabname) ), "")</f>
        <v/>
      </c>
      <c r="E245" s="10" t="str">
        <f ca="1">TEXT( INDIRECT( ADDRESS( ROW() + Row_Offset, INDIRECT( "Column_Number_" &amp; E$1), 4,1, tabname) ), "####")</f>
        <v/>
      </c>
      <c r="F245" s="15"/>
      <c r="G245" s="21" t="str">
        <f ca="1">IFERROR(INDEX(Rank_Table[],MATCH($D245&amp;$A245,Table4[Join],0)),"")</f>
        <v/>
      </c>
      <c r="H245" s="11" t="str">
        <f ca="1">IF(AND(D245="Juvenile Audiobook",LEFT(B245,8)="J CD BIO"),RIGHT(B245,LEN(B245)-9),
IF(AND(D245="Juvenile Audiobook",LEFT(B245,8)="J CD FIC"),B245,
IF(D245="Juvenile Audiobook",RIGHT(B245,LEN(B245)-5),
IF(AND(D245="Teen Audiobook",LEFT(B245,11)="TEEN CD BIO"),RIGHT(B245,LEN(B245)-12),
IF(AND(D245="Teen Audiobook",LEFT(B245,11)="TEEN CD FIC"),B245,
IF(D245="Juvenile Audiobook",RIGHT(B245,LEN(B245)-8),
IF(D245="Juvenile Nonfiction",RIGHT(B245,LEN(B245)-2),
IF(D245="Teen Nonfiction",RIGHT(B245,LEN(B245)-5),
IF(AND(D245="Audiobook",
              NOT(OR(Contains($B245,"CD BIO"),Contains($B245,"CD FIC")))),RIGHT(B245,LEN(B245)-3),
IF(D245="Juvenile Biography",RIGHT(B245,LEN(B245)-2),
IF(D245="Teen Biography",RIGHT(B245,LEN(B245)-5),
IF(AND(D245="Audiobook",
              IFERROR(FIND("BIO",$B245)&gt;0,FALSE)),RIGHT(B245,LEN(B245)-3),
IF(D245="Juvenile Large Type","J "&amp;RIGHT(B245,LEN(B245)-11),
IF(D245="Teen Large Type","TEEN "&amp;RIGHT(B245,LEN(B245)-14),
IF(D245="Reference",RIGHT(B245,LEN(B245)-4),
IF(D245="DVD Educational",RIGHT(B245,LEN(B245)-7),
IF(D245="Juvenile DVD Educational",RIGHT(B245,LEN(B245)-9),
B245)))))))))))))))))</f>
        <v/>
      </c>
    </row>
    <row r="246" spans="1:8" ht="27" customHeight="1" x14ac:dyDescent="0.25">
      <c r="A246" s="10" t="str">
        <f ca="1">TEXT( INDIRECT( ADDRESS( ROW() + Row_Offset, INDIRECT( "Column_Number_" &amp; A$1), 4,1, tabname) ), "")</f>
        <v/>
      </c>
      <c r="B246" s="10" t="str">
        <f ca="1">TEXT(  IFERROR( VLOOKUP( $D246, CollName_Simplifier_Table[], 2, FALSE),"") &amp;
        INDIRECT( ADDRESS( ROW() + Row_Offset, INDIRECT( "Column_Number_" &amp; $B$1), 4,1, tabname) ), "")</f>
        <v/>
      </c>
      <c r="C246" s="10" t="str">
        <f ca="1">TEXT( INDIRECT( ADDRESS( ROW() + Row_Offset, INDIRECT( "Column_Number_" &amp; C$1), 4,1, tabname) ), "")</f>
        <v/>
      </c>
      <c r="D246" s="10" t="str">
        <f ca="1">TEXT( INDIRECT( ADDRESS( ROW() + Row_Offset, INDIRECT( "Column_Number_" &amp; D$1), 4,1, tabname) ), "")</f>
        <v/>
      </c>
      <c r="E246" s="10" t="str">
        <f ca="1">TEXT( INDIRECT( ADDRESS( ROW() + Row_Offset, INDIRECT( "Column_Number_" &amp; E$1), 4,1, tabname) ), "####")</f>
        <v/>
      </c>
      <c r="F246" s="15"/>
      <c r="G246" s="21" t="str">
        <f ca="1">IFERROR(INDEX(Rank_Table[],MATCH($D246&amp;$A246,Table4[Join],0)),"")</f>
        <v/>
      </c>
      <c r="H246" s="11" t="str">
        <f ca="1">IF(AND(D246="Juvenile Audiobook",LEFT(B246,8)="J CD BIO"),RIGHT(B246,LEN(B246)-9),
IF(AND(D246="Juvenile Audiobook",LEFT(B246,8)="J CD FIC"),B246,
IF(D246="Juvenile Audiobook",RIGHT(B246,LEN(B246)-5),
IF(AND(D246="Teen Audiobook",LEFT(B246,11)="TEEN CD BIO"),RIGHT(B246,LEN(B246)-12),
IF(AND(D246="Teen Audiobook",LEFT(B246,11)="TEEN CD FIC"),B246,
IF(D246="Juvenile Audiobook",RIGHT(B246,LEN(B246)-8),
IF(D246="Juvenile Nonfiction",RIGHT(B246,LEN(B246)-2),
IF(D246="Teen Nonfiction",RIGHT(B246,LEN(B246)-5),
IF(AND(D246="Audiobook",
              NOT(OR(Contains($B246,"CD BIO"),Contains($B246,"CD FIC")))),RIGHT(B246,LEN(B246)-3),
IF(D246="Juvenile Biography",RIGHT(B246,LEN(B246)-2),
IF(D246="Teen Biography",RIGHT(B246,LEN(B246)-5),
IF(AND(D246="Audiobook",
              IFERROR(FIND("BIO",$B246)&gt;0,FALSE)),RIGHT(B246,LEN(B246)-3),
IF(D246="Juvenile Large Type","J "&amp;RIGHT(B246,LEN(B246)-11),
IF(D246="Teen Large Type","TEEN "&amp;RIGHT(B246,LEN(B246)-14),
IF(D246="Reference",RIGHT(B246,LEN(B246)-4),
IF(D246="DVD Educational",RIGHT(B246,LEN(B246)-7),
IF(D246="Juvenile DVD Educational",RIGHT(B246,LEN(B246)-9),
B246)))))))))))))))))</f>
        <v/>
      </c>
    </row>
    <row r="247" spans="1:8" ht="27" customHeight="1" x14ac:dyDescent="0.25">
      <c r="A247" s="10" t="str">
        <f ca="1">TEXT( INDIRECT( ADDRESS( ROW() + Row_Offset, INDIRECT( "Column_Number_" &amp; A$1), 4,1, tabname) ), "")</f>
        <v/>
      </c>
      <c r="B247" s="10" t="str">
        <f ca="1">TEXT(  IFERROR( VLOOKUP( $D247, CollName_Simplifier_Table[], 2, FALSE),"") &amp;
        INDIRECT( ADDRESS( ROW() + Row_Offset, INDIRECT( "Column_Number_" &amp; $B$1), 4,1, tabname) ), "")</f>
        <v/>
      </c>
      <c r="C247" s="10" t="str">
        <f ca="1">TEXT( INDIRECT( ADDRESS( ROW() + Row_Offset, INDIRECT( "Column_Number_" &amp; C$1), 4,1, tabname) ), "")</f>
        <v/>
      </c>
      <c r="D247" s="10" t="str">
        <f ca="1">TEXT( INDIRECT( ADDRESS( ROW() + Row_Offset, INDIRECT( "Column_Number_" &amp; D$1), 4,1, tabname) ), "")</f>
        <v/>
      </c>
      <c r="E247" s="10" t="str">
        <f ca="1">TEXT( INDIRECT( ADDRESS( ROW() + Row_Offset, INDIRECT( "Column_Number_" &amp; E$1), 4,1, tabname) ), "####")</f>
        <v/>
      </c>
      <c r="F247" s="15"/>
      <c r="G247" s="21" t="str">
        <f ca="1">IFERROR(INDEX(Rank_Table[],MATCH($D247&amp;$A247,Table4[Join],0)),"")</f>
        <v/>
      </c>
      <c r="H247" s="11" t="str">
        <f ca="1">IF(AND(D247="Juvenile Audiobook",LEFT(B247,8)="J CD BIO"),RIGHT(B247,LEN(B247)-9),
IF(AND(D247="Juvenile Audiobook",LEFT(B247,8)="J CD FIC"),B247,
IF(D247="Juvenile Audiobook",RIGHT(B247,LEN(B247)-5),
IF(AND(D247="Teen Audiobook",LEFT(B247,11)="TEEN CD BIO"),RIGHT(B247,LEN(B247)-12),
IF(AND(D247="Teen Audiobook",LEFT(B247,11)="TEEN CD FIC"),B247,
IF(D247="Juvenile Audiobook",RIGHT(B247,LEN(B247)-8),
IF(D247="Juvenile Nonfiction",RIGHT(B247,LEN(B247)-2),
IF(D247="Teen Nonfiction",RIGHT(B247,LEN(B247)-5),
IF(AND(D247="Audiobook",
              NOT(OR(Contains($B247,"CD BIO"),Contains($B247,"CD FIC")))),RIGHT(B247,LEN(B247)-3),
IF(D247="Juvenile Biography",RIGHT(B247,LEN(B247)-2),
IF(D247="Teen Biography",RIGHT(B247,LEN(B247)-5),
IF(AND(D247="Audiobook",
              IFERROR(FIND("BIO",$B247)&gt;0,FALSE)),RIGHT(B247,LEN(B247)-3),
IF(D247="Juvenile Large Type","J "&amp;RIGHT(B247,LEN(B247)-11),
IF(D247="Teen Large Type","TEEN "&amp;RIGHT(B247,LEN(B247)-14),
IF(D247="Reference",RIGHT(B247,LEN(B247)-4),
IF(D247="DVD Educational",RIGHT(B247,LEN(B247)-7),
IF(D247="Juvenile DVD Educational",RIGHT(B247,LEN(B247)-9),
B247)))))))))))))))))</f>
        <v/>
      </c>
    </row>
    <row r="248" spans="1:8" ht="27" customHeight="1" x14ac:dyDescent="0.25">
      <c r="A248" s="10" t="str">
        <f ca="1">TEXT( INDIRECT( ADDRESS( ROW() + Row_Offset, INDIRECT( "Column_Number_" &amp; A$1), 4,1, tabname) ), "")</f>
        <v/>
      </c>
      <c r="B248" s="10" t="str">
        <f ca="1">TEXT(  IFERROR( VLOOKUP( $D248, CollName_Simplifier_Table[], 2, FALSE),"") &amp;
        INDIRECT( ADDRESS( ROW() + Row_Offset, INDIRECT( "Column_Number_" &amp; $B$1), 4,1, tabname) ), "")</f>
        <v/>
      </c>
      <c r="C248" s="10" t="str">
        <f ca="1">TEXT( INDIRECT( ADDRESS( ROW() + Row_Offset, INDIRECT( "Column_Number_" &amp; C$1), 4,1, tabname) ), "")</f>
        <v/>
      </c>
      <c r="D248" s="10" t="str">
        <f ca="1">TEXT( INDIRECT( ADDRESS( ROW() + Row_Offset, INDIRECT( "Column_Number_" &amp; D$1), 4,1, tabname) ), "")</f>
        <v/>
      </c>
      <c r="E248" s="10" t="str">
        <f ca="1">TEXT( INDIRECT( ADDRESS( ROW() + Row_Offset, INDIRECT( "Column_Number_" &amp; E$1), 4,1, tabname) ), "####")</f>
        <v/>
      </c>
      <c r="F248" s="15"/>
      <c r="G248" s="21" t="str">
        <f ca="1">IFERROR(INDEX(Rank_Table[],MATCH($D248&amp;$A248,Table4[Join],0)),"")</f>
        <v/>
      </c>
      <c r="H248" s="11" t="str">
        <f ca="1">IF(AND(D248="Juvenile Audiobook",LEFT(B248,8)="J CD BIO"),RIGHT(B248,LEN(B248)-9),
IF(AND(D248="Juvenile Audiobook",LEFT(B248,8)="J CD FIC"),B248,
IF(D248="Juvenile Audiobook",RIGHT(B248,LEN(B248)-5),
IF(AND(D248="Teen Audiobook",LEFT(B248,11)="TEEN CD BIO"),RIGHT(B248,LEN(B248)-12),
IF(AND(D248="Teen Audiobook",LEFT(B248,11)="TEEN CD FIC"),B248,
IF(D248="Juvenile Audiobook",RIGHT(B248,LEN(B248)-8),
IF(D248="Juvenile Nonfiction",RIGHT(B248,LEN(B248)-2),
IF(D248="Teen Nonfiction",RIGHT(B248,LEN(B248)-5),
IF(AND(D248="Audiobook",
              NOT(OR(Contains($B248,"CD BIO"),Contains($B248,"CD FIC")))),RIGHT(B248,LEN(B248)-3),
IF(D248="Juvenile Biography",RIGHT(B248,LEN(B248)-2),
IF(D248="Teen Biography",RIGHT(B248,LEN(B248)-5),
IF(AND(D248="Audiobook",
              IFERROR(FIND("BIO",$B248)&gt;0,FALSE)),RIGHT(B248,LEN(B248)-3),
IF(D248="Juvenile Large Type","J "&amp;RIGHT(B248,LEN(B248)-11),
IF(D248="Teen Large Type","TEEN "&amp;RIGHT(B248,LEN(B248)-14),
IF(D248="Reference",RIGHT(B248,LEN(B248)-4),
IF(D248="DVD Educational",RIGHT(B248,LEN(B248)-7),
IF(D248="Juvenile DVD Educational",RIGHT(B248,LEN(B248)-9),
B248)))))))))))))))))</f>
        <v/>
      </c>
    </row>
    <row r="249" spans="1:8" ht="27" customHeight="1" x14ac:dyDescent="0.25">
      <c r="A249" s="10" t="str">
        <f ca="1">TEXT( INDIRECT( ADDRESS( ROW() + Row_Offset, INDIRECT( "Column_Number_" &amp; A$1), 4,1, tabname) ), "")</f>
        <v/>
      </c>
      <c r="B249" s="10" t="str">
        <f ca="1">TEXT(  IFERROR( VLOOKUP( $D249, CollName_Simplifier_Table[], 2, FALSE),"") &amp;
        INDIRECT( ADDRESS( ROW() + Row_Offset, INDIRECT( "Column_Number_" &amp; $B$1), 4,1, tabname) ), "")</f>
        <v/>
      </c>
      <c r="C249" s="10" t="str">
        <f ca="1">TEXT( INDIRECT( ADDRESS( ROW() + Row_Offset, INDIRECT( "Column_Number_" &amp; C$1), 4,1, tabname) ), "")</f>
        <v/>
      </c>
      <c r="D249" s="10" t="str">
        <f ca="1">TEXT( INDIRECT( ADDRESS( ROW() + Row_Offset, INDIRECT( "Column_Number_" &amp; D$1), 4,1, tabname) ), "")</f>
        <v/>
      </c>
      <c r="E249" s="10" t="str">
        <f ca="1">TEXT( INDIRECT( ADDRESS( ROW() + Row_Offset, INDIRECT( "Column_Number_" &amp; E$1), 4,1, tabname) ), "####")</f>
        <v/>
      </c>
      <c r="F249" s="15"/>
      <c r="G249" s="21" t="str">
        <f ca="1">IFERROR(INDEX(Rank_Table[],MATCH($D249&amp;$A249,Table4[Join],0)),"")</f>
        <v/>
      </c>
      <c r="H249" s="11" t="str">
        <f ca="1">IF(AND(D249="Juvenile Audiobook",LEFT(B249,8)="J CD BIO"),RIGHT(B249,LEN(B249)-9),
IF(AND(D249="Juvenile Audiobook",LEFT(B249,8)="J CD FIC"),B249,
IF(D249="Juvenile Audiobook",RIGHT(B249,LEN(B249)-5),
IF(AND(D249="Teen Audiobook",LEFT(B249,11)="TEEN CD BIO"),RIGHT(B249,LEN(B249)-12),
IF(AND(D249="Teen Audiobook",LEFT(B249,11)="TEEN CD FIC"),B249,
IF(D249="Juvenile Audiobook",RIGHT(B249,LEN(B249)-8),
IF(D249="Juvenile Nonfiction",RIGHT(B249,LEN(B249)-2),
IF(D249="Teen Nonfiction",RIGHT(B249,LEN(B249)-5),
IF(AND(D249="Audiobook",
              NOT(OR(Contains($B249,"CD BIO"),Contains($B249,"CD FIC")))),RIGHT(B249,LEN(B249)-3),
IF(D249="Juvenile Biography",RIGHT(B249,LEN(B249)-2),
IF(D249="Teen Biography",RIGHT(B249,LEN(B249)-5),
IF(AND(D249="Audiobook",
              IFERROR(FIND("BIO",$B249)&gt;0,FALSE)),RIGHT(B249,LEN(B249)-3),
IF(D249="Juvenile Large Type","J "&amp;RIGHT(B249,LEN(B249)-11),
IF(D249="Teen Large Type","TEEN "&amp;RIGHT(B249,LEN(B249)-14),
IF(D249="Reference",RIGHT(B249,LEN(B249)-4),
IF(D249="DVD Educational",RIGHT(B249,LEN(B249)-7),
IF(D249="Juvenile DVD Educational",RIGHT(B249,LEN(B249)-9),
B249)))))))))))))))))</f>
        <v/>
      </c>
    </row>
    <row r="250" spans="1:8" ht="27" customHeight="1" x14ac:dyDescent="0.25">
      <c r="A250" s="10" t="str">
        <f ca="1">TEXT( INDIRECT( ADDRESS( ROW() + Row_Offset, INDIRECT( "Column_Number_" &amp; A$1), 4,1, tabname) ), "")</f>
        <v/>
      </c>
      <c r="B250" s="10" t="str">
        <f ca="1">TEXT(  IFERROR( VLOOKUP( $D250, CollName_Simplifier_Table[], 2, FALSE),"") &amp;
        INDIRECT( ADDRESS( ROW() + Row_Offset, INDIRECT( "Column_Number_" &amp; $B$1), 4,1, tabname) ), "")</f>
        <v/>
      </c>
      <c r="C250" s="10" t="str">
        <f ca="1">TEXT( INDIRECT( ADDRESS( ROW() + Row_Offset, INDIRECT( "Column_Number_" &amp; C$1), 4,1, tabname) ), "")</f>
        <v/>
      </c>
      <c r="D250" s="10" t="str">
        <f ca="1">TEXT( INDIRECT( ADDRESS( ROW() + Row_Offset, INDIRECT( "Column_Number_" &amp; D$1), 4,1, tabname) ), "")</f>
        <v/>
      </c>
      <c r="E250" s="10" t="str">
        <f ca="1">TEXT( INDIRECT( ADDRESS( ROW() + Row_Offset, INDIRECT( "Column_Number_" &amp; E$1), 4,1, tabname) ), "####")</f>
        <v/>
      </c>
      <c r="F250" s="15"/>
      <c r="G250" s="21" t="str">
        <f ca="1">IFERROR(INDEX(Rank_Table[],MATCH($D250&amp;$A250,Table4[Join],0)),"")</f>
        <v/>
      </c>
      <c r="H250" s="11" t="str">
        <f ca="1">IF(AND(D250="Juvenile Audiobook",LEFT(B250,8)="J CD BIO"),RIGHT(B250,LEN(B250)-9),
IF(AND(D250="Juvenile Audiobook",LEFT(B250,8)="J CD FIC"),B250,
IF(D250="Juvenile Audiobook",RIGHT(B250,LEN(B250)-5),
IF(AND(D250="Teen Audiobook",LEFT(B250,11)="TEEN CD BIO"),RIGHT(B250,LEN(B250)-12),
IF(AND(D250="Teen Audiobook",LEFT(B250,11)="TEEN CD FIC"),B250,
IF(D250="Juvenile Audiobook",RIGHT(B250,LEN(B250)-8),
IF(D250="Juvenile Nonfiction",RIGHT(B250,LEN(B250)-2),
IF(D250="Teen Nonfiction",RIGHT(B250,LEN(B250)-5),
IF(AND(D250="Audiobook",
              NOT(OR(Contains($B250,"CD BIO"),Contains($B250,"CD FIC")))),RIGHT(B250,LEN(B250)-3),
IF(D250="Juvenile Biography",RIGHT(B250,LEN(B250)-2),
IF(D250="Teen Biography",RIGHT(B250,LEN(B250)-5),
IF(AND(D250="Audiobook",
              IFERROR(FIND("BIO",$B250)&gt;0,FALSE)),RIGHT(B250,LEN(B250)-3),
IF(D250="Juvenile Large Type","J "&amp;RIGHT(B250,LEN(B250)-11),
IF(D250="Teen Large Type","TEEN "&amp;RIGHT(B250,LEN(B250)-14),
IF(D250="Reference",RIGHT(B250,LEN(B250)-4),
IF(D250="DVD Educational",RIGHT(B250,LEN(B250)-7),
IF(D250="Juvenile DVD Educational",RIGHT(B250,LEN(B250)-9),
B250)))))))))))))))))</f>
        <v/>
      </c>
    </row>
    <row r="251" spans="1:8" ht="27" customHeight="1" x14ac:dyDescent="0.25">
      <c r="A251" s="10" t="str">
        <f ca="1">TEXT( INDIRECT( ADDRESS( ROW() + Row_Offset, INDIRECT( "Column_Number_" &amp; A$1), 4,1, tabname) ), "")</f>
        <v/>
      </c>
      <c r="B251" s="10" t="str">
        <f ca="1">TEXT(  IFERROR( VLOOKUP( $D251, CollName_Simplifier_Table[], 2, FALSE),"") &amp;
        INDIRECT( ADDRESS( ROW() + Row_Offset, INDIRECT( "Column_Number_" &amp; $B$1), 4,1, tabname) ), "")</f>
        <v/>
      </c>
      <c r="C251" s="10" t="str">
        <f ca="1">TEXT( INDIRECT( ADDRESS( ROW() + Row_Offset, INDIRECT( "Column_Number_" &amp; C$1), 4,1, tabname) ), "")</f>
        <v/>
      </c>
      <c r="D251" s="10" t="str">
        <f ca="1">TEXT( INDIRECT( ADDRESS( ROW() + Row_Offset, INDIRECT( "Column_Number_" &amp; D$1), 4,1, tabname) ), "")</f>
        <v/>
      </c>
      <c r="E251" s="10" t="str">
        <f ca="1">TEXT( INDIRECT( ADDRESS( ROW() + Row_Offset, INDIRECT( "Column_Number_" &amp; E$1), 4,1, tabname) ), "####")</f>
        <v/>
      </c>
      <c r="F251" s="15"/>
      <c r="G251" s="21" t="str">
        <f ca="1">IFERROR(INDEX(Rank_Table[],MATCH($D251&amp;$A251,Table4[Join],0)),"")</f>
        <v/>
      </c>
      <c r="H251" s="11" t="str">
        <f ca="1">IF(AND(D251="Juvenile Audiobook",LEFT(B251,8)="J CD BIO"),RIGHT(B251,LEN(B251)-9),
IF(AND(D251="Juvenile Audiobook",LEFT(B251,8)="J CD FIC"),B251,
IF(D251="Juvenile Audiobook",RIGHT(B251,LEN(B251)-5),
IF(AND(D251="Teen Audiobook",LEFT(B251,11)="TEEN CD BIO"),RIGHT(B251,LEN(B251)-12),
IF(AND(D251="Teen Audiobook",LEFT(B251,11)="TEEN CD FIC"),B251,
IF(D251="Juvenile Audiobook",RIGHT(B251,LEN(B251)-8),
IF(D251="Juvenile Nonfiction",RIGHT(B251,LEN(B251)-2),
IF(D251="Teen Nonfiction",RIGHT(B251,LEN(B251)-5),
IF(AND(D251="Audiobook",
              NOT(OR(Contains($B251,"CD BIO"),Contains($B251,"CD FIC")))),RIGHT(B251,LEN(B251)-3),
IF(D251="Juvenile Biography",RIGHT(B251,LEN(B251)-2),
IF(D251="Teen Biography",RIGHT(B251,LEN(B251)-5),
IF(AND(D251="Audiobook",
              IFERROR(FIND("BIO",$B251)&gt;0,FALSE)),RIGHT(B251,LEN(B251)-3),
IF(D251="Juvenile Large Type","J "&amp;RIGHT(B251,LEN(B251)-11),
IF(D251="Teen Large Type","TEEN "&amp;RIGHT(B251,LEN(B251)-14),
IF(D251="Reference",RIGHT(B251,LEN(B251)-4),
IF(D251="DVD Educational",RIGHT(B251,LEN(B251)-7),
IF(D251="Juvenile DVD Educational",RIGHT(B251,LEN(B251)-9),
B251)))))))))))))))))</f>
        <v/>
      </c>
    </row>
    <row r="252" spans="1:8" ht="27" customHeight="1" x14ac:dyDescent="0.25">
      <c r="A252" s="10" t="str">
        <f ca="1">TEXT( INDIRECT( ADDRESS( ROW() + Row_Offset, INDIRECT( "Column_Number_" &amp; A$1), 4,1, tabname) ), "")</f>
        <v/>
      </c>
      <c r="B252" s="10" t="str">
        <f ca="1">TEXT(  IFERROR( VLOOKUP( $D252, CollName_Simplifier_Table[], 2, FALSE),"") &amp;
        INDIRECT( ADDRESS( ROW() + Row_Offset, INDIRECT( "Column_Number_" &amp; $B$1), 4,1, tabname) ), "")</f>
        <v/>
      </c>
      <c r="C252" s="10" t="str">
        <f ca="1">TEXT( INDIRECT( ADDRESS( ROW() + Row_Offset, INDIRECT( "Column_Number_" &amp; C$1), 4,1, tabname) ), "")</f>
        <v/>
      </c>
      <c r="D252" s="10" t="str">
        <f ca="1">TEXT( INDIRECT( ADDRESS( ROW() + Row_Offset, INDIRECT( "Column_Number_" &amp; D$1), 4,1, tabname) ), "")</f>
        <v/>
      </c>
      <c r="E252" s="10" t="str">
        <f ca="1">TEXT( INDIRECT( ADDRESS( ROW() + Row_Offset, INDIRECT( "Column_Number_" &amp; E$1), 4,1, tabname) ), "####")</f>
        <v/>
      </c>
      <c r="F252" s="15"/>
      <c r="G252" s="21" t="str">
        <f ca="1">IFERROR(INDEX(Rank_Table[],MATCH($D252&amp;$A252,Table4[Join],0)),"")</f>
        <v/>
      </c>
      <c r="H252" s="11" t="str">
        <f ca="1">IF(AND(D252="Juvenile Audiobook",LEFT(B252,8)="J CD BIO"),RIGHT(B252,LEN(B252)-9),
IF(AND(D252="Juvenile Audiobook",LEFT(B252,8)="J CD FIC"),B252,
IF(D252="Juvenile Audiobook",RIGHT(B252,LEN(B252)-5),
IF(AND(D252="Teen Audiobook",LEFT(B252,11)="TEEN CD BIO"),RIGHT(B252,LEN(B252)-12),
IF(AND(D252="Teen Audiobook",LEFT(B252,11)="TEEN CD FIC"),B252,
IF(D252="Juvenile Audiobook",RIGHT(B252,LEN(B252)-8),
IF(D252="Juvenile Nonfiction",RIGHT(B252,LEN(B252)-2),
IF(D252="Teen Nonfiction",RIGHT(B252,LEN(B252)-5),
IF(AND(D252="Audiobook",
              NOT(OR(Contains($B252,"CD BIO"),Contains($B252,"CD FIC")))),RIGHT(B252,LEN(B252)-3),
IF(D252="Juvenile Biography",RIGHT(B252,LEN(B252)-2),
IF(D252="Teen Biography",RIGHT(B252,LEN(B252)-5),
IF(AND(D252="Audiobook",
              IFERROR(FIND("BIO",$B252)&gt;0,FALSE)),RIGHT(B252,LEN(B252)-3),
IF(D252="Juvenile Large Type","J "&amp;RIGHT(B252,LEN(B252)-11),
IF(D252="Teen Large Type","TEEN "&amp;RIGHT(B252,LEN(B252)-14),
IF(D252="Reference",RIGHT(B252,LEN(B252)-4),
IF(D252="DVD Educational",RIGHT(B252,LEN(B252)-7),
IF(D252="Juvenile DVD Educational",RIGHT(B252,LEN(B252)-9),
B252)))))))))))))))))</f>
        <v/>
      </c>
    </row>
    <row r="253" spans="1:8" ht="27" customHeight="1" x14ac:dyDescent="0.25">
      <c r="A253" s="10" t="str">
        <f ca="1">TEXT( INDIRECT( ADDRESS( ROW() + Row_Offset, INDIRECT( "Column_Number_" &amp; A$1), 4,1, tabname) ), "")</f>
        <v/>
      </c>
      <c r="B253" s="10" t="str">
        <f ca="1">TEXT(  IFERROR( VLOOKUP( $D253, CollName_Simplifier_Table[], 2, FALSE),"") &amp;
        INDIRECT( ADDRESS( ROW() + Row_Offset, INDIRECT( "Column_Number_" &amp; $B$1), 4,1, tabname) ), "")</f>
        <v/>
      </c>
      <c r="C253" s="10" t="str">
        <f ca="1">TEXT( INDIRECT( ADDRESS( ROW() + Row_Offset, INDIRECT( "Column_Number_" &amp; C$1), 4,1, tabname) ), "")</f>
        <v/>
      </c>
      <c r="D253" s="10" t="str">
        <f ca="1">TEXT( INDIRECT( ADDRESS( ROW() + Row_Offset, INDIRECT( "Column_Number_" &amp; D$1), 4,1, tabname) ), "")</f>
        <v/>
      </c>
      <c r="E253" s="10" t="str">
        <f ca="1">TEXT( INDIRECT( ADDRESS( ROW() + Row_Offset, INDIRECT( "Column_Number_" &amp; E$1), 4,1, tabname) ), "####")</f>
        <v/>
      </c>
      <c r="F253" s="15"/>
      <c r="G253" s="21" t="str">
        <f ca="1">IFERROR(INDEX(Rank_Table[],MATCH($D253&amp;$A253,Table4[Join],0)),"")</f>
        <v/>
      </c>
      <c r="H253" s="11" t="str">
        <f ca="1">IF(AND(D253="Juvenile Audiobook",LEFT(B253,8)="J CD BIO"),RIGHT(B253,LEN(B253)-9),
IF(AND(D253="Juvenile Audiobook",LEFT(B253,8)="J CD FIC"),B253,
IF(D253="Juvenile Audiobook",RIGHT(B253,LEN(B253)-5),
IF(AND(D253="Teen Audiobook",LEFT(B253,11)="TEEN CD BIO"),RIGHT(B253,LEN(B253)-12),
IF(AND(D253="Teen Audiobook",LEFT(B253,11)="TEEN CD FIC"),B253,
IF(D253="Juvenile Audiobook",RIGHT(B253,LEN(B253)-8),
IF(D253="Juvenile Nonfiction",RIGHT(B253,LEN(B253)-2),
IF(D253="Teen Nonfiction",RIGHT(B253,LEN(B253)-5),
IF(AND(D253="Audiobook",
              NOT(OR(Contains($B253,"CD BIO"),Contains($B253,"CD FIC")))),RIGHT(B253,LEN(B253)-3),
IF(D253="Juvenile Biography",RIGHT(B253,LEN(B253)-2),
IF(D253="Teen Biography",RIGHT(B253,LEN(B253)-5),
IF(AND(D253="Audiobook",
              IFERROR(FIND("BIO",$B253)&gt;0,FALSE)),RIGHT(B253,LEN(B253)-3),
IF(D253="Juvenile Large Type","J "&amp;RIGHT(B253,LEN(B253)-11),
IF(D253="Teen Large Type","TEEN "&amp;RIGHT(B253,LEN(B253)-14),
IF(D253="Reference",RIGHT(B253,LEN(B253)-4),
IF(D253="DVD Educational",RIGHT(B253,LEN(B253)-7),
IF(D253="Juvenile DVD Educational",RIGHT(B253,LEN(B253)-9),
B253)))))))))))))))))</f>
        <v/>
      </c>
    </row>
    <row r="254" spans="1:8" ht="27" customHeight="1" x14ac:dyDescent="0.25">
      <c r="A254" s="10" t="str">
        <f ca="1">TEXT( INDIRECT( ADDRESS( ROW() + Row_Offset, INDIRECT( "Column_Number_" &amp; A$1), 4,1, tabname) ), "")</f>
        <v/>
      </c>
      <c r="B254" s="10" t="str">
        <f ca="1">TEXT(  IFERROR( VLOOKUP( $D254, CollName_Simplifier_Table[], 2, FALSE),"") &amp;
        INDIRECT( ADDRESS( ROW() + Row_Offset, INDIRECT( "Column_Number_" &amp; $B$1), 4,1, tabname) ), "")</f>
        <v/>
      </c>
      <c r="C254" s="10" t="str">
        <f ca="1">TEXT( INDIRECT( ADDRESS( ROW() + Row_Offset, INDIRECT( "Column_Number_" &amp; C$1), 4,1, tabname) ), "")</f>
        <v/>
      </c>
      <c r="D254" s="10" t="str">
        <f ca="1">TEXT( INDIRECT( ADDRESS( ROW() + Row_Offset, INDIRECT( "Column_Number_" &amp; D$1), 4,1, tabname) ), "")</f>
        <v/>
      </c>
      <c r="E254" s="10" t="str">
        <f ca="1">TEXT( INDIRECT( ADDRESS( ROW() + Row_Offset, INDIRECT( "Column_Number_" &amp; E$1), 4,1, tabname) ), "####")</f>
        <v/>
      </c>
      <c r="F254" s="15"/>
      <c r="G254" s="21" t="str">
        <f ca="1">IFERROR(INDEX(Rank_Table[],MATCH($D254&amp;$A254,Table4[Join],0)),"")</f>
        <v/>
      </c>
      <c r="H254" s="11" t="str">
        <f ca="1">IF(AND(D254="Juvenile Audiobook",LEFT(B254,8)="J CD BIO"),RIGHT(B254,LEN(B254)-9),
IF(AND(D254="Juvenile Audiobook",LEFT(B254,8)="J CD FIC"),B254,
IF(D254="Juvenile Audiobook",RIGHT(B254,LEN(B254)-5),
IF(AND(D254="Teen Audiobook",LEFT(B254,11)="TEEN CD BIO"),RIGHT(B254,LEN(B254)-12),
IF(AND(D254="Teen Audiobook",LEFT(B254,11)="TEEN CD FIC"),B254,
IF(D254="Juvenile Audiobook",RIGHT(B254,LEN(B254)-8),
IF(D254="Juvenile Nonfiction",RIGHT(B254,LEN(B254)-2),
IF(D254="Teen Nonfiction",RIGHT(B254,LEN(B254)-5),
IF(AND(D254="Audiobook",
              NOT(OR(Contains($B254,"CD BIO"),Contains($B254,"CD FIC")))),RIGHT(B254,LEN(B254)-3),
IF(D254="Juvenile Biography",RIGHT(B254,LEN(B254)-2),
IF(D254="Teen Biography",RIGHT(B254,LEN(B254)-5),
IF(AND(D254="Audiobook",
              IFERROR(FIND("BIO",$B254)&gt;0,FALSE)),RIGHT(B254,LEN(B254)-3),
IF(D254="Juvenile Large Type","J "&amp;RIGHT(B254,LEN(B254)-11),
IF(D254="Teen Large Type","TEEN "&amp;RIGHT(B254,LEN(B254)-14),
IF(D254="Reference",RIGHT(B254,LEN(B254)-4),
IF(D254="DVD Educational",RIGHT(B254,LEN(B254)-7),
IF(D254="Juvenile DVD Educational",RIGHT(B254,LEN(B254)-9),
B254)))))))))))))))))</f>
        <v/>
      </c>
    </row>
    <row r="255" spans="1:8" ht="27" customHeight="1" x14ac:dyDescent="0.25">
      <c r="A255" s="10" t="str">
        <f ca="1">TEXT( INDIRECT( ADDRESS( ROW() + Row_Offset, INDIRECT( "Column_Number_" &amp; A$1), 4,1, tabname) ), "")</f>
        <v/>
      </c>
      <c r="B255" s="10" t="str">
        <f ca="1">TEXT(  IFERROR( VLOOKUP( $D255, CollName_Simplifier_Table[], 2, FALSE),"") &amp;
        INDIRECT( ADDRESS( ROW() + Row_Offset, INDIRECT( "Column_Number_" &amp; $B$1), 4,1, tabname) ), "")</f>
        <v/>
      </c>
      <c r="C255" s="10" t="str">
        <f ca="1">TEXT( INDIRECT( ADDRESS( ROW() + Row_Offset, INDIRECT( "Column_Number_" &amp; C$1), 4,1, tabname) ), "")</f>
        <v/>
      </c>
      <c r="D255" s="10" t="str">
        <f ca="1">TEXT( INDIRECT( ADDRESS( ROW() + Row_Offset, INDIRECT( "Column_Number_" &amp; D$1), 4,1, tabname) ), "")</f>
        <v/>
      </c>
      <c r="E255" s="10" t="str">
        <f ca="1">TEXT( INDIRECT( ADDRESS( ROW() + Row_Offset, INDIRECT( "Column_Number_" &amp; E$1), 4,1, tabname) ), "####")</f>
        <v/>
      </c>
      <c r="F255" s="15"/>
      <c r="G255" s="21" t="str">
        <f ca="1">IFERROR(INDEX(Rank_Table[],MATCH($D255&amp;$A255,Table4[Join],0)),"")</f>
        <v/>
      </c>
      <c r="H255" s="11" t="str">
        <f ca="1">IF(AND(D255="Juvenile Audiobook",LEFT(B255,8)="J CD BIO"),RIGHT(B255,LEN(B255)-9),
IF(AND(D255="Juvenile Audiobook",LEFT(B255,8)="J CD FIC"),B255,
IF(D255="Juvenile Audiobook",RIGHT(B255,LEN(B255)-5),
IF(AND(D255="Teen Audiobook",LEFT(B255,11)="TEEN CD BIO"),RIGHT(B255,LEN(B255)-12),
IF(AND(D255="Teen Audiobook",LEFT(B255,11)="TEEN CD FIC"),B255,
IF(D255="Juvenile Audiobook",RIGHT(B255,LEN(B255)-8),
IF(D255="Juvenile Nonfiction",RIGHT(B255,LEN(B255)-2),
IF(D255="Teen Nonfiction",RIGHT(B255,LEN(B255)-5),
IF(AND(D255="Audiobook",
              NOT(OR(Contains($B255,"CD BIO"),Contains($B255,"CD FIC")))),RIGHT(B255,LEN(B255)-3),
IF(D255="Juvenile Biography",RIGHT(B255,LEN(B255)-2),
IF(D255="Teen Biography",RIGHT(B255,LEN(B255)-5),
IF(AND(D255="Audiobook",
              IFERROR(FIND("BIO",$B255)&gt;0,FALSE)),RIGHT(B255,LEN(B255)-3),
IF(D255="Juvenile Large Type","J "&amp;RIGHT(B255,LEN(B255)-11),
IF(D255="Teen Large Type","TEEN "&amp;RIGHT(B255,LEN(B255)-14),
IF(D255="Reference",RIGHT(B255,LEN(B255)-4),
IF(D255="DVD Educational",RIGHT(B255,LEN(B255)-7),
IF(D255="Juvenile DVD Educational",RIGHT(B255,LEN(B255)-9),
B255)))))))))))))))))</f>
        <v/>
      </c>
    </row>
    <row r="256" spans="1:8" ht="27" customHeight="1" x14ac:dyDescent="0.25">
      <c r="A256" s="10" t="str">
        <f ca="1">TEXT( INDIRECT( ADDRESS( ROW() + Row_Offset, INDIRECT( "Column_Number_" &amp; A$1), 4,1, tabname) ), "")</f>
        <v/>
      </c>
      <c r="B256" s="10" t="str">
        <f ca="1">TEXT(  IFERROR( VLOOKUP( $D256, CollName_Simplifier_Table[], 2, FALSE),"") &amp;
        INDIRECT( ADDRESS( ROW() + Row_Offset, INDIRECT( "Column_Number_" &amp; $B$1), 4,1, tabname) ), "")</f>
        <v/>
      </c>
      <c r="C256" s="10" t="str">
        <f ca="1">TEXT( INDIRECT( ADDRESS( ROW() + Row_Offset, INDIRECT( "Column_Number_" &amp; C$1), 4,1, tabname) ), "")</f>
        <v/>
      </c>
      <c r="D256" s="10" t="str">
        <f ca="1">TEXT( INDIRECT( ADDRESS( ROW() + Row_Offset, INDIRECT( "Column_Number_" &amp; D$1), 4,1, tabname) ), "")</f>
        <v/>
      </c>
      <c r="E256" s="10" t="str">
        <f ca="1">TEXT( INDIRECT( ADDRESS( ROW() + Row_Offset, INDIRECT( "Column_Number_" &amp; E$1), 4,1, tabname) ), "####")</f>
        <v/>
      </c>
      <c r="F256" s="15"/>
      <c r="G256" s="21" t="str">
        <f ca="1">IFERROR(INDEX(Rank_Table[],MATCH($D256&amp;$A256,Table4[Join],0)),"")</f>
        <v/>
      </c>
      <c r="H256" s="11" t="str">
        <f ca="1">IF(AND(D256="Juvenile Audiobook",LEFT(B256,8)="J CD BIO"),RIGHT(B256,LEN(B256)-9),
IF(AND(D256="Juvenile Audiobook",LEFT(B256,8)="J CD FIC"),B256,
IF(D256="Juvenile Audiobook",RIGHT(B256,LEN(B256)-5),
IF(AND(D256="Teen Audiobook",LEFT(B256,11)="TEEN CD BIO"),RIGHT(B256,LEN(B256)-12),
IF(AND(D256="Teen Audiobook",LEFT(B256,11)="TEEN CD FIC"),B256,
IF(D256="Juvenile Audiobook",RIGHT(B256,LEN(B256)-8),
IF(D256="Juvenile Nonfiction",RIGHT(B256,LEN(B256)-2),
IF(D256="Teen Nonfiction",RIGHT(B256,LEN(B256)-5),
IF(AND(D256="Audiobook",
              NOT(OR(Contains($B256,"CD BIO"),Contains($B256,"CD FIC")))),RIGHT(B256,LEN(B256)-3),
IF(D256="Juvenile Biography",RIGHT(B256,LEN(B256)-2),
IF(D256="Teen Biography",RIGHT(B256,LEN(B256)-5),
IF(AND(D256="Audiobook",
              IFERROR(FIND("BIO",$B256)&gt;0,FALSE)),RIGHT(B256,LEN(B256)-3),
IF(D256="Juvenile Large Type","J "&amp;RIGHT(B256,LEN(B256)-11),
IF(D256="Teen Large Type","TEEN "&amp;RIGHT(B256,LEN(B256)-14),
IF(D256="Reference",RIGHT(B256,LEN(B256)-4),
IF(D256="DVD Educational",RIGHT(B256,LEN(B256)-7),
IF(D256="Juvenile DVD Educational",RIGHT(B256,LEN(B256)-9),
B256)))))))))))))))))</f>
        <v/>
      </c>
    </row>
    <row r="257" spans="1:8" ht="27" customHeight="1" x14ac:dyDescent="0.25">
      <c r="A257" s="10" t="str">
        <f ca="1">TEXT( INDIRECT( ADDRESS( ROW() + Row_Offset, INDIRECT( "Column_Number_" &amp; A$1), 4,1, tabname) ), "")</f>
        <v/>
      </c>
      <c r="B257" s="10" t="str">
        <f ca="1">TEXT(  IFERROR( VLOOKUP( $D257, CollName_Simplifier_Table[], 2, FALSE),"") &amp;
        INDIRECT( ADDRESS( ROW() + Row_Offset, INDIRECT( "Column_Number_" &amp; $B$1), 4,1, tabname) ), "")</f>
        <v/>
      </c>
      <c r="C257" s="10" t="str">
        <f ca="1">TEXT( INDIRECT( ADDRESS( ROW() + Row_Offset, INDIRECT( "Column_Number_" &amp; C$1), 4,1, tabname) ), "")</f>
        <v/>
      </c>
      <c r="D257" s="10" t="str">
        <f ca="1">TEXT( INDIRECT( ADDRESS( ROW() + Row_Offset, INDIRECT( "Column_Number_" &amp; D$1), 4,1, tabname) ), "")</f>
        <v/>
      </c>
      <c r="E257" s="10" t="str">
        <f ca="1">TEXT( INDIRECT( ADDRESS( ROW() + Row_Offset, INDIRECT( "Column_Number_" &amp; E$1), 4,1, tabname) ), "####")</f>
        <v/>
      </c>
      <c r="F257" s="15"/>
      <c r="G257" s="21" t="str">
        <f ca="1">IFERROR(INDEX(Rank_Table[],MATCH($D257&amp;$A257,Table4[Join],0)),"")</f>
        <v/>
      </c>
      <c r="H257" s="11" t="str">
        <f ca="1">IF(AND(D257="Juvenile Audiobook",LEFT(B257,8)="J CD BIO"),RIGHT(B257,LEN(B257)-9),
IF(AND(D257="Juvenile Audiobook",LEFT(B257,8)="J CD FIC"),B257,
IF(D257="Juvenile Audiobook",RIGHT(B257,LEN(B257)-5),
IF(AND(D257="Teen Audiobook",LEFT(B257,11)="TEEN CD BIO"),RIGHT(B257,LEN(B257)-12),
IF(AND(D257="Teen Audiobook",LEFT(B257,11)="TEEN CD FIC"),B257,
IF(D257="Juvenile Audiobook",RIGHT(B257,LEN(B257)-8),
IF(D257="Juvenile Nonfiction",RIGHT(B257,LEN(B257)-2),
IF(D257="Teen Nonfiction",RIGHT(B257,LEN(B257)-5),
IF(AND(D257="Audiobook",
              NOT(OR(Contains($B257,"CD BIO"),Contains($B257,"CD FIC")))),RIGHT(B257,LEN(B257)-3),
IF(D257="Juvenile Biography",RIGHT(B257,LEN(B257)-2),
IF(D257="Teen Biography",RIGHT(B257,LEN(B257)-5),
IF(AND(D257="Audiobook",
              IFERROR(FIND("BIO",$B257)&gt;0,FALSE)),RIGHT(B257,LEN(B257)-3),
IF(D257="Juvenile Large Type","J "&amp;RIGHT(B257,LEN(B257)-11),
IF(D257="Teen Large Type","TEEN "&amp;RIGHT(B257,LEN(B257)-14),
IF(D257="Reference",RIGHT(B257,LEN(B257)-4),
IF(D257="DVD Educational",RIGHT(B257,LEN(B257)-7),
IF(D257="Juvenile DVD Educational",RIGHT(B257,LEN(B257)-9),
B257)))))))))))))))))</f>
        <v/>
      </c>
    </row>
    <row r="258" spans="1:8" ht="27" customHeight="1" x14ac:dyDescent="0.25">
      <c r="A258" s="10" t="str">
        <f ca="1">TEXT( INDIRECT( ADDRESS( ROW() + Row_Offset, INDIRECT( "Column_Number_" &amp; A$1), 4,1, tabname) ), "")</f>
        <v/>
      </c>
      <c r="B258" s="10" t="str">
        <f ca="1">TEXT(  IFERROR( VLOOKUP( $D258, CollName_Simplifier_Table[], 2, FALSE),"") &amp;
        INDIRECT( ADDRESS( ROW() + Row_Offset, INDIRECT( "Column_Number_" &amp; $B$1), 4,1, tabname) ), "")</f>
        <v/>
      </c>
      <c r="C258" s="10" t="str">
        <f ca="1">TEXT( INDIRECT( ADDRESS( ROW() + Row_Offset, INDIRECT( "Column_Number_" &amp; C$1), 4,1, tabname) ), "")</f>
        <v/>
      </c>
      <c r="D258" s="10" t="str">
        <f ca="1">TEXT( INDIRECT( ADDRESS( ROW() + Row_Offset, INDIRECT( "Column_Number_" &amp; D$1), 4,1, tabname) ), "")</f>
        <v/>
      </c>
      <c r="E258" s="10" t="str">
        <f ca="1">TEXT( INDIRECT( ADDRESS( ROW() + Row_Offset, INDIRECT( "Column_Number_" &amp; E$1), 4,1, tabname) ), "####")</f>
        <v/>
      </c>
      <c r="F258" s="15"/>
      <c r="G258" s="21" t="str">
        <f ca="1">IFERROR(INDEX(Rank_Table[],MATCH($D258&amp;$A258,Table4[Join],0)),"")</f>
        <v/>
      </c>
      <c r="H258" s="11" t="str">
        <f ca="1">IF(AND(D258="Juvenile Audiobook",LEFT(B258,8)="J CD BIO"),RIGHT(B258,LEN(B258)-9),
IF(AND(D258="Juvenile Audiobook",LEFT(B258,8)="J CD FIC"),B258,
IF(D258="Juvenile Audiobook",RIGHT(B258,LEN(B258)-5),
IF(AND(D258="Teen Audiobook",LEFT(B258,11)="TEEN CD BIO"),RIGHT(B258,LEN(B258)-12),
IF(AND(D258="Teen Audiobook",LEFT(B258,11)="TEEN CD FIC"),B258,
IF(D258="Juvenile Audiobook",RIGHT(B258,LEN(B258)-8),
IF(D258="Juvenile Nonfiction",RIGHT(B258,LEN(B258)-2),
IF(D258="Teen Nonfiction",RIGHT(B258,LEN(B258)-5),
IF(AND(D258="Audiobook",
              NOT(OR(Contains($B258,"CD BIO"),Contains($B258,"CD FIC")))),RIGHT(B258,LEN(B258)-3),
IF(D258="Juvenile Biography",RIGHT(B258,LEN(B258)-2),
IF(D258="Teen Biography",RIGHT(B258,LEN(B258)-5),
IF(AND(D258="Audiobook",
              IFERROR(FIND("BIO",$B258)&gt;0,FALSE)),RIGHT(B258,LEN(B258)-3),
IF(D258="Juvenile Large Type","J "&amp;RIGHT(B258,LEN(B258)-11),
IF(D258="Teen Large Type","TEEN "&amp;RIGHT(B258,LEN(B258)-14),
IF(D258="Reference",RIGHT(B258,LEN(B258)-4),
IF(D258="DVD Educational",RIGHT(B258,LEN(B258)-7),
IF(D258="Juvenile DVD Educational",RIGHT(B258,LEN(B258)-9),
B258)))))))))))))))))</f>
        <v/>
      </c>
    </row>
    <row r="259" spans="1:8" ht="27" customHeight="1" x14ac:dyDescent="0.25">
      <c r="A259" s="10" t="str">
        <f ca="1">TEXT( INDIRECT( ADDRESS( ROW() + Row_Offset, INDIRECT( "Column_Number_" &amp; A$1), 4,1, tabname) ), "")</f>
        <v/>
      </c>
      <c r="B259" s="10" t="str">
        <f ca="1">TEXT(  IFERROR( VLOOKUP( $D259, CollName_Simplifier_Table[], 2, FALSE),"") &amp;
        INDIRECT( ADDRESS( ROW() + Row_Offset, INDIRECT( "Column_Number_" &amp; $B$1), 4,1, tabname) ), "")</f>
        <v/>
      </c>
      <c r="C259" s="10" t="str">
        <f ca="1">TEXT( INDIRECT( ADDRESS( ROW() + Row_Offset, INDIRECT( "Column_Number_" &amp; C$1), 4,1, tabname) ), "")</f>
        <v/>
      </c>
      <c r="D259" s="10" t="str">
        <f ca="1">TEXT( INDIRECT( ADDRESS( ROW() + Row_Offset, INDIRECT( "Column_Number_" &amp; D$1), 4,1, tabname) ), "")</f>
        <v/>
      </c>
      <c r="E259" s="10" t="str">
        <f ca="1">TEXT( INDIRECT( ADDRESS( ROW() + Row_Offset, INDIRECT( "Column_Number_" &amp; E$1), 4,1, tabname) ), "####")</f>
        <v/>
      </c>
      <c r="F259" s="15"/>
      <c r="G259" s="21" t="str">
        <f ca="1">IFERROR(INDEX(Rank_Table[],MATCH($D259&amp;$A259,Table4[Join],0)),"")</f>
        <v/>
      </c>
      <c r="H259" s="11" t="str">
        <f ca="1">IF(AND(D259="Juvenile Audiobook",LEFT(B259,8)="J CD BIO"),RIGHT(B259,LEN(B259)-9),
IF(AND(D259="Juvenile Audiobook",LEFT(B259,8)="J CD FIC"),B259,
IF(D259="Juvenile Audiobook",RIGHT(B259,LEN(B259)-5),
IF(AND(D259="Teen Audiobook",LEFT(B259,11)="TEEN CD BIO"),RIGHT(B259,LEN(B259)-12),
IF(AND(D259="Teen Audiobook",LEFT(B259,11)="TEEN CD FIC"),B259,
IF(D259="Juvenile Audiobook",RIGHT(B259,LEN(B259)-8),
IF(D259="Juvenile Nonfiction",RIGHT(B259,LEN(B259)-2),
IF(D259="Teen Nonfiction",RIGHT(B259,LEN(B259)-5),
IF(AND(D259="Audiobook",
              NOT(OR(Contains($B259,"CD BIO"),Contains($B259,"CD FIC")))),RIGHT(B259,LEN(B259)-3),
IF(D259="Juvenile Biography",RIGHT(B259,LEN(B259)-2),
IF(D259="Teen Biography",RIGHT(B259,LEN(B259)-5),
IF(AND(D259="Audiobook",
              IFERROR(FIND("BIO",$B259)&gt;0,FALSE)),RIGHT(B259,LEN(B259)-3),
IF(D259="Juvenile Large Type","J "&amp;RIGHT(B259,LEN(B259)-11),
IF(D259="Teen Large Type","TEEN "&amp;RIGHT(B259,LEN(B259)-14),
IF(D259="Reference",RIGHT(B259,LEN(B259)-4),
IF(D259="DVD Educational",RIGHT(B259,LEN(B259)-7),
IF(D259="Juvenile DVD Educational",RIGHT(B259,LEN(B259)-9),
B259)))))))))))))))))</f>
        <v/>
      </c>
    </row>
    <row r="260" spans="1:8" ht="27" customHeight="1" x14ac:dyDescent="0.25">
      <c r="A260" s="10" t="str">
        <f ca="1">TEXT( INDIRECT( ADDRESS( ROW() + Row_Offset, INDIRECT( "Column_Number_" &amp; A$1), 4,1, tabname) ), "")</f>
        <v/>
      </c>
      <c r="B260" s="10" t="str">
        <f ca="1">TEXT(  IFERROR( VLOOKUP( $D260, CollName_Simplifier_Table[], 2, FALSE),"") &amp;
        INDIRECT( ADDRESS( ROW() + Row_Offset, INDIRECT( "Column_Number_" &amp; $B$1), 4,1, tabname) ), "")</f>
        <v/>
      </c>
      <c r="C260" s="10" t="str">
        <f ca="1">TEXT( INDIRECT( ADDRESS( ROW() + Row_Offset, INDIRECT( "Column_Number_" &amp; C$1), 4,1, tabname) ), "")</f>
        <v/>
      </c>
      <c r="D260" s="10" t="str">
        <f ca="1">TEXT( INDIRECT( ADDRESS( ROW() + Row_Offset, INDIRECT( "Column_Number_" &amp; D$1), 4,1, tabname) ), "")</f>
        <v/>
      </c>
      <c r="E260" s="10" t="str">
        <f ca="1">TEXT( INDIRECT( ADDRESS( ROW() + Row_Offset, INDIRECT( "Column_Number_" &amp; E$1), 4,1, tabname) ), "####")</f>
        <v/>
      </c>
      <c r="F260" s="15"/>
      <c r="G260" s="21" t="str">
        <f ca="1">IFERROR(INDEX(Rank_Table[],MATCH($D260&amp;$A260,Table4[Join],0)),"")</f>
        <v/>
      </c>
      <c r="H260" s="11" t="str">
        <f ca="1">IF(AND(D260="Juvenile Audiobook",LEFT(B260,8)="J CD BIO"),RIGHT(B260,LEN(B260)-9),
IF(AND(D260="Juvenile Audiobook",LEFT(B260,8)="J CD FIC"),B260,
IF(D260="Juvenile Audiobook",RIGHT(B260,LEN(B260)-5),
IF(AND(D260="Teen Audiobook",LEFT(B260,11)="TEEN CD BIO"),RIGHT(B260,LEN(B260)-12),
IF(AND(D260="Teen Audiobook",LEFT(B260,11)="TEEN CD FIC"),B260,
IF(D260="Juvenile Audiobook",RIGHT(B260,LEN(B260)-8),
IF(D260="Juvenile Nonfiction",RIGHT(B260,LEN(B260)-2),
IF(D260="Teen Nonfiction",RIGHT(B260,LEN(B260)-5),
IF(AND(D260="Audiobook",
              NOT(OR(Contains($B260,"CD BIO"),Contains($B260,"CD FIC")))),RIGHT(B260,LEN(B260)-3),
IF(D260="Juvenile Biography",RIGHT(B260,LEN(B260)-2),
IF(D260="Teen Biography",RIGHT(B260,LEN(B260)-5),
IF(AND(D260="Audiobook",
              IFERROR(FIND("BIO",$B260)&gt;0,FALSE)),RIGHT(B260,LEN(B260)-3),
IF(D260="Juvenile Large Type","J "&amp;RIGHT(B260,LEN(B260)-11),
IF(D260="Teen Large Type","TEEN "&amp;RIGHT(B260,LEN(B260)-14),
IF(D260="Reference",RIGHT(B260,LEN(B260)-4),
IF(D260="DVD Educational",RIGHT(B260,LEN(B260)-7),
IF(D260="Juvenile DVD Educational",RIGHT(B260,LEN(B260)-9),
B260)))))))))))))))))</f>
        <v/>
      </c>
    </row>
    <row r="261" spans="1:8" ht="27" customHeight="1" x14ac:dyDescent="0.25">
      <c r="A261" s="10" t="str">
        <f ca="1">TEXT( INDIRECT( ADDRESS( ROW() + Row_Offset, INDIRECT( "Column_Number_" &amp; A$1), 4,1, tabname) ), "")</f>
        <v/>
      </c>
      <c r="B261" s="10" t="str">
        <f ca="1">TEXT(  IFERROR( VLOOKUP( $D261, CollName_Simplifier_Table[], 2, FALSE),"") &amp;
        INDIRECT( ADDRESS( ROW() + Row_Offset, INDIRECT( "Column_Number_" &amp; $B$1), 4,1, tabname) ), "")</f>
        <v/>
      </c>
      <c r="C261" s="10" t="str">
        <f ca="1">TEXT( INDIRECT( ADDRESS( ROW() + Row_Offset, INDIRECT( "Column_Number_" &amp; C$1), 4,1, tabname) ), "")</f>
        <v/>
      </c>
      <c r="D261" s="10" t="str">
        <f ca="1">TEXT( INDIRECT( ADDRESS( ROW() + Row_Offset, INDIRECT( "Column_Number_" &amp; D$1), 4,1, tabname) ), "")</f>
        <v/>
      </c>
      <c r="E261" s="10" t="str">
        <f ca="1">TEXT( INDIRECT( ADDRESS( ROW() + Row_Offset, INDIRECT( "Column_Number_" &amp; E$1), 4,1, tabname) ), "####")</f>
        <v/>
      </c>
      <c r="F261" s="15"/>
      <c r="G261" s="21" t="str">
        <f ca="1">IFERROR(INDEX(Rank_Table[],MATCH($D261&amp;$A261,Table4[Join],0)),"")</f>
        <v/>
      </c>
      <c r="H261" s="11" t="str">
        <f ca="1">IF(AND(D261="Juvenile Audiobook",LEFT(B261,8)="J CD BIO"),RIGHT(B261,LEN(B261)-9),
IF(AND(D261="Juvenile Audiobook",LEFT(B261,8)="J CD FIC"),B261,
IF(D261="Juvenile Audiobook",RIGHT(B261,LEN(B261)-5),
IF(AND(D261="Teen Audiobook",LEFT(B261,11)="TEEN CD BIO"),RIGHT(B261,LEN(B261)-12),
IF(AND(D261="Teen Audiobook",LEFT(B261,11)="TEEN CD FIC"),B261,
IF(D261="Juvenile Audiobook",RIGHT(B261,LEN(B261)-8),
IF(D261="Juvenile Nonfiction",RIGHT(B261,LEN(B261)-2),
IF(D261="Teen Nonfiction",RIGHT(B261,LEN(B261)-5),
IF(AND(D261="Audiobook",
              NOT(OR(Contains($B261,"CD BIO"),Contains($B261,"CD FIC")))),RIGHT(B261,LEN(B261)-3),
IF(D261="Juvenile Biography",RIGHT(B261,LEN(B261)-2),
IF(D261="Teen Biography",RIGHT(B261,LEN(B261)-5),
IF(AND(D261="Audiobook",
              IFERROR(FIND("BIO",$B261)&gt;0,FALSE)),RIGHT(B261,LEN(B261)-3),
IF(D261="Juvenile Large Type","J "&amp;RIGHT(B261,LEN(B261)-11),
IF(D261="Teen Large Type","TEEN "&amp;RIGHT(B261,LEN(B261)-14),
IF(D261="Reference",RIGHT(B261,LEN(B261)-4),
IF(D261="DVD Educational",RIGHT(B261,LEN(B261)-7),
IF(D261="Juvenile DVD Educational",RIGHT(B261,LEN(B261)-9),
B261)))))))))))))))))</f>
        <v/>
      </c>
    </row>
    <row r="262" spans="1:8" ht="27" customHeight="1" x14ac:dyDescent="0.25">
      <c r="A262" s="10" t="str">
        <f ca="1">TEXT( INDIRECT( ADDRESS( ROW() + Row_Offset, INDIRECT( "Column_Number_" &amp; A$1), 4,1, tabname) ), "")</f>
        <v/>
      </c>
      <c r="B262" s="10" t="str">
        <f ca="1">TEXT(  IFERROR( VLOOKUP( $D262, CollName_Simplifier_Table[], 2, FALSE),"") &amp;
        INDIRECT( ADDRESS( ROW() + Row_Offset, INDIRECT( "Column_Number_" &amp; $B$1), 4,1, tabname) ), "")</f>
        <v/>
      </c>
      <c r="C262" s="10" t="str">
        <f ca="1">TEXT( INDIRECT( ADDRESS( ROW() + Row_Offset, INDIRECT( "Column_Number_" &amp; C$1), 4,1, tabname) ), "")</f>
        <v/>
      </c>
      <c r="D262" s="10" t="str">
        <f ca="1">TEXT( INDIRECT( ADDRESS( ROW() + Row_Offset, INDIRECT( "Column_Number_" &amp; D$1), 4,1, tabname) ), "")</f>
        <v/>
      </c>
      <c r="E262" s="10" t="str">
        <f ca="1">TEXT( INDIRECT( ADDRESS( ROW() + Row_Offset, INDIRECT( "Column_Number_" &amp; E$1), 4,1, tabname) ), "####")</f>
        <v/>
      </c>
      <c r="F262" s="15"/>
      <c r="G262" s="21" t="str">
        <f ca="1">IFERROR(INDEX(Rank_Table[],MATCH($D262&amp;$A262,Table4[Join],0)),"")</f>
        <v/>
      </c>
      <c r="H262" s="11" t="str">
        <f ca="1">IF(AND(D262="Juvenile Audiobook",LEFT(B262,8)="J CD BIO"),RIGHT(B262,LEN(B262)-9),
IF(AND(D262="Juvenile Audiobook",LEFT(B262,8)="J CD FIC"),B262,
IF(D262="Juvenile Audiobook",RIGHT(B262,LEN(B262)-5),
IF(AND(D262="Teen Audiobook",LEFT(B262,11)="TEEN CD BIO"),RIGHT(B262,LEN(B262)-12),
IF(AND(D262="Teen Audiobook",LEFT(B262,11)="TEEN CD FIC"),B262,
IF(D262="Juvenile Audiobook",RIGHT(B262,LEN(B262)-8),
IF(D262="Juvenile Nonfiction",RIGHT(B262,LEN(B262)-2),
IF(D262="Teen Nonfiction",RIGHT(B262,LEN(B262)-5),
IF(AND(D262="Audiobook",
              NOT(OR(Contains($B262,"CD BIO"),Contains($B262,"CD FIC")))),RIGHT(B262,LEN(B262)-3),
IF(D262="Juvenile Biography",RIGHT(B262,LEN(B262)-2),
IF(D262="Teen Biography",RIGHT(B262,LEN(B262)-5),
IF(AND(D262="Audiobook",
              IFERROR(FIND("BIO",$B262)&gt;0,FALSE)),RIGHT(B262,LEN(B262)-3),
IF(D262="Juvenile Large Type","J "&amp;RIGHT(B262,LEN(B262)-11),
IF(D262="Teen Large Type","TEEN "&amp;RIGHT(B262,LEN(B262)-14),
IF(D262="Reference",RIGHT(B262,LEN(B262)-4),
IF(D262="DVD Educational",RIGHT(B262,LEN(B262)-7),
IF(D262="Juvenile DVD Educational",RIGHT(B262,LEN(B262)-9),
B262)))))))))))))))))</f>
        <v/>
      </c>
    </row>
    <row r="263" spans="1:8" ht="27" customHeight="1" x14ac:dyDescent="0.25">
      <c r="A263" s="10" t="str">
        <f ca="1">TEXT( INDIRECT( ADDRESS( ROW() + Row_Offset, INDIRECT( "Column_Number_" &amp; A$1), 4,1, tabname) ), "")</f>
        <v/>
      </c>
      <c r="B263" s="10" t="str">
        <f ca="1">TEXT(  IFERROR( VLOOKUP( $D263, CollName_Simplifier_Table[], 2, FALSE),"") &amp;
        INDIRECT( ADDRESS( ROW() + Row_Offset, INDIRECT( "Column_Number_" &amp; $B$1), 4,1, tabname) ), "")</f>
        <v/>
      </c>
      <c r="C263" s="10" t="str">
        <f ca="1">TEXT( INDIRECT( ADDRESS( ROW() + Row_Offset, INDIRECT( "Column_Number_" &amp; C$1), 4,1, tabname) ), "")</f>
        <v/>
      </c>
      <c r="D263" s="10" t="str">
        <f ca="1">TEXT( INDIRECT( ADDRESS( ROW() + Row_Offset, INDIRECT( "Column_Number_" &amp; D$1), 4,1, tabname) ), "")</f>
        <v/>
      </c>
      <c r="E263" s="10" t="str">
        <f ca="1">TEXT( INDIRECT( ADDRESS( ROW() + Row_Offset, INDIRECT( "Column_Number_" &amp; E$1), 4,1, tabname) ), "####")</f>
        <v/>
      </c>
      <c r="F263" s="15"/>
      <c r="G263" s="21" t="str">
        <f ca="1">IFERROR(INDEX(Rank_Table[],MATCH($D263&amp;$A263,Table4[Join],0)),"")</f>
        <v/>
      </c>
      <c r="H263" s="11" t="str">
        <f ca="1">IF(AND(D263="Juvenile Audiobook",LEFT(B263,8)="J CD BIO"),RIGHT(B263,LEN(B263)-9),
IF(AND(D263="Juvenile Audiobook",LEFT(B263,8)="J CD FIC"),B263,
IF(D263="Juvenile Audiobook",RIGHT(B263,LEN(B263)-5),
IF(AND(D263="Teen Audiobook",LEFT(B263,11)="TEEN CD BIO"),RIGHT(B263,LEN(B263)-12),
IF(AND(D263="Teen Audiobook",LEFT(B263,11)="TEEN CD FIC"),B263,
IF(D263="Juvenile Audiobook",RIGHT(B263,LEN(B263)-8),
IF(D263="Juvenile Nonfiction",RIGHT(B263,LEN(B263)-2),
IF(D263="Teen Nonfiction",RIGHT(B263,LEN(B263)-5),
IF(AND(D263="Audiobook",
              NOT(OR(Contains($B263,"CD BIO"),Contains($B263,"CD FIC")))),RIGHT(B263,LEN(B263)-3),
IF(D263="Juvenile Biography",RIGHT(B263,LEN(B263)-2),
IF(D263="Teen Biography",RIGHT(B263,LEN(B263)-5),
IF(AND(D263="Audiobook",
              IFERROR(FIND("BIO",$B263)&gt;0,FALSE)),RIGHT(B263,LEN(B263)-3),
IF(D263="Juvenile Large Type","J "&amp;RIGHT(B263,LEN(B263)-11),
IF(D263="Teen Large Type","TEEN "&amp;RIGHT(B263,LEN(B263)-14),
IF(D263="Reference",RIGHT(B263,LEN(B263)-4),
IF(D263="DVD Educational",RIGHT(B263,LEN(B263)-7),
IF(D263="Juvenile DVD Educational",RIGHT(B263,LEN(B263)-9),
B263)))))))))))))))))</f>
        <v/>
      </c>
    </row>
    <row r="264" spans="1:8" ht="27" customHeight="1" x14ac:dyDescent="0.25">
      <c r="A264" s="10" t="str">
        <f ca="1">TEXT( INDIRECT( ADDRESS( ROW() + Row_Offset, INDIRECT( "Column_Number_" &amp; A$1), 4,1, tabname) ), "")</f>
        <v/>
      </c>
      <c r="B264" s="10" t="str">
        <f ca="1">TEXT(  IFERROR( VLOOKUP( $D264, CollName_Simplifier_Table[], 2, FALSE),"") &amp;
        INDIRECT( ADDRESS( ROW() + Row_Offset, INDIRECT( "Column_Number_" &amp; $B$1), 4,1, tabname) ), "")</f>
        <v/>
      </c>
      <c r="C264" s="10" t="str">
        <f ca="1">TEXT( INDIRECT( ADDRESS( ROW() + Row_Offset, INDIRECT( "Column_Number_" &amp; C$1), 4,1, tabname) ), "")</f>
        <v/>
      </c>
      <c r="D264" s="10" t="str">
        <f ca="1">TEXT( INDIRECT( ADDRESS( ROW() + Row_Offset, INDIRECT( "Column_Number_" &amp; D$1), 4,1, tabname) ), "")</f>
        <v/>
      </c>
      <c r="E264" s="10" t="str">
        <f ca="1">TEXT( INDIRECT( ADDRESS( ROW() + Row_Offset, INDIRECT( "Column_Number_" &amp; E$1), 4,1, tabname) ), "####")</f>
        <v/>
      </c>
      <c r="F264" s="15"/>
      <c r="G264" s="21" t="str">
        <f ca="1">IFERROR(INDEX(Rank_Table[],MATCH($D264&amp;$A264,Table4[Join],0)),"")</f>
        <v/>
      </c>
      <c r="H264" s="11" t="str">
        <f ca="1">IF(AND(D264="Juvenile Audiobook",LEFT(B264,8)="J CD BIO"),RIGHT(B264,LEN(B264)-9),
IF(AND(D264="Juvenile Audiobook",LEFT(B264,8)="J CD FIC"),B264,
IF(D264="Juvenile Audiobook",RIGHT(B264,LEN(B264)-5),
IF(AND(D264="Teen Audiobook",LEFT(B264,11)="TEEN CD BIO"),RIGHT(B264,LEN(B264)-12),
IF(AND(D264="Teen Audiobook",LEFT(B264,11)="TEEN CD FIC"),B264,
IF(D264="Juvenile Audiobook",RIGHT(B264,LEN(B264)-8),
IF(D264="Juvenile Nonfiction",RIGHT(B264,LEN(B264)-2),
IF(D264="Teen Nonfiction",RIGHT(B264,LEN(B264)-5),
IF(AND(D264="Audiobook",
              NOT(OR(Contains($B264,"CD BIO"),Contains($B264,"CD FIC")))),RIGHT(B264,LEN(B264)-3),
IF(D264="Juvenile Biography",RIGHT(B264,LEN(B264)-2),
IF(D264="Teen Biography",RIGHT(B264,LEN(B264)-5),
IF(AND(D264="Audiobook",
              IFERROR(FIND("BIO",$B264)&gt;0,FALSE)),RIGHT(B264,LEN(B264)-3),
IF(D264="Juvenile Large Type","J "&amp;RIGHT(B264,LEN(B264)-11),
IF(D264="Teen Large Type","TEEN "&amp;RIGHT(B264,LEN(B264)-14),
IF(D264="Reference",RIGHT(B264,LEN(B264)-4),
IF(D264="DVD Educational",RIGHT(B264,LEN(B264)-7),
IF(D264="Juvenile DVD Educational",RIGHT(B264,LEN(B264)-9),
B264)))))))))))))))))</f>
        <v/>
      </c>
    </row>
    <row r="265" spans="1:8" ht="27" customHeight="1" x14ac:dyDescent="0.25">
      <c r="A265" s="10" t="str">
        <f ca="1">TEXT( INDIRECT( ADDRESS( ROW() + Row_Offset, INDIRECT( "Column_Number_" &amp; A$1), 4,1, tabname) ), "")</f>
        <v/>
      </c>
      <c r="B265" s="10" t="str">
        <f ca="1">TEXT(  IFERROR( VLOOKUP( $D265, CollName_Simplifier_Table[], 2, FALSE),"") &amp;
        INDIRECT( ADDRESS( ROW() + Row_Offset, INDIRECT( "Column_Number_" &amp; $B$1), 4,1, tabname) ), "")</f>
        <v/>
      </c>
      <c r="C265" s="10" t="str">
        <f ca="1">TEXT( INDIRECT( ADDRESS( ROW() + Row_Offset, INDIRECT( "Column_Number_" &amp; C$1), 4,1, tabname) ), "")</f>
        <v/>
      </c>
      <c r="D265" s="10" t="str">
        <f ca="1">TEXT( INDIRECT( ADDRESS( ROW() + Row_Offset, INDIRECT( "Column_Number_" &amp; D$1), 4,1, tabname) ), "")</f>
        <v/>
      </c>
      <c r="E265" s="10" t="str">
        <f ca="1">TEXT( INDIRECT( ADDRESS( ROW() + Row_Offset, INDIRECT( "Column_Number_" &amp; E$1), 4,1, tabname) ), "####")</f>
        <v/>
      </c>
      <c r="F265" s="15"/>
      <c r="G265" s="21" t="str">
        <f ca="1">IFERROR(INDEX(Rank_Table[],MATCH($D265&amp;$A265,Table4[Join],0)),"")</f>
        <v/>
      </c>
      <c r="H265" s="11" t="str">
        <f ca="1">IF(AND(D265="Juvenile Audiobook",LEFT(B265,8)="J CD BIO"),RIGHT(B265,LEN(B265)-9),
IF(AND(D265="Juvenile Audiobook",LEFT(B265,8)="J CD FIC"),B265,
IF(D265="Juvenile Audiobook",RIGHT(B265,LEN(B265)-5),
IF(AND(D265="Teen Audiobook",LEFT(B265,11)="TEEN CD BIO"),RIGHT(B265,LEN(B265)-12),
IF(AND(D265="Teen Audiobook",LEFT(B265,11)="TEEN CD FIC"),B265,
IF(D265="Juvenile Audiobook",RIGHT(B265,LEN(B265)-8),
IF(D265="Juvenile Nonfiction",RIGHT(B265,LEN(B265)-2),
IF(D265="Teen Nonfiction",RIGHT(B265,LEN(B265)-5),
IF(AND(D265="Audiobook",
              NOT(OR(Contains($B265,"CD BIO"),Contains($B265,"CD FIC")))),RIGHT(B265,LEN(B265)-3),
IF(D265="Juvenile Biography",RIGHT(B265,LEN(B265)-2),
IF(D265="Teen Biography",RIGHT(B265,LEN(B265)-5),
IF(AND(D265="Audiobook",
              IFERROR(FIND("BIO",$B265)&gt;0,FALSE)),RIGHT(B265,LEN(B265)-3),
IF(D265="Juvenile Large Type","J "&amp;RIGHT(B265,LEN(B265)-11),
IF(D265="Teen Large Type","TEEN "&amp;RIGHT(B265,LEN(B265)-14),
IF(D265="Reference",RIGHT(B265,LEN(B265)-4),
IF(D265="DVD Educational",RIGHT(B265,LEN(B265)-7),
IF(D265="Juvenile DVD Educational",RIGHT(B265,LEN(B265)-9),
B265)))))))))))))))))</f>
        <v/>
      </c>
    </row>
    <row r="266" spans="1:8" ht="27" customHeight="1" x14ac:dyDescent="0.25">
      <c r="A266" s="10" t="str">
        <f ca="1">TEXT( INDIRECT( ADDRESS( ROW() + Row_Offset, INDIRECT( "Column_Number_" &amp; A$1), 4,1, tabname) ), "")</f>
        <v/>
      </c>
      <c r="B266" s="10" t="str">
        <f ca="1">TEXT(  IFERROR( VLOOKUP( $D266, CollName_Simplifier_Table[], 2, FALSE),"") &amp;
        INDIRECT( ADDRESS( ROW() + Row_Offset, INDIRECT( "Column_Number_" &amp; $B$1), 4,1, tabname) ), "")</f>
        <v/>
      </c>
      <c r="C266" s="10" t="str">
        <f ca="1">TEXT( INDIRECT( ADDRESS( ROW() + Row_Offset, INDIRECT( "Column_Number_" &amp; C$1), 4,1, tabname) ), "")</f>
        <v/>
      </c>
      <c r="D266" s="10" t="str">
        <f ca="1">TEXT( INDIRECT( ADDRESS( ROW() + Row_Offset, INDIRECT( "Column_Number_" &amp; D$1), 4,1, tabname) ), "")</f>
        <v/>
      </c>
      <c r="E266" s="10" t="str">
        <f ca="1">TEXT( INDIRECT( ADDRESS( ROW() + Row_Offset, INDIRECT( "Column_Number_" &amp; E$1), 4,1, tabname) ), "####")</f>
        <v/>
      </c>
      <c r="F266" s="15"/>
      <c r="G266" s="21" t="str">
        <f ca="1">IFERROR(INDEX(Rank_Table[],MATCH($D266&amp;$A266,Table4[Join],0)),"")</f>
        <v/>
      </c>
      <c r="H266" s="11" t="str">
        <f ca="1">IF(AND(D266="Juvenile Audiobook",LEFT(B266,8)="J CD BIO"),RIGHT(B266,LEN(B266)-9),
IF(AND(D266="Juvenile Audiobook",LEFT(B266,8)="J CD FIC"),B266,
IF(D266="Juvenile Audiobook",RIGHT(B266,LEN(B266)-5),
IF(AND(D266="Teen Audiobook",LEFT(B266,11)="TEEN CD BIO"),RIGHT(B266,LEN(B266)-12),
IF(AND(D266="Teen Audiobook",LEFT(B266,11)="TEEN CD FIC"),B266,
IF(D266="Juvenile Audiobook",RIGHT(B266,LEN(B266)-8),
IF(D266="Juvenile Nonfiction",RIGHT(B266,LEN(B266)-2),
IF(D266="Teen Nonfiction",RIGHT(B266,LEN(B266)-5),
IF(AND(D266="Audiobook",
              NOT(OR(Contains($B266,"CD BIO"),Contains($B266,"CD FIC")))),RIGHT(B266,LEN(B266)-3),
IF(D266="Juvenile Biography",RIGHT(B266,LEN(B266)-2),
IF(D266="Teen Biography",RIGHT(B266,LEN(B266)-5),
IF(AND(D266="Audiobook",
              IFERROR(FIND("BIO",$B266)&gt;0,FALSE)),RIGHT(B266,LEN(B266)-3),
IF(D266="Juvenile Large Type","J "&amp;RIGHT(B266,LEN(B266)-11),
IF(D266="Teen Large Type","TEEN "&amp;RIGHT(B266,LEN(B266)-14),
IF(D266="Reference",RIGHT(B266,LEN(B266)-4),
IF(D266="DVD Educational",RIGHT(B266,LEN(B266)-7),
IF(D266="Juvenile DVD Educational",RIGHT(B266,LEN(B266)-9),
B266)))))))))))))))))</f>
        <v/>
      </c>
    </row>
    <row r="267" spans="1:8" ht="27" customHeight="1" x14ac:dyDescent="0.25">
      <c r="A267" s="10" t="str">
        <f ca="1">TEXT( INDIRECT( ADDRESS( ROW() + Row_Offset, INDIRECT( "Column_Number_" &amp; A$1), 4,1, tabname) ), "")</f>
        <v/>
      </c>
      <c r="B267" s="10" t="str">
        <f ca="1">TEXT(  IFERROR( VLOOKUP( $D267, CollName_Simplifier_Table[], 2, FALSE),"") &amp;
        INDIRECT( ADDRESS( ROW() + Row_Offset, INDIRECT( "Column_Number_" &amp; $B$1), 4,1, tabname) ), "")</f>
        <v/>
      </c>
      <c r="C267" s="10" t="str">
        <f ca="1">TEXT( INDIRECT( ADDRESS( ROW() + Row_Offset, INDIRECT( "Column_Number_" &amp; C$1), 4,1, tabname) ), "")</f>
        <v/>
      </c>
      <c r="D267" s="10" t="str">
        <f ca="1">TEXT( INDIRECT( ADDRESS( ROW() + Row_Offset, INDIRECT( "Column_Number_" &amp; D$1), 4,1, tabname) ), "")</f>
        <v/>
      </c>
      <c r="E267" s="10" t="str">
        <f ca="1">TEXT( INDIRECT( ADDRESS( ROW() + Row_Offset, INDIRECT( "Column_Number_" &amp; E$1), 4,1, tabname) ), "####")</f>
        <v/>
      </c>
      <c r="F267" s="15"/>
      <c r="G267" s="21" t="str">
        <f ca="1">IFERROR(INDEX(Rank_Table[],MATCH($D267&amp;$A267,Table4[Join],0)),"")</f>
        <v/>
      </c>
      <c r="H267" s="11" t="str">
        <f ca="1">IF(AND(D267="Juvenile Audiobook",LEFT(B267,8)="J CD BIO"),RIGHT(B267,LEN(B267)-9),
IF(AND(D267="Juvenile Audiobook",LEFT(B267,8)="J CD FIC"),B267,
IF(D267="Juvenile Audiobook",RIGHT(B267,LEN(B267)-5),
IF(AND(D267="Teen Audiobook",LEFT(B267,11)="TEEN CD BIO"),RIGHT(B267,LEN(B267)-12),
IF(AND(D267="Teen Audiobook",LEFT(B267,11)="TEEN CD FIC"),B267,
IF(D267="Juvenile Audiobook",RIGHT(B267,LEN(B267)-8),
IF(D267="Juvenile Nonfiction",RIGHT(B267,LEN(B267)-2),
IF(D267="Teen Nonfiction",RIGHT(B267,LEN(B267)-5),
IF(AND(D267="Audiobook",
              NOT(OR(Contains($B267,"CD BIO"),Contains($B267,"CD FIC")))),RIGHT(B267,LEN(B267)-3),
IF(D267="Juvenile Biography",RIGHT(B267,LEN(B267)-2),
IF(D267="Teen Biography",RIGHT(B267,LEN(B267)-5),
IF(AND(D267="Audiobook",
              IFERROR(FIND("BIO",$B267)&gt;0,FALSE)),RIGHT(B267,LEN(B267)-3),
IF(D267="Juvenile Large Type","J "&amp;RIGHT(B267,LEN(B267)-11),
IF(D267="Teen Large Type","TEEN "&amp;RIGHT(B267,LEN(B267)-14),
IF(D267="Reference",RIGHT(B267,LEN(B267)-4),
IF(D267="DVD Educational",RIGHT(B267,LEN(B267)-7),
IF(D267="Juvenile DVD Educational",RIGHT(B267,LEN(B267)-9),
B267)))))))))))))))))</f>
        <v/>
      </c>
    </row>
    <row r="268" spans="1:8" ht="27" customHeight="1" x14ac:dyDescent="0.25">
      <c r="A268" s="10" t="str">
        <f ca="1">TEXT( INDIRECT( ADDRESS( ROW() + Row_Offset, INDIRECT( "Column_Number_" &amp; A$1), 4,1, tabname) ), "")</f>
        <v/>
      </c>
      <c r="B268" s="10" t="str">
        <f ca="1">TEXT(  IFERROR( VLOOKUP( $D268, CollName_Simplifier_Table[], 2, FALSE),"") &amp;
        INDIRECT( ADDRESS( ROW() + Row_Offset, INDIRECT( "Column_Number_" &amp; $B$1), 4,1, tabname) ), "")</f>
        <v/>
      </c>
      <c r="C268" s="10" t="str">
        <f ca="1">TEXT( INDIRECT( ADDRESS( ROW() + Row_Offset, INDIRECT( "Column_Number_" &amp; C$1), 4,1, tabname) ), "")</f>
        <v/>
      </c>
      <c r="D268" s="10" t="str">
        <f ca="1">TEXT( INDIRECT( ADDRESS( ROW() + Row_Offset, INDIRECT( "Column_Number_" &amp; D$1), 4,1, tabname) ), "")</f>
        <v/>
      </c>
      <c r="E268" s="10" t="str">
        <f ca="1">TEXT( INDIRECT( ADDRESS( ROW() + Row_Offset, INDIRECT( "Column_Number_" &amp; E$1), 4,1, tabname) ), "####")</f>
        <v/>
      </c>
      <c r="F268" s="15"/>
      <c r="G268" s="21" t="str">
        <f ca="1">IFERROR(INDEX(Rank_Table[],MATCH($D268&amp;$A268,Table4[Join],0)),"")</f>
        <v/>
      </c>
      <c r="H268" s="11" t="str">
        <f ca="1">IF(AND(D268="Juvenile Audiobook",LEFT(B268,8)="J CD BIO"),RIGHT(B268,LEN(B268)-9),
IF(AND(D268="Juvenile Audiobook",LEFT(B268,8)="J CD FIC"),B268,
IF(D268="Juvenile Audiobook",RIGHT(B268,LEN(B268)-5),
IF(AND(D268="Teen Audiobook",LEFT(B268,11)="TEEN CD BIO"),RIGHT(B268,LEN(B268)-12),
IF(AND(D268="Teen Audiobook",LEFT(B268,11)="TEEN CD FIC"),B268,
IF(D268="Juvenile Audiobook",RIGHT(B268,LEN(B268)-8),
IF(D268="Juvenile Nonfiction",RIGHT(B268,LEN(B268)-2),
IF(D268="Teen Nonfiction",RIGHT(B268,LEN(B268)-5),
IF(AND(D268="Audiobook",
              NOT(OR(Contains($B268,"CD BIO"),Contains($B268,"CD FIC")))),RIGHT(B268,LEN(B268)-3),
IF(D268="Juvenile Biography",RIGHT(B268,LEN(B268)-2),
IF(D268="Teen Biography",RIGHT(B268,LEN(B268)-5),
IF(AND(D268="Audiobook",
              IFERROR(FIND("BIO",$B268)&gt;0,FALSE)),RIGHT(B268,LEN(B268)-3),
IF(D268="Juvenile Large Type","J "&amp;RIGHT(B268,LEN(B268)-11),
IF(D268="Teen Large Type","TEEN "&amp;RIGHT(B268,LEN(B268)-14),
IF(D268="Reference",RIGHT(B268,LEN(B268)-4),
IF(D268="DVD Educational",RIGHT(B268,LEN(B268)-7),
IF(D268="Juvenile DVD Educational",RIGHT(B268,LEN(B268)-9),
B268)))))))))))))))))</f>
        <v/>
      </c>
    </row>
    <row r="269" spans="1:8" ht="27" customHeight="1" x14ac:dyDescent="0.25">
      <c r="A269" s="10" t="str">
        <f ca="1">TEXT( INDIRECT( ADDRESS( ROW() + Row_Offset, INDIRECT( "Column_Number_" &amp; A$1), 4,1, tabname) ), "")</f>
        <v/>
      </c>
      <c r="B269" s="10" t="str">
        <f ca="1">TEXT(  IFERROR( VLOOKUP( $D269, CollName_Simplifier_Table[], 2, FALSE),"") &amp;
        INDIRECT( ADDRESS( ROW() + Row_Offset, INDIRECT( "Column_Number_" &amp; $B$1), 4,1, tabname) ), "")</f>
        <v/>
      </c>
      <c r="C269" s="10" t="str">
        <f ca="1">TEXT( INDIRECT( ADDRESS( ROW() + Row_Offset, INDIRECT( "Column_Number_" &amp; C$1), 4,1, tabname) ), "")</f>
        <v/>
      </c>
      <c r="D269" s="10" t="str">
        <f ca="1">TEXT( INDIRECT( ADDRESS( ROW() + Row_Offset, INDIRECT( "Column_Number_" &amp; D$1), 4,1, tabname) ), "")</f>
        <v/>
      </c>
      <c r="E269" s="10" t="str">
        <f ca="1">TEXT( INDIRECT( ADDRESS( ROW() + Row_Offset, INDIRECT( "Column_Number_" &amp; E$1), 4,1, tabname) ), "####")</f>
        <v/>
      </c>
      <c r="F269" s="15"/>
      <c r="G269" s="21" t="str">
        <f ca="1">IFERROR(INDEX(Rank_Table[],MATCH($D269&amp;$A269,Table4[Join],0)),"")</f>
        <v/>
      </c>
      <c r="H269" s="11" t="str">
        <f ca="1">IF(AND(D269="Juvenile Audiobook",LEFT(B269,8)="J CD BIO"),RIGHT(B269,LEN(B269)-9),
IF(AND(D269="Juvenile Audiobook",LEFT(B269,8)="J CD FIC"),B269,
IF(D269="Juvenile Audiobook",RIGHT(B269,LEN(B269)-5),
IF(AND(D269="Teen Audiobook",LEFT(B269,11)="TEEN CD BIO"),RIGHT(B269,LEN(B269)-12),
IF(AND(D269="Teen Audiobook",LEFT(B269,11)="TEEN CD FIC"),B269,
IF(D269="Juvenile Audiobook",RIGHT(B269,LEN(B269)-8),
IF(D269="Juvenile Nonfiction",RIGHT(B269,LEN(B269)-2),
IF(D269="Teen Nonfiction",RIGHT(B269,LEN(B269)-5),
IF(AND(D269="Audiobook",
              NOT(OR(Contains($B269,"CD BIO"),Contains($B269,"CD FIC")))),RIGHT(B269,LEN(B269)-3),
IF(D269="Juvenile Biography",RIGHT(B269,LEN(B269)-2),
IF(D269="Teen Biography",RIGHT(B269,LEN(B269)-5),
IF(AND(D269="Audiobook",
              IFERROR(FIND("BIO",$B269)&gt;0,FALSE)),RIGHT(B269,LEN(B269)-3),
IF(D269="Juvenile Large Type","J "&amp;RIGHT(B269,LEN(B269)-11),
IF(D269="Teen Large Type","TEEN "&amp;RIGHT(B269,LEN(B269)-14),
IF(D269="Reference",RIGHT(B269,LEN(B269)-4),
IF(D269="DVD Educational",RIGHT(B269,LEN(B269)-7),
IF(D269="Juvenile DVD Educational",RIGHT(B269,LEN(B269)-9),
B269)))))))))))))))))</f>
        <v/>
      </c>
    </row>
    <row r="270" spans="1:8" ht="27" customHeight="1" x14ac:dyDescent="0.25">
      <c r="A270" s="10" t="str">
        <f ca="1">TEXT( INDIRECT( ADDRESS( ROW() + Row_Offset, INDIRECT( "Column_Number_" &amp; A$1), 4,1, tabname) ), "")</f>
        <v/>
      </c>
      <c r="B270" s="10" t="str">
        <f ca="1">TEXT(  IFERROR( VLOOKUP( $D270, CollName_Simplifier_Table[], 2, FALSE),"") &amp;
        INDIRECT( ADDRESS( ROW() + Row_Offset, INDIRECT( "Column_Number_" &amp; $B$1), 4,1, tabname) ), "")</f>
        <v/>
      </c>
      <c r="C270" s="10" t="str">
        <f ca="1">TEXT( INDIRECT( ADDRESS( ROW() + Row_Offset, INDIRECT( "Column_Number_" &amp; C$1), 4,1, tabname) ), "")</f>
        <v/>
      </c>
      <c r="D270" s="10" t="str">
        <f ca="1">TEXT( INDIRECT( ADDRESS( ROW() + Row_Offset, INDIRECT( "Column_Number_" &amp; D$1), 4,1, tabname) ), "")</f>
        <v/>
      </c>
      <c r="E270" s="10" t="str">
        <f ca="1">TEXT( INDIRECT( ADDRESS( ROW() + Row_Offset, INDIRECT( "Column_Number_" &amp; E$1), 4,1, tabname) ), "####")</f>
        <v/>
      </c>
      <c r="F270" s="15"/>
      <c r="G270" s="21" t="str">
        <f ca="1">IFERROR(INDEX(Rank_Table[],MATCH($D270&amp;$A270,Table4[Join],0)),"")</f>
        <v/>
      </c>
      <c r="H270" s="11" t="str">
        <f ca="1">IF(AND(D270="Juvenile Audiobook",LEFT(B270,8)="J CD BIO"),RIGHT(B270,LEN(B270)-9),
IF(AND(D270="Juvenile Audiobook",LEFT(B270,8)="J CD FIC"),B270,
IF(D270="Juvenile Audiobook",RIGHT(B270,LEN(B270)-5),
IF(AND(D270="Teen Audiobook",LEFT(B270,11)="TEEN CD BIO"),RIGHT(B270,LEN(B270)-12),
IF(AND(D270="Teen Audiobook",LEFT(B270,11)="TEEN CD FIC"),B270,
IF(D270="Juvenile Audiobook",RIGHT(B270,LEN(B270)-8),
IF(D270="Juvenile Nonfiction",RIGHT(B270,LEN(B270)-2),
IF(D270="Teen Nonfiction",RIGHT(B270,LEN(B270)-5),
IF(AND(D270="Audiobook",
              NOT(OR(Contains($B270,"CD BIO"),Contains($B270,"CD FIC")))),RIGHT(B270,LEN(B270)-3),
IF(D270="Juvenile Biography",RIGHT(B270,LEN(B270)-2),
IF(D270="Teen Biography",RIGHT(B270,LEN(B270)-5),
IF(AND(D270="Audiobook",
              IFERROR(FIND("BIO",$B270)&gt;0,FALSE)),RIGHT(B270,LEN(B270)-3),
IF(D270="Juvenile Large Type","J "&amp;RIGHT(B270,LEN(B270)-11),
IF(D270="Teen Large Type","TEEN "&amp;RIGHT(B270,LEN(B270)-14),
IF(D270="Reference",RIGHT(B270,LEN(B270)-4),
IF(D270="DVD Educational",RIGHT(B270,LEN(B270)-7),
IF(D270="Juvenile DVD Educational",RIGHT(B270,LEN(B270)-9),
B270)))))))))))))))))</f>
        <v/>
      </c>
    </row>
    <row r="271" spans="1:8" ht="27" customHeight="1" x14ac:dyDescent="0.25">
      <c r="A271" s="10" t="str">
        <f ca="1">TEXT( INDIRECT( ADDRESS( ROW() + Row_Offset, INDIRECT( "Column_Number_" &amp; A$1), 4,1, tabname) ), "")</f>
        <v/>
      </c>
      <c r="B271" s="10" t="str">
        <f ca="1">TEXT(  IFERROR( VLOOKUP( $D271, CollName_Simplifier_Table[], 2, FALSE),"") &amp;
        INDIRECT( ADDRESS( ROW() + Row_Offset, INDIRECT( "Column_Number_" &amp; $B$1), 4,1, tabname) ), "")</f>
        <v/>
      </c>
      <c r="C271" s="10" t="str">
        <f ca="1">TEXT( INDIRECT( ADDRESS( ROW() + Row_Offset, INDIRECT( "Column_Number_" &amp; C$1), 4,1, tabname) ), "")</f>
        <v/>
      </c>
      <c r="D271" s="10" t="str">
        <f ca="1">TEXT( INDIRECT( ADDRESS( ROW() + Row_Offset, INDIRECT( "Column_Number_" &amp; D$1), 4,1, tabname) ), "")</f>
        <v/>
      </c>
      <c r="E271" s="10" t="str">
        <f ca="1">TEXT( INDIRECT( ADDRESS( ROW() + Row_Offset, INDIRECT( "Column_Number_" &amp; E$1), 4,1, tabname) ), "####")</f>
        <v/>
      </c>
      <c r="F271" s="15"/>
      <c r="G271" s="21" t="str">
        <f ca="1">IFERROR(INDEX(Rank_Table[],MATCH($D271&amp;$A271,Table4[Join],0)),"")</f>
        <v/>
      </c>
      <c r="H271" s="11" t="str">
        <f ca="1">IF(AND(D271="Juvenile Audiobook",LEFT(B271,8)="J CD BIO"),RIGHT(B271,LEN(B271)-9),
IF(AND(D271="Juvenile Audiobook",LEFT(B271,8)="J CD FIC"),B271,
IF(D271="Juvenile Audiobook",RIGHT(B271,LEN(B271)-5),
IF(AND(D271="Teen Audiobook",LEFT(B271,11)="TEEN CD BIO"),RIGHT(B271,LEN(B271)-12),
IF(AND(D271="Teen Audiobook",LEFT(B271,11)="TEEN CD FIC"),B271,
IF(D271="Juvenile Audiobook",RIGHT(B271,LEN(B271)-8),
IF(D271="Juvenile Nonfiction",RIGHT(B271,LEN(B271)-2),
IF(D271="Teen Nonfiction",RIGHT(B271,LEN(B271)-5),
IF(AND(D271="Audiobook",
              NOT(OR(Contains($B271,"CD BIO"),Contains($B271,"CD FIC")))),RIGHT(B271,LEN(B271)-3),
IF(D271="Juvenile Biography",RIGHT(B271,LEN(B271)-2),
IF(D271="Teen Biography",RIGHT(B271,LEN(B271)-5),
IF(AND(D271="Audiobook",
              IFERROR(FIND("BIO",$B271)&gt;0,FALSE)),RIGHT(B271,LEN(B271)-3),
IF(D271="Juvenile Large Type","J "&amp;RIGHT(B271,LEN(B271)-11),
IF(D271="Teen Large Type","TEEN "&amp;RIGHT(B271,LEN(B271)-14),
IF(D271="Reference",RIGHT(B271,LEN(B271)-4),
IF(D271="DVD Educational",RIGHT(B271,LEN(B271)-7),
IF(D271="Juvenile DVD Educational",RIGHT(B271,LEN(B271)-9),
B271)))))))))))))))))</f>
        <v/>
      </c>
    </row>
    <row r="272" spans="1:8" ht="27" customHeight="1" x14ac:dyDescent="0.25">
      <c r="A272" s="10" t="str">
        <f ca="1">TEXT( INDIRECT( ADDRESS( ROW() + Row_Offset, INDIRECT( "Column_Number_" &amp; A$1), 4,1, tabname) ), "")</f>
        <v/>
      </c>
      <c r="B272" s="10" t="str">
        <f ca="1">TEXT(  IFERROR( VLOOKUP( $D272, CollName_Simplifier_Table[], 2, FALSE),"") &amp;
        INDIRECT( ADDRESS( ROW() + Row_Offset, INDIRECT( "Column_Number_" &amp; $B$1), 4,1, tabname) ), "")</f>
        <v/>
      </c>
      <c r="C272" s="10" t="str">
        <f ca="1">TEXT( INDIRECT( ADDRESS( ROW() + Row_Offset, INDIRECT( "Column_Number_" &amp; C$1), 4,1, tabname) ), "")</f>
        <v/>
      </c>
      <c r="D272" s="10" t="str">
        <f ca="1">TEXT( INDIRECT( ADDRESS( ROW() + Row_Offset, INDIRECT( "Column_Number_" &amp; D$1), 4,1, tabname) ), "")</f>
        <v/>
      </c>
      <c r="E272" s="10" t="str">
        <f ca="1">TEXT( INDIRECT( ADDRESS( ROW() + Row_Offset, INDIRECT( "Column_Number_" &amp; E$1), 4,1, tabname) ), "####")</f>
        <v/>
      </c>
      <c r="F272" s="15"/>
      <c r="G272" s="21" t="str">
        <f ca="1">IFERROR(INDEX(Rank_Table[],MATCH($D272&amp;$A272,Table4[Join],0)),"")</f>
        <v/>
      </c>
      <c r="H272" s="11" t="str">
        <f ca="1">IF(AND(D272="Juvenile Audiobook",LEFT(B272,8)="J CD BIO"),RIGHT(B272,LEN(B272)-9),
IF(AND(D272="Juvenile Audiobook",LEFT(B272,8)="J CD FIC"),B272,
IF(D272="Juvenile Audiobook",RIGHT(B272,LEN(B272)-5),
IF(AND(D272="Teen Audiobook",LEFT(B272,11)="TEEN CD BIO"),RIGHT(B272,LEN(B272)-12),
IF(AND(D272="Teen Audiobook",LEFT(B272,11)="TEEN CD FIC"),B272,
IF(D272="Juvenile Audiobook",RIGHT(B272,LEN(B272)-8),
IF(D272="Juvenile Nonfiction",RIGHT(B272,LEN(B272)-2),
IF(D272="Teen Nonfiction",RIGHT(B272,LEN(B272)-5),
IF(AND(D272="Audiobook",
              NOT(OR(Contains($B272,"CD BIO"),Contains($B272,"CD FIC")))),RIGHT(B272,LEN(B272)-3),
IF(D272="Juvenile Biography",RIGHT(B272,LEN(B272)-2),
IF(D272="Teen Biography",RIGHT(B272,LEN(B272)-5),
IF(AND(D272="Audiobook",
              IFERROR(FIND("BIO",$B272)&gt;0,FALSE)),RIGHT(B272,LEN(B272)-3),
IF(D272="Juvenile Large Type","J "&amp;RIGHT(B272,LEN(B272)-11),
IF(D272="Teen Large Type","TEEN "&amp;RIGHT(B272,LEN(B272)-14),
IF(D272="Reference",RIGHT(B272,LEN(B272)-4),
IF(D272="DVD Educational",RIGHT(B272,LEN(B272)-7),
IF(D272="Juvenile DVD Educational",RIGHT(B272,LEN(B272)-9),
B272)))))))))))))))))</f>
        <v/>
      </c>
    </row>
    <row r="273" spans="1:8" ht="27" customHeight="1" x14ac:dyDescent="0.25">
      <c r="A273" s="10" t="str">
        <f ca="1">TEXT( INDIRECT( ADDRESS( ROW() + Row_Offset, INDIRECT( "Column_Number_" &amp; A$1), 4,1, tabname) ), "")</f>
        <v/>
      </c>
      <c r="B273" s="10" t="str">
        <f ca="1">TEXT(  IFERROR( VLOOKUP( $D273, CollName_Simplifier_Table[], 2, FALSE),"") &amp;
        INDIRECT( ADDRESS( ROW() + Row_Offset, INDIRECT( "Column_Number_" &amp; $B$1), 4,1, tabname) ), "")</f>
        <v/>
      </c>
      <c r="C273" s="10" t="str">
        <f ca="1">TEXT( INDIRECT( ADDRESS( ROW() + Row_Offset, INDIRECT( "Column_Number_" &amp; C$1), 4,1, tabname) ), "")</f>
        <v/>
      </c>
      <c r="D273" s="10" t="str">
        <f ca="1">TEXT( INDIRECT( ADDRESS( ROW() + Row_Offset, INDIRECT( "Column_Number_" &amp; D$1), 4,1, tabname) ), "")</f>
        <v/>
      </c>
      <c r="E273" s="10" t="str">
        <f ca="1">TEXT( INDIRECT( ADDRESS( ROW() + Row_Offset, INDIRECT( "Column_Number_" &amp; E$1), 4,1, tabname) ), "####")</f>
        <v/>
      </c>
      <c r="F273" s="15"/>
      <c r="G273" s="21" t="str">
        <f ca="1">IFERROR(INDEX(Rank_Table[],MATCH($D273&amp;$A273,Table4[Join],0)),"")</f>
        <v/>
      </c>
      <c r="H273" s="11" t="str">
        <f ca="1">IF(AND(D273="Juvenile Audiobook",LEFT(B273,8)="J CD BIO"),RIGHT(B273,LEN(B273)-9),
IF(AND(D273="Juvenile Audiobook",LEFT(B273,8)="J CD FIC"),B273,
IF(D273="Juvenile Audiobook",RIGHT(B273,LEN(B273)-5),
IF(AND(D273="Teen Audiobook",LEFT(B273,11)="TEEN CD BIO"),RIGHT(B273,LEN(B273)-12),
IF(AND(D273="Teen Audiobook",LEFT(B273,11)="TEEN CD FIC"),B273,
IF(D273="Juvenile Audiobook",RIGHT(B273,LEN(B273)-8),
IF(D273="Juvenile Nonfiction",RIGHT(B273,LEN(B273)-2),
IF(D273="Teen Nonfiction",RIGHT(B273,LEN(B273)-5),
IF(AND(D273="Audiobook",
              NOT(OR(Contains($B273,"CD BIO"),Contains($B273,"CD FIC")))),RIGHT(B273,LEN(B273)-3),
IF(D273="Juvenile Biography",RIGHT(B273,LEN(B273)-2),
IF(D273="Teen Biography",RIGHT(B273,LEN(B273)-5),
IF(AND(D273="Audiobook",
              IFERROR(FIND("BIO",$B273)&gt;0,FALSE)),RIGHT(B273,LEN(B273)-3),
IF(D273="Juvenile Large Type","J "&amp;RIGHT(B273,LEN(B273)-11),
IF(D273="Teen Large Type","TEEN "&amp;RIGHT(B273,LEN(B273)-14),
IF(D273="Reference",RIGHT(B273,LEN(B273)-4),
IF(D273="DVD Educational",RIGHT(B273,LEN(B273)-7),
IF(D273="Juvenile DVD Educational",RIGHT(B273,LEN(B273)-9),
B273)))))))))))))))))</f>
        <v/>
      </c>
    </row>
    <row r="274" spans="1:8" ht="27" customHeight="1" x14ac:dyDescent="0.25">
      <c r="A274" s="10" t="str">
        <f ca="1">TEXT( INDIRECT( ADDRESS( ROW() + Row_Offset, INDIRECT( "Column_Number_" &amp; A$1), 4,1, tabname) ), "")</f>
        <v/>
      </c>
      <c r="B274" s="10" t="str">
        <f ca="1">TEXT(  IFERROR( VLOOKUP( $D274, CollName_Simplifier_Table[], 2, FALSE),"") &amp;
        INDIRECT( ADDRESS( ROW() + Row_Offset, INDIRECT( "Column_Number_" &amp; $B$1), 4,1, tabname) ), "")</f>
        <v/>
      </c>
      <c r="C274" s="10" t="str">
        <f ca="1">TEXT( INDIRECT( ADDRESS( ROW() + Row_Offset, INDIRECT( "Column_Number_" &amp; C$1), 4,1, tabname) ), "")</f>
        <v/>
      </c>
      <c r="D274" s="10" t="str">
        <f ca="1">TEXT( INDIRECT( ADDRESS( ROW() + Row_Offset, INDIRECT( "Column_Number_" &amp; D$1), 4,1, tabname) ), "")</f>
        <v/>
      </c>
      <c r="E274" s="10" t="str">
        <f ca="1">TEXT( INDIRECT( ADDRESS( ROW() + Row_Offset, INDIRECT( "Column_Number_" &amp; E$1), 4,1, tabname) ), "####")</f>
        <v/>
      </c>
      <c r="F274" s="15"/>
      <c r="G274" s="21" t="str">
        <f ca="1">IFERROR(INDEX(Rank_Table[],MATCH($D274&amp;$A274,Table4[Join],0)),"")</f>
        <v/>
      </c>
      <c r="H274" s="11" t="str">
        <f ca="1">IF(AND(D274="Juvenile Audiobook",LEFT(B274,8)="J CD BIO"),RIGHT(B274,LEN(B274)-9),
IF(AND(D274="Juvenile Audiobook",LEFT(B274,8)="J CD FIC"),B274,
IF(D274="Juvenile Audiobook",RIGHT(B274,LEN(B274)-5),
IF(AND(D274="Teen Audiobook",LEFT(B274,11)="TEEN CD BIO"),RIGHT(B274,LEN(B274)-12),
IF(AND(D274="Teen Audiobook",LEFT(B274,11)="TEEN CD FIC"),B274,
IF(D274="Juvenile Audiobook",RIGHT(B274,LEN(B274)-8),
IF(D274="Juvenile Nonfiction",RIGHT(B274,LEN(B274)-2),
IF(D274="Teen Nonfiction",RIGHT(B274,LEN(B274)-5),
IF(AND(D274="Audiobook",
              NOT(OR(Contains($B274,"CD BIO"),Contains($B274,"CD FIC")))),RIGHT(B274,LEN(B274)-3),
IF(D274="Juvenile Biography",RIGHT(B274,LEN(B274)-2),
IF(D274="Teen Biography",RIGHT(B274,LEN(B274)-5),
IF(AND(D274="Audiobook",
              IFERROR(FIND("BIO",$B274)&gt;0,FALSE)),RIGHT(B274,LEN(B274)-3),
IF(D274="Juvenile Large Type","J "&amp;RIGHT(B274,LEN(B274)-11),
IF(D274="Teen Large Type","TEEN "&amp;RIGHT(B274,LEN(B274)-14),
IF(D274="Reference",RIGHT(B274,LEN(B274)-4),
IF(D274="DVD Educational",RIGHT(B274,LEN(B274)-7),
IF(D274="Juvenile DVD Educational",RIGHT(B274,LEN(B274)-9),
B274)))))))))))))))))</f>
        <v/>
      </c>
    </row>
    <row r="275" spans="1:8" ht="27" customHeight="1" x14ac:dyDescent="0.25">
      <c r="A275" s="10" t="str">
        <f ca="1">TEXT( INDIRECT( ADDRESS( ROW() + Row_Offset, INDIRECT( "Column_Number_" &amp; A$1), 4,1, tabname) ), "")</f>
        <v/>
      </c>
      <c r="B275" s="10" t="str">
        <f ca="1">TEXT(  IFERROR( VLOOKUP( $D275, CollName_Simplifier_Table[], 2, FALSE),"") &amp;
        INDIRECT( ADDRESS( ROW() + Row_Offset, INDIRECT( "Column_Number_" &amp; $B$1), 4,1, tabname) ), "")</f>
        <v/>
      </c>
      <c r="C275" s="10" t="str">
        <f ca="1">TEXT( INDIRECT( ADDRESS( ROW() + Row_Offset, INDIRECT( "Column_Number_" &amp; C$1), 4,1, tabname) ), "")</f>
        <v/>
      </c>
      <c r="D275" s="10" t="str">
        <f ca="1">TEXT( INDIRECT( ADDRESS( ROW() + Row_Offset, INDIRECT( "Column_Number_" &amp; D$1), 4,1, tabname) ), "")</f>
        <v/>
      </c>
      <c r="E275" s="10" t="str">
        <f ca="1">TEXT( INDIRECT( ADDRESS( ROW() + Row_Offset, INDIRECT( "Column_Number_" &amp; E$1), 4,1, tabname) ), "####")</f>
        <v/>
      </c>
      <c r="F275" s="15"/>
      <c r="G275" s="21" t="str">
        <f ca="1">IFERROR(INDEX(Rank_Table[],MATCH($D275&amp;$A275,Table4[Join],0)),"")</f>
        <v/>
      </c>
      <c r="H275" s="11" t="str">
        <f ca="1">IF(AND(D275="Juvenile Audiobook",LEFT(B275,8)="J CD BIO"),RIGHT(B275,LEN(B275)-9),
IF(AND(D275="Juvenile Audiobook",LEFT(B275,8)="J CD FIC"),B275,
IF(D275="Juvenile Audiobook",RIGHT(B275,LEN(B275)-5),
IF(AND(D275="Teen Audiobook",LEFT(B275,11)="TEEN CD BIO"),RIGHT(B275,LEN(B275)-12),
IF(AND(D275="Teen Audiobook",LEFT(B275,11)="TEEN CD FIC"),B275,
IF(D275="Juvenile Audiobook",RIGHT(B275,LEN(B275)-8),
IF(D275="Juvenile Nonfiction",RIGHT(B275,LEN(B275)-2),
IF(D275="Teen Nonfiction",RIGHT(B275,LEN(B275)-5),
IF(AND(D275="Audiobook",
              NOT(OR(Contains($B275,"CD BIO"),Contains($B275,"CD FIC")))),RIGHT(B275,LEN(B275)-3),
IF(D275="Juvenile Biography",RIGHT(B275,LEN(B275)-2),
IF(D275="Teen Biography",RIGHT(B275,LEN(B275)-5),
IF(AND(D275="Audiobook",
              IFERROR(FIND("BIO",$B275)&gt;0,FALSE)),RIGHT(B275,LEN(B275)-3),
IF(D275="Juvenile Large Type","J "&amp;RIGHT(B275,LEN(B275)-11),
IF(D275="Teen Large Type","TEEN "&amp;RIGHT(B275,LEN(B275)-14),
IF(D275="Reference",RIGHT(B275,LEN(B275)-4),
IF(D275="DVD Educational",RIGHT(B275,LEN(B275)-7),
IF(D275="Juvenile DVD Educational",RIGHT(B275,LEN(B275)-9),
B275)))))))))))))))))</f>
        <v/>
      </c>
    </row>
    <row r="276" spans="1:8" ht="27" customHeight="1" x14ac:dyDescent="0.25">
      <c r="A276" s="10" t="str">
        <f ca="1">TEXT( INDIRECT( ADDRESS( ROW() + Row_Offset, INDIRECT( "Column_Number_" &amp; A$1), 4,1, tabname) ), "")</f>
        <v/>
      </c>
      <c r="B276" s="10" t="str">
        <f ca="1">TEXT(  IFERROR( VLOOKUP( $D276, CollName_Simplifier_Table[], 2, FALSE),"") &amp;
        INDIRECT( ADDRESS( ROW() + Row_Offset, INDIRECT( "Column_Number_" &amp; $B$1), 4,1, tabname) ), "")</f>
        <v/>
      </c>
      <c r="C276" s="10" t="str">
        <f ca="1">TEXT( INDIRECT( ADDRESS( ROW() + Row_Offset, INDIRECT( "Column_Number_" &amp; C$1), 4,1, tabname) ), "")</f>
        <v/>
      </c>
      <c r="D276" s="10" t="str">
        <f ca="1">TEXT( INDIRECT( ADDRESS( ROW() + Row_Offset, INDIRECT( "Column_Number_" &amp; D$1), 4,1, tabname) ), "")</f>
        <v/>
      </c>
      <c r="E276" s="10" t="str">
        <f ca="1">TEXT( INDIRECT( ADDRESS( ROW() + Row_Offset, INDIRECT( "Column_Number_" &amp; E$1), 4,1, tabname) ), "####")</f>
        <v/>
      </c>
      <c r="F276" s="15"/>
      <c r="G276" s="21" t="str">
        <f ca="1">IFERROR(INDEX(Rank_Table[],MATCH($D276&amp;$A276,Table4[Join],0)),"")</f>
        <v/>
      </c>
      <c r="H276" s="11" t="str">
        <f ca="1">IF(AND(D276="Juvenile Audiobook",LEFT(B276,8)="J CD BIO"),RIGHT(B276,LEN(B276)-9),
IF(AND(D276="Juvenile Audiobook",LEFT(B276,8)="J CD FIC"),B276,
IF(D276="Juvenile Audiobook",RIGHT(B276,LEN(B276)-5),
IF(AND(D276="Teen Audiobook",LEFT(B276,11)="TEEN CD BIO"),RIGHT(B276,LEN(B276)-12),
IF(AND(D276="Teen Audiobook",LEFT(B276,11)="TEEN CD FIC"),B276,
IF(D276="Juvenile Audiobook",RIGHT(B276,LEN(B276)-8),
IF(D276="Juvenile Nonfiction",RIGHT(B276,LEN(B276)-2),
IF(D276="Teen Nonfiction",RIGHT(B276,LEN(B276)-5),
IF(AND(D276="Audiobook",
              NOT(OR(Contains($B276,"CD BIO"),Contains($B276,"CD FIC")))),RIGHT(B276,LEN(B276)-3),
IF(D276="Juvenile Biography",RIGHT(B276,LEN(B276)-2),
IF(D276="Teen Biography",RIGHT(B276,LEN(B276)-5),
IF(AND(D276="Audiobook",
              IFERROR(FIND("BIO",$B276)&gt;0,FALSE)),RIGHT(B276,LEN(B276)-3),
IF(D276="Juvenile Large Type","J "&amp;RIGHT(B276,LEN(B276)-11),
IF(D276="Teen Large Type","TEEN "&amp;RIGHT(B276,LEN(B276)-14),
IF(D276="Reference",RIGHT(B276,LEN(B276)-4),
IF(D276="DVD Educational",RIGHT(B276,LEN(B276)-7),
IF(D276="Juvenile DVD Educational",RIGHT(B276,LEN(B276)-9),
B276)))))))))))))))))</f>
        <v/>
      </c>
    </row>
    <row r="277" spans="1:8" ht="27" customHeight="1" x14ac:dyDescent="0.25">
      <c r="A277" s="10" t="str">
        <f ca="1">TEXT( INDIRECT( ADDRESS( ROW() + Row_Offset, INDIRECT( "Column_Number_" &amp; A$1), 4,1, tabname) ), "")</f>
        <v/>
      </c>
      <c r="B277" s="10" t="str">
        <f ca="1">TEXT(  IFERROR( VLOOKUP( $D277, CollName_Simplifier_Table[], 2, FALSE),"") &amp;
        INDIRECT( ADDRESS( ROW() + Row_Offset, INDIRECT( "Column_Number_" &amp; $B$1), 4,1, tabname) ), "")</f>
        <v/>
      </c>
      <c r="C277" s="10" t="str">
        <f ca="1">TEXT( INDIRECT( ADDRESS( ROW() + Row_Offset, INDIRECT( "Column_Number_" &amp; C$1), 4,1, tabname) ), "")</f>
        <v/>
      </c>
      <c r="D277" s="10" t="str">
        <f ca="1">TEXT( INDIRECT( ADDRESS( ROW() + Row_Offset, INDIRECT( "Column_Number_" &amp; D$1), 4,1, tabname) ), "")</f>
        <v/>
      </c>
      <c r="E277" s="10" t="str">
        <f ca="1">TEXT( INDIRECT( ADDRESS( ROW() + Row_Offset, INDIRECT( "Column_Number_" &amp; E$1), 4,1, tabname) ), "####")</f>
        <v/>
      </c>
      <c r="F277" s="15"/>
      <c r="G277" s="21" t="str">
        <f ca="1">IFERROR(INDEX(Rank_Table[],MATCH($D277&amp;$A277,Table4[Join],0)),"")</f>
        <v/>
      </c>
      <c r="H277" s="11" t="str">
        <f ca="1">IF(AND(D277="Juvenile Audiobook",LEFT(B277,8)="J CD BIO"),RIGHT(B277,LEN(B277)-9),
IF(AND(D277="Juvenile Audiobook",LEFT(B277,8)="J CD FIC"),B277,
IF(D277="Juvenile Audiobook",RIGHT(B277,LEN(B277)-5),
IF(AND(D277="Teen Audiobook",LEFT(B277,11)="TEEN CD BIO"),RIGHT(B277,LEN(B277)-12),
IF(AND(D277="Teen Audiobook",LEFT(B277,11)="TEEN CD FIC"),B277,
IF(D277="Juvenile Audiobook",RIGHT(B277,LEN(B277)-8),
IF(D277="Juvenile Nonfiction",RIGHT(B277,LEN(B277)-2),
IF(D277="Teen Nonfiction",RIGHT(B277,LEN(B277)-5),
IF(AND(D277="Audiobook",
              NOT(OR(Contains($B277,"CD BIO"),Contains($B277,"CD FIC")))),RIGHT(B277,LEN(B277)-3),
IF(D277="Juvenile Biography",RIGHT(B277,LEN(B277)-2),
IF(D277="Teen Biography",RIGHT(B277,LEN(B277)-5),
IF(AND(D277="Audiobook",
              IFERROR(FIND("BIO",$B277)&gt;0,FALSE)),RIGHT(B277,LEN(B277)-3),
IF(D277="Juvenile Large Type","J "&amp;RIGHT(B277,LEN(B277)-11),
IF(D277="Teen Large Type","TEEN "&amp;RIGHT(B277,LEN(B277)-14),
IF(D277="Reference",RIGHT(B277,LEN(B277)-4),
IF(D277="DVD Educational",RIGHT(B277,LEN(B277)-7),
IF(D277="Juvenile DVD Educational",RIGHT(B277,LEN(B277)-9),
B277)))))))))))))))))</f>
        <v/>
      </c>
    </row>
    <row r="278" spans="1:8" ht="27" customHeight="1" x14ac:dyDescent="0.25">
      <c r="A278" s="10" t="str">
        <f ca="1">TEXT( INDIRECT( ADDRESS( ROW() + Row_Offset, INDIRECT( "Column_Number_" &amp; A$1), 4,1, tabname) ), "")</f>
        <v/>
      </c>
      <c r="B278" s="10" t="str">
        <f ca="1">TEXT(  IFERROR( VLOOKUP( $D278, CollName_Simplifier_Table[], 2, FALSE),"") &amp;
        INDIRECT( ADDRESS( ROW() + Row_Offset, INDIRECT( "Column_Number_" &amp; $B$1), 4,1, tabname) ), "")</f>
        <v/>
      </c>
      <c r="C278" s="10" t="str">
        <f ca="1">TEXT( INDIRECT( ADDRESS( ROW() + Row_Offset, INDIRECT( "Column_Number_" &amp; C$1), 4,1, tabname) ), "")</f>
        <v/>
      </c>
      <c r="D278" s="10" t="str">
        <f ca="1">TEXT( INDIRECT( ADDRESS( ROW() + Row_Offset, INDIRECT( "Column_Number_" &amp; D$1), 4,1, tabname) ), "")</f>
        <v/>
      </c>
      <c r="E278" s="10" t="str">
        <f ca="1">TEXT( INDIRECT( ADDRESS( ROW() + Row_Offset, INDIRECT( "Column_Number_" &amp; E$1), 4,1, tabname) ), "####")</f>
        <v/>
      </c>
      <c r="F278" s="15"/>
      <c r="G278" s="21" t="str">
        <f ca="1">IFERROR(INDEX(Rank_Table[],MATCH($D278&amp;$A278,Table4[Join],0)),"")</f>
        <v/>
      </c>
      <c r="H278" s="11" t="str">
        <f ca="1">IF(AND(D278="Juvenile Audiobook",LEFT(B278,8)="J CD BIO"),RIGHT(B278,LEN(B278)-9),
IF(AND(D278="Juvenile Audiobook",LEFT(B278,8)="J CD FIC"),B278,
IF(D278="Juvenile Audiobook",RIGHT(B278,LEN(B278)-5),
IF(AND(D278="Teen Audiobook",LEFT(B278,11)="TEEN CD BIO"),RIGHT(B278,LEN(B278)-12),
IF(AND(D278="Teen Audiobook",LEFT(B278,11)="TEEN CD FIC"),B278,
IF(D278="Juvenile Audiobook",RIGHT(B278,LEN(B278)-8),
IF(D278="Juvenile Nonfiction",RIGHT(B278,LEN(B278)-2),
IF(D278="Teen Nonfiction",RIGHT(B278,LEN(B278)-5),
IF(AND(D278="Audiobook",
              NOT(OR(Contains($B278,"CD BIO"),Contains($B278,"CD FIC")))),RIGHT(B278,LEN(B278)-3),
IF(D278="Juvenile Biography",RIGHT(B278,LEN(B278)-2),
IF(D278="Teen Biography",RIGHT(B278,LEN(B278)-5),
IF(AND(D278="Audiobook",
              IFERROR(FIND("BIO",$B278)&gt;0,FALSE)),RIGHT(B278,LEN(B278)-3),
IF(D278="Juvenile Large Type","J "&amp;RIGHT(B278,LEN(B278)-11),
IF(D278="Teen Large Type","TEEN "&amp;RIGHT(B278,LEN(B278)-14),
IF(D278="Reference",RIGHT(B278,LEN(B278)-4),
IF(D278="DVD Educational",RIGHT(B278,LEN(B278)-7),
IF(D278="Juvenile DVD Educational",RIGHT(B278,LEN(B278)-9),
B278)))))))))))))))))</f>
        <v/>
      </c>
    </row>
    <row r="279" spans="1:8" ht="27" customHeight="1" x14ac:dyDescent="0.25">
      <c r="A279" s="10" t="str">
        <f ca="1">TEXT( INDIRECT( ADDRESS( ROW() + Row_Offset, INDIRECT( "Column_Number_" &amp; A$1), 4,1, tabname) ), "")</f>
        <v/>
      </c>
      <c r="B279" s="10" t="str">
        <f ca="1">TEXT(  IFERROR( VLOOKUP( $D279, CollName_Simplifier_Table[], 2, FALSE),"") &amp;
        INDIRECT( ADDRESS( ROW() + Row_Offset, INDIRECT( "Column_Number_" &amp; $B$1), 4,1, tabname) ), "")</f>
        <v/>
      </c>
      <c r="C279" s="10" t="str">
        <f ca="1">TEXT( INDIRECT( ADDRESS( ROW() + Row_Offset, INDIRECT( "Column_Number_" &amp; C$1), 4,1, tabname) ), "")</f>
        <v/>
      </c>
      <c r="D279" s="10" t="str">
        <f ca="1">TEXT( INDIRECT( ADDRESS( ROW() + Row_Offset, INDIRECT( "Column_Number_" &amp; D$1), 4,1, tabname) ), "")</f>
        <v/>
      </c>
      <c r="E279" s="10" t="str">
        <f ca="1">TEXT( INDIRECT( ADDRESS( ROW() + Row_Offset, INDIRECT( "Column_Number_" &amp; E$1), 4,1, tabname) ), "####")</f>
        <v/>
      </c>
      <c r="F279" s="15"/>
      <c r="G279" s="21" t="str">
        <f ca="1">IFERROR(INDEX(Rank_Table[],MATCH($D279&amp;$A279,Table4[Join],0)),"")</f>
        <v/>
      </c>
      <c r="H279" s="11" t="str">
        <f ca="1">IF(AND(D279="Juvenile Audiobook",LEFT(B279,8)="J CD BIO"),RIGHT(B279,LEN(B279)-9),
IF(AND(D279="Juvenile Audiobook",LEFT(B279,8)="J CD FIC"),B279,
IF(D279="Juvenile Audiobook",RIGHT(B279,LEN(B279)-5),
IF(AND(D279="Teen Audiobook",LEFT(B279,11)="TEEN CD BIO"),RIGHT(B279,LEN(B279)-12),
IF(AND(D279="Teen Audiobook",LEFT(B279,11)="TEEN CD FIC"),B279,
IF(D279="Juvenile Audiobook",RIGHT(B279,LEN(B279)-8),
IF(D279="Juvenile Nonfiction",RIGHT(B279,LEN(B279)-2),
IF(D279="Teen Nonfiction",RIGHT(B279,LEN(B279)-5),
IF(AND(D279="Audiobook",
              NOT(OR(Contains($B279,"CD BIO"),Contains($B279,"CD FIC")))),RIGHT(B279,LEN(B279)-3),
IF(D279="Juvenile Biography",RIGHT(B279,LEN(B279)-2),
IF(D279="Teen Biography",RIGHT(B279,LEN(B279)-5),
IF(AND(D279="Audiobook",
              IFERROR(FIND("BIO",$B279)&gt;0,FALSE)),RIGHT(B279,LEN(B279)-3),
IF(D279="Juvenile Large Type","J "&amp;RIGHT(B279,LEN(B279)-11),
IF(D279="Teen Large Type","TEEN "&amp;RIGHT(B279,LEN(B279)-14),
IF(D279="Reference",RIGHT(B279,LEN(B279)-4),
IF(D279="DVD Educational",RIGHT(B279,LEN(B279)-7),
IF(D279="Juvenile DVD Educational",RIGHT(B279,LEN(B279)-9),
B279)))))))))))))))))</f>
        <v/>
      </c>
    </row>
    <row r="280" spans="1:8" ht="27" customHeight="1" x14ac:dyDescent="0.25">
      <c r="A280" s="10" t="str">
        <f ca="1">TEXT( INDIRECT( ADDRESS( ROW() + Row_Offset, INDIRECT( "Column_Number_" &amp; A$1), 4,1, tabname) ), "")</f>
        <v/>
      </c>
      <c r="B280" s="10" t="str">
        <f ca="1">TEXT(  IFERROR( VLOOKUP( $D280, CollName_Simplifier_Table[], 2, FALSE),"") &amp;
        INDIRECT( ADDRESS( ROW() + Row_Offset, INDIRECT( "Column_Number_" &amp; $B$1), 4,1, tabname) ), "")</f>
        <v/>
      </c>
      <c r="C280" s="10" t="str">
        <f ca="1">TEXT( INDIRECT( ADDRESS( ROW() + Row_Offset, INDIRECT( "Column_Number_" &amp; C$1), 4,1, tabname) ), "")</f>
        <v/>
      </c>
      <c r="D280" s="10" t="str">
        <f ca="1">TEXT( INDIRECT( ADDRESS( ROW() + Row_Offset, INDIRECT( "Column_Number_" &amp; D$1), 4,1, tabname) ), "")</f>
        <v/>
      </c>
      <c r="E280" s="10" t="str">
        <f ca="1">TEXT( INDIRECT( ADDRESS( ROW() + Row_Offset, INDIRECT( "Column_Number_" &amp; E$1), 4,1, tabname) ), "####")</f>
        <v/>
      </c>
      <c r="F280" s="15"/>
      <c r="G280" s="21" t="str">
        <f ca="1">IFERROR(INDEX(Rank_Table[],MATCH($D280&amp;$A280,Table4[Join],0)),"")</f>
        <v/>
      </c>
      <c r="H280" s="11" t="str">
        <f ca="1">IF(AND(D280="Juvenile Audiobook",LEFT(B280,8)="J CD BIO"),RIGHT(B280,LEN(B280)-9),
IF(AND(D280="Juvenile Audiobook",LEFT(B280,8)="J CD FIC"),B280,
IF(D280="Juvenile Audiobook",RIGHT(B280,LEN(B280)-5),
IF(AND(D280="Teen Audiobook",LEFT(B280,11)="TEEN CD BIO"),RIGHT(B280,LEN(B280)-12),
IF(AND(D280="Teen Audiobook",LEFT(B280,11)="TEEN CD FIC"),B280,
IF(D280="Juvenile Audiobook",RIGHT(B280,LEN(B280)-8),
IF(D280="Juvenile Nonfiction",RIGHT(B280,LEN(B280)-2),
IF(D280="Teen Nonfiction",RIGHT(B280,LEN(B280)-5),
IF(AND(D280="Audiobook",
              NOT(OR(Contains($B280,"CD BIO"),Contains($B280,"CD FIC")))),RIGHT(B280,LEN(B280)-3),
IF(D280="Juvenile Biography",RIGHT(B280,LEN(B280)-2),
IF(D280="Teen Biography",RIGHT(B280,LEN(B280)-5),
IF(AND(D280="Audiobook",
              IFERROR(FIND("BIO",$B280)&gt;0,FALSE)),RIGHT(B280,LEN(B280)-3),
IF(D280="Juvenile Large Type","J "&amp;RIGHT(B280,LEN(B280)-11),
IF(D280="Teen Large Type","TEEN "&amp;RIGHT(B280,LEN(B280)-14),
IF(D280="Reference",RIGHT(B280,LEN(B280)-4),
IF(D280="DVD Educational",RIGHT(B280,LEN(B280)-7),
IF(D280="Juvenile DVD Educational",RIGHT(B280,LEN(B280)-9),
B280)))))))))))))))))</f>
        <v/>
      </c>
    </row>
    <row r="281" spans="1:8" ht="27" customHeight="1" x14ac:dyDescent="0.25">
      <c r="A281" s="10" t="str">
        <f ca="1">TEXT( INDIRECT( ADDRESS( ROW() + Row_Offset, INDIRECT( "Column_Number_" &amp; A$1), 4,1, tabname) ), "")</f>
        <v/>
      </c>
      <c r="B281" s="10" t="str">
        <f ca="1">TEXT(  IFERROR( VLOOKUP( $D281, CollName_Simplifier_Table[], 2, FALSE),"") &amp;
        INDIRECT( ADDRESS( ROW() + Row_Offset, INDIRECT( "Column_Number_" &amp; $B$1), 4,1, tabname) ), "")</f>
        <v/>
      </c>
      <c r="C281" s="10" t="str">
        <f ca="1">TEXT( INDIRECT( ADDRESS( ROW() + Row_Offset, INDIRECT( "Column_Number_" &amp; C$1), 4,1, tabname) ), "")</f>
        <v/>
      </c>
      <c r="D281" s="10" t="str">
        <f ca="1">TEXT( INDIRECT( ADDRESS( ROW() + Row_Offset, INDIRECT( "Column_Number_" &amp; D$1), 4,1, tabname) ), "")</f>
        <v/>
      </c>
      <c r="E281" s="10" t="str">
        <f ca="1">TEXT( INDIRECT( ADDRESS( ROW() + Row_Offset, INDIRECT( "Column_Number_" &amp; E$1), 4,1, tabname) ), "####")</f>
        <v/>
      </c>
      <c r="F281" s="15"/>
      <c r="G281" s="21" t="str">
        <f ca="1">IFERROR(INDEX(Rank_Table[],MATCH($D281&amp;$A281,Table4[Join],0)),"")</f>
        <v/>
      </c>
      <c r="H281" s="11" t="str">
        <f ca="1">IF(AND(D281="Juvenile Audiobook",LEFT(B281,8)="J CD BIO"),RIGHT(B281,LEN(B281)-9),
IF(AND(D281="Juvenile Audiobook",LEFT(B281,8)="J CD FIC"),B281,
IF(D281="Juvenile Audiobook",RIGHT(B281,LEN(B281)-5),
IF(AND(D281="Teen Audiobook",LEFT(B281,11)="TEEN CD BIO"),RIGHT(B281,LEN(B281)-12),
IF(AND(D281="Teen Audiobook",LEFT(B281,11)="TEEN CD FIC"),B281,
IF(D281="Juvenile Audiobook",RIGHT(B281,LEN(B281)-8),
IF(D281="Juvenile Nonfiction",RIGHT(B281,LEN(B281)-2),
IF(D281="Teen Nonfiction",RIGHT(B281,LEN(B281)-5),
IF(AND(D281="Audiobook",
              NOT(OR(Contains($B281,"CD BIO"),Contains($B281,"CD FIC")))),RIGHT(B281,LEN(B281)-3),
IF(D281="Juvenile Biography",RIGHT(B281,LEN(B281)-2),
IF(D281="Teen Biography",RIGHT(B281,LEN(B281)-5),
IF(AND(D281="Audiobook",
              IFERROR(FIND("BIO",$B281)&gt;0,FALSE)),RIGHT(B281,LEN(B281)-3),
IF(D281="Juvenile Large Type","J "&amp;RIGHT(B281,LEN(B281)-11),
IF(D281="Teen Large Type","TEEN "&amp;RIGHT(B281,LEN(B281)-14),
IF(D281="Reference",RIGHT(B281,LEN(B281)-4),
IF(D281="DVD Educational",RIGHT(B281,LEN(B281)-7),
IF(D281="Juvenile DVD Educational",RIGHT(B281,LEN(B281)-9),
B281)))))))))))))))))</f>
        <v/>
      </c>
    </row>
    <row r="282" spans="1:8" ht="27" customHeight="1" x14ac:dyDescent="0.25">
      <c r="A282" s="10" t="str">
        <f ca="1">TEXT( INDIRECT( ADDRESS( ROW() + Row_Offset, INDIRECT( "Column_Number_" &amp; A$1), 4,1, tabname) ), "")</f>
        <v/>
      </c>
      <c r="B282" s="10" t="str">
        <f ca="1">TEXT(  IFERROR( VLOOKUP( $D282, CollName_Simplifier_Table[], 2, FALSE),"") &amp;
        INDIRECT( ADDRESS( ROW() + Row_Offset, INDIRECT( "Column_Number_" &amp; $B$1), 4,1, tabname) ), "")</f>
        <v/>
      </c>
      <c r="C282" s="10" t="str">
        <f ca="1">TEXT( INDIRECT( ADDRESS( ROW() + Row_Offset, INDIRECT( "Column_Number_" &amp; C$1), 4,1, tabname) ), "")</f>
        <v/>
      </c>
      <c r="D282" s="10" t="str">
        <f ca="1">TEXT( INDIRECT( ADDRESS( ROW() + Row_Offset, INDIRECT( "Column_Number_" &amp; D$1), 4,1, tabname) ), "")</f>
        <v/>
      </c>
      <c r="E282" s="10" t="str">
        <f ca="1">TEXT( INDIRECT( ADDRESS( ROW() + Row_Offset, INDIRECT( "Column_Number_" &amp; E$1), 4,1, tabname) ), "####")</f>
        <v/>
      </c>
      <c r="F282" s="15"/>
      <c r="G282" s="21" t="str">
        <f ca="1">IFERROR(INDEX(Rank_Table[],MATCH($D282&amp;$A282,Table4[Join],0)),"")</f>
        <v/>
      </c>
      <c r="H282" s="11" t="str">
        <f ca="1">IF(AND(D282="Juvenile Audiobook",LEFT(B282,8)="J CD BIO"),RIGHT(B282,LEN(B282)-9),
IF(AND(D282="Juvenile Audiobook",LEFT(B282,8)="J CD FIC"),B282,
IF(D282="Juvenile Audiobook",RIGHT(B282,LEN(B282)-5),
IF(AND(D282="Teen Audiobook",LEFT(B282,11)="TEEN CD BIO"),RIGHT(B282,LEN(B282)-12),
IF(AND(D282="Teen Audiobook",LEFT(B282,11)="TEEN CD FIC"),B282,
IF(D282="Juvenile Audiobook",RIGHT(B282,LEN(B282)-8),
IF(D282="Juvenile Nonfiction",RIGHT(B282,LEN(B282)-2),
IF(D282="Teen Nonfiction",RIGHT(B282,LEN(B282)-5),
IF(AND(D282="Audiobook",
              NOT(OR(Contains($B282,"CD BIO"),Contains($B282,"CD FIC")))),RIGHT(B282,LEN(B282)-3),
IF(D282="Juvenile Biography",RIGHT(B282,LEN(B282)-2),
IF(D282="Teen Biography",RIGHT(B282,LEN(B282)-5),
IF(AND(D282="Audiobook",
              IFERROR(FIND("BIO",$B282)&gt;0,FALSE)),RIGHT(B282,LEN(B282)-3),
IF(D282="Juvenile Large Type","J "&amp;RIGHT(B282,LEN(B282)-11),
IF(D282="Teen Large Type","TEEN "&amp;RIGHT(B282,LEN(B282)-14),
IF(D282="Reference",RIGHT(B282,LEN(B282)-4),
IF(D282="DVD Educational",RIGHT(B282,LEN(B282)-7),
IF(D282="Juvenile DVD Educational",RIGHT(B282,LEN(B282)-9),
B282)))))))))))))))))</f>
        <v/>
      </c>
    </row>
    <row r="283" spans="1:8" ht="27" customHeight="1" x14ac:dyDescent="0.25">
      <c r="A283" s="10" t="str">
        <f ca="1">TEXT( INDIRECT( ADDRESS( ROW() + Row_Offset, INDIRECT( "Column_Number_" &amp; A$1), 4,1, tabname) ), "")</f>
        <v/>
      </c>
      <c r="B283" s="10" t="str">
        <f ca="1">TEXT(  IFERROR( VLOOKUP( $D283, CollName_Simplifier_Table[], 2, FALSE),"") &amp;
        INDIRECT( ADDRESS( ROW() + Row_Offset, INDIRECT( "Column_Number_" &amp; $B$1), 4,1, tabname) ), "")</f>
        <v/>
      </c>
      <c r="C283" s="10" t="str">
        <f ca="1">TEXT( INDIRECT( ADDRESS( ROW() + Row_Offset, INDIRECT( "Column_Number_" &amp; C$1), 4,1, tabname) ), "")</f>
        <v/>
      </c>
      <c r="D283" s="10" t="str">
        <f ca="1">TEXT( INDIRECT( ADDRESS( ROW() + Row_Offset, INDIRECT( "Column_Number_" &amp; D$1), 4,1, tabname) ), "")</f>
        <v/>
      </c>
      <c r="E283" s="10" t="str">
        <f ca="1">TEXT( INDIRECT( ADDRESS( ROW() + Row_Offset, INDIRECT( "Column_Number_" &amp; E$1), 4,1, tabname) ), "####")</f>
        <v/>
      </c>
      <c r="F283" s="15"/>
      <c r="G283" s="21" t="str">
        <f ca="1">IFERROR(INDEX(Rank_Table[],MATCH($D283&amp;$A283,Table4[Join],0)),"")</f>
        <v/>
      </c>
      <c r="H283" s="11" t="str">
        <f ca="1">IF(AND(D283="Juvenile Audiobook",LEFT(B283,8)="J CD BIO"),RIGHT(B283,LEN(B283)-9),
IF(AND(D283="Juvenile Audiobook",LEFT(B283,8)="J CD FIC"),B283,
IF(D283="Juvenile Audiobook",RIGHT(B283,LEN(B283)-5),
IF(AND(D283="Teen Audiobook",LEFT(B283,11)="TEEN CD BIO"),RIGHT(B283,LEN(B283)-12),
IF(AND(D283="Teen Audiobook",LEFT(B283,11)="TEEN CD FIC"),B283,
IF(D283="Juvenile Audiobook",RIGHT(B283,LEN(B283)-8),
IF(D283="Juvenile Nonfiction",RIGHT(B283,LEN(B283)-2),
IF(D283="Teen Nonfiction",RIGHT(B283,LEN(B283)-5),
IF(AND(D283="Audiobook",
              NOT(OR(Contains($B283,"CD BIO"),Contains($B283,"CD FIC")))),RIGHT(B283,LEN(B283)-3),
IF(D283="Juvenile Biography",RIGHT(B283,LEN(B283)-2),
IF(D283="Teen Biography",RIGHT(B283,LEN(B283)-5),
IF(AND(D283="Audiobook",
              IFERROR(FIND("BIO",$B283)&gt;0,FALSE)),RIGHT(B283,LEN(B283)-3),
IF(D283="Juvenile Large Type","J "&amp;RIGHT(B283,LEN(B283)-11),
IF(D283="Teen Large Type","TEEN "&amp;RIGHT(B283,LEN(B283)-14),
IF(D283="Reference",RIGHT(B283,LEN(B283)-4),
IF(D283="DVD Educational",RIGHT(B283,LEN(B283)-7),
IF(D283="Juvenile DVD Educational",RIGHT(B283,LEN(B283)-9),
B283)))))))))))))))))</f>
        <v/>
      </c>
    </row>
    <row r="284" spans="1:8" ht="27" customHeight="1" x14ac:dyDescent="0.25">
      <c r="A284" s="10" t="str">
        <f ca="1">TEXT( INDIRECT( ADDRESS( ROW() + Row_Offset, INDIRECT( "Column_Number_" &amp; A$1), 4,1, tabname) ), "")</f>
        <v/>
      </c>
      <c r="B284" s="10" t="str">
        <f ca="1">TEXT(  IFERROR( VLOOKUP( $D284, CollName_Simplifier_Table[], 2, FALSE),"") &amp;
        INDIRECT( ADDRESS( ROW() + Row_Offset, INDIRECT( "Column_Number_" &amp; $B$1), 4,1, tabname) ), "")</f>
        <v/>
      </c>
      <c r="C284" s="10" t="str">
        <f ca="1">TEXT( INDIRECT( ADDRESS( ROW() + Row_Offset, INDIRECT( "Column_Number_" &amp; C$1), 4,1, tabname) ), "")</f>
        <v/>
      </c>
      <c r="D284" s="10" t="str">
        <f ca="1">TEXT( INDIRECT( ADDRESS( ROW() + Row_Offset, INDIRECT( "Column_Number_" &amp; D$1), 4,1, tabname) ), "")</f>
        <v/>
      </c>
      <c r="E284" s="10" t="str">
        <f ca="1">TEXT( INDIRECT( ADDRESS( ROW() + Row_Offset, INDIRECT( "Column_Number_" &amp; E$1), 4,1, tabname) ), "####")</f>
        <v/>
      </c>
      <c r="F284" s="15"/>
      <c r="G284" s="21" t="str">
        <f ca="1">IFERROR(INDEX(Rank_Table[],MATCH($D284&amp;$A284,Table4[Join],0)),"")</f>
        <v/>
      </c>
      <c r="H284" s="11" t="str">
        <f ca="1">IF(AND(D284="Juvenile Audiobook",LEFT(B284,8)="J CD BIO"),RIGHT(B284,LEN(B284)-9),
IF(AND(D284="Juvenile Audiobook",LEFT(B284,8)="J CD FIC"),B284,
IF(D284="Juvenile Audiobook",RIGHT(B284,LEN(B284)-5),
IF(AND(D284="Teen Audiobook",LEFT(B284,11)="TEEN CD BIO"),RIGHT(B284,LEN(B284)-12),
IF(AND(D284="Teen Audiobook",LEFT(B284,11)="TEEN CD FIC"),B284,
IF(D284="Juvenile Audiobook",RIGHT(B284,LEN(B284)-8),
IF(D284="Juvenile Nonfiction",RIGHT(B284,LEN(B284)-2),
IF(D284="Teen Nonfiction",RIGHT(B284,LEN(B284)-5),
IF(AND(D284="Audiobook",
              NOT(OR(Contains($B284,"CD BIO"),Contains($B284,"CD FIC")))),RIGHT(B284,LEN(B284)-3),
IF(D284="Juvenile Biography",RIGHT(B284,LEN(B284)-2),
IF(D284="Teen Biography",RIGHT(B284,LEN(B284)-5),
IF(AND(D284="Audiobook",
              IFERROR(FIND("BIO",$B284)&gt;0,FALSE)),RIGHT(B284,LEN(B284)-3),
IF(D284="Juvenile Large Type","J "&amp;RIGHT(B284,LEN(B284)-11),
IF(D284="Teen Large Type","TEEN "&amp;RIGHT(B284,LEN(B284)-14),
IF(D284="Reference",RIGHT(B284,LEN(B284)-4),
IF(D284="DVD Educational",RIGHT(B284,LEN(B284)-7),
IF(D284="Juvenile DVD Educational",RIGHT(B284,LEN(B284)-9),
B284)))))))))))))))))</f>
        <v/>
      </c>
    </row>
    <row r="285" spans="1:8" ht="27" customHeight="1" x14ac:dyDescent="0.25">
      <c r="A285" s="10" t="str">
        <f ca="1">TEXT( INDIRECT( ADDRESS( ROW() + Row_Offset, INDIRECT( "Column_Number_" &amp; A$1), 4,1, tabname) ), "")</f>
        <v/>
      </c>
      <c r="B285" s="10" t="str">
        <f ca="1">TEXT(  IFERROR( VLOOKUP( $D285, CollName_Simplifier_Table[], 2, FALSE),"") &amp;
        INDIRECT( ADDRESS( ROW() + Row_Offset, INDIRECT( "Column_Number_" &amp; $B$1), 4,1, tabname) ), "")</f>
        <v/>
      </c>
      <c r="C285" s="10" t="str">
        <f ca="1">TEXT( INDIRECT( ADDRESS( ROW() + Row_Offset, INDIRECT( "Column_Number_" &amp; C$1), 4,1, tabname) ), "")</f>
        <v/>
      </c>
      <c r="D285" s="10" t="str">
        <f ca="1">TEXT( INDIRECT( ADDRESS( ROW() + Row_Offset, INDIRECT( "Column_Number_" &amp; D$1), 4,1, tabname) ), "")</f>
        <v/>
      </c>
      <c r="E285" s="10" t="str">
        <f ca="1">TEXT( INDIRECT( ADDRESS( ROW() + Row_Offset, INDIRECT( "Column_Number_" &amp; E$1), 4,1, tabname) ), "####")</f>
        <v/>
      </c>
      <c r="F285" s="15"/>
      <c r="G285" s="21" t="str">
        <f ca="1">IFERROR(INDEX(Rank_Table[],MATCH($D285&amp;$A285,Table4[Join],0)),"")</f>
        <v/>
      </c>
      <c r="H285" s="11" t="str">
        <f ca="1">IF(AND(D285="Juvenile Audiobook",LEFT(B285,8)="J CD BIO"),RIGHT(B285,LEN(B285)-9),
IF(AND(D285="Juvenile Audiobook",LEFT(B285,8)="J CD FIC"),B285,
IF(D285="Juvenile Audiobook",RIGHT(B285,LEN(B285)-5),
IF(AND(D285="Teen Audiobook",LEFT(B285,11)="TEEN CD BIO"),RIGHT(B285,LEN(B285)-12),
IF(AND(D285="Teen Audiobook",LEFT(B285,11)="TEEN CD FIC"),B285,
IF(D285="Juvenile Audiobook",RIGHT(B285,LEN(B285)-8),
IF(D285="Juvenile Nonfiction",RIGHT(B285,LEN(B285)-2),
IF(D285="Teen Nonfiction",RIGHT(B285,LEN(B285)-5),
IF(AND(D285="Audiobook",
              NOT(OR(Contains($B285,"CD BIO"),Contains($B285,"CD FIC")))),RIGHT(B285,LEN(B285)-3),
IF(D285="Juvenile Biography",RIGHT(B285,LEN(B285)-2),
IF(D285="Teen Biography",RIGHT(B285,LEN(B285)-5),
IF(AND(D285="Audiobook",
              IFERROR(FIND("BIO",$B285)&gt;0,FALSE)),RIGHT(B285,LEN(B285)-3),
IF(D285="Juvenile Large Type","J "&amp;RIGHT(B285,LEN(B285)-11),
IF(D285="Teen Large Type","TEEN "&amp;RIGHT(B285,LEN(B285)-14),
IF(D285="Reference",RIGHT(B285,LEN(B285)-4),
IF(D285="DVD Educational",RIGHT(B285,LEN(B285)-7),
IF(D285="Juvenile DVD Educational",RIGHT(B285,LEN(B285)-9),
B285)))))))))))))))))</f>
        <v/>
      </c>
    </row>
    <row r="286" spans="1:8" ht="27" customHeight="1" x14ac:dyDescent="0.25">
      <c r="A286" s="10" t="str">
        <f ca="1">TEXT( INDIRECT( ADDRESS( ROW() + Row_Offset, INDIRECT( "Column_Number_" &amp; A$1), 4,1, tabname) ), "")</f>
        <v/>
      </c>
      <c r="B286" s="10" t="str">
        <f ca="1">TEXT(  IFERROR( VLOOKUP( $D286, CollName_Simplifier_Table[], 2, FALSE),"") &amp;
        INDIRECT( ADDRESS( ROW() + Row_Offset, INDIRECT( "Column_Number_" &amp; $B$1), 4,1, tabname) ), "")</f>
        <v/>
      </c>
      <c r="C286" s="10" t="str">
        <f ca="1">TEXT( INDIRECT( ADDRESS( ROW() + Row_Offset, INDIRECT( "Column_Number_" &amp; C$1), 4,1, tabname) ), "")</f>
        <v/>
      </c>
      <c r="D286" s="10" t="str">
        <f ca="1">TEXT( INDIRECT( ADDRESS( ROW() + Row_Offset, INDIRECT( "Column_Number_" &amp; D$1), 4,1, tabname) ), "")</f>
        <v/>
      </c>
      <c r="E286" s="10" t="str">
        <f ca="1">TEXT( INDIRECT( ADDRESS( ROW() + Row_Offset, INDIRECT( "Column_Number_" &amp; E$1), 4,1, tabname) ), "####")</f>
        <v/>
      </c>
      <c r="F286" s="15"/>
      <c r="G286" s="21" t="str">
        <f ca="1">IFERROR(INDEX(Rank_Table[],MATCH($D286&amp;$A286,Table4[Join],0)),"")</f>
        <v/>
      </c>
      <c r="H286" s="11" t="str">
        <f ca="1">IF(AND(D286="Juvenile Audiobook",LEFT(B286,8)="J CD BIO"),RIGHT(B286,LEN(B286)-9),
IF(AND(D286="Juvenile Audiobook",LEFT(B286,8)="J CD FIC"),B286,
IF(D286="Juvenile Audiobook",RIGHT(B286,LEN(B286)-5),
IF(AND(D286="Teen Audiobook",LEFT(B286,11)="TEEN CD BIO"),RIGHT(B286,LEN(B286)-12),
IF(AND(D286="Teen Audiobook",LEFT(B286,11)="TEEN CD FIC"),B286,
IF(D286="Juvenile Audiobook",RIGHT(B286,LEN(B286)-8),
IF(D286="Juvenile Nonfiction",RIGHT(B286,LEN(B286)-2),
IF(D286="Teen Nonfiction",RIGHT(B286,LEN(B286)-5),
IF(AND(D286="Audiobook",
              NOT(OR(Contains($B286,"CD BIO"),Contains($B286,"CD FIC")))),RIGHT(B286,LEN(B286)-3),
IF(D286="Juvenile Biography",RIGHT(B286,LEN(B286)-2),
IF(D286="Teen Biography",RIGHT(B286,LEN(B286)-5),
IF(AND(D286="Audiobook",
              IFERROR(FIND("BIO",$B286)&gt;0,FALSE)),RIGHT(B286,LEN(B286)-3),
IF(D286="Juvenile Large Type","J "&amp;RIGHT(B286,LEN(B286)-11),
IF(D286="Teen Large Type","TEEN "&amp;RIGHT(B286,LEN(B286)-14),
IF(D286="Reference",RIGHT(B286,LEN(B286)-4),
IF(D286="DVD Educational",RIGHT(B286,LEN(B286)-7),
IF(D286="Juvenile DVD Educational",RIGHT(B286,LEN(B286)-9),
B286)))))))))))))))))</f>
        <v/>
      </c>
    </row>
    <row r="287" spans="1:8" ht="27" customHeight="1" x14ac:dyDescent="0.25">
      <c r="A287" s="10" t="str">
        <f ca="1">TEXT( INDIRECT( ADDRESS( ROW() + Row_Offset, INDIRECT( "Column_Number_" &amp; A$1), 4,1, tabname) ), "")</f>
        <v/>
      </c>
      <c r="B287" s="10" t="str">
        <f ca="1">TEXT(  IFERROR( VLOOKUP( $D287, CollName_Simplifier_Table[], 2, FALSE),"") &amp;
        INDIRECT( ADDRESS( ROW() + Row_Offset, INDIRECT( "Column_Number_" &amp; $B$1), 4,1, tabname) ), "")</f>
        <v/>
      </c>
      <c r="C287" s="10" t="str">
        <f ca="1">TEXT( INDIRECT( ADDRESS( ROW() + Row_Offset, INDIRECT( "Column_Number_" &amp; C$1), 4,1, tabname) ), "")</f>
        <v/>
      </c>
      <c r="D287" s="10" t="str">
        <f ca="1">TEXT( INDIRECT( ADDRESS( ROW() + Row_Offset, INDIRECT( "Column_Number_" &amp; D$1), 4,1, tabname) ), "")</f>
        <v/>
      </c>
      <c r="E287" s="10" t="str">
        <f ca="1">TEXT( INDIRECT( ADDRESS( ROW() + Row_Offset, INDIRECT( "Column_Number_" &amp; E$1), 4,1, tabname) ), "####")</f>
        <v/>
      </c>
      <c r="F287" s="15"/>
      <c r="G287" s="21" t="str">
        <f ca="1">IFERROR(INDEX(Rank_Table[],MATCH($D287&amp;$A287,Table4[Join],0)),"")</f>
        <v/>
      </c>
      <c r="H287" s="11" t="str">
        <f ca="1">IF(AND(D287="Juvenile Audiobook",LEFT(B287,8)="J CD BIO"),RIGHT(B287,LEN(B287)-9),
IF(AND(D287="Juvenile Audiobook",LEFT(B287,8)="J CD FIC"),B287,
IF(D287="Juvenile Audiobook",RIGHT(B287,LEN(B287)-5),
IF(AND(D287="Teen Audiobook",LEFT(B287,11)="TEEN CD BIO"),RIGHT(B287,LEN(B287)-12),
IF(AND(D287="Teen Audiobook",LEFT(B287,11)="TEEN CD FIC"),B287,
IF(D287="Juvenile Audiobook",RIGHT(B287,LEN(B287)-8),
IF(D287="Juvenile Nonfiction",RIGHT(B287,LEN(B287)-2),
IF(D287="Teen Nonfiction",RIGHT(B287,LEN(B287)-5),
IF(AND(D287="Audiobook",
              NOT(OR(Contains($B287,"CD BIO"),Contains($B287,"CD FIC")))),RIGHT(B287,LEN(B287)-3),
IF(D287="Juvenile Biography",RIGHT(B287,LEN(B287)-2),
IF(D287="Teen Biography",RIGHT(B287,LEN(B287)-5),
IF(AND(D287="Audiobook",
              IFERROR(FIND("BIO",$B287)&gt;0,FALSE)),RIGHT(B287,LEN(B287)-3),
IF(D287="Juvenile Large Type","J "&amp;RIGHT(B287,LEN(B287)-11),
IF(D287="Teen Large Type","TEEN "&amp;RIGHT(B287,LEN(B287)-14),
IF(D287="Reference",RIGHT(B287,LEN(B287)-4),
IF(D287="DVD Educational",RIGHT(B287,LEN(B287)-7),
IF(D287="Juvenile DVD Educational",RIGHT(B287,LEN(B287)-9),
B287)))))))))))))))))</f>
        <v/>
      </c>
    </row>
    <row r="288" spans="1:8" ht="27" customHeight="1" x14ac:dyDescent="0.25">
      <c r="A288" s="10" t="str">
        <f ca="1">TEXT( INDIRECT( ADDRESS( ROW() + Row_Offset, INDIRECT( "Column_Number_" &amp; A$1), 4,1, tabname) ), "")</f>
        <v/>
      </c>
      <c r="B288" s="10" t="str">
        <f ca="1">TEXT(  IFERROR( VLOOKUP( $D288, CollName_Simplifier_Table[], 2, FALSE),"") &amp;
        INDIRECT( ADDRESS( ROW() + Row_Offset, INDIRECT( "Column_Number_" &amp; $B$1), 4,1, tabname) ), "")</f>
        <v/>
      </c>
      <c r="C288" s="10" t="str">
        <f ca="1">TEXT( INDIRECT( ADDRESS( ROW() + Row_Offset, INDIRECT( "Column_Number_" &amp; C$1), 4,1, tabname) ), "")</f>
        <v/>
      </c>
      <c r="D288" s="10" t="str">
        <f ca="1">TEXT( INDIRECT( ADDRESS( ROW() + Row_Offset, INDIRECT( "Column_Number_" &amp; D$1), 4,1, tabname) ), "")</f>
        <v/>
      </c>
      <c r="E288" s="10" t="str">
        <f ca="1">TEXT( INDIRECT( ADDRESS( ROW() + Row_Offset, INDIRECT( "Column_Number_" &amp; E$1), 4,1, tabname) ), "####")</f>
        <v/>
      </c>
      <c r="F288" s="15"/>
      <c r="G288" s="21" t="str">
        <f ca="1">IFERROR(INDEX(Rank_Table[],MATCH($D288&amp;$A288,Table4[Join],0)),"")</f>
        <v/>
      </c>
      <c r="H288" s="11" t="str">
        <f ca="1">IF(AND(D288="Juvenile Audiobook",LEFT(B288,8)="J CD BIO"),RIGHT(B288,LEN(B288)-9),
IF(AND(D288="Juvenile Audiobook",LEFT(B288,8)="J CD FIC"),B288,
IF(D288="Juvenile Audiobook",RIGHT(B288,LEN(B288)-5),
IF(AND(D288="Teen Audiobook",LEFT(B288,11)="TEEN CD BIO"),RIGHT(B288,LEN(B288)-12),
IF(AND(D288="Teen Audiobook",LEFT(B288,11)="TEEN CD FIC"),B288,
IF(D288="Juvenile Audiobook",RIGHT(B288,LEN(B288)-8),
IF(D288="Juvenile Nonfiction",RIGHT(B288,LEN(B288)-2),
IF(D288="Teen Nonfiction",RIGHT(B288,LEN(B288)-5),
IF(AND(D288="Audiobook",
              NOT(OR(Contains($B288,"CD BIO"),Contains($B288,"CD FIC")))),RIGHT(B288,LEN(B288)-3),
IF(D288="Juvenile Biography",RIGHT(B288,LEN(B288)-2),
IF(D288="Teen Biography",RIGHT(B288,LEN(B288)-5),
IF(AND(D288="Audiobook",
              IFERROR(FIND("BIO",$B288)&gt;0,FALSE)),RIGHT(B288,LEN(B288)-3),
IF(D288="Juvenile Large Type","J "&amp;RIGHT(B288,LEN(B288)-11),
IF(D288="Teen Large Type","TEEN "&amp;RIGHT(B288,LEN(B288)-14),
IF(D288="Reference",RIGHT(B288,LEN(B288)-4),
IF(D288="DVD Educational",RIGHT(B288,LEN(B288)-7),
IF(D288="Juvenile DVD Educational",RIGHT(B288,LEN(B288)-9),
B288)))))))))))))))))</f>
        <v/>
      </c>
    </row>
    <row r="289" spans="1:8" ht="27" customHeight="1" x14ac:dyDescent="0.25">
      <c r="A289" s="10" t="str">
        <f ca="1">TEXT( INDIRECT( ADDRESS( ROW() + Row_Offset, INDIRECT( "Column_Number_" &amp; A$1), 4,1, tabname) ), "")</f>
        <v/>
      </c>
      <c r="B289" s="10" t="str">
        <f ca="1">TEXT(  IFERROR( VLOOKUP( $D289, CollName_Simplifier_Table[], 2, FALSE),"") &amp;
        INDIRECT( ADDRESS( ROW() + Row_Offset, INDIRECT( "Column_Number_" &amp; $B$1), 4,1, tabname) ), "")</f>
        <v/>
      </c>
      <c r="C289" s="10" t="str">
        <f ca="1">TEXT( INDIRECT( ADDRESS( ROW() + Row_Offset, INDIRECT( "Column_Number_" &amp; C$1), 4,1, tabname) ), "")</f>
        <v/>
      </c>
      <c r="D289" s="10" t="str">
        <f ca="1">TEXT( INDIRECT( ADDRESS( ROW() + Row_Offset, INDIRECT( "Column_Number_" &amp; D$1), 4,1, tabname) ), "")</f>
        <v/>
      </c>
      <c r="E289" s="10" t="str">
        <f ca="1">TEXT( INDIRECT( ADDRESS( ROW() + Row_Offset, INDIRECT( "Column_Number_" &amp; E$1), 4,1, tabname) ), "####")</f>
        <v/>
      </c>
      <c r="F289" s="15"/>
      <c r="G289" s="21" t="str">
        <f ca="1">IFERROR(INDEX(Rank_Table[],MATCH($D289&amp;$A289,Table4[Join],0)),"")</f>
        <v/>
      </c>
      <c r="H289" s="11" t="str">
        <f ca="1">IF(AND(D289="Juvenile Audiobook",LEFT(B289,8)="J CD BIO"),RIGHT(B289,LEN(B289)-9),
IF(AND(D289="Juvenile Audiobook",LEFT(B289,8)="J CD FIC"),B289,
IF(D289="Juvenile Audiobook",RIGHT(B289,LEN(B289)-5),
IF(AND(D289="Teen Audiobook",LEFT(B289,11)="TEEN CD BIO"),RIGHT(B289,LEN(B289)-12),
IF(AND(D289="Teen Audiobook",LEFT(B289,11)="TEEN CD FIC"),B289,
IF(D289="Juvenile Audiobook",RIGHT(B289,LEN(B289)-8),
IF(D289="Juvenile Nonfiction",RIGHT(B289,LEN(B289)-2),
IF(D289="Teen Nonfiction",RIGHT(B289,LEN(B289)-5),
IF(AND(D289="Audiobook",
              NOT(OR(Contains($B289,"CD BIO"),Contains($B289,"CD FIC")))),RIGHT(B289,LEN(B289)-3),
IF(D289="Juvenile Biography",RIGHT(B289,LEN(B289)-2),
IF(D289="Teen Biography",RIGHT(B289,LEN(B289)-5),
IF(AND(D289="Audiobook",
              IFERROR(FIND("BIO",$B289)&gt;0,FALSE)),RIGHT(B289,LEN(B289)-3),
IF(D289="Juvenile Large Type","J "&amp;RIGHT(B289,LEN(B289)-11),
IF(D289="Teen Large Type","TEEN "&amp;RIGHT(B289,LEN(B289)-14),
IF(D289="Reference",RIGHT(B289,LEN(B289)-4),
IF(D289="DVD Educational",RIGHT(B289,LEN(B289)-7),
IF(D289="Juvenile DVD Educational",RIGHT(B289,LEN(B289)-9),
B289)))))))))))))))))</f>
        <v/>
      </c>
    </row>
    <row r="290" spans="1:8" ht="27" customHeight="1" x14ac:dyDescent="0.25">
      <c r="A290" s="10" t="str">
        <f ca="1">TEXT( INDIRECT( ADDRESS( ROW() + Row_Offset, INDIRECT( "Column_Number_" &amp; A$1), 4,1, tabname) ), "")</f>
        <v/>
      </c>
      <c r="B290" s="10" t="str">
        <f ca="1">TEXT(  IFERROR( VLOOKUP( $D290, CollName_Simplifier_Table[], 2, FALSE),"") &amp;
        INDIRECT( ADDRESS( ROW() + Row_Offset, INDIRECT( "Column_Number_" &amp; $B$1), 4,1, tabname) ), "")</f>
        <v/>
      </c>
      <c r="C290" s="10" t="str">
        <f ca="1">TEXT( INDIRECT( ADDRESS( ROW() + Row_Offset, INDIRECT( "Column_Number_" &amp; C$1), 4,1, tabname) ), "")</f>
        <v/>
      </c>
      <c r="D290" s="10" t="str">
        <f ca="1">TEXT( INDIRECT( ADDRESS( ROW() + Row_Offset, INDIRECT( "Column_Number_" &amp; D$1), 4,1, tabname) ), "")</f>
        <v/>
      </c>
      <c r="E290" s="10" t="str">
        <f ca="1">TEXT( INDIRECT( ADDRESS( ROW() + Row_Offset, INDIRECT( "Column_Number_" &amp; E$1), 4,1, tabname) ), "####")</f>
        <v/>
      </c>
      <c r="F290" s="15"/>
      <c r="G290" s="21" t="str">
        <f ca="1">IFERROR(INDEX(Rank_Table[],MATCH($D290&amp;$A290,Table4[Join],0)),"")</f>
        <v/>
      </c>
      <c r="H290" s="11" t="str">
        <f ca="1">IF(AND(D290="Juvenile Audiobook",LEFT(B290,8)="J CD BIO"),RIGHT(B290,LEN(B290)-9),
IF(AND(D290="Juvenile Audiobook",LEFT(B290,8)="J CD FIC"),B290,
IF(D290="Juvenile Audiobook",RIGHT(B290,LEN(B290)-5),
IF(AND(D290="Teen Audiobook",LEFT(B290,11)="TEEN CD BIO"),RIGHT(B290,LEN(B290)-12),
IF(AND(D290="Teen Audiobook",LEFT(B290,11)="TEEN CD FIC"),B290,
IF(D290="Juvenile Audiobook",RIGHT(B290,LEN(B290)-8),
IF(D290="Juvenile Nonfiction",RIGHT(B290,LEN(B290)-2),
IF(D290="Teen Nonfiction",RIGHT(B290,LEN(B290)-5),
IF(AND(D290="Audiobook",
              NOT(OR(Contains($B290,"CD BIO"),Contains($B290,"CD FIC")))),RIGHT(B290,LEN(B290)-3),
IF(D290="Juvenile Biography",RIGHT(B290,LEN(B290)-2),
IF(D290="Teen Biography",RIGHT(B290,LEN(B290)-5),
IF(AND(D290="Audiobook",
              IFERROR(FIND("BIO",$B290)&gt;0,FALSE)),RIGHT(B290,LEN(B290)-3),
IF(D290="Juvenile Large Type","J "&amp;RIGHT(B290,LEN(B290)-11),
IF(D290="Teen Large Type","TEEN "&amp;RIGHT(B290,LEN(B290)-14),
IF(D290="Reference",RIGHT(B290,LEN(B290)-4),
IF(D290="DVD Educational",RIGHT(B290,LEN(B290)-7),
IF(D290="Juvenile DVD Educational",RIGHT(B290,LEN(B290)-9),
B290)))))))))))))))))</f>
        <v/>
      </c>
    </row>
    <row r="291" spans="1:8" ht="27" customHeight="1" x14ac:dyDescent="0.25">
      <c r="A291" s="10" t="str">
        <f ca="1">TEXT( INDIRECT( ADDRESS( ROW() + Row_Offset, INDIRECT( "Column_Number_" &amp; A$1), 4,1, tabname) ), "")</f>
        <v/>
      </c>
      <c r="B291" s="10" t="str">
        <f ca="1">TEXT(  IFERROR( VLOOKUP( $D291, CollName_Simplifier_Table[], 2, FALSE),"") &amp;
        INDIRECT( ADDRESS( ROW() + Row_Offset, INDIRECT( "Column_Number_" &amp; $B$1), 4,1, tabname) ), "")</f>
        <v/>
      </c>
      <c r="C291" s="10" t="str">
        <f ca="1">TEXT( INDIRECT( ADDRESS( ROW() + Row_Offset, INDIRECT( "Column_Number_" &amp; C$1), 4,1, tabname) ), "")</f>
        <v/>
      </c>
      <c r="D291" s="10" t="str">
        <f ca="1">TEXT( INDIRECT( ADDRESS( ROW() + Row_Offset, INDIRECT( "Column_Number_" &amp; D$1), 4,1, tabname) ), "")</f>
        <v/>
      </c>
      <c r="E291" s="10" t="str">
        <f ca="1">TEXT( INDIRECT( ADDRESS( ROW() + Row_Offset, INDIRECT( "Column_Number_" &amp; E$1), 4,1, tabname) ), "####")</f>
        <v/>
      </c>
      <c r="F291" s="15"/>
      <c r="G291" s="21" t="str">
        <f ca="1">IFERROR(INDEX(Rank_Table[],MATCH($D291&amp;$A291,Table4[Join],0)),"")</f>
        <v/>
      </c>
      <c r="H291" s="11" t="str">
        <f ca="1">IF(AND(D291="Juvenile Audiobook",LEFT(B291,8)="J CD BIO"),RIGHT(B291,LEN(B291)-9),
IF(AND(D291="Juvenile Audiobook",LEFT(B291,8)="J CD FIC"),B291,
IF(D291="Juvenile Audiobook",RIGHT(B291,LEN(B291)-5),
IF(AND(D291="Teen Audiobook",LEFT(B291,11)="TEEN CD BIO"),RIGHT(B291,LEN(B291)-12),
IF(AND(D291="Teen Audiobook",LEFT(B291,11)="TEEN CD FIC"),B291,
IF(D291="Juvenile Audiobook",RIGHT(B291,LEN(B291)-8),
IF(D291="Juvenile Nonfiction",RIGHT(B291,LEN(B291)-2),
IF(D291="Teen Nonfiction",RIGHT(B291,LEN(B291)-5),
IF(AND(D291="Audiobook",
              NOT(OR(Contains($B291,"CD BIO"),Contains($B291,"CD FIC")))),RIGHT(B291,LEN(B291)-3),
IF(D291="Juvenile Biography",RIGHT(B291,LEN(B291)-2),
IF(D291="Teen Biography",RIGHT(B291,LEN(B291)-5),
IF(AND(D291="Audiobook",
              IFERROR(FIND("BIO",$B291)&gt;0,FALSE)),RIGHT(B291,LEN(B291)-3),
IF(D291="Juvenile Large Type","J "&amp;RIGHT(B291,LEN(B291)-11),
IF(D291="Teen Large Type","TEEN "&amp;RIGHT(B291,LEN(B291)-14),
IF(D291="Reference",RIGHT(B291,LEN(B291)-4),
IF(D291="DVD Educational",RIGHT(B291,LEN(B291)-7),
IF(D291="Juvenile DVD Educational",RIGHT(B291,LEN(B291)-9),
B291)))))))))))))))))</f>
        <v/>
      </c>
    </row>
    <row r="292" spans="1:8" ht="27" customHeight="1" x14ac:dyDescent="0.25">
      <c r="A292" s="10" t="str">
        <f ca="1">TEXT( INDIRECT( ADDRESS( ROW() + Row_Offset, INDIRECT( "Column_Number_" &amp; A$1), 4,1, tabname) ), "")</f>
        <v/>
      </c>
      <c r="B292" s="10" t="str">
        <f ca="1">TEXT(  IFERROR( VLOOKUP( $D292, CollName_Simplifier_Table[], 2, FALSE),"") &amp;
        INDIRECT( ADDRESS( ROW() + Row_Offset, INDIRECT( "Column_Number_" &amp; $B$1), 4,1, tabname) ), "")</f>
        <v/>
      </c>
      <c r="C292" s="10" t="str">
        <f ca="1">TEXT( INDIRECT( ADDRESS( ROW() + Row_Offset, INDIRECT( "Column_Number_" &amp; C$1), 4,1, tabname) ), "")</f>
        <v/>
      </c>
      <c r="D292" s="10" t="str">
        <f ca="1">TEXT( INDIRECT( ADDRESS( ROW() + Row_Offset, INDIRECT( "Column_Number_" &amp; D$1), 4,1, tabname) ), "")</f>
        <v/>
      </c>
      <c r="E292" s="10" t="str">
        <f ca="1">TEXT( INDIRECT( ADDRESS( ROW() + Row_Offset, INDIRECT( "Column_Number_" &amp; E$1), 4,1, tabname) ), "####")</f>
        <v/>
      </c>
      <c r="F292" s="15"/>
      <c r="G292" s="21" t="str">
        <f ca="1">IFERROR(INDEX(Rank_Table[],MATCH($D292&amp;$A292,Table4[Join],0)),"")</f>
        <v/>
      </c>
      <c r="H292" s="11" t="str">
        <f ca="1">IF(AND(D292="Juvenile Audiobook",LEFT(B292,8)="J CD BIO"),RIGHT(B292,LEN(B292)-9),
IF(AND(D292="Juvenile Audiobook",LEFT(B292,8)="J CD FIC"),B292,
IF(D292="Juvenile Audiobook",RIGHT(B292,LEN(B292)-5),
IF(AND(D292="Teen Audiobook",LEFT(B292,11)="TEEN CD BIO"),RIGHT(B292,LEN(B292)-12),
IF(AND(D292="Teen Audiobook",LEFT(B292,11)="TEEN CD FIC"),B292,
IF(D292="Juvenile Audiobook",RIGHT(B292,LEN(B292)-8),
IF(D292="Juvenile Nonfiction",RIGHT(B292,LEN(B292)-2),
IF(D292="Teen Nonfiction",RIGHT(B292,LEN(B292)-5),
IF(AND(D292="Audiobook",
              NOT(OR(Contains($B292,"CD BIO"),Contains($B292,"CD FIC")))),RIGHT(B292,LEN(B292)-3),
IF(D292="Juvenile Biography",RIGHT(B292,LEN(B292)-2),
IF(D292="Teen Biography",RIGHT(B292,LEN(B292)-5),
IF(AND(D292="Audiobook",
              IFERROR(FIND("BIO",$B292)&gt;0,FALSE)),RIGHT(B292,LEN(B292)-3),
IF(D292="Juvenile Large Type","J "&amp;RIGHT(B292,LEN(B292)-11),
IF(D292="Teen Large Type","TEEN "&amp;RIGHT(B292,LEN(B292)-14),
IF(D292="Reference",RIGHT(B292,LEN(B292)-4),
IF(D292="DVD Educational",RIGHT(B292,LEN(B292)-7),
IF(D292="Juvenile DVD Educational",RIGHT(B292,LEN(B292)-9),
B292)))))))))))))))))</f>
        <v/>
      </c>
    </row>
    <row r="293" spans="1:8" ht="27" customHeight="1" x14ac:dyDescent="0.25">
      <c r="A293" s="10" t="str">
        <f ca="1">TEXT( INDIRECT( ADDRESS( ROW() + Row_Offset, INDIRECT( "Column_Number_" &amp; A$1), 4,1, tabname) ), "")</f>
        <v/>
      </c>
      <c r="B293" s="10" t="str">
        <f ca="1">TEXT(  IFERROR( VLOOKUP( $D293, CollName_Simplifier_Table[], 2, FALSE),"") &amp;
        INDIRECT( ADDRESS( ROW() + Row_Offset, INDIRECT( "Column_Number_" &amp; $B$1), 4,1, tabname) ), "")</f>
        <v/>
      </c>
      <c r="C293" s="10" t="str">
        <f ca="1">TEXT( INDIRECT( ADDRESS( ROW() + Row_Offset, INDIRECT( "Column_Number_" &amp; C$1), 4,1, tabname) ), "")</f>
        <v/>
      </c>
      <c r="D293" s="10" t="str">
        <f ca="1">TEXT( INDIRECT( ADDRESS( ROW() + Row_Offset, INDIRECT( "Column_Number_" &amp; D$1), 4,1, tabname) ), "")</f>
        <v/>
      </c>
      <c r="E293" s="10" t="str">
        <f ca="1">TEXT( INDIRECT( ADDRESS( ROW() + Row_Offset, INDIRECT( "Column_Number_" &amp; E$1), 4,1, tabname) ), "####")</f>
        <v/>
      </c>
      <c r="F293" s="15"/>
      <c r="G293" s="21" t="str">
        <f ca="1">IFERROR(INDEX(Rank_Table[],MATCH($D293&amp;$A293,Table4[Join],0)),"")</f>
        <v/>
      </c>
      <c r="H293" s="11" t="str">
        <f ca="1">IF(AND(D293="Juvenile Audiobook",LEFT(B293,8)="J CD BIO"),RIGHT(B293,LEN(B293)-9),
IF(AND(D293="Juvenile Audiobook",LEFT(B293,8)="J CD FIC"),B293,
IF(D293="Juvenile Audiobook",RIGHT(B293,LEN(B293)-5),
IF(AND(D293="Teen Audiobook",LEFT(B293,11)="TEEN CD BIO"),RIGHT(B293,LEN(B293)-12),
IF(AND(D293="Teen Audiobook",LEFT(B293,11)="TEEN CD FIC"),B293,
IF(D293="Juvenile Audiobook",RIGHT(B293,LEN(B293)-8),
IF(D293="Juvenile Nonfiction",RIGHT(B293,LEN(B293)-2),
IF(D293="Teen Nonfiction",RIGHT(B293,LEN(B293)-5),
IF(AND(D293="Audiobook",
              NOT(OR(Contains($B293,"CD BIO"),Contains($B293,"CD FIC")))),RIGHT(B293,LEN(B293)-3),
IF(D293="Juvenile Biography",RIGHT(B293,LEN(B293)-2),
IF(D293="Teen Biography",RIGHT(B293,LEN(B293)-5),
IF(AND(D293="Audiobook",
              IFERROR(FIND("BIO",$B293)&gt;0,FALSE)),RIGHT(B293,LEN(B293)-3),
IF(D293="Juvenile Large Type","J "&amp;RIGHT(B293,LEN(B293)-11),
IF(D293="Teen Large Type","TEEN "&amp;RIGHT(B293,LEN(B293)-14),
IF(D293="Reference",RIGHT(B293,LEN(B293)-4),
IF(D293="DVD Educational",RIGHT(B293,LEN(B293)-7),
IF(D293="Juvenile DVD Educational",RIGHT(B293,LEN(B293)-9),
B293)))))))))))))))))</f>
        <v/>
      </c>
    </row>
    <row r="294" spans="1:8" ht="27" customHeight="1" x14ac:dyDescent="0.25">
      <c r="A294" s="10" t="str">
        <f ca="1">TEXT( INDIRECT( ADDRESS( ROW() + Row_Offset, INDIRECT( "Column_Number_" &amp; A$1), 4,1, tabname) ), "")</f>
        <v/>
      </c>
      <c r="B294" s="10" t="str">
        <f ca="1">TEXT(  IFERROR( VLOOKUP( $D294, CollName_Simplifier_Table[], 2, FALSE),"") &amp;
        INDIRECT( ADDRESS( ROW() + Row_Offset, INDIRECT( "Column_Number_" &amp; $B$1), 4,1, tabname) ), "")</f>
        <v/>
      </c>
      <c r="C294" s="10" t="str">
        <f ca="1">TEXT( INDIRECT( ADDRESS( ROW() + Row_Offset, INDIRECT( "Column_Number_" &amp; C$1), 4,1, tabname) ), "")</f>
        <v/>
      </c>
      <c r="D294" s="10" t="str">
        <f ca="1">TEXT( INDIRECT( ADDRESS( ROW() + Row_Offset, INDIRECT( "Column_Number_" &amp; D$1), 4,1, tabname) ), "")</f>
        <v/>
      </c>
      <c r="E294" s="10" t="str">
        <f ca="1">TEXT( INDIRECT( ADDRESS( ROW() + Row_Offset, INDIRECT( "Column_Number_" &amp; E$1), 4,1, tabname) ), "####")</f>
        <v/>
      </c>
      <c r="F294" s="15"/>
      <c r="G294" s="21" t="str">
        <f ca="1">IFERROR(INDEX(Rank_Table[],MATCH($D294&amp;$A294,Table4[Join],0)),"")</f>
        <v/>
      </c>
      <c r="H294" s="11" t="str">
        <f ca="1">IF(AND(D294="Juvenile Audiobook",LEFT(B294,8)="J CD BIO"),RIGHT(B294,LEN(B294)-9),
IF(AND(D294="Juvenile Audiobook",LEFT(B294,8)="J CD FIC"),B294,
IF(D294="Juvenile Audiobook",RIGHT(B294,LEN(B294)-5),
IF(AND(D294="Teen Audiobook",LEFT(B294,11)="TEEN CD BIO"),RIGHT(B294,LEN(B294)-12),
IF(AND(D294="Teen Audiobook",LEFT(B294,11)="TEEN CD FIC"),B294,
IF(D294="Juvenile Audiobook",RIGHT(B294,LEN(B294)-8),
IF(D294="Juvenile Nonfiction",RIGHT(B294,LEN(B294)-2),
IF(D294="Teen Nonfiction",RIGHT(B294,LEN(B294)-5),
IF(AND(D294="Audiobook",
              NOT(OR(Contains($B294,"CD BIO"),Contains($B294,"CD FIC")))),RIGHT(B294,LEN(B294)-3),
IF(D294="Juvenile Biography",RIGHT(B294,LEN(B294)-2),
IF(D294="Teen Biography",RIGHT(B294,LEN(B294)-5),
IF(AND(D294="Audiobook",
              IFERROR(FIND("BIO",$B294)&gt;0,FALSE)),RIGHT(B294,LEN(B294)-3),
IF(D294="Juvenile Large Type","J "&amp;RIGHT(B294,LEN(B294)-11),
IF(D294="Teen Large Type","TEEN "&amp;RIGHT(B294,LEN(B294)-14),
IF(D294="Reference",RIGHT(B294,LEN(B294)-4),
IF(D294="DVD Educational",RIGHT(B294,LEN(B294)-7),
IF(D294="Juvenile DVD Educational",RIGHT(B294,LEN(B294)-9),
B294)))))))))))))))))</f>
        <v/>
      </c>
    </row>
    <row r="295" spans="1:8" ht="27" customHeight="1" x14ac:dyDescent="0.25">
      <c r="A295" s="10" t="str">
        <f ca="1">TEXT( INDIRECT( ADDRESS( ROW() + Row_Offset, INDIRECT( "Column_Number_" &amp; A$1), 4,1, tabname) ), "")</f>
        <v/>
      </c>
      <c r="B295" s="10" t="str">
        <f ca="1">TEXT(  IFERROR( VLOOKUP( $D295, CollName_Simplifier_Table[], 2, FALSE),"") &amp;
        INDIRECT( ADDRESS( ROW() + Row_Offset, INDIRECT( "Column_Number_" &amp; $B$1), 4,1, tabname) ), "")</f>
        <v/>
      </c>
      <c r="C295" s="10" t="str">
        <f ca="1">TEXT( INDIRECT( ADDRESS( ROW() + Row_Offset, INDIRECT( "Column_Number_" &amp; C$1), 4,1, tabname) ), "")</f>
        <v/>
      </c>
      <c r="D295" s="10" t="str">
        <f ca="1">TEXT( INDIRECT( ADDRESS( ROW() + Row_Offset, INDIRECT( "Column_Number_" &amp; D$1), 4,1, tabname) ), "")</f>
        <v/>
      </c>
      <c r="E295" s="10" t="str">
        <f ca="1">TEXT( INDIRECT( ADDRESS( ROW() + Row_Offset, INDIRECT( "Column_Number_" &amp; E$1), 4,1, tabname) ), "####")</f>
        <v/>
      </c>
      <c r="F295" s="15"/>
      <c r="G295" s="21" t="str">
        <f ca="1">IFERROR(INDEX(Rank_Table[],MATCH($D295&amp;$A295,Table4[Join],0)),"")</f>
        <v/>
      </c>
      <c r="H295" s="11" t="str">
        <f ca="1">IF(AND(D295="Juvenile Audiobook",LEFT(B295,8)="J CD BIO"),RIGHT(B295,LEN(B295)-9),
IF(AND(D295="Juvenile Audiobook",LEFT(B295,8)="J CD FIC"),B295,
IF(D295="Juvenile Audiobook",RIGHT(B295,LEN(B295)-5),
IF(AND(D295="Teen Audiobook",LEFT(B295,11)="TEEN CD BIO"),RIGHT(B295,LEN(B295)-12),
IF(AND(D295="Teen Audiobook",LEFT(B295,11)="TEEN CD FIC"),B295,
IF(D295="Juvenile Audiobook",RIGHT(B295,LEN(B295)-8),
IF(D295="Juvenile Nonfiction",RIGHT(B295,LEN(B295)-2),
IF(D295="Teen Nonfiction",RIGHT(B295,LEN(B295)-5),
IF(AND(D295="Audiobook",
              NOT(OR(Contains($B295,"CD BIO"),Contains($B295,"CD FIC")))),RIGHT(B295,LEN(B295)-3),
IF(D295="Juvenile Biography",RIGHT(B295,LEN(B295)-2),
IF(D295="Teen Biography",RIGHT(B295,LEN(B295)-5),
IF(AND(D295="Audiobook",
              IFERROR(FIND("BIO",$B295)&gt;0,FALSE)),RIGHT(B295,LEN(B295)-3),
IF(D295="Juvenile Large Type","J "&amp;RIGHT(B295,LEN(B295)-11),
IF(D295="Teen Large Type","TEEN "&amp;RIGHT(B295,LEN(B295)-14),
IF(D295="Reference",RIGHT(B295,LEN(B295)-4),
IF(D295="DVD Educational",RIGHT(B295,LEN(B295)-7),
IF(D295="Juvenile DVD Educational",RIGHT(B295,LEN(B295)-9),
B295)))))))))))))))))</f>
        <v/>
      </c>
    </row>
    <row r="296" spans="1:8" ht="27" customHeight="1" x14ac:dyDescent="0.25">
      <c r="A296" s="10" t="str">
        <f ca="1">TEXT( INDIRECT( ADDRESS( ROW() + Row_Offset, INDIRECT( "Column_Number_" &amp; A$1), 4,1, tabname) ), "")</f>
        <v/>
      </c>
      <c r="B296" s="10" t="str">
        <f ca="1">TEXT(  IFERROR( VLOOKUP( $D296, CollName_Simplifier_Table[], 2, FALSE),"") &amp;
        INDIRECT( ADDRESS( ROW() + Row_Offset, INDIRECT( "Column_Number_" &amp; $B$1), 4,1, tabname) ), "")</f>
        <v/>
      </c>
      <c r="C296" s="10" t="str">
        <f ca="1">TEXT( INDIRECT( ADDRESS( ROW() + Row_Offset, INDIRECT( "Column_Number_" &amp; C$1), 4,1, tabname) ), "")</f>
        <v/>
      </c>
      <c r="D296" s="10" t="str">
        <f ca="1">TEXT( INDIRECT( ADDRESS( ROW() + Row_Offset, INDIRECT( "Column_Number_" &amp; D$1), 4,1, tabname) ), "")</f>
        <v/>
      </c>
      <c r="E296" s="10" t="str">
        <f ca="1">TEXT( INDIRECT( ADDRESS( ROW() + Row_Offset, INDIRECT( "Column_Number_" &amp; E$1), 4,1, tabname) ), "####")</f>
        <v/>
      </c>
      <c r="F296" s="15"/>
      <c r="G296" s="21" t="str">
        <f ca="1">IFERROR(INDEX(Rank_Table[],MATCH($D296&amp;$A296,Table4[Join],0)),"")</f>
        <v/>
      </c>
      <c r="H296" s="11" t="str">
        <f ca="1">IF(AND(D296="Juvenile Audiobook",LEFT(B296,8)="J CD BIO"),RIGHT(B296,LEN(B296)-9),
IF(AND(D296="Juvenile Audiobook",LEFT(B296,8)="J CD FIC"),B296,
IF(D296="Juvenile Audiobook",RIGHT(B296,LEN(B296)-5),
IF(AND(D296="Teen Audiobook",LEFT(B296,11)="TEEN CD BIO"),RIGHT(B296,LEN(B296)-12),
IF(AND(D296="Teen Audiobook",LEFT(B296,11)="TEEN CD FIC"),B296,
IF(D296="Juvenile Audiobook",RIGHT(B296,LEN(B296)-8),
IF(D296="Juvenile Nonfiction",RIGHT(B296,LEN(B296)-2),
IF(D296="Teen Nonfiction",RIGHT(B296,LEN(B296)-5),
IF(AND(D296="Audiobook",
              NOT(OR(Contains($B296,"CD BIO"),Contains($B296,"CD FIC")))),RIGHT(B296,LEN(B296)-3),
IF(D296="Juvenile Biography",RIGHT(B296,LEN(B296)-2),
IF(D296="Teen Biography",RIGHT(B296,LEN(B296)-5),
IF(AND(D296="Audiobook",
              IFERROR(FIND("BIO",$B296)&gt;0,FALSE)),RIGHT(B296,LEN(B296)-3),
IF(D296="Juvenile Large Type","J "&amp;RIGHT(B296,LEN(B296)-11),
IF(D296="Teen Large Type","TEEN "&amp;RIGHT(B296,LEN(B296)-14),
IF(D296="Reference",RIGHT(B296,LEN(B296)-4),
IF(D296="DVD Educational",RIGHT(B296,LEN(B296)-7),
IF(D296="Juvenile DVD Educational",RIGHT(B296,LEN(B296)-9),
B296)))))))))))))))))</f>
        <v/>
      </c>
    </row>
    <row r="297" spans="1:8" ht="27" customHeight="1" x14ac:dyDescent="0.25">
      <c r="A297" s="10" t="str">
        <f ca="1">TEXT( INDIRECT( ADDRESS( ROW() + Row_Offset, INDIRECT( "Column_Number_" &amp; A$1), 4,1, tabname) ), "")</f>
        <v/>
      </c>
      <c r="B297" s="10" t="str">
        <f ca="1">TEXT(  IFERROR( VLOOKUP( $D297, CollName_Simplifier_Table[], 2, FALSE),"") &amp;
        INDIRECT( ADDRESS( ROW() + Row_Offset, INDIRECT( "Column_Number_" &amp; $B$1), 4,1, tabname) ), "")</f>
        <v/>
      </c>
      <c r="C297" s="10" t="str">
        <f ca="1">TEXT( INDIRECT( ADDRESS( ROW() + Row_Offset, INDIRECT( "Column_Number_" &amp; C$1), 4,1, tabname) ), "")</f>
        <v/>
      </c>
      <c r="D297" s="10" t="str">
        <f ca="1">TEXT( INDIRECT( ADDRESS( ROW() + Row_Offset, INDIRECT( "Column_Number_" &amp; D$1), 4,1, tabname) ), "")</f>
        <v/>
      </c>
      <c r="E297" s="10" t="str">
        <f ca="1">TEXT( INDIRECT( ADDRESS( ROW() + Row_Offset, INDIRECT( "Column_Number_" &amp; E$1), 4,1, tabname) ), "####")</f>
        <v/>
      </c>
      <c r="F297" s="15"/>
      <c r="G297" s="21" t="str">
        <f ca="1">IFERROR(INDEX(Rank_Table[],MATCH($D297&amp;$A297,Table4[Join],0)),"")</f>
        <v/>
      </c>
      <c r="H297" s="11" t="str">
        <f ca="1">IF(AND(D297="Juvenile Audiobook",LEFT(B297,8)="J CD BIO"),RIGHT(B297,LEN(B297)-9),
IF(AND(D297="Juvenile Audiobook",LEFT(B297,8)="J CD FIC"),B297,
IF(D297="Juvenile Audiobook",RIGHT(B297,LEN(B297)-5),
IF(AND(D297="Teen Audiobook",LEFT(B297,11)="TEEN CD BIO"),RIGHT(B297,LEN(B297)-12),
IF(AND(D297="Teen Audiobook",LEFT(B297,11)="TEEN CD FIC"),B297,
IF(D297="Juvenile Audiobook",RIGHT(B297,LEN(B297)-8),
IF(D297="Juvenile Nonfiction",RIGHT(B297,LEN(B297)-2),
IF(D297="Teen Nonfiction",RIGHT(B297,LEN(B297)-5),
IF(AND(D297="Audiobook",
              NOT(OR(Contains($B297,"CD BIO"),Contains($B297,"CD FIC")))),RIGHT(B297,LEN(B297)-3),
IF(D297="Juvenile Biography",RIGHT(B297,LEN(B297)-2),
IF(D297="Teen Biography",RIGHT(B297,LEN(B297)-5),
IF(AND(D297="Audiobook",
              IFERROR(FIND("BIO",$B297)&gt;0,FALSE)),RIGHT(B297,LEN(B297)-3),
IF(D297="Juvenile Large Type","J "&amp;RIGHT(B297,LEN(B297)-11),
IF(D297="Teen Large Type","TEEN "&amp;RIGHT(B297,LEN(B297)-14),
IF(D297="Reference",RIGHT(B297,LEN(B297)-4),
IF(D297="DVD Educational",RIGHT(B297,LEN(B297)-7),
IF(D297="Juvenile DVD Educational",RIGHT(B297,LEN(B297)-9),
B297)))))))))))))))))</f>
        <v/>
      </c>
    </row>
    <row r="298" spans="1:8" ht="27" customHeight="1" x14ac:dyDescent="0.25">
      <c r="A298" s="10" t="str">
        <f ca="1">TEXT( INDIRECT( ADDRESS( ROW() + Row_Offset, INDIRECT( "Column_Number_" &amp; A$1), 4,1, tabname) ), "")</f>
        <v/>
      </c>
      <c r="B298" s="10" t="str">
        <f ca="1">TEXT(  IFERROR( VLOOKUP( $D298, CollName_Simplifier_Table[], 2, FALSE),"") &amp;
        INDIRECT( ADDRESS( ROW() + Row_Offset, INDIRECT( "Column_Number_" &amp; $B$1), 4,1, tabname) ), "")</f>
        <v/>
      </c>
      <c r="C298" s="10" t="str">
        <f ca="1">TEXT( INDIRECT( ADDRESS( ROW() + Row_Offset, INDIRECT( "Column_Number_" &amp; C$1), 4,1, tabname) ), "")</f>
        <v/>
      </c>
      <c r="D298" s="10" t="str">
        <f ca="1">TEXT( INDIRECT( ADDRESS( ROW() + Row_Offset, INDIRECT( "Column_Number_" &amp; D$1), 4,1, tabname) ), "")</f>
        <v/>
      </c>
      <c r="E298" s="10" t="str">
        <f ca="1">TEXT( INDIRECT( ADDRESS( ROW() + Row_Offset, INDIRECT( "Column_Number_" &amp; E$1), 4,1, tabname) ), "####")</f>
        <v/>
      </c>
      <c r="F298" s="15"/>
      <c r="G298" s="21" t="str">
        <f ca="1">IFERROR(INDEX(Rank_Table[],MATCH($D298&amp;$A298,Table4[Join],0)),"")</f>
        <v/>
      </c>
      <c r="H298" s="11" t="str">
        <f ca="1">IF(AND(D298="Juvenile Audiobook",LEFT(B298,8)="J CD BIO"),RIGHT(B298,LEN(B298)-9),
IF(AND(D298="Juvenile Audiobook",LEFT(B298,8)="J CD FIC"),B298,
IF(D298="Juvenile Audiobook",RIGHT(B298,LEN(B298)-5),
IF(AND(D298="Teen Audiobook",LEFT(B298,11)="TEEN CD BIO"),RIGHT(B298,LEN(B298)-12),
IF(AND(D298="Teen Audiobook",LEFT(B298,11)="TEEN CD FIC"),B298,
IF(D298="Juvenile Audiobook",RIGHT(B298,LEN(B298)-8),
IF(D298="Juvenile Nonfiction",RIGHT(B298,LEN(B298)-2),
IF(D298="Teen Nonfiction",RIGHT(B298,LEN(B298)-5),
IF(AND(D298="Audiobook",
              NOT(OR(Contains($B298,"CD BIO"),Contains($B298,"CD FIC")))),RIGHT(B298,LEN(B298)-3),
IF(D298="Juvenile Biography",RIGHT(B298,LEN(B298)-2),
IF(D298="Teen Biography",RIGHT(B298,LEN(B298)-5),
IF(AND(D298="Audiobook",
              IFERROR(FIND("BIO",$B298)&gt;0,FALSE)),RIGHT(B298,LEN(B298)-3),
IF(D298="Juvenile Large Type","J "&amp;RIGHT(B298,LEN(B298)-11),
IF(D298="Teen Large Type","TEEN "&amp;RIGHT(B298,LEN(B298)-14),
IF(D298="Reference",RIGHT(B298,LEN(B298)-4),
IF(D298="DVD Educational",RIGHT(B298,LEN(B298)-7),
IF(D298="Juvenile DVD Educational",RIGHT(B298,LEN(B298)-9),
B298)))))))))))))))))</f>
        <v/>
      </c>
    </row>
    <row r="299" spans="1:8" ht="27" customHeight="1" x14ac:dyDescent="0.25">
      <c r="A299" s="10" t="str">
        <f ca="1">TEXT( INDIRECT( ADDRESS( ROW() + Row_Offset, INDIRECT( "Column_Number_" &amp; A$1), 4,1, tabname) ), "")</f>
        <v/>
      </c>
      <c r="B299" s="10" t="str">
        <f ca="1">TEXT(  IFERROR( VLOOKUP( $D299, CollName_Simplifier_Table[], 2, FALSE),"") &amp;
        INDIRECT( ADDRESS( ROW() + Row_Offset, INDIRECT( "Column_Number_" &amp; $B$1), 4,1, tabname) ), "")</f>
        <v/>
      </c>
      <c r="C299" s="10" t="str">
        <f ca="1">TEXT( INDIRECT( ADDRESS( ROW() + Row_Offset, INDIRECT( "Column_Number_" &amp; C$1), 4,1, tabname) ), "")</f>
        <v/>
      </c>
      <c r="D299" s="10" t="str">
        <f ca="1">TEXT( INDIRECT( ADDRESS( ROW() + Row_Offset, INDIRECT( "Column_Number_" &amp; D$1), 4,1, tabname) ), "")</f>
        <v/>
      </c>
      <c r="E299" s="10" t="str">
        <f ca="1">TEXT( INDIRECT( ADDRESS( ROW() + Row_Offset, INDIRECT( "Column_Number_" &amp; E$1), 4,1, tabname) ), "####")</f>
        <v/>
      </c>
      <c r="F299" s="15"/>
      <c r="G299" s="21" t="str">
        <f ca="1">IFERROR(INDEX(Rank_Table[],MATCH($D299&amp;$A299,Table4[Join],0)),"")</f>
        <v/>
      </c>
      <c r="H299" s="11" t="str">
        <f ca="1">IF(AND(D299="Juvenile Audiobook",LEFT(B299,8)="J CD BIO"),RIGHT(B299,LEN(B299)-9),
IF(AND(D299="Juvenile Audiobook",LEFT(B299,8)="J CD FIC"),B299,
IF(D299="Juvenile Audiobook",RIGHT(B299,LEN(B299)-5),
IF(AND(D299="Teen Audiobook",LEFT(B299,11)="TEEN CD BIO"),RIGHT(B299,LEN(B299)-12),
IF(AND(D299="Teen Audiobook",LEFT(B299,11)="TEEN CD FIC"),B299,
IF(D299="Juvenile Audiobook",RIGHT(B299,LEN(B299)-8),
IF(D299="Juvenile Nonfiction",RIGHT(B299,LEN(B299)-2),
IF(D299="Teen Nonfiction",RIGHT(B299,LEN(B299)-5),
IF(AND(D299="Audiobook",
              NOT(OR(Contains($B299,"CD BIO"),Contains($B299,"CD FIC")))),RIGHT(B299,LEN(B299)-3),
IF(D299="Juvenile Biography",RIGHT(B299,LEN(B299)-2),
IF(D299="Teen Biography",RIGHT(B299,LEN(B299)-5),
IF(AND(D299="Audiobook",
              IFERROR(FIND("BIO",$B299)&gt;0,FALSE)),RIGHT(B299,LEN(B299)-3),
IF(D299="Juvenile Large Type","J "&amp;RIGHT(B299,LEN(B299)-11),
IF(D299="Teen Large Type","TEEN "&amp;RIGHT(B299,LEN(B299)-14),
IF(D299="Reference",RIGHT(B299,LEN(B299)-4),
IF(D299="DVD Educational",RIGHT(B299,LEN(B299)-7),
IF(D299="Juvenile DVD Educational",RIGHT(B299,LEN(B299)-9),
B299)))))))))))))))))</f>
        <v/>
      </c>
    </row>
    <row r="300" spans="1:8" ht="27" customHeight="1" x14ac:dyDescent="0.25">
      <c r="A300" s="10" t="str">
        <f ca="1">TEXT( INDIRECT( ADDRESS( ROW() + Row_Offset, INDIRECT( "Column_Number_" &amp; A$1), 4,1, tabname) ), "")</f>
        <v/>
      </c>
      <c r="B300" s="10" t="str">
        <f ca="1">TEXT(  IFERROR( VLOOKUP( $D300, CollName_Simplifier_Table[], 2, FALSE),"") &amp;
        INDIRECT( ADDRESS( ROW() + Row_Offset, INDIRECT( "Column_Number_" &amp; $B$1), 4,1, tabname) ), "")</f>
        <v/>
      </c>
      <c r="C300" s="10" t="str">
        <f ca="1">TEXT( INDIRECT( ADDRESS( ROW() + Row_Offset, INDIRECT( "Column_Number_" &amp; C$1), 4,1, tabname) ), "")</f>
        <v/>
      </c>
      <c r="D300" s="10" t="str">
        <f ca="1">TEXT( INDIRECT( ADDRESS( ROW() + Row_Offset, INDIRECT( "Column_Number_" &amp; D$1), 4,1, tabname) ), "")</f>
        <v/>
      </c>
      <c r="E300" s="10" t="str">
        <f ca="1">TEXT( INDIRECT( ADDRESS( ROW() + Row_Offset, INDIRECT( "Column_Number_" &amp; E$1), 4,1, tabname) ), "####")</f>
        <v/>
      </c>
      <c r="F300" s="15"/>
      <c r="G300" s="21" t="str">
        <f ca="1">IFERROR(INDEX(Rank_Table[],MATCH($D300&amp;$A300,Table4[Join],0)),"")</f>
        <v/>
      </c>
      <c r="H300" s="11" t="str">
        <f ca="1">IF(AND(D300="Juvenile Audiobook",LEFT(B300,8)="J CD BIO"),RIGHT(B300,LEN(B300)-9),
IF(AND(D300="Juvenile Audiobook",LEFT(B300,8)="J CD FIC"),B300,
IF(D300="Juvenile Audiobook",RIGHT(B300,LEN(B300)-5),
IF(AND(D300="Teen Audiobook",LEFT(B300,11)="TEEN CD BIO"),RIGHT(B300,LEN(B300)-12),
IF(AND(D300="Teen Audiobook",LEFT(B300,11)="TEEN CD FIC"),B300,
IF(D300="Juvenile Audiobook",RIGHT(B300,LEN(B300)-8),
IF(D300="Juvenile Nonfiction",RIGHT(B300,LEN(B300)-2),
IF(D300="Teen Nonfiction",RIGHT(B300,LEN(B300)-5),
IF(AND(D300="Audiobook",
              NOT(OR(Contains($B300,"CD BIO"),Contains($B300,"CD FIC")))),RIGHT(B300,LEN(B300)-3),
IF(D300="Juvenile Biography",RIGHT(B300,LEN(B300)-2),
IF(D300="Teen Biography",RIGHT(B300,LEN(B300)-5),
IF(AND(D300="Audiobook",
              IFERROR(FIND("BIO",$B300)&gt;0,FALSE)),RIGHT(B300,LEN(B300)-3),
IF(D300="Juvenile Large Type","J "&amp;RIGHT(B300,LEN(B300)-11),
IF(D300="Teen Large Type","TEEN "&amp;RIGHT(B300,LEN(B300)-14),
IF(D300="Reference",RIGHT(B300,LEN(B300)-4),
IF(D300="DVD Educational",RIGHT(B300,LEN(B300)-7),
IF(D300="Juvenile DVD Educational",RIGHT(B300,LEN(B300)-9),
B300)))))))))))))))))</f>
        <v/>
      </c>
    </row>
    <row r="301" spans="1:8" ht="27" customHeight="1" x14ac:dyDescent="0.25">
      <c r="A301" s="10" t="str">
        <f ca="1">TEXT( INDIRECT( ADDRESS( ROW() + Row_Offset, INDIRECT( "Column_Number_" &amp; A$1), 4,1, tabname) ), "")</f>
        <v/>
      </c>
      <c r="B301" s="10" t="str">
        <f ca="1">TEXT(  IFERROR( VLOOKUP( $D301, CollName_Simplifier_Table[], 2, FALSE),"") &amp;
        INDIRECT( ADDRESS( ROW() + Row_Offset, INDIRECT( "Column_Number_" &amp; $B$1), 4,1, tabname) ), "")</f>
        <v/>
      </c>
      <c r="C301" s="10" t="str">
        <f ca="1">TEXT( INDIRECT( ADDRESS( ROW() + Row_Offset, INDIRECT( "Column_Number_" &amp; C$1), 4,1, tabname) ), "")</f>
        <v/>
      </c>
      <c r="D301" s="10" t="str">
        <f ca="1">TEXT( INDIRECT( ADDRESS( ROW() + Row_Offset, INDIRECT( "Column_Number_" &amp; D$1), 4,1, tabname) ), "")</f>
        <v/>
      </c>
      <c r="E301" s="10" t="str">
        <f ca="1">TEXT( INDIRECT( ADDRESS( ROW() + Row_Offset, INDIRECT( "Column_Number_" &amp; E$1), 4,1, tabname) ), "####")</f>
        <v/>
      </c>
      <c r="F301" s="15"/>
      <c r="G301" s="21" t="str">
        <f ca="1">IFERROR(INDEX(Rank_Table[],MATCH($D301&amp;$A301,Table4[Join],0)),"")</f>
        <v/>
      </c>
      <c r="H301" s="11" t="str">
        <f ca="1">IF(AND(D301="Juvenile Audiobook",LEFT(B301,8)="J CD BIO"),RIGHT(B301,LEN(B301)-9),
IF(AND(D301="Juvenile Audiobook",LEFT(B301,8)="J CD FIC"),B301,
IF(D301="Juvenile Audiobook",RIGHT(B301,LEN(B301)-5),
IF(AND(D301="Teen Audiobook",LEFT(B301,11)="TEEN CD BIO"),RIGHT(B301,LEN(B301)-12),
IF(AND(D301="Teen Audiobook",LEFT(B301,11)="TEEN CD FIC"),B301,
IF(D301="Juvenile Audiobook",RIGHT(B301,LEN(B301)-8),
IF(D301="Juvenile Nonfiction",RIGHT(B301,LEN(B301)-2),
IF(D301="Teen Nonfiction",RIGHT(B301,LEN(B301)-5),
IF(AND(D301="Audiobook",
              NOT(OR(Contains($B301,"CD BIO"),Contains($B301,"CD FIC")))),RIGHT(B301,LEN(B301)-3),
IF(D301="Juvenile Biography",RIGHT(B301,LEN(B301)-2),
IF(D301="Teen Biography",RIGHT(B301,LEN(B301)-5),
IF(AND(D301="Audiobook",
              IFERROR(FIND("BIO",$B301)&gt;0,FALSE)),RIGHT(B301,LEN(B301)-3),
IF(D301="Juvenile Large Type","J "&amp;RIGHT(B301,LEN(B301)-11),
IF(D301="Teen Large Type","TEEN "&amp;RIGHT(B301,LEN(B301)-14),
IF(D301="Reference",RIGHT(B301,LEN(B301)-4),
IF(D301="DVD Educational",RIGHT(B301,LEN(B301)-7),
IF(D301="Juvenile DVD Educational",RIGHT(B301,LEN(B301)-9),
B301)))))))))))))))))</f>
        <v/>
      </c>
    </row>
    <row r="302" spans="1:8" ht="27" customHeight="1" x14ac:dyDescent="0.25">
      <c r="A302" s="10" t="str">
        <f ca="1">TEXT( INDIRECT( ADDRESS( ROW() + Row_Offset, INDIRECT( "Column_Number_" &amp; A$1), 4,1, tabname) ), "")</f>
        <v/>
      </c>
      <c r="B302" s="10" t="str">
        <f ca="1">TEXT(  IFERROR( VLOOKUP( $D302, CollName_Simplifier_Table[], 2, FALSE),"") &amp;
        INDIRECT( ADDRESS( ROW() + Row_Offset, INDIRECT( "Column_Number_" &amp; $B$1), 4,1, tabname) ), "")</f>
        <v/>
      </c>
      <c r="C302" s="10" t="str">
        <f ca="1">TEXT( INDIRECT( ADDRESS( ROW() + Row_Offset, INDIRECT( "Column_Number_" &amp; C$1), 4,1, tabname) ), "")</f>
        <v/>
      </c>
      <c r="D302" s="10" t="str">
        <f ca="1">TEXT( INDIRECT( ADDRESS( ROW() + Row_Offset, INDIRECT( "Column_Number_" &amp; D$1), 4,1, tabname) ), "")</f>
        <v/>
      </c>
      <c r="E302" s="10" t="str">
        <f ca="1">TEXT( INDIRECT( ADDRESS( ROW() + Row_Offset, INDIRECT( "Column_Number_" &amp; E$1), 4,1, tabname) ), "####")</f>
        <v/>
      </c>
      <c r="F302" s="15"/>
      <c r="G302" s="21" t="str">
        <f ca="1">IFERROR(INDEX(Rank_Table[],MATCH($D302&amp;$A302,Table4[Join],0)),"")</f>
        <v/>
      </c>
      <c r="H302" s="11" t="str">
        <f ca="1">IF(AND(D302="Juvenile Audiobook",LEFT(B302,8)="J CD BIO"),RIGHT(B302,LEN(B302)-9),
IF(AND(D302="Juvenile Audiobook",LEFT(B302,8)="J CD FIC"),B302,
IF(D302="Juvenile Audiobook",RIGHT(B302,LEN(B302)-5),
IF(AND(D302="Teen Audiobook",LEFT(B302,11)="TEEN CD BIO"),RIGHT(B302,LEN(B302)-12),
IF(AND(D302="Teen Audiobook",LEFT(B302,11)="TEEN CD FIC"),B302,
IF(D302="Juvenile Audiobook",RIGHT(B302,LEN(B302)-8),
IF(D302="Juvenile Nonfiction",RIGHT(B302,LEN(B302)-2),
IF(D302="Teen Nonfiction",RIGHT(B302,LEN(B302)-5),
IF(AND(D302="Audiobook",
              NOT(OR(Contains($B302,"CD BIO"),Contains($B302,"CD FIC")))),RIGHT(B302,LEN(B302)-3),
IF(D302="Juvenile Biography",RIGHT(B302,LEN(B302)-2),
IF(D302="Teen Biography",RIGHT(B302,LEN(B302)-5),
IF(AND(D302="Audiobook",
              IFERROR(FIND("BIO",$B302)&gt;0,FALSE)),RIGHT(B302,LEN(B302)-3),
IF(D302="Juvenile Large Type","J "&amp;RIGHT(B302,LEN(B302)-11),
IF(D302="Teen Large Type","TEEN "&amp;RIGHT(B302,LEN(B302)-14),
IF(D302="Reference",RIGHT(B302,LEN(B302)-4),
IF(D302="DVD Educational",RIGHT(B302,LEN(B302)-7),
IF(D302="Juvenile DVD Educational",RIGHT(B302,LEN(B302)-9),
B302)))))))))))))))))</f>
        <v/>
      </c>
    </row>
    <row r="303" spans="1:8" ht="27" customHeight="1" x14ac:dyDescent="0.25">
      <c r="A303" s="10" t="str">
        <f ca="1">TEXT( INDIRECT( ADDRESS( ROW() + Row_Offset, INDIRECT( "Column_Number_" &amp; A$1), 4,1, tabname) ), "")</f>
        <v/>
      </c>
      <c r="B303" s="10" t="str">
        <f ca="1">TEXT(  IFERROR( VLOOKUP( $D303, CollName_Simplifier_Table[], 2, FALSE),"") &amp;
        INDIRECT( ADDRESS( ROW() + Row_Offset, INDIRECT( "Column_Number_" &amp; $B$1), 4,1, tabname) ), "")</f>
        <v/>
      </c>
      <c r="C303" s="10" t="str">
        <f ca="1">TEXT( INDIRECT( ADDRESS( ROW() + Row_Offset, INDIRECT( "Column_Number_" &amp; C$1), 4,1, tabname) ), "")</f>
        <v/>
      </c>
      <c r="D303" s="10" t="str">
        <f ca="1">TEXT( INDIRECT( ADDRESS( ROW() + Row_Offset, INDIRECT( "Column_Number_" &amp; D$1), 4,1, tabname) ), "")</f>
        <v/>
      </c>
      <c r="E303" s="10" t="str">
        <f ca="1">TEXT( INDIRECT( ADDRESS( ROW() + Row_Offset, INDIRECT( "Column_Number_" &amp; E$1), 4,1, tabname) ), "####")</f>
        <v/>
      </c>
      <c r="F303" s="15"/>
      <c r="G303" s="21" t="str">
        <f ca="1">IFERROR(INDEX(Rank_Table[],MATCH($D303&amp;$A303,Table4[Join],0)),"")</f>
        <v/>
      </c>
      <c r="H303" s="11" t="str">
        <f ca="1">IF(AND(D303="Juvenile Audiobook",LEFT(B303,8)="J CD BIO"),RIGHT(B303,LEN(B303)-9),
IF(AND(D303="Juvenile Audiobook",LEFT(B303,8)="J CD FIC"),B303,
IF(D303="Juvenile Audiobook",RIGHT(B303,LEN(B303)-5),
IF(AND(D303="Teen Audiobook",LEFT(B303,11)="TEEN CD BIO"),RIGHT(B303,LEN(B303)-12),
IF(AND(D303="Teen Audiobook",LEFT(B303,11)="TEEN CD FIC"),B303,
IF(D303="Juvenile Audiobook",RIGHT(B303,LEN(B303)-8),
IF(D303="Juvenile Nonfiction",RIGHT(B303,LEN(B303)-2),
IF(D303="Teen Nonfiction",RIGHT(B303,LEN(B303)-5),
IF(AND(D303="Audiobook",
              NOT(OR(Contains($B303,"CD BIO"),Contains($B303,"CD FIC")))),RIGHT(B303,LEN(B303)-3),
IF(D303="Juvenile Biography",RIGHT(B303,LEN(B303)-2),
IF(D303="Teen Biography",RIGHT(B303,LEN(B303)-5),
IF(AND(D303="Audiobook",
              IFERROR(FIND("BIO",$B303)&gt;0,FALSE)),RIGHT(B303,LEN(B303)-3),
IF(D303="Juvenile Large Type","J "&amp;RIGHT(B303,LEN(B303)-11),
IF(D303="Teen Large Type","TEEN "&amp;RIGHT(B303,LEN(B303)-14),
IF(D303="Reference",RIGHT(B303,LEN(B303)-4),
IF(D303="DVD Educational",RIGHT(B303,LEN(B303)-7),
IF(D303="Juvenile DVD Educational",RIGHT(B303,LEN(B303)-9),
B303)))))))))))))))))</f>
        <v/>
      </c>
    </row>
    <row r="304" spans="1:8" ht="27" customHeight="1" x14ac:dyDescent="0.25">
      <c r="A304" s="10" t="str">
        <f ca="1">TEXT( INDIRECT( ADDRESS( ROW() + Row_Offset, INDIRECT( "Column_Number_" &amp; A$1), 4,1, tabname) ), "")</f>
        <v/>
      </c>
      <c r="B304" s="10" t="str">
        <f ca="1">TEXT(  IFERROR( VLOOKUP( $D304, CollName_Simplifier_Table[], 2, FALSE),"") &amp;
        INDIRECT( ADDRESS( ROW() + Row_Offset, INDIRECT( "Column_Number_" &amp; $B$1), 4,1, tabname) ), "")</f>
        <v/>
      </c>
      <c r="C304" s="10" t="str">
        <f ca="1">TEXT( INDIRECT( ADDRESS( ROW() + Row_Offset, INDIRECT( "Column_Number_" &amp; C$1), 4,1, tabname) ), "")</f>
        <v/>
      </c>
      <c r="D304" s="10" t="str">
        <f ca="1">TEXT( INDIRECT( ADDRESS( ROW() + Row_Offset, INDIRECT( "Column_Number_" &amp; D$1), 4,1, tabname) ), "")</f>
        <v/>
      </c>
      <c r="E304" s="10" t="str">
        <f ca="1">TEXT( INDIRECT( ADDRESS( ROW() + Row_Offset, INDIRECT( "Column_Number_" &amp; E$1), 4,1, tabname) ), "####")</f>
        <v/>
      </c>
      <c r="F304" s="15"/>
      <c r="G304" s="21" t="str">
        <f ca="1">IFERROR(INDEX(Rank_Table[],MATCH($D304&amp;$A304,Table4[Join],0)),"")</f>
        <v/>
      </c>
      <c r="H304" s="11" t="str">
        <f ca="1">IF(AND(D304="Juvenile Audiobook",LEFT(B304,8)="J CD BIO"),RIGHT(B304,LEN(B304)-9),
IF(AND(D304="Juvenile Audiobook",LEFT(B304,8)="J CD FIC"),B304,
IF(D304="Juvenile Audiobook",RIGHT(B304,LEN(B304)-5),
IF(AND(D304="Teen Audiobook",LEFT(B304,11)="TEEN CD BIO"),RIGHT(B304,LEN(B304)-12),
IF(AND(D304="Teen Audiobook",LEFT(B304,11)="TEEN CD FIC"),B304,
IF(D304="Juvenile Audiobook",RIGHT(B304,LEN(B304)-8),
IF(D304="Juvenile Nonfiction",RIGHT(B304,LEN(B304)-2),
IF(D304="Teen Nonfiction",RIGHT(B304,LEN(B304)-5),
IF(AND(D304="Audiobook",
              NOT(OR(Contains($B304,"CD BIO"),Contains($B304,"CD FIC")))),RIGHT(B304,LEN(B304)-3),
IF(D304="Juvenile Biography",RIGHT(B304,LEN(B304)-2),
IF(D304="Teen Biography",RIGHT(B304,LEN(B304)-5),
IF(AND(D304="Audiobook",
              IFERROR(FIND("BIO",$B304)&gt;0,FALSE)),RIGHT(B304,LEN(B304)-3),
IF(D304="Juvenile Large Type","J "&amp;RIGHT(B304,LEN(B304)-11),
IF(D304="Teen Large Type","TEEN "&amp;RIGHT(B304,LEN(B304)-14),
IF(D304="Reference",RIGHT(B304,LEN(B304)-4),
IF(D304="DVD Educational",RIGHT(B304,LEN(B304)-7),
IF(D304="Juvenile DVD Educational",RIGHT(B304,LEN(B304)-9),
B304)))))))))))))))))</f>
        <v/>
      </c>
    </row>
    <row r="305" spans="1:8" ht="27" customHeight="1" x14ac:dyDescent="0.25">
      <c r="A305" s="10" t="str">
        <f ca="1">TEXT( INDIRECT( ADDRESS( ROW() + Row_Offset, INDIRECT( "Column_Number_" &amp; A$1), 4,1, tabname) ), "")</f>
        <v/>
      </c>
      <c r="B305" s="10" t="str">
        <f ca="1">TEXT(  IFERROR( VLOOKUP( $D305, CollName_Simplifier_Table[], 2, FALSE),"") &amp;
        INDIRECT( ADDRESS( ROW() + Row_Offset, INDIRECT( "Column_Number_" &amp; $B$1), 4,1, tabname) ), "")</f>
        <v/>
      </c>
      <c r="C305" s="10" t="str">
        <f ca="1">TEXT( INDIRECT( ADDRESS( ROW() + Row_Offset, INDIRECT( "Column_Number_" &amp; C$1), 4,1, tabname) ), "")</f>
        <v/>
      </c>
      <c r="D305" s="10" t="str">
        <f ca="1">TEXT( INDIRECT( ADDRESS( ROW() + Row_Offset, INDIRECT( "Column_Number_" &amp; D$1), 4,1, tabname) ), "")</f>
        <v/>
      </c>
      <c r="E305" s="10" t="str">
        <f ca="1">TEXT( INDIRECT( ADDRESS( ROW() + Row_Offset, INDIRECT( "Column_Number_" &amp; E$1), 4,1, tabname) ), "####")</f>
        <v/>
      </c>
      <c r="F305" s="15"/>
      <c r="G305" s="21" t="str">
        <f ca="1">IFERROR(INDEX(Rank_Table[],MATCH($D305&amp;$A305,Table4[Join],0)),"")</f>
        <v/>
      </c>
      <c r="H305" s="11" t="str">
        <f ca="1">IF(AND(D305="Juvenile Audiobook",LEFT(B305,8)="J CD BIO"),RIGHT(B305,LEN(B305)-9),
IF(AND(D305="Juvenile Audiobook",LEFT(B305,8)="J CD FIC"),B305,
IF(D305="Juvenile Audiobook",RIGHT(B305,LEN(B305)-5),
IF(AND(D305="Teen Audiobook",LEFT(B305,11)="TEEN CD BIO"),RIGHT(B305,LEN(B305)-12),
IF(AND(D305="Teen Audiobook",LEFT(B305,11)="TEEN CD FIC"),B305,
IF(D305="Juvenile Audiobook",RIGHT(B305,LEN(B305)-8),
IF(D305="Juvenile Nonfiction",RIGHT(B305,LEN(B305)-2),
IF(D305="Teen Nonfiction",RIGHT(B305,LEN(B305)-5),
IF(AND(D305="Audiobook",
              NOT(OR(Contains($B305,"CD BIO"),Contains($B305,"CD FIC")))),RIGHT(B305,LEN(B305)-3),
IF(D305="Juvenile Biography",RIGHT(B305,LEN(B305)-2),
IF(D305="Teen Biography",RIGHT(B305,LEN(B305)-5),
IF(AND(D305="Audiobook",
              IFERROR(FIND("BIO",$B305)&gt;0,FALSE)),RIGHT(B305,LEN(B305)-3),
IF(D305="Juvenile Large Type","J "&amp;RIGHT(B305,LEN(B305)-11),
IF(D305="Teen Large Type","TEEN "&amp;RIGHT(B305,LEN(B305)-14),
IF(D305="Reference",RIGHT(B305,LEN(B305)-4),
IF(D305="DVD Educational",RIGHT(B305,LEN(B305)-7),
IF(D305="Juvenile DVD Educational",RIGHT(B305,LEN(B305)-9),
B305)))))))))))))))))</f>
        <v/>
      </c>
    </row>
    <row r="306" spans="1:8" ht="27" customHeight="1" x14ac:dyDescent="0.25">
      <c r="A306" s="10" t="str">
        <f ca="1">TEXT( INDIRECT( ADDRESS( ROW() + Row_Offset, INDIRECT( "Column_Number_" &amp; A$1), 4,1, tabname) ), "")</f>
        <v/>
      </c>
      <c r="B306" s="10" t="str">
        <f ca="1">TEXT(  IFERROR( VLOOKUP( $D306, CollName_Simplifier_Table[], 2, FALSE),"") &amp;
        INDIRECT( ADDRESS( ROW() + Row_Offset, INDIRECT( "Column_Number_" &amp; $B$1), 4,1, tabname) ), "")</f>
        <v/>
      </c>
      <c r="C306" s="10" t="str">
        <f ca="1">TEXT( INDIRECT( ADDRESS( ROW() + Row_Offset, INDIRECT( "Column_Number_" &amp; C$1), 4,1, tabname) ), "")</f>
        <v/>
      </c>
      <c r="D306" s="10" t="str">
        <f ca="1">TEXT( INDIRECT( ADDRESS( ROW() + Row_Offset, INDIRECT( "Column_Number_" &amp; D$1), 4,1, tabname) ), "")</f>
        <v/>
      </c>
      <c r="E306" s="10" t="str">
        <f ca="1">TEXT( INDIRECT( ADDRESS( ROW() + Row_Offset, INDIRECT( "Column_Number_" &amp; E$1), 4,1, tabname) ), "####")</f>
        <v/>
      </c>
      <c r="F306" s="15"/>
      <c r="G306" s="21" t="str">
        <f ca="1">IFERROR(INDEX(Rank_Table[],MATCH($D306&amp;$A306,Table4[Join],0)),"")</f>
        <v/>
      </c>
      <c r="H306" s="11" t="str">
        <f ca="1">IF(AND(D306="Juvenile Audiobook",LEFT(B306,8)="J CD BIO"),RIGHT(B306,LEN(B306)-9),
IF(AND(D306="Juvenile Audiobook",LEFT(B306,8)="J CD FIC"),B306,
IF(D306="Juvenile Audiobook",RIGHT(B306,LEN(B306)-5),
IF(AND(D306="Teen Audiobook",LEFT(B306,11)="TEEN CD BIO"),RIGHT(B306,LEN(B306)-12),
IF(AND(D306="Teen Audiobook",LEFT(B306,11)="TEEN CD FIC"),B306,
IF(D306="Juvenile Audiobook",RIGHT(B306,LEN(B306)-8),
IF(D306="Juvenile Nonfiction",RIGHT(B306,LEN(B306)-2),
IF(D306="Teen Nonfiction",RIGHT(B306,LEN(B306)-5),
IF(AND(D306="Audiobook",
              NOT(OR(Contains($B306,"CD BIO"),Contains($B306,"CD FIC")))),RIGHT(B306,LEN(B306)-3),
IF(D306="Juvenile Biography",RIGHT(B306,LEN(B306)-2),
IF(D306="Teen Biography",RIGHT(B306,LEN(B306)-5),
IF(AND(D306="Audiobook",
              IFERROR(FIND("BIO",$B306)&gt;0,FALSE)),RIGHT(B306,LEN(B306)-3),
IF(D306="Juvenile Large Type","J "&amp;RIGHT(B306,LEN(B306)-11),
IF(D306="Teen Large Type","TEEN "&amp;RIGHT(B306,LEN(B306)-14),
IF(D306="Reference",RIGHT(B306,LEN(B306)-4),
IF(D306="DVD Educational",RIGHT(B306,LEN(B306)-7),
IF(D306="Juvenile DVD Educational",RIGHT(B306,LEN(B306)-9),
B306)))))))))))))))))</f>
        <v/>
      </c>
    </row>
    <row r="307" spans="1:8" ht="27" customHeight="1" x14ac:dyDescent="0.25">
      <c r="A307" s="10" t="str">
        <f ca="1">TEXT( INDIRECT( ADDRESS( ROW() + Row_Offset, INDIRECT( "Column_Number_" &amp; A$1), 4,1, tabname) ), "")</f>
        <v/>
      </c>
      <c r="B307" s="10" t="str">
        <f ca="1">TEXT(  IFERROR( VLOOKUP( $D307, CollName_Simplifier_Table[], 2, FALSE),"") &amp;
        INDIRECT( ADDRESS( ROW() + Row_Offset, INDIRECT( "Column_Number_" &amp; $B$1), 4,1, tabname) ), "")</f>
        <v/>
      </c>
      <c r="C307" s="10" t="str">
        <f ca="1">TEXT( INDIRECT( ADDRESS( ROW() + Row_Offset, INDIRECT( "Column_Number_" &amp; C$1), 4,1, tabname) ), "")</f>
        <v/>
      </c>
      <c r="D307" s="10" t="str">
        <f ca="1">TEXT( INDIRECT( ADDRESS( ROW() + Row_Offset, INDIRECT( "Column_Number_" &amp; D$1), 4,1, tabname) ), "")</f>
        <v/>
      </c>
      <c r="E307" s="10" t="str">
        <f ca="1">TEXT( INDIRECT( ADDRESS( ROW() + Row_Offset, INDIRECT( "Column_Number_" &amp; E$1), 4,1, tabname) ), "####")</f>
        <v/>
      </c>
      <c r="F307" s="15"/>
      <c r="G307" s="21" t="str">
        <f ca="1">IFERROR(INDEX(Rank_Table[],MATCH($D307&amp;$A307,Table4[Join],0)),"")</f>
        <v/>
      </c>
      <c r="H307" s="11" t="str">
        <f ca="1">IF(AND(D307="Juvenile Audiobook",LEFT(B307,8)="J CD BIO"),RIGHT(B307,LEN(B307)-9),
IF(AND(D307="Juvenile Audiobook",LEFT(B307,8)="J CD FIC"),B307,
IF(D307="Juvenile Audiobook",RIGHT(B307,LEN(B307)-5),
IF(AND(D307="Teen Audiobook",LEFT(B307,11)="TEEN CD BIO"),RIGHT(B307,LEN(B307)-12),
IF(AND(D307="Teen Audiobook",LEFT(B307,11)="TEEN CD FIC"),B307,
IF(D307="Juvenile Audiobook",RIGHT(B307,LEN(B307)-8),
IF(D307="Juvenile Nonfiction",RIGHT(B307,LEN(B307)-2),
IF(D307="Teen Nonfiction",RIGHT(B307,LEN(B307)-5),
IF(AND(D307="Audiobook",
              NOT(OR(Contains($B307,"CD BIO"),Contains($B307,"CD FIC")))),RIGHT(B307,LEN(B307)-3),
IF(D307="Juvenile Biography",RIGHT(B307,LEN(B307)-2),
IF(D307="Teen Biography",RIGHT(B307,LEN(B307)-5),
IF(AND(D307="Audiobook",
              IFERROR(FIND("BIO",$B307)&gt;0,FALSE)),RIGHT(B307,LEN(B307)-3),
IF(D307="Juvenile Large Type","J "&amp;RIGHT(B307,LEN(B307)-11),
IF(D307="Teen Large Type","TEEN "&amp;RIGHT(B307,LEN(B307)-14),
IF(D307="Reference",RIGHT(B307,LEN(B307)-4),
IF(D307="DVD Educational",RIGHT(B307,LEN(B307)-7),
IF(D307="Juvenile DVD Educational",RIGHT(B307,LEN(B307)-9),
B307)))))))))))))))))</f>
        <v/>
      </c>
    </row>
    <row r="308" spans="1:8" ht="27" customHeight="1" x14ac:dyDescent="0.25">
      <c r="A308" s="10" t="str">
        <f ca="1">TEXT( INDIRECT( ADDRESS( ROW() + Row_Offset, INDIRECT( "Column_Number_" &amp; A$1), 4,1, tabname) ), "")</f>
        <v/>
      </c>
      <c r="B308" s="10" t="str">
        <f ca="1">TEXT(  IFERROR( VLOOKUP( $D308, CollName_Simplifier_Table[], 2, FALSE),"") &amp;
        INDIRECT( ADDRESS( ROW() + Row_Offset, INDIRECT( "Column_Number_" &amp; $B$1), 4,1, tabname) ), "")</f>
        <v/>
      </c>
      <c r="C308" s="10" t="str">
        <f ca="1">TEXT( INDIRECT( ADDRESS( ROW() + Row_Offset, INDIRECT( "Column_Number_" &amp; C$1), 4,1, tabname) ), "")</f>
        <v/>
      </c>
      <c r="D308" s="10" t="str">
        <f ca="1">TEXT( INDIRECT( ADDRESS( ROW() + Row_Offset, INDIRECT( "Column_Number_" &amp; D$1), 4,1, tabname) ), "")</f>
        <v/>
      </c>
      <c r="E308" s="10" t="str">
        <f ca="1">TEXT( INDIRECT( ADDRESS( ROW() + Row_Offset, INDIRECT( "Column_Number_" &amp; E$1), 4,1, tabname) ), "####")</f>
        <v/>
      </c>
      <c r="F308" s="15"/>
      <c r="G308" s="21" t="str">
        <f ca="1">IFERROR(INDEX(Rank_Table[],MATCH($D308&amp;$A308,Table4[Join],0)),"")</f>
        <v/>
      </c>
      <c r="H308" s="11" t="str">
        <f ca="1">IF(AND(D308="Juvenile Audiobook",LEFT(B308,8)="J CD BIO"),RIGHT(B308,LEN(B308)-9),
IF(AND(D308="Juvenile Audiobook",LEFT(B308,8)="J CD FIC"),B308,
IF(D308="Juvenile Audiobook",RIGHT(B308,LEN(B308)-5),
IF(AND(D308="Teen Audiobook",LEFT(B308,11)="TEEN CD BIO"),RIGHT(B308,LEN(B308)-12),
IF(AND(D308="Teen Audiobook",LEFT(B308,11)="TEEN CD FIC"),B308,
IF(D308="Juvenile Audiobook",RIGHT(B308,LEN(B308)-8),
IF(D308="Juvenile Nonfiction",RIGHT(B308,LEN(B308)-2),
IF(D308="Teen Nonfiction",RIGHT(B308,LEN(B308)-5),
IF(AND(D308="Audiobook",
              NOT(OR(Contains($B308,"CD BIO"),Contains($B308,"CD FIC")))),RIGHT(B308,LEN(B308)-3),
IF(D308="Juvenile Biography",RIGHT(B308,LEN(B308)-2),
IF(D308="Teen Biography",RIGHT(B308,LEN(B308)-5),
IF(AND(D308="Audiobook",
              IFERROR(FIND("BIO",$B308)&gt;0,FALSE)),RIGHT(B308,LEN(B308)-3),
IF(D308="Juvenile Large Type","J "&amp;RIGHT(B308,LEN(B308)-11),
IF(D308="Teen Large Type","TEEN "&amp;RIGHT(B308,LEN(B308)-14),
IF(D308="Reference",RIGHT(B308,LEN(B308)-4),
IF(D308="DVD Educational",RIGHT(B308,LEN(B308)-7),
IF(D308="Juvenile DVD Educational",RIGHT(B308,LEN(B308)-9),
B308)))))))))))))))))</f>
        <v/>
      </c>
    </row>
    <row r="309" spans="1:8" ht="27" customHeight="1" x14ac:dyDescent="0.25">
      <c r="A309" s="10" t="str">
        <f ca="1">TEXT( INDIRECT( ADDRESS( ROW() + Row_Offset, INDIRECT( "Column_Number_" &amp; A$1), 4,1, tabname) ), "")</f>
        <v/>
      </c>
      <c r="B309" s="10" t="str">
        <f ca="1">TEXT(  IFERROR( VLOOKUP( $D309, CollName_Simplifier_Table[], 2, FALSE),"") &amp;
        INDIRECT( ADDRESS( ROW() + Row_Offset, INDIRECT( "Column_Number_" &amp; $B$1), 4,1, tabname) ), "")</f>
        <v/>
      </c>
      <c r="C309" s="10" t="str">
        <f ca="1">TEXT( INDIRECT( ADDRESS( ROW() + Row_Offset, INDIRECT( "Column_Number_" &amp; C$1), 4,1, tabname) ), "")</f>
        <v/>
      </c>
      <c r="D309" s="10" t="str">
        <f ca="1">TEXT( INDIRECT( ADDRESS( ROW() + Row_Offset, INDIRECT( "Column_Number_" &amp; D$1), 4,1, tabname) ), "")</f>
        <v/>
      </c>
      <c r="E309" s="10" t="str">
        <f ca="1">TEXT( INDIRECT( ADDRESS( ROW() + Row_Offset, INDIRECT( "Column_Number_" &amp; E$1), 4,1, tabname) ), "####")</f>
        <v/>
      </c>
      <c r="F309" s="15"/>
      <c r="G309" s="21" t="str">
        <f ca="1">IFERROR(INDEX(Rank_Table[],MATCH($D309&amp;$A309,Table4[Join],0)),"")</f>
        <v/>
      </c>
      <c r="H309" s="11" t="str">
        <f ca="1">IF(AND(D309="Juvenile Audiobook",LEFT(B309,8)="J CD BIO"),RIGHT(B309,LEN(B309)-9),
IF(AND(D309="Juvenile Audiobook",LEFT(B309,8)="J CD FIC"),B309,
IF(D309="Juvenile Audiobook",RIGHT(B309,LEN(B309)-5),
IF(AND(D309="Teen Audiobook",LEFT(B309,11)="TEEN CD BIO"),RIGHT(B309,LEN(B309)-12),
IF(AND(D309="Teen Audiobook",LEFT(B309,11)="TEEN CD FIC"),B309,
IF(D309="Juvenile Audiobook",RIGHT(B309,LEN(B309)-8),
IF(D309="Juvenile Nonfiction",RIGHT(B309,LEN(B309)-2),
IF(D309="Teen Nonfiction",RIGHT(B309,LEN(B309)-5),
IF(AND(D309="Audiobook",
              NOT(OR(Contains($B309,"CD BIO"),Contains($B309,"CD FIC")))),RIGHT(B309,LEN(B309)-3),
IF(D309="Juvenile Biography",RIGHT(B309,LEN(B309)-2),
IF(D309="Teen Biography",RIGHT(B309,LEN(B309)-5),
IF(AND(D309="Audiobook",
              IFERROR(FIND("BIO",$B309)&gt;0,FALSE)),RIGHT(B309,LEN(B309)-3),
IF(D309="Juvenile Large Type","J "&amp;RIGHT(B309,LEN(B309)-11),
IF(D309="Teen Large Type","TEEN "&amp;RIGHT(B309,LEN(B309)-14),
IF(D309="Reference",RIGHT(B309,LEN(B309)-4),
IF(D309="DVD Educational",RIGHT(B309,LEN(B309)-7),
IF(D309="Juvenile DVD Educational",RIGHT(B309,LEN(B309)-9),
B309)))))))))))))))))</f>
        <v/>
      </c>
    </row>
    <row r="310" spans="1:8" ht="27" customHeight="1" x14ac:dyDescent="0.25">
      <c r="A310" s="10" t="str">
        <f ca="1">TEXT( INDIRECT( ADDRESS( ROW() + Row_Offset, INDIRECT( "Column_Number_" &amp; A$1), 4,1, tabname) ), "")</f>
        <v/>
      </c>
      <c r="B310" s="10" t="str">
        <f ca="1">TEXT(  IFERROR( VLOOKUP( $D310, CollName_Simplifier_Table[], 2, FALSE),"") &amp;
        INDIRECT( ADDRESS( ROW() + Row_Offset, INDIRECT( "Column_Number_" &amp; $B$1), 4,1, tabname) ), "")</f>
        <v/>
      </c>
      <c r="C310" s="10" t="str">
        <f ca="1">TEXT( INDIRECT( ADDRESS( ROW() + Row_Offset, INDIRECT( "Column_Number_" &amp; C$1), 4,1, tabname) ), "")</f>
        <v/>
      </c>
      <c r="D310" s="10" t="str">
        <f ca="1">TEXT( INDIRECT( ADDRESS( ROW() + Row_Offset, INDIRECT( "Column_Number_" &amp; D$1), 4,1, tabname) ), "")</f>
        <v/>
      </c>
      <c r="E310" s="10" t="str">
        <f ca="1">TEXT( INDIRECT( ADDRESS( ROW() + Row_Offset, INDIRECT( "Column_Number_" &amp; E$1), 4,1, tabname) ), "####")</f>
        <v/>
      </c>
      <c r="F310" s="15"/>
      <c r="G310" s="21" t="str">
        <f ca="1">IFERROR(INDEX(Rank_Table[],MATCH($D310&amp;$A310,Table4[Join],0)),"")</f>
        <v/>
      </c>
      <c r="H310" s="11" t="str">
        <f ca="1">IF(AND(D310="Juvenile Audiobook",LEFT(B310,8)="J CD BIO"),RIGHT(B310,LEN(B310)-9),
IF(AND(D310="Juvenile Audiobook",LEFT(B310,8)="J CD FIC"),B310,
IF(D310="Juvenile Audiobook",RIGHT(B310,LEN(B310)-5),
IF(AND(D310="Teen Audiobook",LEFT(B310,11)="TEEN CD BIO"),RIGHT(B310,LEN(B310)-12),
IF(AND(D310="Teen Audiobook",LEFT(B310,11)="TEEN CD FIC"),B310,
IF(D310="Juvenile Audiobook",RIGHT(B310,LEN(B310)-8),
IF(D310="Juvenile Nonfiction",RIGHT(B310,LEN(B310)-2),
IF(D310="Teen Nonfiction",RIGHT(B310,LEN(B310)-5),
IF(AND(D310="Audiobook",
              NOT(OR(Contains($B310,"CD BIO"),Contains($B310,"CD FIC")))),RIGHT(B310,LEN(B310)-3),
IF(D310="Juvenile Biography",RIGHT(B310,LEN(B310)-2),
IF(D310="Teen Biography",RIGHT(B310,LEN(B310)-5),
IF(AND(D310="Audiobook",
              IFERROR(FIND("BIO",$B310)&gt;0,FALSE)),RIGHT(B310,LEN(B310)-3),
IF(D310="Juvenile Large Type","J "&amp;RIGHT(B310,LEN(B310)-11),
IF(D310="Teen Large Type","TEEN "&amp;RIGHT(B310,LEN(B310)-14),
IF(D310="Reference",RIGHT(B310,LEN(B310)-4),
IF(D310="DVD Educational",RIGHT(B310,LEN(B310)-7),
IF(D310="Juvenile DVD Educational",RIGHT(B310,LEN(B310)-9),
B310)))))))))))))))))</f>
        <v/>
      </c>
    </row>
    <row r="311" spans="1:8" ht="27" customHeight="1" x14ac:dyDescent="0.25">
      <c r="A311" s="10" t="str">
        <f ca="1">TEXT( INDIRECT( ADDRESS( ROW() + Row_Offset, INDIRECT( "Column_Number_" &amp; A$1), 4,1, tabname) ), "")</f>
        <v/>
      </c>
      <c r="B311" s="10" t="str">
        <f ca="1">TEXT(  IFERROR( VLOOKUP( $D311, CollName_Simplifier_Table[], 2, FALSE),"") &amp;
        INDIRECT( ADDRESS( ROW() + Row_Offset, INDIRECT( "Column_Number_" &amp; $B$1), 4,1, tabname) ), "")</f>
        <v/>
      </c>
      <c r="C311" s="10" t="str">
        <f ca="1">TEXT( INDIRECT( ADDRESS( ROW() + Row_Offset, INDIRECT( "Column_Number_" &amp; C$1), 4,1, tabname) ), "")</f>
        <v/>
      </c>
      <c r="D311" s="10" t="str">
        <f ca="1">TEXT( INDIRECT( ADDRESS( ROW() + Row_Offset, INDIRECT( "Column_Number_" &amp; D$1), 4,1, tabname) ), "")</f>
        <v/>
      </c>
      <c r="E311" s="10" t="str">
        <f ca="1">TEXT( INDIRECT( ADDRESS( ROW() + Row_Offset, INDIRECT( "Column_Number_" &amp; E$1), 4,1, tabname) ), "####")</f>
        <v/>
      </c>
      <c r="F311" s="15"/>
      <c r="G311" s="21" t="str">
        <f ca="1">IFERROR(INDEX(Rank_Table[],MATCH($D311&amp;$A311,Table4[Join],0)),"")</f>
        <v/>
      </c>
      <c r="H311" s="11" t="str">
        <f ca="1">IF(AND(D311="Juvenile Audiobook",LEFT(B311,8)="J CD BIO"),RIGHT(B311,LEN(B311)-9),
IF(AND(D311="Juvenile Audiobook",LEFT(B311,8)="J CD FIC"),B311,
IF(D311="Juvenile Audiobook",RIGHT(B311,LEN(B311)-5),
IF(AND(D311="Teen Audiobook",LEFT(B311,11)="TEEN CD BIO"),RIGHT(B311,LEN(B311)-12),
IF(AND(D311="Teen Audiobook",LEFT(B311,11)="TEEN CD FIC"),B311,
IF(D311="Juvenile Audiobook",RIGHT(B311,LEN(B311)-8),
IF(D311="Juvenile Nonfiction",RIGHT(B311,LEN(B311)-2),
IF(D311="Teen Nonfiction",RIGHT(B311,LEN(B311)-5),
IF(AND(D311="Audiobook",
              NOT(OR(Contains($B311,"CD BIO"),Contains($B311,"CD FIC")))),RIGHT(B311,LEN(B311)-3),
IF(D311="Juvenile Biography",RIGHT(B311,LEN(B311)-2),
IF(D311="Teen Biography",RIGHT(B311,LEN(B311)-5),
IF(AND(D311="Audiobook",
              IFERROR(FIND("BIO",$B311)&gt;0,FALSE)),RIGHT(B311,LEN(B311)-3),
IF(D311="Juvenile Large Type","J "&amp;RIGHT(B311,LEN(B311)-11),
IF(D311="Teen Large Type","TEEN "&amp;RIGHT(B311,LEN(B311)-14),
IF(D311="Reference",RIGHT(B311,LEN(B311)-4),
IF(D311="DVD Educational",RIGHT(B311,LEN(B311)-7),
IF(D311="Juvenile DVD Educational",RIGHT(B311,LEN(B311)-9),
B311)))))))))))))))))</f>
        <v/>
      </c>
    </row>
    <row r="312" spans="1:8" ht="27" customHeight="1" x14ac:dyDescent="0.25">
      <c r="A312" s="10" t="str">
        <f ca="1">TEXT( INDIRECT( ADDRESS( ROW() + Row_Offset, INDIRECT( "Column_Number_" &amp; A$1), 4,1, tabname) ), "")</f>
        <v/>
      </c>
      <c r="B312" s="10" t="str">
        <f ca="1">TEXT(  IFERROR( VLOOKUP( $D312, CollName_Simplifier_Table[], 2, FALSE),"") &amp;
        INDIRECT( ADDRESS( ROW() + Row_Offset, INDIRECT( "Column_Number_" &amp; $B$1), 4,1, tabname) ), "")</f>
        <v/>
      </c>
      <c r="C312" s="10" t="str">
        <f ca="1">TEXT( INDIRECT( ADDRESS( ROW() + Row_Offset, INDIRECT( "Column_Number_" &amp; C$1), 4,1, tabname) ), "")</f>
        <v/>
      </c>
      <c r="D312" s="10" t="str">
        <f ca="1">TEXT( INDIRECT( ADDRESS( ROW() + Row_Offset, INDIRECT( "Column_Number_" &amp; D$1), 4,1, tabname) ), "")</f>
        <v/>
      </c>
      <c r="E312" s="10" t="str">
        <f ca="1">TEXT( INDIRECT( ADDRESS( ROW() + Row_Offset, INDIRECT( "Column_Number_" &amp; E$1), 4,1, tabname) ), "####")</f>
        <v/>
      </c>
      <c r="F312" s="15"/>
      <c r="G312" s="21" t="str">
        <f ca="1">IFERROR(INDEX(Rank_Table[],MATCH($D312&amp;$A312,Table4[Join],0)),"")</f>
        <v/>
      </c>
      <c r="H312" s="11" t="str">
        <f ca="1">IF(AND(D312="Juvenile Audiobook",LEFT(B312,8)="J CD BIO"),RIGHT(B312,LEN(B312)-9),
IF(AND(D312="Juvenile Audiobook",LEFT(B312,8)="J CD FIC"),B312,
IF(D312="Juvenile Audiobook",RIGHT(B312,LEN(B312)-5),
IF(AND(D312="Teen Audiobook",LEFT(B312,11)="TEEN CD BIO"),RIGHT(B312,LEN(B312)-12),
IF(AND(D312="Teen Audiobook",LEFT(B312,11)="TEEN CD FIC"),B312,
IF(D312="Juvenile Audiobook",RIGHT(B312,LEN(B312)-8),
IF(D312="Juvenile Nonfiction",RIGHT(B312,LEN(B312)-2),
IF(D312="Teen Nonfiction",RIGHT(B312,LEN(B312)-5),
IF(AND(D312="Audiobook",
              NOT(OR(Contains($B312,"CD BIO"),Contains($B312,"CD FIC")))),RIGHT(B312,LEN(B312)-3),
IF(D312="Juvenile Biography",RIGHT(B312,LEN(B312)-2),
IF(D312="Teen Biography",RIGHT(B312,LEN(B312)-5),
IF(AND(D312="Audiobook",
              IFERROR(FIND("BIO",$B312)&gt;0,FALSE)),RIGHT(B312,LEN(B312)-3),
IF(D312="Juvenile Large Type","J "&amp;RIGHT(B312,LEN(B312)-11),
IF(D312="Teen Large Type","TEEN "&amp;RIGHT(B312,LEN(B312)-14),
IF(D312="Reference",RIGHT(B312,LEN(B312)-4),
IF(D312="DVD Educational",RIGHT(B312,LEN(B312)-7),
IF(D312="Juvenile DVD Educational",RIGHT(B312,LEN(B312)-9),
B312)))))))))))))))))</f>
        <v/>
      </c>
    </row>
    <row r="313" spans="1:8" ht="27" customHeight="1" x14ac:dyDescent="0.25">
      <c r="A313" s="10" t="str">
        <f ca="1">TEXT( INDIRECT( ADDRESS( ROW() + Row_Offset, INDIRECT( "Column_Number_" &amp; A$1), 4,1, tabname) ), "")</f>
        <v/>
      </c>
      <c r="B313" s="10" t="str">
        <f ca="1">TEXT(  IFERROR( VLOOKUP( $D313, CollName_Simplifier_Table[], 2, FALSE),"") &amp;
        INDIRECT( ADDRESS( ROW() + Row_Offset, INDIRECT( "Column_Number_" &amp; $B$1), 4,1, tabname) ), "")</f>
        <v/>
      </c>
      <c r="C313" s="10" t="str">
        <f ca="1">TEXT( INDIRECT( ADDRESS( ROW() + Row_Offset, INDIRECT( "Column_Number_" &amp; C$1), 4,1, tabname) ), "")</f>
        <v/>
      </c>
      <c r="D313" s="10" t="str">
        <f ca="1">TEXT( INDIRECT( ADDRESS( ROW() + Row_Offset, INDIRECT( "Column_Number_" &amp; D$1), 4,1, tabname) ), "")</f>
        <v/>
      </c>
      <c r="E313" s="10" t="str">
        <f ca="1">TEXT( INDIRECT( ADDRESS( ROW() + Row_Offset, INDIRECT( "Column_Number_" &amp; E$1), 4,1, tabname) ), "####")</f>
        <v/>
      </c>
      <c r="F313" s="15"/>
      <c r="G313" s="21" t="str">
        <f ca="1">IFERROR(INDEX(Rank_Table[],MATCH($D313&amp;$A313,Table4[Join],0)),"")</f>
        <v/>
      </c>
      <c r="H313" s="11" t="str">
        <f ca="1">IF(AND(D313="Juvenile Audiobook",LEFT(B313,8)="J CD BIO"),RIGHT(B313,LEN(B313)-9),
IF(AND(D313="Juvenile Audiobook",LEFT(B313,8)="J CD FIC"),B313,
IF(D313="Juvenile Audiobook",RIGHT(B313,LEN(B313)-5),
IF(AND(D313="Teen Audiobook",LEFT(B313,11)="TEEN CD BIO"),RIGHT(B313,LEN(B313)-12),
IF(AND(D313="Teen Audiobook",LEFT(B313,11)="TEEN CD FIC"),B313,
IF(D313="Juvenile Audiobook",RIGHT(B313,LEN(B313)-8),
IF(D313="Juvenile Nonfiction",RIGHT(B313,LEN(B313)-2),
IF(D313="Teen Nonfiction",RIGHT(B313,LEN(B313)-5),
IF(AND(D313="Audiobook",
              NOT(OR(Contains($B313,"CD BIO"),Contains($B313,"CD FIC")))),RIGHT(B313,LEN(B313)-3),
IF(D313="Juvenile Biography",RIGHT(B313,LEN(B313)-2),
IF(D313="Teen Biography",RIGHT(B313,LEN(B313)-5),
IF(AND(D313="Audiobook",
              IFERROR(FIND("BIO",$B313)&gt;0,FALSE)),RIGHT(B313,LEN(B313)-3),
IF(D313="Juvenile Large Type","J "&amp;RIGHT(B313,LEN(B313)-11),
IF(D313="Teen Large Type","TEEN "&amp;RIGHT(B313,LEN(B313)-14),
IF(D313="Reference",RIGHT(B313,LEN(B313)-4),
IF(D313="DVD Educational",RIGHT(B313,LEN(B313)-7),
IF(D313="Juvenile DVD Educational",RIGHT(B313,LEN(B313)-9),
B313)))))))))))))))))</f>
        <v/>
      </c>
    </row>
    <row r="314" spans="1:8" ht="27" customHeight="1" x14ac:dyDescent="0.25">
      <c r="A314" s="10" t="str">
        <f ca="1">TEXT( INDIRECT( ADDRESS( ROW() + Row_Offset, INDIRECT( "Column_Number_" &amp; A$1), 4,1, tabname) ), "")</f>
        <v/>
      </c>
      <c r="B314" s="10" t="str">
        <f ca="1">TEXT(  IFERROR( VLOOKUP( $D314, CollName_Simplifier_Table[], 2, FALSE),"") &amp;
        INDIRECT( ADDRESS( ROW() + Row_Offset, INDIRECT( "Column_Number_" &amp; $B$1), 4,1, tabname) ), "")</f>
        <v/>
      </c>
      <c r="C314" s="10" t="str">
        <f ca="1">TEXT( INDIRECT( ADDRESS( ROW() + Row_Offset, INDIRECT( "Column_Number_" &amp; C$1), 4,1, tabname) ), "")</f>
        <v/>
      </c>
      <c r="D314" s="10" t="str">
        <f ca="1">TEXT( INDIRECT( ADDRESS( ROW() + Row_Offset, INDIRECT( "Column_Number_" &amp; D$1), 4,1, tabname) ), "")</f>
        <v/>
      </c>
      <c r="E314" s="10" t="str">
        <f ca="1">TEXT( INDIRECT( ADDRESS( ROW() + Row_Offset, INDIRECT( "Column_Number_" &amp; E$1), 4,1, tabname) ), "####")</f>
        <v/>
      </c>
      <c r="F314" s="15"/>
      <c r="G314" s="21" t="str">
        <f ca="1">IFERROR(INDEX(Rank_Table[],MATCH($D314&amp;$A314,Table4[Join],0)),"")</f>
        <v/>
      </c>
      <c r="H314" s="11" t="str">
        <f ca="1">IF(AND(D314="Juvenile Audiobook",LEFT(B314,8)="J CD BIO"),RIGHT(B314,LEN(B314)-9),
IF(AND(D314="Juvenile Audiobook",LEFT(B314,8)="J CD FIC"),B314,
IF(D314="Juvenile Audiobook",RIGHT(B314,LEN(B314)-5),
IF(AND(D314="Teen Audiobook",LEFT(B314,11)="TEEN CD BIO"),RIGHT(B314,LEN(B314)-12),
IF(AND(D314="Teen Audiobook",LEFT(B314,11)="TEEN CD FIC"),B314,
IF(D314="Juvenile Audiobook",RIGHT(B314,LEN(B314)-8),
IF(D314="Juvenile Nonfiction",RIGHT(B314,LEN(B314)-2),
IF(D314="Teen Nonfiction",RIGHT(B314,LEN(B314)-5),
IF(AND(D314="Audiobook",
              NOT(OR(Contains($B314,"CD BIO"),Contains($B314,"CD FIC")))),RIGHT(B314,LEN(B314)-3),
IF(D314="Juvenile Biography",RIGHT(B314,LEN(B314)-2),
IF(D314="Teen Biography",RIGHT(B314,LEN(B314)-5),
IF(AND(D314="Audiobook",
              IFERROR(FIND("BIO",$B314)&gt;0,FALSE)),RIGHT(B314,LEN(B314)-3),
IF(D314="Juvenile Large Type","J "&amp;RIGHT(B314,LEN(B314)-11),
IF(D314="Teen Large Type","TEEN "&amp;RIGHT(B314,LEN(B314)-14),
IF(D314="Reference",RIGHT(B314,LEN(B314)-4),
IF(D314="DVD Educational",RIGHT(B314,LEN(B314)-7),
IF(D314="Juvenile DVD Educational",RIGHT(B314,LEN(B314)-9),
B314)))))))))))))))))</f>
        <v/>
      </c>
    </row>
    <row r="315" spans="1:8" ht="27" customHeight="1" x14ac:dyDescent="0.25">
      <c r="A315" s="10" t="str">
        <f ca="1">TEXT( INDIRECT( ADDRESS( ROW() + Row_Offset, INDIRECT( "Column_Number_" &amp; A$1), 4,1, tabname) ), "")</f>
        <v/>
      </c>
      <c r="B315" s="10" t="str">
        <f ca="1">TEXT(  IFERROR( VLOOKUP( $D315, CollName_Simplifier_Table[], 2, FALSE),"") &amp;
        INDIRECT( ADDRESS( ROW() + Row_Offset, INDIRECT( "Column_Number_" &amp; $B$1), 4,1, tabname) ), "")</f>
        <v/>
      </c>
      <c r="C315" s="10" t="str">
        <f ca="1">TEXT( INDIRECT( ADDRESS( ROW() + Row_Offset, INDIRECT( "Column_Number_" &amp; C$1), 4,1, tabname) ), "")</f>
        <v/>
      </c>
      <c r="D315" s="10" t="str">
        <f ca="1">TEXT( INDIRECT( ADDRESS( ROW() + Row_Offset, INDIRECT( "Column_Number_" &amp; D$1), 4,1, tabname) ), "")</f>
        <v/>
      </c>
      <c r="E315" s="10" t="str">
        <f ca="1">TEXT( INDIRECT( ADDRESS( ROW() + Row_Offset, INDIRECT( "Column_Number_" &amp; E$1), 4,1, tabname) ), "####")</f>
        <v/>
      </c>
      <c r="F315" s="15"/>
      <c r="G315" s="21" t="str">
        <f ca="1">IFERROR(INDEX(Rank_Table[],MATCH($D315&amp;$A315,Table4[Join],0)),"")</f>
        <v/>
      </c>
      <c r="H315" s="11" t="str">
        <f ca="1">IF(AND(D315="Juvenile Audiobook",LEFT(B315,8)="J CD BIO"),RIGHT(B315,LEN(B315)-9),
IF(AND(D315="Juvenile Audiobook",LEFT(B315,8)="J CD FIC"),B315,
IF(D315="Juvenile Audiobook",RIGHT(B315,LEN(B315)-5),
IF(AND(D315="Teen Audiobook",LEFT(B315,11)="TEEN CD BIO"),RIGHT(B315,LEN(B315)-12),
IF(AND(D315="Teen Audiobook",LEFT(B315,11)="TEEN CD FIC"),B315,
IF(D315="Juvenile Audiobook",RIGHT(B315,LEN(B315)-8),
IF(D315="Juvenile Nonfiction",RIGHT(B315,LEN(B315)-2),
IF(D315="Teen Nonfiction",RIGHT(B315,LEN(B315)-5),
IF(AND(D315="Audiobook",
              NOT(OR(Contains($B315,"CD BIO"),Contains($B315,"CD FIC")))),RIGHT(B315,LEN(B315)-3),
IF(D315="Juvenile Biography",RIGHT(B315,LEN(B315)-2),
IF(D315="Teen Biography",RIGHT(B315,LEN(B315)-5),
IF(AND(D315="Audiobook",
              IFERROR(FIND("BIO",$B315)&gt;0,FALSE)),RIGHT(B315,LEN(B315)-3),
IF(D315="Juvenile Large Type","J "&amp;RIGHT(B315,LEN(B315)-11),
IF(D315="Teen Large Type","TEEN "&amp;RIGHT(B315,LEN(B315)-14),
IF(D315="Reference",RIGHT(B315,LEN(B315)-4),
IF(D315="DVD Educational",RIGHT(B315,LEN(B315)-7),
IF(D315="Juvenile DVD Educational",RIGHT(B315,LEN(B315)-9),
B315)))))))))))))))))</f>
        <v/>
      </c>
    </row>
    <row r="316" spans="1:8" ht="27" customHeight="1" x14ac:dyDescent="0.25">
      <c r="A316" s="10" t="str">
        <f ca="1">TEXT( INDIRECT( ADDRESS( ROW() + Row_Offset, INDIRECT( "Column_Number_" &amp; A$1), 4,1, tabname) ), "")</f>
        <v/>
      </c>
      <c r="B316" s="10" t="str">
        <f ca="1">TEXT(  IFERROR( VLOOKUP( $D316, CollName_Simplifier_Table[], 2, FALSE),"") &amp;
        INDIRECT( ADDRESS( ROW() + Row_Offset, INDIRECT( "Column_Number_" &amp; $B$1), 4,1, tabname) ), "")</f>
        <v/>
      </c>
      <c r="C316" s="10" t="str">
        <f ca="1">TEXT( INDIRECT( ADDRESS( ROW() + Row_Offset, INDIRECT( "Column_Number_" &amp; C$1), 4,1, tabname) ), "")</f>
        <v/>
      </c>
      <c r="D316" s="10" t="str">
        <f ca="1">TEXT( INDIRECT( ADDRESS( ROW() + Row_Offset, INDIRECT( "Column_Number_" &amp; D$1), 4,1, tabname) ), "")</f>
        <v/>
      </c>
      <c r="E316" s="10" t="str">
        <f ca="1">TEXT( INDIRECT( ADDRESS( ROW() + Row_Offset, INDIRECT( "Column_Number_" &amp; E$1), 4,1, tabname) ), "####")</f>
        <v/>
      </c>
      <c r="F316" s="15"/>
      <c r="G316" s="21" t="str">
        <f ca="1">IFERROR(INDEX(Rank_Table[],MATCH($D316&amp;$A316,Table4[Join],0)),"")</f>
        <v/>
      </c>
      <c r="H316" s="11" t="str">
        <f ca="1">IF(AND(D316="Juvenile Audiobook",LEFT(B316,8)="J CD BIO"),RIGHT(B316,LEN(B316)-9),
IF(AND(D316="Juvenile Audiobook",LEFT(B316,8)="J CD FIC"),B316,
IF(D316="Juvenile Audiobook",RIGHT(B316,LEN(B316)-5),
IF(AND(D316="Teen Audiobook",LEFT(B316,11)="TEEN CD BIO"),RIGHT(B316,LEN(B316)-12),
IF(AND(D316="Teen Audiobook",LEFT(B316,11)="TEEN CD FIC"),B316,
IF(D316="Juvenile Audiobook",RIGHT(B316,LEN(B316)-8),
IF(D316="Juvenile Nonfiction",RIGHT(B316,LEN(B316)-2),
IF(D316="Teen Nonfiction",RIGHT(B316,LEN(B316)-5),
IF(AND(D316="Audiobook",
              NOT(OR(Contains($B316,"CD BIO"),Contains($B316,"CD FIC")))),RIGHT(B316,LEN(B316)-3),
IF(D316="Juvenile Biography",RIGHT(B316,LEN(B316)-2),
IF(D316="Teen Biography",RIGHT(B316,LEN(B316)-5),
IF(AND(D316="Audiobook",
              IFERROR(FIND("BIO",$B316)&gt;0,FALSE)),RIGHT(B316,LEN(B316)-3),
IF(D316="Juvenile Large Type","J "&amp;RIGHT(B316,LEN(B316)-11),
IF(D316="Teen Large Type","TEEN "&amp;RIGHT(B316,LEN(B316)-14),
IF(D316="Reference",RIGHT(B316,LEN(B316)-4),
IF(D316="DVD Educational",RIGHT(B316,LEN(B316)-7),
IF(D316="Juvenile DVD Educational",RIGHT(B316,LEN(B316)-9),
B316)))))))))))))))))</f>
        <v/>
      </c>
    </row>
    <row r="317" spans="1:8" ht="27" customHeight="1" x14ac:dyDescent="0.25">
      <c r="A317" s="10" t="str">
        <f ca="1">TEXT( INDIRECT( ADDRESS( ROW() + Row_Offset, INDIRECT( "Column_Number_" &amp; A$1), 4,1, tabname) ), "")</f>
        <v/>
      </c>
      <c r="B317" s="10" t="str">
        <f ca="1">TEXT(  IFERROR( VLOOKUP( $D317, CollName_Simplifier_Table[], 2, FALSE),"") &amp;
        INDIRECT( ADDRESS( ROW() + Row_Offset, INDIRECT( "Column_Number_" &amp; $B$1), 4,1, tabname) ), "")</f>
        <v/>
      </c>
      <c r="C317" s="10" t="str">
        <f ca="1">TEXT( INDIRECT( ADDRESS( ROW() + Row_Offset, INDIRECT( "Column_Number_" &amp; C$1), 4,1, tabname) ), "")</f>
        <v/>
      </c>
      <c r="D317" s="10" t="str">
        <f ca="1">TEXT( INDIRECT( ADDRESS( ROW() + Row_Offset, INDIRECT( "Column_Number_" &amp; D$1), 4,1, tabname) ), "")</f>
        <v/>
      </c>
      <c r="E317" s="10" t="str">
        <f ca="1">TEXT( INDIRECT( ADDRESS( ROW() + Row_Offset, INDIRECT( "Column_Number_" &amp; E$1), 4,1, tabname) ), "####")</f>
        <v/>
      </c>
      <c r="F317" s="15"/>
      <c r="G317" s="21" t="str">
        <f ca="1">IFERROR(INDEX(Rank_Table[],MATCH($D317&amp;$A317,Table4[Join],0)),"")</f>
        <v/>
      </c>
      <c r="H317" s="11" t="str">
        <f ca="1">IF(AND(D317="Juvenile Audiobook",LEFT(B317,8)="J CD BIO"),RIGHT(B317,LEN(B317)-9),
IF(AND(D317="Juvenile Audiobook",LEFT(B317,8)="J CD FIC"),B317,
IF(D317="Juvenile Audiobook",RIGHT(B317,LEN(B317)-5),
IF(AND(D317="Teen Audiobook",LEFT(B317,11)="TEEN CD BIO"),RIGHT(B317,LEN(B317)-12),
IF(AND(D317="Teen Audiobook",LEFT(B317,11)="TEEN CD FIC"),B317,
IF(D317="Juvenile Audiobook",RIGHT(B317,LEN(B317)-8),
IF(D317="Juvenile Nonfiction",RIGHT(B317,LEN(B317)-2),
IF(D317="Teen Nonfiction",RIGHT(B317,LEN(B317)-5),
IF(AND(D317="Audiobook",
              NOT(OR(Contains($B317,"CD BIO"),Contains($B317,"CD FIC")))),RIGHT(B317,LEN(B317)-3),
IF(D317="Juvenile Biography",RIGHT(B317,LEN(B317)-2),
IF(D317="Teen Biography",RIGHT(B317,LEN(B317)-5),
IF(AND(D317="Audiobook",
              IFERROR(FIND("BIO",$B317)&gt;0,FALSE)),RIGHT(B317,LEN(B317)-3),
IF(D317="Juvenile Large Type","J "&amp;RIGHT(B317,LEN(B317)-11),
IF(D317="Teen Large Type","TEEN "&amp;RIGHT(B317,LEN(B317)-14),
IF(D317="Reference",RIGHT(B317,LEN(B317)-4),
IF(D317="DVD Educational",RIGHT(B317,LEN(B317)-7),
IF(D317="Juvenile DVD Educational",RIGHT(B317,LEN(B317)-9),
B317)))))))))))))))))</f>
        <v/>
      </c>
    </row>
    <row r="318" spans="1:8" ht="27" customHeight="1" x14ac:dyDescent="0.25">
      <c r="A318" s="10" t="str">
        <f ca="1">TEXT( INDIRECT( ADDRESS( ROW() + Row_Offset, INDIRECT( "Column_Number_" &amp; A$1), 4,1, tabname) ), "")</f>
        <v/>
      </c>
      <c r="B318" s="10" t="str">
        <f ca="1">TEXT(  IFERROR( VLOOKUP( $D318, CollName_Simplifier_Table[], 2, FALSE),"") &amp;
        INDIRECT( ADDRESS( ROW() + Row_Offset, INDIRECT( "Column_Number_" &amp; $B$1), 4,1, tabname) ), "")</f>
        <v/>
      </c>
      <c r="C318" s="10" t="str">
        <f ca="1">TEXT( INDIRECT( ADDRESS( ROW() + Row_Offset, INDIRECT( "Column_Number_" &amp; C$1), 4,1, tabname) ), "")</f>
        <v/>
      </c>
      <c r="D318" s="10" t="str">
        <f ca="1">TEXT( INDIRECT( ADDRESS( ROW() + Row_Offset, INDIRECT( "Column_Number_" &amp; D$1), 4,1, tabname) ), "")</f>
        <v/>
      </c>
      <c r="E318" s="10" t="str">
        <f ca="1">TEXT( INDIRECT( ADDRESS( ROW() + Row_Offset, INDIRECT( "Column_Number_" &amp; E$1), 4,1, tabname) ), "####")</f>
        <v/>
      </c>
      <c r="F318" s="15"/>
      <c r="G318" s="21" t="str">
        <f ca="1">IFERROR(INDEX(Rank_Table[],MATCH($D318&amp;$A318,Table4[Join],0)),"")</f>
        <v/>
      </c>
      <c r="H318" s="11" t="str">
        <f ca="1">IF(AND(D318="Juvenile Audiobook",LEFT(B318,8)="J CD BIO"),RIGHT(B318,LEN(B318)-9),
IF(AND(D318="Juvenile Audiobook",LEFT(B318,8)="J CD FIC"),B318,
IF(D318="Juvenile Audiobook",RIGHT(B318,LEN(B318)-5),
IF(AND(D318="Teen Audiobook",LEFT(B318,11)="TEEN CD BIO"),RIGHT(B318,LEN(B318)-12),
IF(AND(D318="Teen Audiobook",LEFT(B318,11)="TEEN CD FIC"),B318,
IF(D318="Juvenile Audiobook",RIGHT(B318,LEN(B318)-8),
IF(D318="Juvenile Nonfiction",RIGHT(B318,LEN(B318)-2),
IF(D318="Teen Nonfiction",RIGHT(B318,LEN(B318)-5),
IF(AND(D318="Audiobook",
              NOT(OR(Contains($B318,"CD BIO"),Contains($B318,"CD FIC")))),RIGHT(B318,LEN(B318)-3),
IF(D318="Juvenile Biography",RIGHT(B318,LEN(B318)-2),
IF(D318="Teen Biography",RIGHT(B318,LEN(B318)-5),
IF(AND(D318="Audiobook",
              IFERROR(FIND("BIO",$B318)&gt;0,FALSE)),RIGHT(B318,LEN(B318)-3),
IF(D318="Juvenile Large Type","J "&amp;RIGHT(B318,LEN(B318)-11),
IF(D318="Teen Large Type","TEEN "&amp;RIGHT(B318,LEN(B318)-14),
IF(D318="Reference",RIGHT(B318,LEN(B318)-4),
IF(D318="DVD Educational",RIGHT(B318,LEN(B318)-7),
IF(D318="Juvenile DVD Educational",RIGHT(B318,LEN(B318)-9),
B318)))))))))))))))))</f>
        <v/>
      </c>
    </row>
    <row r="319" spans="1:8" ht="27" customHeight="1" x14ac:dyDescent="0.25">
      <c r="A319" s="10" t="str">
        <f ca="1">TEXT( INDIRECT( ADDRESS( ROW() + Row_Offset, INDIRECT( "Column_Number_" &amp; A$1), 4,1, tabname) ), "")</f>
        <v/>
      </c>
      <c r="B319" s="10" t="str">
        <f ca="1">TEXT(  IFERROR( VLOOKUP( $D319, CollName_Simplifier_Table[], 2, FALSE),"") &amp;
        INDIRECT( ADDRESS( ROW() + Row_Offset, INDIRECT( "Column_Number_" &amp; $B$1), 4,1, tabname) ), "")</f>
        <v/>
      </c>
      <c r="C319" s="10" t="str">
        <f ca="1">TEXT( INDIRECT( ADDRESS( ROW() + Row_Offset, INDIRECT( "Column_Number_" &amp; C$1), 4,1, tabname) ), "")</f>
        <v/>
      </c>
      <c r="D319" s="10" t="str">
        <f ca="1">TEXT( INDIRECT( ADDRESS( ROW() + Row_Offset, INDIRECT( "Column_Number_" &amp; D$1), 4,1, tabname) ), "")</f>
        <v/>
      </c>
      <c r="E319" s="10" t="str">
        <f ca="1">TEXT( INDIRECT( ADDRESS( ROW() + Row_Offset, INDIRECT( "Column_Number_" &amp; E$1), 4,1, tabname) ), "####")</f>
        <v/>
      </c>
      <c r="F319" s="15"/>
      <c r="G319" s="21" t="str">
        <f ca="1">IFERROR(INDEX(Rank_Table[],MATCH($D319&amp;$A319,Table4[Join],0)),"")</f>
        <v/>
      </c>
      <c r="H319" s="11" t="str">
        <f ca="1">IF(AND(D319="Juvenile Audiobook",LEFT(B319,8)="J CD BIO"),RIGHT(B319,LEN(B319)-9),
IF(AND(D319="Juvenile Audiobook",LEFT(B319,8)="J CD FIC"),B319,
IF(D319="Juvenile Audiobook",RIGHT(B319,LEN(B319)-5),
IF(AND(D319="Teen Audiobook",LEFT(B319,11)="TEEN CD BIO"),RIGHT(B319,LEN(B319)-12),
IF(AND(D319="Teen Audiobook",LEFT(B319,11)="TEEN CD FIC"),B319,
IF(D319="Juvenile Audiobook",RIGHT(B319,LEN(B319)-8),
IF(D319="Juvenile Nonfiction",RIGHT(B319,LEN(B319)-2),
IF(D319="Teen Nonfiction",RIGHT(B319,LEN(B319)-5),
IF(AND(D319="Audiobook",
              NOT(OR(Contains($B319,"CD BIO"),Contains($B319,"CD FIC")))),RIGHT(B319,LEN(B319)-3),
IF(D319="Juvenile Biography",RIGHT(B319,LEN(B319)-2),
IF(D319="Teen Biography",RIGHT(B319,LEN(B319)-5),
IF(AND(D319="Audiobook",
              IFERROR(FIND("BIO",$B319)&gt;0,FALSE)),RIGHT(B319,LEN(B319)-3),
IF(D319="Juvenile Large Type","J "&amp;RIGHT(B319,LEN(B319)-11),
IF(D319="Teen Large Type","TEEN "&amp;RIGHT(B319,LEN(B319)-14),
IF(D319="Reference",RIGHT(B319,LEN(B319)-4),
IF(D319="DVD Educational",RIGHT(B319,LEN(B319)-7),
IF(D319="Juvenile DVD Educational",RIGHT(B319,LEN(B319)-9),
B319)))))))))))))))))</f>
        <v/>
      </c>
    </row>
    <row r="320" spans="1:8" ht="27" customHeight="1" x14ac:dyDescent="0.25">
      <c r="A320" s="10" t="str">
        <f ca="1">TEXT( INDIRECT( ADDRESS( ROW() + Row_Offset, INDIRECT( "Column_Number_" &amp; A$1), 4,1, tabname) ), "")</f>
        <v/>
      </c>
      <c r="B320" s="10" t="str">
        <f ca="1">TEXT(  IFERROR( VLOOKUP( $D320, CollName_Simplifier_Table[], 2, FALSE),"") &amp;
        INDIRECT( ADDRESS( ROW() + Row_Offset, INDIRECT( "Column_Number_" &amp; $B$1), 4,1, tabname) ), "")</f>
        <v/>
      </c>
      <c r="C320" s="10" t="str">
        <f ca="1">TEXT( INDIRECT( ADDRESS( ROW() + Row_Offset, INDIRECT( "Column_Number_" &amp; C$1), 4,1, tabname) ), "")</f>
        <v/>
      </c>
      <c r="D320" s="10" t="str">
        <f ca="1">TEXT( INDIRECT( ADDRESS( ROW() + Row_Offset, INDIRECT( "Column_Number_" &amp; D$1), 4,1, tabname) ), "")</f>
        <v/>
      </c>
      <c r="E320" s="10" t="str">
        <f ca="1">TEXT( INDIRECT( ADDRESS( ROW() + Row_Offset, INDIRECT( "Column_Number_" &amp; E$1), 4,1, tabname) ), "####")</f>
        <v/>
      </c>
      <c r="F320" s="15"/>
      <c r="G320" s="21" t="str">
        <f ca="1">IFERROR(INDEX(Rank_Table[],MATCH($D320&amp;$A320,Table4[Join],0)),"")</f>
        <v/>
      </c>
      <c r="H320" s="11" t="str">
        <f ca="1">IF(AND(D320="Juvenile Audiobook",LEFT(B320,8)="J CD BIO"),RIGHT(B320,LEN(B320)-9),
IF(AND(D320="Juvenile Audiobook",LEFT(B320,8)="J CD FIC"),B320,
IF(D320="Juvenile Audiobook",RIGHT(B320,LEN(B320)-5),
IF(AND(D320="Teen Audiobook",LEFT(B320,11)="TEEN CD BIO"),RIGHT(B320,LEN(B320)-12),
IF(AND(D320="Teen Audiobook",LEFT(B320,11)="TEEN CD FIC"),B320,
IF(D320="Juvenile Audiobook",RIGHT(B320,LEN(B320)-8),
IF(D320="Juvenile Nonfiction",RIGHT(B320,LEN(B320)-2),
IF(D320="Teen Nonfiction",RIGHT(B320,LEN(B320)-5),
IF(AND(D320="Audiobook",
              NOT(OR(Contains($B320,"CD BIO"),Contains($B320,"CD FIC")))),RIGHT(B320,LEN(B320)-3),
IF(D320="Juvenile Biography",RIGHT(B320,LEN(B320)-2),
IF(D320="Teen Biography",RIGHT(B320,LEN(B320)-5),
IF(AND(D320="Audiobook",
              IFERROR(FIND("BIO",$B320)&gt;0,FALSE)),RIGHT(B320,LEN(B320)-3),
IF(D320="Juvenile Large Type","J "&amp;RIGHT(B320,LEN(B320)-11),
IF(D320="Teen Large Type","TEEN "&amp;RIGHT(B320,LEN(B320)-14),
IF(D320="Reference",RIGHT(B320,LEN(B320)-4),
IF(D320="DVD Educational",RIGHT(B320,LEN(B320)-7),
IF(D320="Juvenile DVD Educational",RIGHT(B320,LEN(B320)-9),
B320)))))))))))))))))</f>
        <v/>
      </c>
    </row>
    <row r="321" spans="1:8" ht="27" customHeight="1" x14ac:dyDescent="0.25">
      <c r="A321" s="10" t="str">
        <f ca="1">TEXT( INDIRECT( ADDRESS( ROW() + Row_Offset, INDIRECT( "Column_Number_" &amp; A$1), 4,1, tabname) ), "")</f>
        <v/>
      </c>
      <c r="B321" s="10" t="str">
        <f ca="1">TEXT(  IFERROR( VLOOKUP( $D321, CollName_Simplifier_Table[], 2, FALSE),"") &amp;
        INDIRECT( ADDRESS( ROW() + Row_Offset, INDIRECT( "Column_Number_" &amp; $B$1), 4,1, tabname) ), "")</f>
        <v/>
      </c>
      <c r="C321" s="10" t="str">
        <f ca="1">TEXT( INDIRECT( ADDRESS( ROW() + Row_Offset, INDIRECT( "Column_Number_" &amp; C$1), 4,1, tabname) ), "")</f>
        <v/>
      </c>
      <c r="D321" s="10" t="str">
        <f ca="1">TEXT( INDIRECT( ADDRESS( ROW() + Row_Offset, INDIRECT( "Column_Number_" &amp; D$1), 4,1, tabname) ), "")</f>
        <v/>
      </c>
      <c r="E321" s="10" t="str">
        <f ca="1">TEXT( INDIRECT( ADDRESS( ROW() + Row_Offset, INDIRECT( "Column_Number_" &amp; E$1), 4,1, tabname) ), "####")</f>
        <v/>
      </c>
      <c r="F321" s="15"/>
      <c r="G321" s="21" t="str">
        <f ca="1">IFERROR(INDEX(Rank_Table[],MATCH($D321&amp;$A321,Table4[Join],0)),"")</f>
        <v/>
      </c>
      <c r="H321" s="11" t="str">
        <f ca="1">IF(AND(D321="Juvenile Audiobook",LEFT(B321,8)="J CD BIO"),RIGHT(B321,LEN(B321)-9),
IF(AND(D321="Juvenile Audiobook",LEFT(B321,8)="J CD FIC"),B321,
IF(D321="Juvenile Audiobook",RIGHT(B321,LEN(B321)-5),
IF(AND(D321="Teen Audiobook",LEFT(B321,11)="TEEN CD BIO"),RIGHT(B321,LEN(B321)-12),
IF(AND(D321="Teen Audiobook",LEFT(B321,11)="TEEN CD FIC"),B321,
IF(D321="Juvenile Audiobook",RIGHT(B321,LEN(B321)-8),
IF(D321="Juvenile Nonfiction",RIGHT(B321,LEN(B321)-2),
IF(D321="Teen Nonfiction",RIGHT(B321,LEN(B321)-5),
IF(AND(D321="Audiobook",
              NOT(OR(Contains($B321,"CD BIO"),Contains($B321,"CD FIC")))),RIGHT(B321,LEN(B321)-3),
IF(D321="Juvenile Biography",RIGHT(B321,LEN(B321)-2),
IF(D321="Teen Biography",RIGHT(B321,LEN(B321)-5),
IF(AND(D321="Audiobook",
              IFERROR(FIND("BIO",$B321)&gt;0,FALSE)),RIGHT(B321,LEN(B321)-3),
IF(D321="Juvenile Large Type","J "&amp;RIGHT(B321,LEN(B321)-11),
IF(D321="Teen Large Type","TEEN "&amp;RIGHT(B321,LEN(B321)-14),
IF(D321="Reference",RIGHT(B321,LEN(B321)-4),
IF(D321="DVD Educational",RIGHT(B321,LEN(B321)-7),
IF(D321="Juvenile DVD Educational",RIGHT(B321,LEN(B321)-9),
B321)))))))))))))))))</f>
        <v/>
      </c>
    </row>
    <row r="322" spans="1:8" ht="27" customHeight="1" x14ac:dyDescent="0.25">
      <c r="A322" s="10" t="str">
        <f ca="1">TEXT( INDIRECT( ADDRESS( ROW() + Row_Offset, INDIRECT( "Column_Number_" &amp; A$1), 4,1, tabname) ), "")</f>
        <v/>
      </c>
      <c r="B322" s="10" t="str">
        <f ca="1">TEXT(  IFERROR( VLOOKUP( $D322, CollName_Simplifier_Table[], 2, FALSE),"") &amp;
        INDIRECT( ADDRESS( ROW() + Row_Offset, INDIRECT( "Column_Number_" &amp; $B$1), 4,1, tabname) ), "")</f>
        <v/>
      </c>
      <c r="C322" s="10" t="str">
        <f ca="1">TEXT( INDIRECT( ADDRESS( ROW() + Row_Offset, INDIRECT( "Column_Number_" &amp; C$1), 4,1, tabname) ), "")</f>
        <v/>
      </c>
      <c r="D322" s="10" t="str">
        <f ca="1">TEXT( INDIRECT( ADDRESS( ROW() + Row_Offset, INDIRECT( "Column_Number_" &amp; D$1), 4,1, tabname) ), "")</f>
        <v/>
      </c>
      <c r="E322" s="10" t="str">
        <f ca="1">TEXT( INDIRECT( ADDRESS( ROW() + Row_Offset, INDIRECT( "Column_Number_" &amp; E$1), 4,1, tabname) ), "####")</f>
        <v/>
      </c>
      <c r="F322" s="15"/>
      <c r="G322" s="21" t="str">
        <f ca="1">IFERROR(INDEX(Rank_Table[],MATCH($D322&amp;$A322,Table4[Join],0)),"")</f>
        <v/>
      </c>
      <c r="H322" s="11" t="str">
        <f ca="1">IF(AND(D322="Juvenile Audiobook",LEFT(B322,8)="J CD BIO"),RIGHT(B322,LEN(B322)-9),
IF(AND(D322="Juvenile Audiobook",LEFT(B322,8)="J CD FIC"),B322,
IF(D322="Juvenile Audiobook",RIGHT(B322,LEN(B322)-5),
IF(AND(D322="Teen Audiobook",LEFT(B322,11)="TEEN CD BIO"),RIGHT(B322,LEN(B322)-12),
IF(AND(D322="Teen Audiobook",LEFT(B322,11)="TEEN CD FIC"),B322,
IF(D322="Juvenile Audiobook",RIGHT(B322,LEN(B322)-8),
IF(D322="Juvenile Nonfiction",RIGHT(B322,LEN(B322)-2),
IF(D322="Teen Nonfiction",RIGHT(B322,LEN(B322)-5),
IF(AND(D322="Audiobook",
              NOT(OR(Contains($B322,"CD BIO"),Contains($B322,"CD FIC")))),RIGHT(B322,LEN(B322)-3),
IF(D322="Juvenile Biography",RIGHT(B322,LEN(B322)-2),
IF(D322="Teen Biography",RIGHT(B322,LEN(B322)-5),
IF(AND(D322="Audiobook",
              IFERROR(FIND("BIO",$B322)&gt;0,FALSE)),RIGHT(B322,LEN(B322)-3),
IF(D322="Juvenile Large Type","J "&amp;RIGHT(B322,LEN(B322)-11),
IF(D322="Teen Large Type","TEEN "&amp;RIGHT(B322,LEN(B322)-14),
IF(D322="Reference",RIGHT(B322,LEN(B322)-4),
IF(D322="DVD Educational",RIGHT(B322,LEN(B322)-7),
IF(D322="Juvenile DVD Educational",RIGHT(B322,LEN(B322)-9),
B322)))))))))))))))))</f>
        <v/>
      </c>
    </row>
    <row r="323" spans="1:8" ht="27" customHeight="1" x14ac:dyDescent="0.25">
      <c r="A323" s="10" t="str">
        <f ca="1">TEXT( INDIRECT( ADDRESS( ROW() + Row_Offset, INDIRECT( "Column_Number_" &amp; A$1), 4,1, tabname) ), "")</f>
        <v/>
      </c>
      <c r="B323" s="10" t="str">
        <f ca="1">TEXT(  IFERROR( VLOOKUP( $D323, CollName_Simplifier_Table[], 2, FALSE),"") &amp;
        INDIRECT( ADDRESS( ROW() + Row_Offset, INDIRECT( "Column_Number_" &amp; $B$1), 4,1, tabname) ), "")</f>
        <v/>
      </c>
      <c r="C323" s="10" t="str">
        <f ca="1">TEXT( INDIRECT( ADDRESS( ROW() + Row_Offset, INDIRECT( "Column_Number_" &amp; C$1), 4,1, tabname) ), "")</f>
        <v/>
      </c>
      <c r="D323" s="10" t="str">
        <f ca="1">TEXT( INDIRECT( ADDRESS( ROW() + Row_Offset, INDIRECT( "Column_Number_" &amp; D$1), 4,1, tabname) ), "")</f>
        <v/>
      </c>
      <c r="E323" s="10" t="str">
        <f ca="1">TEXT( INDIRECT( ADDRESS( ROW() + Row_Offset, INDIRECT( "Column_Number_" &amp; E$1), 4,1, tabname) ), "####")</f>
        <v/>
      </c>
      <c r="F323" s="15"/>
      <c r="G323" s="21" t="str">
        <f ca="1">IFERROR(INDEX(Rank_Table[],MATCH($D323&amp;$A323,Table4[Join],0)),"")</f>
        <v/>
      </c>
      <c r="H323" s="11" t="str">
        <f ca="1">IF(AND(D323="Juvenile Audiobook",LEFT(B323,8)="J CD BIO"),RIGHT(B323,LEN(B323)-9),
IF(AND(D323="Juvenile Audiobook",LEFT(B323,8)="J CD FIC"),B323,
IF(D323="Juvenile Audiobook",RIGHT(B323,LEN(B323)-5),
IF(AND(D323="Teen Audiobook",LEFT(B323,11)="TEEN CD BIO"),RIGHT(B323,LEN(B323)-12),
IF(AND(D323="Teen Audiobook",LEFT(B323,11)="TEEN CD FIC"),B323,
IF(D323="Juvenile Audiobook",RIGHT(B323,LEN(B323)-8),
IF(D323="Juvenile Nonfiction",RIGHT(B323,LEN(B323)-2),
IF(D323="Teen Nonfiction",RIGHT(B323,LEN(B323)-5),
IF(AND(D323="Audiobook",
              NOT(OR(Contains($B323,"CD BIO"),Contains($B323,"CD FIC")))),RIGHT(B323,LEN(B323)-3),
IF(D323="Juvenile Biography",RIGHT(B323,LEN(B323)-2),
IF(D323="Teen Biography",RIGHT(B323,LEN(B323)-5),
IF(AND(D323="Audiobook",
              IFERROR(FIND("BIO",$B323)&gt;0,FALSE)),RIGHT(B323,LEN(B323)-3),
IF(D323="Juvenile Large Type","J "&amp;RIGHT(B323,LEN(B323)-11),
IF(D323="Teen Large Type","TEEN "&amp;RIGHT(B323,LEN(B323)-14),
IF(D323="Reference",RIGHT(B323,LEN(B323)-4),
IF(D323="DVD Educational",RIGHT(B323,LEN(B323)-7),
IF(D323="Juvenile DVD Educational",RIGHT(B323,LEN(B323)-9),
B323)))))))))))))))))</f>
        <v/>
      </c>
    </row>
    <row r="324" spans="1:8" ht="27" customHeight="1" x14ac:dyDescent="0.25">
      <c r="A324" s="10" t="str">
        <f ca="1">TEXT( INDIRECT( ADDRESS( ROW() + Row_Offset, INDIRECT( "Column_Number_" &amp; A$1), 4,1, tabname) ), "")</f>
        <v/>
      </c>
      <c r="B324" s="10" t="str">
        <f ca="1">TEXT(  IFERROR( VLOOKUP( $D324, CollName_Simplifier_Table[], 2, FALSE),"") &amp;
        INDIRECT( ADDRESS( ROW() + Row_Offset, INDIRECT( "Column_Number_" &amp; $B$1), 4,1, tabname) ), "")</f>
        <v/>
      </c>
      <c r="C324" s="10" t="str">
        <f ca="1">TEXT( INDIRECT( ADDRESS( ROW() + Row_Offset, INDIRECT( "Column_Number_" &amp; C$1), 4,1, tabname) ), "")</f>
        <v/>
      </c>
      <c r="D324" s="10" t="str">
        <f ca="1">TEXT( INDIRECT( ADDRESS( ROW() + Row_Offset, INDIRECT( "Column_Number_" &amp; D$1), 4,1, tabname) ), "")</f>
        <v/>
      </c>
      <c r="E324" s="10" t="str">
        <f ca="1">TEXT( INDIRECT( ADDRESS( ROW() + Row_Offset, INDIRECT( "Column_Number_" &amp; E$1), 4,1, tabname) ), "####")</f>
        <v/>
      </c>
      <c r="F324" s="15"/>
      <c r="G324" s="21" t="str">
        <f ca="1">IFERROR(INDEX(Rank_Table[],MATCH($D324&amp;$A324,Table4[Join],0)),"")</f>
        <v/>
      </c>
      <c r="H324" s="11" t="str">
        <f ca="1">IF(AND(D324="Juvenile Audiobook",LEFT(B324,8)="J CD BIO"),RIGHT(B324,LEN(B324)-9),
IF(AND(D324="Juvenile Audiobook",LEFT(B324,8)="J CD FIC"),B324,
IF(D324="Juvenile Audiobook",RIGHT(B324,LEN(B324)-5),
IF(AND(D324="Teen Audiobook",LEFT(B324,11)="TEEN CD BIO"),RIGHT(B324,LEN(B324)-12),
IF(AND(D324="Teen Audiobook",LEFT(B324,11)="TEEN CD FIC"),B324,
IF(D324="Juvenile Audiobook",RIGHT(B324,LEN(B324)-8),
IF(D324="Juvenile Nonfiction",RIGHT(B324,LEN(B324)-2),
IF(D324="Teen Nonfiction",RIGHT(B324,LEN(B324)-5),
IF(AND(D324="Audiobook",
              NOT(OR(Contains($B324,"CD BIO"),Contains($B324,"CD FIC")))),RIGHT(B324,LEN(B324)-3),
IF(D324="Juvenile Biography",RIGHT(B324,LEN(B324)-2),
IF(D324="Teen Biography",RIGHT(B324,LEN(B324)-5),
IF(AND(D324="Audiobook",
              IFERROR(FIND("BIO",$B324)&gt;0,FALSE)),RIGHT(B324,LEN(B324)-3),
IF(D324="Juvenile Large Type","J "&amp;RIGHT(B324,LEN(B324)-11),
IF(D324="Teen Large Type","TEEN "&amp;RIGHT(B324,LEN(B324)-14),
IF(D324="Reference",RIGHT(B324,LEN(B324)-4),
IF(D324="DVD Educational",RIGHT(B324,LEN(B324)-7),
IF(D324="Juvenile DVD Educational",RIGHT(B324,LEN(B324)-9),
B324)))))))))))))))))</f>
        <v/>
      </c>
    </row>
    <row r="325" spans="1:8" ht="27" customHeight="1" x14ac:dyDescent="0.25">
      <c r="A325" s="10" t="str">
        <f ca="1">TEXT( INDIRECT( ADDRESS( ROW() + Row_Offset, INDIRECT( "Column_Number_" &amp; A$1), 4,1, tabname) ), "")</f>
        <v/>
      </c>
      <c r="B325" s="10" t="str">
        <f ca="1">TEXT(  IFERROR( VLOOKUP( $D325, CollName_Simplifier_Table[], 2, FALSE),"") &amp;
        INDIRECT( ADDRESS( ROW() + Row_Offset, INDIRECT( "Column_Number_" &amp; $B$1), 4,1, tabname) ), "")</f>
        <v/>
      </c>
      <c r="C325" s="10" t="str">
        <f ca="1">TEXT( INDIRECT( ADDRESS( ROW() + Row_Offset, INDIRECT( "Column_Number_" &amp; C$1), 4,1, tabname) ), "")</f>
        <v/>
      </c>
      <c r="D325" s="10" t="str">
        <f ca="1">TEXT( INDIRECT( ADDRESS( ROW() + Row_Offset, INDIRECT( "Column_Number_" &amp; D$1), 4,1, tabname) ), "")</f>
        <v/>
      </c>
      <c r="E325" s="10" t="str">
        <f ca="1">TEXT( INDIRECT( ADDRESS( ROW() + Row_Offset, INDIRECT( "Column_Number_" &amp; E$1), 4,1, tabname) ), "####")</f>
        <v/>
      </c>
      <c r="F325" s="15"/>
      <c r="G325" s="21" t="str">
        <f ca="1">IFERROR(INDEX(Rank_Table[],MATCH($D325&amp;$A325,Table4[Join],0)),"")</f>
        <v/>
      </c>
      <c r="H325" s="11" t="str">
        <f ca="1">IF(AND(D325="Juvenile Audiobook",LEFT(B325,8)="J CD BIO"),RIGHT(B325,LEN(B325)-9),
IF(AND(D325="Juvenile Audiobook",LEFT(B325,8)="J CD FIC"),B325,
IF(D325="Juvenile Audiobook",RIGHT(B325,LEN(B325)-5),
IF(AND(D325="Teen Audiobook",LEFT(B325,11)="TEEN CD BIO"),RIGHT(B325,LEN(B325)-12),
IF(AND(D325="Teen Audiobook",LEFT(B325,11)="TEEN CD FIC"),B325,
IF(D325="Juvenile Audiobook",RIGHT(B325,LEN(B325)-8),
IF(D325="Juvenile Nonfiction",RIGHT(B325,LEN(B325)-2),
IF(D325="Teen Nonfiction",RIGHT(B325,LEN(B325)-5),
IF(AND(D325="Audiobook",
              NOT(OR(Contains($B325,"CD BIO"),Contains($B325,"CD FIC")))),RIGHT(B325,LEN(B325)-3),
IF(D325="Juvenile Biography",RIGHT(B325,LEN(B325)-2),
IF(D325="Teen Biography",RIGHT(B325,LEN(B325)-5),
IF(AND(D325="Audiobook",
              IFERROR(FIND("BIO",$B325)&gt;0,FALSE)),RIGHT(B325,LEN(B325)-3),
IF(D325="Juvenile Large Type","J "&amp;RIGHT(B325,LEN(B325)-11),
IF(D325="Teen Large Type","TEEN "&amp;RIGHT(B325,LEN(B325)-14),
IF(D325="Reference",RIGHT(B325,LEN(B325)-4),
IF(D325="DVD Educational",RIGHT(B325,LEN(B325)-7),
IF(D325="Juvenile DVD Educational",RIGHT(B325,LEN(B325)-9),
B325)))))))))))))))))</f>
        <v/>
      </c>
    </row>
    <row r="326" spans="1:8" ht="27" customHeight="1" x14ac:dyDescent="0.25">
      <c r="A326" s="10" t="str">
        <f ca="1">TEXT( INDIRECT( ADDRESS( ROW() + Row_Offset, INDIRECT( "Column_Number_" &amp; A$1), 4,1, tabname) ), "")</f>
        <v/>
      </c>
      <c r="B326" s="10" t="str">
        <f ca="1">TEXT(  IFERROR( VLOOKUP( $D326, CollName_Simplifier_Table[], 2, FALSE),"") &amp;
        INDIRECT( ADDRESS( ROW() + Row_Offset, INDIRECT( "Column_Number_" &amp; $B$1), 4,1, tabname) ), "")</f>
        <v/>
      </c>
      <c r="C326" s="10" t="str">
        <f ca="1">TEXT( INDIRECT( ADDRESS( ROW() + Row_Offset, INDIRECT( "Column_Number_" &amp; C$1), 4,1, tabname) ), "")</f>
        <v/>
      </c>
      <c r="D326" s="10" t="str">
        <f ca="1">TEXT( INDIRECT( ADDRESS( ROW() + Row_Offset, INDIRECT( "Column_Number_" &amp; D$1), 4,1, tabname) ), "")</f>
        <v/>
      </c>
      <c r="E326" s="10" t="str">
        <f ca="1">TEXT( INDIRECT( ADDRESS( ROW() + Row_Offset, INDIRECT( "Column_Number_" &amp; E$1), 4,1, tabname) ), "####")</f>
        <v/>
      </c>
      <c r="F326" s="15"/>
      <c r="G326" s="21" t="str">
        <f ca="1">IFERROR(INDEX(Rank_Table[],MATCH($D326&amp;$A326,Table4[Join],0)),"")</f>
        <v/>
      </c>
      <c r="H326" s="11" t="str">
        <f ca="1">IF(AND(D326="Juvenile Audiobook",LEFT(B326,8)="J CD BIO"),RIGHT(B326,LEN(B326)-9),
IF(AND(D326="Juvenile Audiobook",LEFT(B326,8)="J CD FIC"),B326,
IF(D326="Juvenile Audiobook",RIGHT(B326,LEN(B326)-5),
IF(AND(D326="Teen Audiobook",LEFT(B326,11)="TEEN CD BIO"),RIGHT(B326,LEN(B326)-12),
IF(AND(D326="Teen Audiobook",LEFT(B326,11)="TEEN CD FIC"),B326,
IF(D326="Juvenile Audiobook",RIGHT(B326,LEN(B326)-8),
IF(D326="Juvenile Nonfiction",RIGHT(B326,LEN(B326)-2),
IF(D326="Teen Nonfiction",RIGHT(B326,LEN(B326)-5),
IF(AND(D326="Audiobook",
              NOT(OR(Contains($B326,"CD BIO"),Contains($B326,"CD FIC")))),RIGHT(B326,LEN(B326)-3),
IF(D326="Juvenile Biography",RIGHT(B326,LEN(B326)-2),
IF(D326="Teen Biography",RIGHT(B326,LEN(B326)-5),
IF(AND(D326="Audiobook",
              IFERROR(FIND("BIO",$B326)&gt;0,FALSE)),RIGHT(B326,LEN(B326)-3),
IF(D326="Juvenile Large Type","J "&amp;RIGHT(B326,LEN(B326)-11),
IF(D326="Teen Large Type","TEEN "&amp;RIGHT(B326,LEN(B326)-14),
IF(D326="Reference",RIGHT(B326,LEN(B326)-4),
IF(D326="DVD Educational",RIGHT(B326,LEN(B326)-7),
IF(D326="Juvenile DVD Educational",RIGHT(B326,LEN(B326)-9),
B326)))))))))))))))))</f>
        <v/>
      </c>
    </row>
    <row r="327" spans="1:8" ht="27" customHeight="1" x14ac:dyDescent="0.25">
      <c r="A327" s="10" t="str">
        <f ca="1">TEXT( INDIRECT( ADDRESS( ROW() + Row_Offset, INDIRECT( "Column_Number_" &amp; A$1), 4,1, tabname) ), "")</f>
        <v/>
      </c>
      <c r="B327" s="10" t="str">
        <f ca="1">TEXT(  IFERROR( VLOOKUP( $D327, CollName_Simplifier_Table[], 2, FALSE),"") &amp;
        INDIRECT( ADDRESS( ROW() + Row_Offset, INDIRECT( "Column_Number_" &amp; $B$1), 4,1, tabname) ), "")</f>
        <v/>
      </c>
      <c r="C327" s="10" t="str">
        <f ca="1">TEXT( INDIRECT( ADDRESS( ROW() + Row_Offset, INDIRECT( "Column_Number_" &amp; C$1), 4,1, tabname) ), "")</f>
        <v/>
      </c>
      <c r="D327" s="10" t="str">
        <f ca="1">TEXT( INDIRECT( ADDRESS( ROW() + Row_Offset, INDIRECT( "Column_Number_" &amp; D$1), 4,1, tabname) ), "")</f>
        <v/>
      </c>
      <c r="E327" s="10" t="str">
        <f ca="1">TEXT( INDIRECT( ADDRESS( ROW() + Row_Offset, INDIRECT( "Column_Number_" &amp; E$1), 4,1, tabname) ), "####")</f>
        <v/>
      </c>
      <c r="F327" s="15"/>
      <c r="G327" s="21" t="str">
        <f ca="1">IFERROR(INDEX(Rank_Table[],MATCH($D327&amp;$A327,Table4[Join],0)),"")</f>
        <v/>
      </c>
      <c r="H327" s="11" t="str">
        <f ca="1">IF(AND(D327="Juvenile Audiobook",LEFT(B327,8)="J CD BIO"),RIGHT(B327,LEN(B327)-9),
IF(AND(D327="Juvenile Audiobook",LEFT(B327,8)="J CD FIC"),B327,
IF(D327="Juvenile Audiobook",RIGHT(B327,LEN(B327)-5),
IF(AND(D327="Teen Audiobook",LEFT(B327,11)="TEEN CD BIO"),RIGHT(B327,LEN(B327)-12),
IF(AND(D327="Teen Audiobook",LEFT(B327,11)="TEEN CD FIC"),B327,
IF(D327="Juvenile Audiobook",RIGHT(B327,LEN(B327)-8),
IF(D327="Juvenile Nonfiction",RIGHT(B327,LEN(B327)-2),
IF(D327="Teen Nonfiction",RIGHT(B327,LEN(B327)-5),
IF(AND(D327="Audiobook",
              NOT(OR(Contains($B327,"CD BIO"),Contains($B327,"CD FIC")))),RIGHT(B327,LEN(B327)-3),
IF(D327="Juvenile Biography",RIGHT(B327,LEN(B327)-2),
IF(D327="Teen Biography",RIGHT(B327,LEN(B327)-5),
IF(AND(D327="Audiobook",
              IFERROR(FIND("BIO",$B327)&gt;0,FALSE)),RIGHT(B327,LEN(B327)-3),
IF(D327="Juvenile Large Type","J "&amp;RIGHT(B327,LEN(B327)-11),
IF(D327="Teen Large Type","TEEN "&amp;RIGHT(B327,LEN(B327)-14),
IF(D327="Reference",RIGHT(B327,LEN(B327)-4),
IF(D327="DVD Educational",RIGHT(B327,LEN(B327)-7),
IF(D327="Juvenile DVD Educational",RIGHT(B327,LEN(B327)-9),
B327)))))))))))))))))</f>
        <v/>
      </c>
    </row>
    <row r="328" spans="1:8" ht="27" customHeight="1" x14ac:dyDescent="0.25">
      <c r="A328" s="10" t="str">
        <f ca="1">TEXT( INDIRECT( ADDRESS( ROW() + Row_Offset, INDIRECT( "Column_Number_" &amp; A$1), 4,1, tabname) ), "")</f>
        <v/>
      </c>
      <c r="B328" s="10" t="str">
        <f ca="1">TEXT(  IFERROR( VLOOKUP( $D328, CollName_Simplifier_Table[], 2, FALSE),"") &amp;
        INDIRECT( ADDRESS( ROW() + Row_Offset, INDIRECT( "Column_Number_" &amp; $B$1), 4,1, tabname) ), "")</f>
        <v/>
      </c>
      <c r="C328" s="10" t="str">
        <f ca="1">TEXT( INDIRECT( ADDRESS( ROW() + Row_Offset, INDIRECT( "Column_Number_" &amp; C$1), 4,1, tabname) ), "")</f>
        <v/>
      </c>
      <c r="D328" s="10" t="str">
        <f ca="1">TEXT( INDIRECT( ADDRESS( ROW() + Row_Offset, INDIRECT( "Column_Number_" &amp; D$1), 4,1, tabname) ), "")</f>
        <v/>
      </c>
      <c r="E328" s="10" t="str">
        <f ca="1">TEXT( INDIRECT( ADDRESS( ROW() + Row_Offset, INDIRECT( "Column_Number_" &amp; E$1), 4,1, tabname) ), "####")</f>
        <v/>
      </c>
      <c r="F328" s="15"/>
      <c r="G328" s="21" t="str">
        <f ca="1">IFERROR(INDEX(Rank_Table[],MATCH($D328&amp;$A328,Table4[Join],0)),"")</f>
        <v/>
      </c>
      <c r="H328" s="11" t="str">
        <f ca="1">IF(AND(D328="Juvenile Audiobook",LEFT(B328,8)="J CD BIO"),RIGHT(B328,LEN(B328)-9),
IF(AND(D328="Juvenile Audiobook",LEFT(B328,8)="J CD FIC"),B328,
IF(D328="Juvenile Audiobook",RIGHT(B328,LEN(B328)-5),
IF(AND(D328="Teen Audiobook",LEFT(B328,11)="TEEN CD BIO"),RIGHT(B328,LEN(B328)-12),
IF(AND(D328="Teen Audiobook",LEFT(B328,11)="TEEN CD FIC"),B328,
IF(D328="Juvenile Audiobook",RIGHT(B328,LEN(B328)-8),
IF(D328="Juvenile Nonfiction",RIGHT(B328,LEN(B328)-2),
IF(D328="Teen Nonfiction",RIGHT(B328,LEN(B328)-5),
IF(AND(D328="Audiobook",
              NOT(OR(Contains($B328,"CD BIO"),Contains($B328,"CD FIC")))),RIGHT(B328,LEN(B328)-3),
IF(D328="Juvenile Biography",RIGHT(B328,LEN(B328)-2),
IF(D328="Teen Biography",RIGHT(B328,LEN(B328)-5),
IF(AND(D328="Audiobook",
              IFERROR(FIND("BIO",$B328)&gt;0,FALSE)),RIGHT(B328,LEN(B328)-3),
IF(D328="Juvenile Large Type","J "&amp;RIGHT(B328,LEN(B328)-11),
IF(D328="Teen Large Type","TEEN "&amp;RIGHT(B328,LEN(B328)-14),
IF(D328="Reference",RIGHT(B328,LEN(B328)-4),
IF(D328="DVD Educational",RIGHT(B328,LEN(B328)-7),
IF(D328="Juvenile DVD Educational",RIGHT(B328,LEN(B328)-9),
B328)))))))))))))))))</f>
        <v/>
      </c>
    </row>
    <row r="329" spans="1:8" ht="27" customHeight="1" x14ac:dyDescent="0.25">
      <c r="A329" s="10" t="str">
        <f ca="1">TEXT( INDIRECT( ADDRESS( ROW() + Row_Offset, INDIRECT( "Column_Number_" &amp; A$1), 4,1, tabname) ), "")</f>
        <v/>
      </c>
      <c r="B329" s="10" t="str">
        <f ca="1">TEXT(  IFERROR( VLOOKUP( $D329, CollName_Simplifier_Table[], 2, FALSE),"") &amp;
        INDIRECT( ADDRESS( ROW() + Row_Offset, INDIRECT( "Column_Number_" &amp; $B$1), 4,1, tabname) ), "")</f>
        <v/>
      </c>
      <c r="C329" s="10" t="str">
        <f ca="1">TEXT( INDIRECT( ADDRESS( ROW() + Row_Offset, INDIRECT( "Column_Number_" &amp; C$1), 4,1, tabname) ), "")</f>
        <v/>
      </c>
      <c r="D329" s="10" t="str">
        <f ca="1">TEXT( INDIRECT( ADDRESS( ROW() + Row_Offset, INDIRECT( "Column_Number_" &amp; D$1), 4,1, tabname) ), "")</f>
        <v/>
      </c>
      <c r="E329" s="10" t="str">
        <f ca="1">TEXT( INDIRECT( ADDRESS( ROW() + Row_Offset, INDIRECT( "Column_Number_" &amp; E$1), 4,1, tabname) ), "####")</f>
        <v/>
      </c>
      <c r="F329" s="15"/>
      <c r="G329" s="21" t="str">
        <f ca="1">IFERROR(INDEX(Rank_Table[],MATCH($D329&amp;$A329,Table4[Join],0)),"")</f>
        <v/>
      </c>
      <c r="H329" s="11" t="str">
        <f ca="1">IF(AND(D329="Juvenile Audiobook",LEFT(B329,8)="J CD BIO"),RIGHT(B329,LEN(B329)-9),
IF(AND(D329="Juvenile Audiobook",LEFT(B329,8)="J CD FIC"),B329,
IF(D329="Juvenile Audiobook",RIGHT(B329,LEN(B329)-5),
IF(AND(D329="Teen Audiobook",LEFT(B329,11)="TEEN CD BIO"),RIGHT(B329,LEN(B329)-12),
IF(AND(D329="Teen Audiobook",LEFT(B329,11)="TEEN CD FIC"),B329,
IF(D329="Juvenile Audiobook",RIGHT(B329,LEN(B329)-8),
IF(D329="Juvenile Nonfiction",RIGHT(B329,LEN(B329)-2),
IF(D329="Teen Nonfiction",RIGHT(B329,LEN(B329)-5),
IF(AND(D329="Audiobook",
              NOT(OR(Contains($B329,"CD BIO"),Contains($B329,"CD FIC")))),RIGHT(B329,LEN(B329)-3),
IF(D329="Juvenile Biography",RIGHT(B329,LEN(B329)-2),
IF(D329="Teen Biography",RIGHT(B329,LEN(B329)-5),
IF(AND(D329="Audiobook",
              IFERROR(FIND("BIO",$B329)&gt;0,FALSE)),RIGHT(B329,LEN(B329)-3),
IF(D329="Juvenile Large Type","J "&amp;RIGHT(B329,LEN(B329)-11),
IF(D329="Teen Large Type","TEEN "&amp;RIGHT(B329,LEN(B329)-14),
IF(D329="Reference",RIGHT(B329,LEN(B329)-4),
IF(D329="DVD Educational",RIGHT(B329,LEN(B329)-7),
IF(D329="Juvenile DVD Educational",RIGHT(B329,LEN(B329)-9),
B329)))))))))))))))))</f>
        <v/>
      </c>
    </row>
    <row r="330" spans="1:8" ht="27" customHeight="1" x14ac:dyDescent="0.25">
      <c r="A330" s="10" t="str">
        <f ca="1">TEXT( INDIRECT( ADDRESS( ROW() + Row_Offset, INDIRECT( "Column_Number_" &amp; A$1), 4,1, tabname) ), "")</f>
        <v/>
      </c>
      <c r="B330" s="10" t="str">
        <f ca="1">TEXT(  IFERROR( VLOOKUP( $D330, CollName_Simplifier_Table[], 2, FALSE),"") &amp;
        INDIRECT( ADDRESS( ROW() + Row_Offset, INDIRECT( "Column_Number_" &amp; $B$1), 4,1, tabname) ), "")</f>
        <v/>
      </c>
      <c r="C330" s="10" t="str">
        <f ca="1">TEXT( INDIRECT( ADDRESS( ROW() + Row_Offset, INDIRECT( "Column_Number_" &amp; C$1), 4,1, tabname) ), "")</f>
        <v/>
      </c>
      <c r="D330" s="10" t="str">
        <f ca="1">TEXT( INDIRECT( ADDRESS( ROW() + Row_Offset, INDIRECT( "Column_Number_" &amp; D$1), 4,1, tabname) ), "")</f>
        <v/>
      </c>
      <c r="E330" s="10" t="str">
        <f ca="1">TEXT( INDIRECT( ADDRESS( ROW() + Row_Offset, INDIRECT( "Column_Number_" &amp; E$1), 4,1, tabname) ), "####")</f>
        <v/>
      </c>
      <c r="F330" s="15"/>
      <c r="G330" s="21" t="str">
        <f ca="1">IFERROR(INDEX(Rank_Table[],MATCH($D330&amp;$A330,Table4[Join],0)),"")</f>
        <v/>
      </c>
      <c r="H330" s="11" t="str">
        <f ca="1">IF(AND(D330="Juvenile Audiobook",LEFT(B330,8)="J CD BIO"),RIGHT(B330,LEN(B330)-9),
IF(AND(D330="Juvenile Audiobook",LEFT(B330,8)="J CD FIC"),B330,
IF(D330="Juvenile Audiobook",RIGHT(B330,LEN(B330)-5),
IF(AND(D330="Teen Audiobook",LEFT(B330,11)="TEEN CD BIO"),RIGHT(B330,LEN(B330)-12),
IF(AND(D330="Teen Audiobook",LEFT(B330,11)="TEEN CD FIC"),B330,
IF(D330="Juvenile Audiobook",RIGHT(B330,LEN(B330)-8),
IF(D330="Juvenile Nonfiction",RIGHT(B330,LEN(B330)-2),
IF(D330="Teen Nonfiction",RIGHT(B330,LEN(B330)-5),
IF(AND(D330="Audiobook",
              NOT(OR(Contains($B330,"CD BIO"),Contains($B330,"CD FIC")))),RIGHT(B330,LEN(B330)-3),
IF(D330="Juvenile Biography",RIGHT(B330,LEN(B330)-2),
IF(D330="Teen Biography",RIGHT(B330,LEN(B330)-5),
IF(AND(D330="Audiobook",
              IFERROR(FIND("BIO",$B330)&gt;0,FALSE)),RIGHT(B330,LEN(B330)-3),
IF(D330="Juvenile Large Type","J "&amp;RIGHT(B330,LEN(B330)-11),
IF(D330="Teen Large Type","TEEN "&amp;RIGHT(B330,LEN(B330)-14),
IF(D330="Reference",RIGHT(B330,LEN(B330)-4),
IF(D330="DVD Educational",RIGHT(B330,LEN(B330)-7),
IF(D330="Juvenile DVD Educational",RIGHT(B330,LEN(B330)-9),
B330)))))))))))))))))</f>
        <v/>
      </c>
    </row>
    <row r="331" spans="1:8" ht="27" customHeight="1" x14ac:dyDescent="0.25">
      <c r="A331" s="10" t="str">
        <f ca="1">TEXT( INDIRECT( ADDRESS( ROW() + Row_Offset, INDIRECT( "Column_Number_" &amp; A$1), 4,1, tabname) ), "")</f>
        <v/>
      </c>
      <c r="B331" s="10" t="str">
        <f ca="1">TEXT(  IFERROR( VLOOKUP( $D331, CollName_Simplifier_Table[], 2, FALSE),"") &amp;
        INDIRECT( ADDRESS( ROW() + Row_Offset, INDIRECT( "Column_Number_" &amp; $B$1), 4,1, tabname) ), "")</f>
        <v/>
      </c>
      <c r="C331" s="10" t="str">
        <f ca="1">TEXT( INDIRECT( ADDRESS( ROW() + Row_Offset, INDIRECT( "Column_Number_" &amp; C$1), 4,1, tabname) ), "")</f>
        <v/>
      </c>
      <c r="D331" s="10" t="str">
        <f ca="1">TEXT( INDIRECT( ADDRESS( ROW() + Row_Offset, INDIRECT( "Column_Number_" &amp; D$1), 4,1, tabname) ), "")</f>
        <v/>
      </c>
      <c r="E331" s="10" t="str">
        <f ca="1">TEXT( INDIRECT( ADDRESS( ROW() + Row_Offset, INDIRECT( "Column_Number_" &amp; E$1), 4,1, tabname) ), "####")</f>
        <v/>
      </c>
      <c r="F331" s="15"/>
      <c r="G331" s="21" t="str">
        <f ca="1">IFERROR(INDEX(Rank_Table[],MATCH($D331&amp;$A331,Table4[Join],0)),"")</f>
        <v/>
      </c>
      <c r="H331" s="11" t="str">
        <f ca="1">IF(AND(D331="Juvenile Audiobook",LEFT(B331,8)="J CD BIO"),RIGHT(B331,LEN(B331)-9),
IF(AND(D331="Juvenile Audiobook",LEFT(B331,8)="J CD FIC"),B331,
IF(D331="Juvenile Audiobook",RIGHT(B331,LEN(B331)-5),
IF(AND(D331="Teen Audiobook",LEFT(B331,11)="TEEN CD BIO"),RIGHT(B331,LEN(B331)-12),
IF(AND(D331="Teen Audiobook",LEFT(B331,11)="TEEN CD FIC"),B331,
IF(D331="Juvenile Audiobook",RIGHT(B331,LEN(B331)-8),
IF(D331="Juvenile Nonfiction",RIGHT(B331,LEN(B331)-2),
IF(D331="Teen Nonfiction",RIGHT(B331,LEN(B331)-5),
IF(AND(D331="Audiobook",
              NOT(OR(Contains($B331,"CD BIO"),Contains($B331,"CD FIC")))),RIGHT(B331,LEN(B331)-3),
IF(D331="Juvenile Biography",RIGHT(B331,LEN(B331)-2),
IF(D331="Teen Biography",RIGHT(B331,LEN(B331)-5),
IF(AND(D331="Audiobook",
              IFERROR(FIND("BIO",$B331)&gt;0,FALSE)),RIGHT(B331,LEN(B331)-3),
IF(D331="Juvenile Large Type","J "&amp;RIGHT(B331,LEN(B331)-11),
IF(D331="Teen Large Type","TEEN "&amp;RIGHT(B331,LEN(B331)-14),
IF(D331="Reference",RIGHT(B331,LEN(B331)-4),
IF(D331="DVD Educational",RIGHT(B331,LEN(B331)-7),
IF(D331="Juvenile DVD Educational",RIGHT(B331,LEN(B331)-9),
B331)))))))))))))))))</f>
        <v/>
      </c>
    </row>
    <row r="332" spans="1:8" ht="27" customHeight="1" x14ac:dyDescent="0.25">
      <c r="A332" s="10" t="str">
        <f ca="1">TEXT( INDIRECT( ADDRESS( ROW() + Row_Offset, INDIRECT( "Column_Number_" &amp; A$1), 4,1, tabname) ), "")</f>
        <v/>
      </c>
      <c r="B332" s="10" t="str">
        <f ca="1">TEXT(  IFERROR( VLOOKUP( $D332, CollName_Simplifier_Table[], 2, FALSE),"") &amp;
        INDIRECT( ADDRESS( ROW() + Row_Offset, INDIRECT( "Column_Number_" &amp; $B$1), 4,1, tabname) ), "")</f>
        <v/>
      </c>
      <c r="C332" s="10" t="str">
        <f ca="1">TEXT( INDIRECT( ADDRESS( ROW() + Row_Offset, INDIRECT( "Column_Number_" &amp; C$1), 4,1, tabname) ), "")</f>
        <v/>
      </c>
      <c r="D332" s="10" t="str">
        <f ca="1">TEXT( INDIRECT( ADDRESS( ROW() + Row_Offset, INDIRECT( "Column_Number_" &amp; D$1), 4,1, tabname) ), "")</f>
        <v/>
      </c>
      <c r="E332" s="10" t="str">
        <f ca="1">TEXT( INDIRECT( ADDRESS( ROW() + Row_Offset, INDIRECT( "Column_Number_" &amp; E$1), 4,1, tabname) ), "####")</f>
        <v/>
      </c>
      <c r="F332" s="15"/>
      <c r="G332" s="21" t="str">
        <f ca="1">IFERROR(INDEX(Rank_Table[],MATCH($D332&amp;$A332,Table4[Join],0)),"")</f>
        <v/>
      </c>
      <c r="H332" s="11" t="str">
        <f ca="1">IF(AND(D332="Juvenile Audiobook",LEFT(B332,8)="J CD BIO"),RIGHT(B332,LEN(B332)-9),
IF(AND(D332="Juvenile Audiobook",LEFT(B332,8)="J CD FIC"),B332,
IF(D332="Juvenile Audiobook",RIGHT(B332,LEN(B332)-5),
IF(AND(D332="Teen Audiobook",LEFT(B332,11)="TEEN CD BIO"),RIGHT(B332,LEN(B332)-12),
IF(AND(D332="Teen Audiobook",LEFT(B332,11)="TEEN CD FIC"),B332,
IF(D332="Juvenile Audiobook",RIGHT(B332,LEN(B332)-8),
IF(D332="Juvenile Nonfiction",RIGHT(B332,LEN(B332)-2),
IF(D332="Teen Nonfiction",RIGHT(B332,LEN(B332)-5),
IF(AND(D332="Audiobook",
              NOT(OR(Contains($B332,"CD BIO"),Contains($B332,"CD FIC")))),RIGHT(B332,LEN(B332)-3),
IF(D332="Juvenile Biography",RIGHT(B332,LEN(B332)-2),
IF(D332="Teen Biography",RIGHT(B332,LEN(B332)-5),
IF(AND(D332="Audiobook",
              IFERROR(FIND("BIO",$B332)&gt;0,FALSE)),RIGHT(B332,LEN(B332)-3),
IF(D332="Juvenile Large Type","J "&amp;RIGHT(B332,LEN(B332)-11),
IF(D332="Teen Large Type","TEEN "&amp;RIGHT(B332,LEN(B332)-14),
IF(D332="Reference",RIGHT(B332,LEN(B332)-4),
IF(D332="DVD Educational",RIGHT(B332,LEN(B332)-7),
IF(D332="Juvenile DVD Educational",RIGHT(B332,LEN(B332)-9),
B332)))))))))))))))))</f>
        <v/>
      </c>
    </row>
    <row r="333" spans="1:8" ht="27" customHeight="1" x14ac:dyDescent="0.25">
      <c r="A333" s="10" t="str">
        <f ca="1">TEXT( INDIRECT( ADDRESS( ROW() + Row_Offset, INDIRECT( "Column_Number_" &amp; A$1), 4,1, tabname) ), "")</f>
        <v/>
      </c>
      <c r="B333" s="10" t="str">
        <f ca="1">TEXT(  IFERROR( VLOOKUP( $D333, CollName_Simplifier_Table[], 2, FALSE),"") &amp;
        INDIRECT( ADDRESS( ROW() + Row_Offset, INDIRECT( "Column_Number_" &amp; $B$1), 4,1, tabname) ), "")</f>
        <v/>
      </c>
      <c r="C333" s="10" t="str">
        <f ca="1">TEXT( INDIRECT( ADDRESS( ROW() + Row_Offset, INDIRECT( "Column_Number_" &amp; C$1), 4,1, tabname) ), "")</f>
        <v/>
      </c>
      <c r="D333" s="10" t="str">
        <f ca="1">TEXT( INDIRECT( ADDRESS( ROW() + Row_Offset, INDIRECT( "Column_Number_" &amp; D$1), 4,1, tabname) ), "")</f>
        <v/>
      </c>
      <c r="E333" s="10" t="str">
        <f ca="1">TEXT( INDIRECT( ADDRESS( ROW() + Row_Offset, INDIRECT( "Column_Number_" &amp; E$1), 4,1, tabname) ), "####")</f>
        <v/>
      </c>
      <c r="F333" s="15"/>
      <c r="G333" s="21" t="str">
        <f ca="1">IFERROR(INDEX(Rank_Table[],MATCH($D333&amp;$A333,Table4[Join],0)),"")</f>
        <v/>
      </c>
      <c r="H333" s="11" t="str">
        <f ca="1">IF(AND(D333="Juvenile Audiobook",LEFT(B333,8)="J CD BIO"),RIGHT(B333,LEN(B333)-9),
IF(AND(D333="Juvenile Audiobook",LEFT(B333,8)="J CD FIC"),B333,
IF(D333="Juvenile Audiobook",RIGHT(B333,LEN(B333)-5),
IF(AND(D333="Teen Audiobook",LEFT(B333,11)="TEEN CD BIO"),RIGHT(B333,LEN(B333)-12),
IF(AND(D333="Teen Audiobook",LEFT(B333,11)="TEEN CD FIC"),B333,
IF(D333="Juvenile Audiobook",RIGHT(B333,LEN(B333)-8),
IF(D333="Juvenile Nonfiction",RIGHT(B333,LEN(B333)-2),
IF(D333="Teen Nonfiction",RIGHT(B333,LEN(B333)-5),
IF(AND(D333="Audiobook",
              NOT(OR(Contains($B333,"CD BIO"),Contains($B333,"CD FIC")))),RIGHT(B333,LEN(B333)-3),
IF(D333="Juvenile Biography",RIGHT(B333,LEN(B333)-2),
IF(D333="Teen Biography",RIGHT(B333,LEN(B333)-5),
IF(AND(D333="Audiobook",
              IFERROR(FIND("BIO",$B333)&gt;0,FALSE)),RIGHT(B333,LEN(B333)-3),
IF(D333="Juvenile Large Type","J "&amp;RIGHT(B333,LEN(B333)-11),
IF(D333="Teen Large Type","TEEN "&amp;RIGHT(B333,LEN(B333)-14),
IF(D333="Reference",RIGHT(B333,LEN(B333)-4),
IF(D333="DVD Educational",RIGHT(B333,LEN(B333)-7),
IF(D333="Juvenile DVD Educational",RIGHT(B333,LEN(B333)-9),
B333)))))))))))))))))</f>
        <v/>
      </c>
    </row>
    <row r="334" spans="1:8" ht="27" customHeight="1" x14ac:dyDescent="0.25">
      <c r="A334" s="10" t="str">
        <f ca="1">TEXT( INDIRECT( ADDRESS( ROW() + Row_Offset, INDIRECT( "Column_Number_" &amp; A$1), 4,1, tabname) ), "")</f>
        <v/>
      </c>
      <c r="B334" s="10" t="str">
        <f ca="1">TEXT(  IFERROR( VLOOKUP( $D334, CollName_Simplifier_Table[], 2, FALSE),"") &amp;
        INDIRECT( ADDRESS( ROW() + Row_Offset, INDIRECT( "Column_Number_" &amp; $B$1), 4,1, tabname) ), "")</f>
        <v/>
      </c>
      <c r="C334" s="10" t="str">
        <f ca="1">TEXT( INDIRECT( ADDRESS( ROW() + Row_Offset, INDIRECT( "Column_Number_" &amp; C$1), 4,1, tabname) ), "")</f>
        <v/>
      </c>
      <c r="D334" s="10" t="str">
        <f ca="1">TEXT( INDIRECT( ADDRESS( ROW() + Row_Offset, INDIRECT( "Column_Number_" &amp; D$1), 4,1, tabname) ), "")</f>
        <v/>
      </c>
      <c r="E334" s="10" t="str">
        <f ca="1">TEXT( INDIRECT( ADDRESS( ROW() + Row_Offset, INDIRECT( "Column_Number_" &amp; E$1), 4,1, tabname) ), "####")</f>
        <v/>
      </c>
      <c r="F334" s="15"/>
      <c r="G334" s="21" t="str">
        <f ca="1">IFERROR(INDEX(Rank_Table[],MATCH($D334&amp;$A334,Table4[Join],0)),"")</f>
        <v/>
      </c>
      <c r="H334" s="11" t="str">
        <f ca="1">IF(AND(D334="Juvenile Audiobook",LEFT(B334,8)="J CD BIO"),RIGHT(B334,LEN(B334)-9),
IF(AND(D334="Juvenile Audiobook",LEFT(B334,8)="J CD FIC"),B334,
IF(D334="Juvenile Audiobook",RIGHT(B334,LEN(B334)-5),
IF(AND(D334="Teen Audiobook",LEFT(B334,11)="TEEN CD BIO"),RIGHT(B334,LEN(B334)-12),
IF(AND(D334="Teen Audiobook",LEFT(B334,11)="TEEN CD FIC"),B334,
IF(D334="Juvenile Audiobook",RIGHT(B334,LEN(B334)-8),
IF(D334="Juvenile Nonfiction",RIGHT(B334,LEN(B334)-2),
IF(D334="Teen Nonfiction",RIGHT(B334,LEN(B334)-5),
IF(AND(D334="Audiobook",
              NOT(OR(Contains($B334,"CD BIO"),Contains($B334,"CD FIC")))),RIGHT(B334,LEN(B334)-3),
IF(D334="Juvenile Biography",RIGHT(B334,LEN(B334)-2),
IF(D334="Teen Biography",RIGHT(B334,LEN(B334)-5),
IF(AND(D334="Audiobook",
              IFERROR(FIND("BIO",$B334)&gt;0,FALSE)),RIGHT(B334,LEN(B334)-3),
IF(D334="Juvenile Large Type","J "&amp;RIGHT(B334,LEN(B334)-11),
IF(D334="Teen Large Type","TEEN "&amp;RIGHT(B334,LEN(B334)-14),
IF(D334="Reference",RIGHT(B334,LEN(B334)-4),
IF(D334="DVD Educational",RIGHT(B334,LEN(B334)-7),
IF(D334="Juvenile DVD Educational",RIGHT(B334,LEN(B334)-9),
B334)))))))))))))))))</f>
        <v/>
      </c>
    </row>
    <row r="335" spans="1:8" ht="27" customHeight="1" x14ac:dyDescent="0.25">
      <c r="A335" s="10" t="str">
        <f ca="1">TEXT( INDIRECT( ADDRESS( ROW() + Row_Offset, INDIRECT( "Column_Number_" &amp; A$1), 4,1, tabname) ), "")</f>
        <v/>
      </c>
      <c r="B335" s="10" t="str">
        <f ca="1">TEXT(  IFERROR( VLOOKUP( $D335, CollName_Simplifier_Table[], 2, FALSE),"") &amp;
        INDIRECT( ADDRESS( ROW() + Row_Offset, INDIRECT( "Column_Number_" &amp; $B$1), 4,1, tabname) ), "")</f>
        <v/>
      </c>
      <c r="C335" s="10" t="str">
        <f ca="1">TEXT( INDIRECT( ADDRESS( ROW() + Row_Offset, INDIRECT( "Column_Number_" &amp; C$1), 4,1, tabname) ), "")</f>
        <v/>
      </c>
      <c r="D335" s="10" t="str">
        <f ca="1">TEXT( INDIRECT( ADDRESS( ROW() + Row_Offset, INDIRECT( "Column_Number_" &amp; D$1), 4,1, tabname) ), "")</f>
        <v/>
      </c>
      <c r="E335" s="10" t="str">
        <f ca="1">TEXT( INDIRECT( ADDRESS( ROW() + Row_Offset, INDIRECT( "Column_Number_" &amp; E$1), 4,1, tabname) ), "####")</f>
        <v/>
      </c>
      <c r="F335" s="15"/>
      <c r="G335" s="21" t="str">
        <f ca="1">IFERROR(INDEX(Rank_Table[],MATCH($D335&amp;$A335,Table4[Join],0)),"")</f>
        <v/>
      </c>
      <c r="H335" s="11" t="str">
        <f ca="1">IF(AND(D335="Juvenile Audiobook",LEFT(B335,8)="J CD BIO"),RIGHT(B335,LEN(B335)-9),
IF(AND(D335="Juvenile Audiobook",LEFT(B335,8)="J CD FIC"),B335,
IF(D335="Juvenile Audiobook",RIGHT(B335,LEN(B335)-5),
IF(AND(D335="Teen Audiobook",LEFT(B335,11)="TEEN CD BIO"),RIGHT(B335,LEN(B335)-12),
IF(AND(D335="Teen Audiobook",LEFT(B335,11)="TEEN CD FIC"),B335,
IF(D335="Juvenile Audiobook",RIGHT(B335,LEN(B335)-8),
IF(D335="Juvenile Nonfiction",RIGHT(B335,LEN(B335)-2),
IF(D335="Teen Nonfiction",RIGHT(B335,LEN(B335)-5),
IF(AND(D335="Audiobook",
              NOT(OR(Contains($B335,"CD BIO"),Contains($B335,"CD FIC")))),RIGHT(B335,LEN(B335)-3),
IF(D335="Juvenile Biography",RIGHT(B335,LEN(B335)-2),
IF(D335="Teen Biography",RIGHT(B335,LEN(B335)-5),
IF(AND(D335="Audiobook",
              IFERROR(FIND("BIO",$B335)&gt;0,FALSE)),RIGHT(B335,LEN(B335)-3),
IF(D335="Juvenile Large Type","J "&amp;RIGHT(B335,LEN(B335)-11),
IF(D335="Teen Large Type","TEEN "&amp;RIGHT(B335,LEN(B335)-14),
IF(D335="Reference",RIGHT(B335,LEN(B335)-4),
IF(D335="DVD Educational",RIGHT(B335,LEN(B335)-7),
IF(D335="Juvenile DVD Educational",RIGHT(B335,LEN(B335)-9),
B335)))))))))))))))))</f>
        <v/>
      </c>
    </row>
    <row r="336" spans="1:8" ht="27" customHeight="1" x14ac:dyDescent="0.25">
      <c r="A336" s="10" t="str">
        <f ca="1">TEXT( INDIRECT( ADDRESS( ROW() + Row_Offset, INDIRECT( "Column_Number_" &amp; A$1), 4,1, tabname) ), "")</f>
        <v/>
      </c>
      <c r="B336" s="10" t="str">
        <f ca="1">TEXT(  IFERROR( VLOOKUP( $D336, CollName_Simplifier_Table[], 2, FALSE),"") &amp;
        INDIRECT( ADDRESS( ROW() + Row_Offset, INDIRECT( "Column_Number_" &amp; $B$1), 4,1, tabname) ), "")</f>
        <v/>
      </c>
      <c r="C336" s="10" t="str">
        <f ca="1">TEXT( INDIRECT( ADDRESS( ROW() + Row_Offset, INDIRECT( "Column_Number_" &amp; C$1), 4,1, tabname) ), "")</f>
        <v/>
      </c>
      <c r="D336" s="10" t="str">
        <f ca="1">TEXT( INDIRECT( ADDRESS( ROW() + Row_Offset, INDIRECT( "Column_Number_" &amp; D$1), 4,1, tabname) ), "")</f>
        <v/>
      </c>
      <c r="E336" s="10" t="str">
        <f ca="1">TEXT( INDIRECT( ADDRESS( ROW() + Row_Offset, INDIRECT( "Column_Number_" &amp; E$1), 4,1, tabname) ), "####")</f>
        <v/>
      </c>
      <c r="F336" s="15"/>
      <c r="G336" s="21" t="str">
        <f ca="1">IFERROR(INDEX(Rank_Table[],MATCH($D336&amp;$A336,Table4[Join],0)),"")</f>
        <v/>
      </c>
      <c r="H336" s="11" t="str">
        <f ca="1">IF(AND(D336="Juvenile Audiobook",LEFT(B336,8)="J CD BIO"),RIGHT(B336,LEN(B336)-9),
IF(AND(D336="Juvenile Audiobook",LEFT(B336,8)="J CD FIC"),B336,
IF(D336="Juvenile Audiobook",RIGHT(B336,LEN(B336)-5),
IF(AND(D336="Teen Audiobook",LEFT(B336,11)="TEEN CD BIO"),RIGHT(B336,LEN(B336)-12),
IF(AND(D336="Teen Audiobook",LEFT(B336,11)="TEEN CD FIC"),B336,
IF(D336="Juvenile Audiobook",RIGHT(B336,LEN(B336)-8),
IF(D336="Juvenile Nonfiction",RIGHT(B336,LEN(B336)-2),
IF(D336="Teen Nonfiction",RIGHT(B336,LEN(B336)-5),
IF(AND(D336="Audiobook",
              NOT(OR(Contains($B336,"CD BIO"),Contains($B336,"CD FIC")))),RIGHT(B336,LEN(B336)-3),
IF(D336="Juvenile Biography",RIGHT(B336,LEN(B336)-2),
IF(D336="Teen Biography",RIGHT(B336,LEN(B336)-5),
IF(AND(D336="Audiobook",
              IFERROR(FIND("BIO",$B336)&gt;0,FALSE)),RIGHT(B336,LEN(B336)-3),
IF(D336="Juvenile Large Type","J "&amp;RIGHT(B336,LEN(B336)-11),
IF(D336="Teen Large Type","TEEN "&amp;RIGHT(B336,LEN(B336)-14),
IF(D336="Reference",RIGHT(B336,LEN(B336)-4),
IF(D336="DVD Educational",RIGHT(B336,LEN(B336)-7),
IF(D336="Juvenile DVD Educational",RIGHT(B336,LEN(B336)-9),
B336)))))))))))))))))</f>
        <v/>
      </c>
    </row>
    <row r="337" spans="1:8" ht="27" customHeight="1" x14ac:dyDescent="0.25">
      <c r="A337" s="10" t="str">
        <f ca="1">TEXT( INDIRECT( ADDRESS( ROW() + Row_Offset, INDIRECT( "Column_Number_" &amp; A$1), 4,1, tabname) ), "")</f>
        <v/>
      </c>
      <c r="B337" s="10" t="str">
        <f ca="1">TEXT(  IFERROR( VLOOKUP( $D337, CollName_Simplifier_Table[], 2, FALSE),"") &amp;
        INDIRECT( ADDRESS( ROW() + Row_Offset, INDIRECT( "Column_Number_" &amp; $B$1), 4,1, tabname) ), "")</f>
        <v/>
      </c>
      <c r="C337" s="10" t="str">
        <f ca="1">TEXT( INDIRECT( ADDRESS( ROW() + Row_Offset, INDIRECT( "Column_Number_" &amp; C$1), 4,1, tabname) ), "")</f>
        <v/>
      </c>
      <c r="D337" s="10" t="str">
        <f ca="1">TEXT( INDIRECT( ADDRESS( ROW() + Row_Offset, INDIRECT( "Column_Number_" &amp; D$1), 4,1, tabname) ), "")</f>
        <v/>
      </c>
      <c r="E337" s="10" t="str">
        <f ca="1">TEXT( INDIRECT( ADDRESS( ROW() + Row_Offset, INDIRECT( "Column_Number_" &amp; E$1), 4,1, tabname) ), "####")</f>
        <v/>
      </c>
      <c r="F337" s="15"/>
      <c r="G337" s="21" t="str">
        <f ca="1">IFERROR(INDEX(Rank_Table[],MATCH($D337&amp;$A337,Table4[Join],0)),"")</f>
        <v/>
      </c>
      <c r="H337" s="11" t="str">
        <f ca="1">IF(AND(D337="Juvenile Audiobook",LEFT(B337,8)="J CD BIO"),RIGHT(B337,LEN(B337)-9),
IF(AND(D337="Juvenile Audiobook",LEFT(B337,8)="J CD FIC"),B337,
IF(D337="Juvenile Audiobook",RIGHT(B337,LEN(B337)-5),
IF(AND(D337="Teen Audiobook",LEFT(B337,11)="TEEN CD BIO"),RIGHT(B337,LEN(B337)-12),
IF(AND(D337="Teen Audiobook",LEFT(B337,11)="TEEN CD FIC"),B337,
IF(D337="Juvenile Audiobook",RIGHT(B337,LEN(B337)-8),
IF(D337="Juvenile Nonfiction",RIGHT(B337,LEN(B337)-2),
IF(D337="Teen Nonfiction",RIGHT(B337,LEN(B337)-5),
IF(AND(D337="Audiobook",
              NOT(OR(Contains($B337,"CD BIO"),Contains($B337,"CD FIC")))),RIGHT(B337,LEN(B337)-3),
IF(D337="Juvenile Biography",RIGHT(B337,LEN(B337)-2),
IF(D337="Teen Biography",RIGHT(B337,LEN(B337)-5),
IF(AND(D337="Audiobook",
              IFERROR(FIND("BIO",$B337)&gt;0,FALSE)),RIGHT(B337,LEN(B337)-3),
IF(D337="Juvenile Large Type","J "&amp;RIGHT(B337,LEN(B337)-11),
IF(D337="Teen Large Type","TEEN "&amp;RIGHT(B337,LEN(B337)-14),
IF(D337="Reference",RIGHT(B337,LEN(B337)-4),
IF(D337="DVD Educational",RIGHT(B337,LEN(B337)-7),
IF(D337="Juvenile DVD Educational",RIGHT(B337,LEN(B337)-9),
B337)))))))))))))))))</f>
        <v/>
      </c>
    </row>
    <row r="338" spans="1:8" ht="27" customHeight="1" x14ac:dyDescent="0.25">
      <c r="A338" s="10" t="str">
        <f ca="1">TEXT( INDIRECT( ADDRESS( ROW() + Row_Offset, INDIRECT( "Column_Number_" &amp; A$1), 4,1, tabname) ), "")</f>
        <v/>
      </c>
      <c r="B338" s="10" t="str">
        <f ca="1">TEXT(  IFERROR( VLOOKUP( $D338, CollName_Simplifier_Table[], 2, FALSE),"") &amp;
        INDIRECT( ADDRESS( ROW() + Row_Offset, INDIRECT( "Column_Number_" &amp; $B$1), 4,1, tabname) ), "")</f>
        <v/>
      </c>
      <c r="C338" s="10" t="str">
        <f ca="1">TEXT( INDIRECT( ADDRESS( ROW() + Row_Offset, INDIRECT( "Column_Number_" &amp; C$1), 4,1, tabname) ), "")</f>
        <v/>
      </c>
      <c r="D338" s="10" t="str">
        <f ca="1">TEXT( INDIRECT( ADDRESS( ROW() + Row_Offset, INDIRECT( "Column_Number_" &amp; D$1), 4,1, tabname) ), "")</f>
        <v/>
      </c>
      <c r="E338" s="10" t="str">
        <f ca="1">TEXT( INDIRECT( ADDRESS( ROW() + Row_Offset, INDIRECT( "Column_Number_" &amp; E$1), 4,1, tabname) ), "####")</f>
        <v/>
      </c>
      <c r="F338" s="15"/>
      <c r="G338" s="21" t="str">
        <f ca="1">IFERROR(INDEX(Rank_Table[],MATCH($D338&amp;$A338,Table4[Join],0)),"")</f>
        <v/>
      </c>
      <c r="H338" s="11" t="str">
        <f ca="1">IF(AND(D338="Juvenile Audiobook",LEFT(B338,8)="J CD BIO"),RIGHT(B338,LEN(B338)-9),
IF(AND(D338="Juvenile Audiobook",LEFT(B338,8)="J CD FIC"),B338,
IF(D338="Juvenile Audiobook",RIGHT(B338,LEN(B338)-5),
IF(AND(D338="Teen Audiobook",LEFT(B338,11)="TEEN CD BIO"),RIGHT(B338,LEN(B338)-12),
IF(AND(D338="Teen Audiobook",LEFT(B338,11)="TEEN CD FIC"),B338,
IF(D338="Juvenile Audiobook",RIGHT(B338,LEN(B338)-8),
IF(D338="Juvenile Nonfiction",RIGHT(B338,LEN(B338)-2),
IF(D338="Teen Nonfiction",RIGHT(B338,LEN(B338)-5),
IF(AND(D338="Audiobook",
              NOT(OR(Contains($B338,"CD BIO"),Contains($B338,"CD FIC")))),RIGHT(B338,LEN(B338)-3),
IF(D338="Juvenile Biography",RIGHT(B338,LEN(B338)-2),
IF(D338="Teen Biography",RIGHT(B338,LEN(B338)-5),
IF(AND(D338="Audiobook",
              IFERROR(FIND("BIO",$B338)&gt;0,FALSE)),RIGHT(B338,LEN(B338)-3),
IF(D338="Juvenile Large Type","J "&amp;RIGHT(B338,LEN(B338)-11),
IF(D338="Teen Large Type","TEEN "&amp;RIGHT(B338,LEN(B338)-14),
IF(D338="Reference",RIGHT(B338,LEN(B338)-4),
IF(D338="DVD Educational",RIGHT(B338,LEN(B338)-7),
IF(D338="Juvenile DVD Educational",RIGHT(B338,LEN(B338)-9),
B338)))))))))))))))))</f>
        <v/>
      </c>
    </row>
    <row r="339" spans="1:8" ht="27" customHeight="1" x14ac:dyDescent="0.25">
      <c r="A339" s="10" t="str">
        <f ca="1">TEXT( INDIRECT( ADDRESS( ROW() + Row_Offset, INDIRECT( "Column_Number_" &amp; A$1), 4,1, tabname) ), "")</f>
        <v/>
      </c>
      <c r="B339" s="10" t="str">
        <f ca="1">TEXT(  IFERROR( VLOOKUP( $D339, CollName_Simplifier_Table[], 2, FALSE),"") &amp;
        INDIRECT( ADDRESS( ROW() + Row_Offset, INDIRECT( "Column_Number_" &amp; $B$1), 4,1, tabname) ), "")</f>
        <v/>
      </c>
      <c r="C339" s="10" t="str">
        <f ca="1">TEXT( INDIRECT( ADDRESS( ROW() + Row_Offset, INDIRECT( "Column_Number_" &amp; C$1), 4,1, tabname) ), "")</f>
        <v/>
      </c>
      <c r="D339" s="10" t="str">
        <f ca="1">TEXT( INDIRECT( ADDRESS( ROW() + Row_Offset, INDIRECT( "Column_Number_" &amp; D$1), 4,1, tabname) ), "")</f>
        <v/>
      </c>
      <c r="E339" s="10" t="str">
        <f ca="1">TEXT( INDIRECT( ADDRESS( ROW() + Row_Offset, INDIRECT( "Column_Number_" &amp; E$1), 4,1, tabname) ), "####")</f>
        <v/>
      </c>
      <c r="F339" s="15"/>
      <c r="G339" s="21" t="str">
        <f ca="1">IFERROR(INDEX(Rank_Table[],MATCH($D339&amp;$A339,Table4[Join],0)),"")</f>
        <v/>
      </c>
      <c r="H339" s="11" t="str">
        <f ca="1">IF(AND(D339="Juvenile Audiobook",LEFT(B339,8)="J CD BIO"),RIGHT(B339,LEN(B339)-9),
IF(AND(D339="Juvenile Audiobook",LEFT(B339,8)="J CD FIC"),B339,
IF(D339="Juvenile Audiobook",RIGHT(B339,LEN(B339)-5),
IF(AND(D339="Teen Audiobook",LEFT(B339,11)="TEEN CD BIO"),RIGHT(B339,LEN(B339)-12),
IF(AND(D339="Teen Audiobook",LEFT(B339,11)="TEEN CD FIC"),B339,
IF(D339="Juvenile Audiobook",RIGHT(B339,LEN(B339)-8),
IF(D339="Juvenile Nonfiction",RIGHT(B339,LEN(B339)-2),
IF(D339="Teen Nonfiction",RIGHT(B339,LEN(B339)-5),
IF(AND(D339="Audiobook",
              NOT(OR(Contains($B339,"CD BIO"),Contains($B339,"CD FIC")))),RIGHT(B339,LEN(B339)-3),
IF(D339="Juvenile Biography",RIGHT(B339,LEN(B339)-2),
IF(D339="Teen Biography",RIGHT(B339,LEN(B339)-5),
IF(AND(D339="Audiobook",
              IFERROR(FIND("BIO",$B339)&gt;0,FALSE)),RIGHT(B339,LEN(B339)-3),
IF(D339="Juvenile Large Type","J "&amp;RIGHT(B339,LEN(B339)-11),
IF(D339="Teen Large Type","TEEN "&amp;RIGHT(B339,LEN(B339)-14),
IF(D339="Reference",RIGHT(B339,LEN(B339)-4),
IF(D339="DVD Educational",RIGHT(B339,LEN(B339)-7),
IF(D339="Juvenile DVD Educational",RIGHT(B339,LEN(B339)-9),
B339)))))))))))))))))</f>
        <v/>
      </c>
    </row>
    <row r="340" spans="1:8" ht="27" customHeight="1" x14ac:dyDescent="0.25">
      <c r="A340" s="10" t="str">
        <f ca="1">TEXT( INDIRECT( ADDRESS( ROW() + Row_Offset, INDIRECT( "Column_Number_" &amp; A$1), 4,1, tabname) ), "")</f>
        <v/>
      </c>
      <c r="B340" s="10" t="str">
        <f ca="1">TEXT(  IFERROR( VLOOKUP( $D340, CollName_Simplifier_Table[], 2, FALSE),"") &amp;
        INDIRECT( ADDRESS( ROW() + Row_Offset, INDIRECT( "Column_Number_" &amp; $B$1), 4,1, tabname) ), "")</f>
        <v/>
      </c>
      <c r="C340" s="10" t="str">
        <f ca="1">TEXT( INDIRECT( ADDRESS( ROW() + Row_Offset, INDIRECT( "Column_Number_" &amp; C$1), 4,1, tabname) ), "")</f>
        <v/>
      </c>
      <c r="D340" s="10" t="str">
        <f ca="1">TEXT( INDIRECT( ADDRESS( ROW() + Row_Offset, INDIRECT( "Column_Number_" &amp; D$1), 4,1, tabname) ), "")</f>
        <v/>
      </c>
      <c r="E340" s="10" t="str">
        <f ca="1">TEXT( INDIRECT( ADDRESS( ROW() + Row_Offset, INDIRECT( "Column_Number_" &amp; E$1), 4,1, tabname) ), "####")</f>
        <v/>
      </c>
      <c r="F340" s="15"/>
      <c r="G340" s="21" t="str">
        <f ca="1">IFERROR(INDEX(Rank_Table[],MATCH($D340&amp;$A340,Table4[Join],0)),"")</f>
        <v/>
      </c>
      <c r="H340" s="11" t="str">
        <f ca="1">IF(AND(D340="Juvenile Audiobook",LEFT(B340,8)="J CD BIO"),RIGHT(B340,LEN(B340)-9),
IF(AND(D340="Juvenile Audiobook",LEFT(B340,8)="J CD FIC"),B340,
IF(D340="Juvenile Audiobook",RIGHT(B340,LEN(B340)-5),
IF(AND(D340="Teen Audiobook",LEFT(B340,11)="TEEN CD BIO"),RIGHT(B340,LEN(B340)-12),
IF(AND(D340="Teen Audiobook",LEFT(B340,11)="TEEN CD FIC"),B340,
IF(D340="Juvenile Audiobook",RIGHT(B340,LEN(B340)-8),
IF(D340="Juvenile Nonfiction",RIGHT(B340,LEN(B340)-2),
IF(D340="Teen Nonfiction",RIGHT(B340,LEN(B340)-5),
IF(AND(D340="Audiobook",
              NOT(OR(Contains($B340,"CD BIO"),Contains($B340,"CD FIC")))),RIGHT(B340,LEN(B340)-3),
IF(D340="Juvenile Biography",RIGHT(B340,LEN(B340)-2),
IF(D340="Teen Biography",RIGHT(B340,LEN(B340)-5),
IF(AND(D340="Audiobook",
              IFERROR(FIND("BIO",$B340)&gt;0,FALSE)),RIGHT(B340,LEN(B340)-3),
IF(D340="Juvenile Large Type","J "&amp;RIGHT(B340,LEN(B340)-11),
IF(D340="Teen Large Type","TEEN "&amp;RIGHT(B340,LEN(B340)-14),
IF(D340="Reference",RIGHT(B340,LEN(B340)-4),
IF(D340="DVD Educational",RIGHT(B340,LEN(B340)-7),
IF(D340="Juvenile DVD Educational",RIGHT(B340,LEN(B340)-9),
B340)))))))))))))))))</f>
        <v/>
      </c>
    </row>
    <row r="341" spans="1:8" ht="27" customHeight="1" x14ac:dyDescent="0.25">
      <c r="A341" s="10" t="str">
        <f ca="1">TEXT( INDIRECT( ADDRESS( ROW() + Row_Offset, INDIRECT( "Column_Number_" &amp; A$1), 4,1, tabname) ), "")</f>
        <v/>
      </c>
      <c r="B341" s="10" t="str">
        <f ca="1">TEXT(  IFERROR( VLOOKUP( $D341, CollName_Simplifier_Table[], 2, FALSE),"") &amp;
        INDIRECT( ADDRESS( ROW() + Row_Offset, INDIRECT( "Column_Number_" &amp; $B$1), 4,1, tabname) ), "")</f>
        <v/>
      </c>
      <c r="C341" s="10" t="str">
        <f ca="1">TEXT( INDIRECT( ADDRESS( ROW() + Row_Offset, INDIRECT( "Column_Number_" &amp; C$1), 4,1, tabname) ), "")</f>
        <v/>
      </c>
      <c r="D341" s="10" t="str">
        <f ca="1">TEXT( INDIRECT( ADDRESS( ROW() + Row_Offset, INDIRECT( "Column_Number_" &amp; D$1), 4,1, tabname) ), "")</f>
        <v/>
      </c>
      <c r="E341" s="10" t="str">
        <f ca="1">TEXT( INDIRECT( ADDRESS( ROW() + Row_Offset, INDIRECT( "Column_Number_" &amp; E$1), 4,1, tabname) ), "####")</f>
        <v/>
      </c>
      <c r="F341" s="15"/>
      <c r="G341" s="21" t="str">
        <f ca="1">IFERROR(INDEX(Rank_Table[],MATCH($D341&amp;$A341,Table4[Join],0)),"")</f>
        <v/>
      </c>
      <c r="H341" s="11" t="str">
        <f ca="1">IF(AND(D341="Juvenile Audiobook",LEFT(B341,8)="J CD BIO"),RIGHT(B341,LEN(B341)-9),
IF(AND(D341="Juvenile Audiobook",LEFT(B341,8)="J CD FIC"),B341,
IF(D341="Juvenile Audiobook",RIGHT(B341,LEN(B341)-5),
IF(AND(D341="Teen Audiobook",LEFT(B341,11)="TEEN CD BIO"),RIGHT(B341,LEN(B341)-12),
IF(AND(D341="Teen Audiobook",LEFT(B341,11)="TEEN CD FIC"),B341,
IF(D341="Juvenile Audiobook",RIGHT(B341,LEN(B341)-8),
IF(D341="Juvenile Nonfiction",RIGHT(B341,LEN(B341)-2),
IF(D341="Teen Nonfiction",RIGHT(B341,LEN(B341)-5),
IF(AND(D341="Audiobook",
              NOT(OR(Contains($B341,"CD BIO"),Contains($B341,"CD FIC")))),RIGHT(B341,LEN(B341)-3),
IF(D341="Juvenile Biography",RIGHT(B341,LEN(B341)-2),
IF(D341="Teen Biography",RIGHT(B341,LEN(B341)-5),
IF(AND(D341="Audiobook",
              IFERROR(FIND("BIO",$B341)&gt;0,FALSE)),RIGHT(B341,LEN(B341)-3),
IF(D341="Juvenile Large Type","J "&amp;RIGHT(B341,LEN(B341)-11),
IF(D341="Teen Large Type","TEEN "&amp;RIGHT(B341,LEN(B341)-14),
IF(D341="Reference",RIGHT(B341,LEN(B341)-4),
IF(D341="DVD Educational",RIGHT(B341,LEN(B341)-7),
IF(D341="Juvenile DVD Educational",RIGHT(B341,LEN(B341)-9),
B341)))))))))))))))))</f>
        <v/>
      </c>
    </row>
    <row r="342" spans="1:8" ht="27" customHeight="1" x14ac:dyDescent="0.25">
      <c r="A342" s="10" t="str">
        <f ca="1">TEXT( INDIRECT( ADDRESS( ROW() + Row_Offset, INDIRECT( "Column_Number_" &amp; A$1), 4,1, tabname) ), "")</f>
        <v/>
      </c>
      <c r="B342" s="10" t="str">
        <f ca="1">TEXT(  IFERROR( VLOOKUP( $D342, CollName_Simplifier_Table[], 2, FALSE),"") &amp;
        INDIRECT( ADDRESS( ROW() + Row_Offset, INDIRECT( "Column_Number_" &amp; $B$1), 4,1, tabname) ), "")</f>
        <v/>
      </c>
      <c r="C342" s="10" t="str">
        <f ca="1">TEXT( INDIRECT( ADDRESS( ROW() + Row_Offset, INDIRECT( "Column_Number_" &amp; C$1), 4,1, tabname) ), "")</f>
        <v/>
      </c>
      <c r="D342" s="10" t="str">
        <f ca="1">TEXT( INDIRECT( ADDRESS( ROW() + Row_Offset, INDIRECT( "Column_Number_" &amp; D$1), 4,1, tabname) ), "")</f>
        <v/>
      </c>
      <c r="E342" s="10" t="str">
        <f ca="1">TEXT( INDIRECT( ADDRESS( ROW() + Row_Offset, INDIRECT( "Column_Number_" &amp; E$1), 4,1, tabname) ), "####")</f>
        <v/>
      </c>
      <c r="F342" s="15"/>
      <c r="G342" s="21" t="str">
        <f ca="1">IFERROR(INDEX(Rank_Table[],MATCH($D342&amp;$A342,Table4[Join],0)),"")</f>
        <v/>
      </c>
      <c r="H342" s="11" t="str">
        <f ca="1">IF(AND(D342="Juvenile Audiobook",LEFT(B342,8)="J CD BIO"),RIGHT(B342,LEN(B342)-9),
IF(AND(D342="Juvenile Audiobook",LEFT(B342,8)="J CD FIC"),B342,
IF(D342="Juvenile Audiobook",RIGHT(B342,LEN(B342)-5),
IF(AND(D342="Teen Audiobook",LEFT(B342,11)="TEEN CD BIO"),RIGHT(B342,LEN(B342)-12),
IF(AND(D342="Teen Audiobook",LEFT(B342,11)="TEEN CD FIC"),B342,
IF(D342="Juvenile Audiobook",RIGHT(B342,LEN(B342)-8),
IF(D342="Juvenile Nonfiction",RIGHT(B342,LEN(B342)-2),
IF(D342="Teen Nonfiction",RIGHT(B342,LEN(B342)-5),
IF(AND(D342="Audiobook",
              NOT(OR(Contains($B342,"CD BIO"),Contains($B342,"CD FIC")))),RIGHT(B342,LEN(B342)-3),
IF(D342="Juvenile Biography",RIGHT(B342,LEN(B342)-2),
IF(D342="Teen Biography",RIGHT(B342,LEN(B342)-5),
IF(AND(D342="Audiobook",
              IFERROR(FIND("BIO",$B342)&gt;0,FALSE)),RIGHT(B342,LEN(B342)-3),
IF(D342="Juvenile Large Type","J "&amp;RIGHT(B342,LEN(B342)-11),
IF(D342="Teen Large Type","TEEN "&amp;RIGHT(B342,LEN(B342)-14),
IF(D342="Reference",RIGHT(B342,LEN(B342)-4),
IF(D342="DVD Educational",RIGHT(B342,LEN(B342)-7),
IF(D342="Juvenile DVD Educational",RIGHT(B342,LEN(B342)-9),
B342)))))))))))))))))</f>
        <v/>
      </c>
    </row>
    <row r="343" spans="1:8" ht="27" customHeight="1" x14ac:dyDescent="0.25">
      <c r="A343" s="10" t="str">
        <f ca="1">TEXT( INDIRECT( ADDRESS( ROW() + Row_Offset, INDIRECT( "Column_Number_" &amp; A$1), 4,1, tabname) ), "")</f>
        <v/>
      </c>
      <c r="B343" s="10" t="str">
        <f ca="1">TEXT(  IFERROR( VLOOKUP( $D343, CollName_Simplifier_Table[], 2, FALSE),"") &amp;
        INDIRECT( ADDRESS( ROW() + Row_Offset, INDIRECT( "Column_Number_" &amp; $B$1), 4,1, tabname) ), "")</f>
        <v/>
      </c>
      <c r="C343" s="10" t="str">
        <f ca="1">TEXT( INDIRECT( ADDRESS( ROW() + Row_Offset, INDIRECT( "Column_Number_" &amp; C$1), 4,1, tabname) ), "")</f>
        <v/>
      </c>
      <c r="D343" s="10" t="str">
        <f ca="1">TEXT( INDIRECT( ADDRESS( ROW() + Row_Offset, INDIRECT( "Column_Number_" &amp; D$1), 4,1, tabname) ), "")</f>
        <v/>
      </c>
      <c r="E343" s="10" t="str">
        <f ca="1">TEXT( INDIRECT( ADDRESS( ROW() + Row_Offset, INDIRECT( "Column_Number_" &amp; E$1), 4,1, tabname) ), "####")</f>
        <v/>
      </c>
      <c r="F343" s="15"/>
      <c r="G343" s="21" t="str">
        <f ca="1">IFERROR(INDEX(Rank_Table[],MATCH($D343&amp;$A343,Table4[Join],0)),"")</f>
        <v/>
      </c>
      <c r="H343" s="11" t="str">
        <f ca="1">IF(AND(D343="Juvenile Audiobook",LEFT(B343,8)="J CD BIO"),RIGHT(B343,LEN(B343)-9),
IF(AND(D343="Juvenile Audiobook",LEFT(B343,8)="J CD FIC"),B343,
IF(D343="Juvenile Audiobook",RIGHT(B343,LEN(B343)-5),
IF(AND(D343="Teen Audiobook",LEFT(B343,11)="TEEN CD BIO"),RIGHT(B343,LEN(B343)-12),
IF(AND(D343="Teen Audiobook",LEFT(B343,11)="TEEN CD FIC"),B343,
IF(D343="Juvenile Audiobook",RIGHT(B343,LEN(B343)-8),
IF(D343="Juvenile Nonfiction",RIGHT(B343,LEN(B343)-2),
IF(D343="Teen Nonfiction",RIGHT(B343,LEN(B343)-5),
IF(AND(D343="Audiobook",
              NOT(OR(Contains($B343,"CD BIO"),Contains($B343,"CD FIC")))),RIGHT(B343,LEN(B343)-3),
IF(D343="Juvenile Biography",RIGHT(B343,LEN(B343)-2),
IF(D343="Teen Biography",RIGHT(B343,LEN(B343)-5),
IF(AND(D343="Audiobook",
              IFERROR(FIND("BIO",$B343)&gt;0,FALSE)),RIGHT(B343,LEN(B343)-3),
IF(D343="Juvenile Large Type","J "&amp;RIGHT(B343,LEN(B343)-11),
IF(D343="Teen Large Type","TEEN "&amp;RIGHT(B343,LEN(B343)-14),
IF(D343="Reference",RIGHT(B343,LEN(B343)-4),
IF(D343="DVD Educational",RIGHT(B343,LEN(B343)-7),
IF(D343="Juvenile DVD Educational",RIGHT(B343,LEN(B343)-9),
B343)))))))))))))))))</f>
        <v/>
      </c>
    </row>
    <row r="344" spans="1:8" ht="27" customHeight="1" x14ac:dyDescent="0.25">
      <c r="A344" s="10" t="str">
        <f ca="1">TEXT( INDIRECT( ADDRESS( ROW() + Row_Offset, INDIRECT( "Column_Number_" &amp; A$1), 4,1, tabname) ), "")</f>
        <v/>
      </c>
      <c r="B344" s="10" t="str">
        <f ca="1">TEXT(  IFERROR( VLOOKUP( $D344, CollName_Simplifier_Table[], 2, FALSE),"") &amp;
        INDIRECT( ADDRESS( ROW() + Row_Offset, INDIRECT( "Column_Number_" &amp; $B$1), 4,1, tabname) ), "")</f>
        <v/>
      </c>
      <c r="C344" s="10" t="str">
        <f ca="1">TEXT( INDIRECT( ADDRESS( ROW() + Row_Offset, INDIRECT( "Column_Number_" &amp; C$1), 4,1, tabname) ), "")</f>
        <v/>
      </c>
      <c r="D344" s="10" t="str">
        <f ca="1">TEXT( INDIRECT( ADDRESS( ROW() + Row_Offset, INDIRECT( "Column_Number_" &amp; D$1), 4,1, tabname) ), "")</f>
        <v/>
      </c>
      <c r="E344" s="10" t="str">
        <f ca="1">TEXT( INDIRECT( ADDRESS( ROW() + Row_Offset, INDIRECT( "Column_Number_" &amp; E$1), 4,1, tabname) ), "####")</f>
        <v/>
      </c>
      <c r="F344" s="15"/>
      <c r="G344" s="21" t="str">
        <f ca="1">IFERROR(INDEX(Rank_Table[],MATCH($D344&amp;$A344,Table4[Join],0)),"")</f>
        <v/>
      </c>
      <c r="H344" s="11" t="str">
        <f ca="1">IF(AND(D344="Juvenile Audiobook",LEFT(B344,8)="J CD BIO"),RIGHT(B344,LEN(B344)-9),
IF(AND(D344="Juvenile Audiobook",LEFT(B344,8)="J CD FIC"),B344,
IF(D344="Juvenile Audiobook",RIGHT(B344,LEN(B344)-5),
IF(AND(D344="Teen Audiobook",LEFT(B344,11)="TEEN CD BIO"),RIGHT(B344,LEN(B344)-12),
IF(AND(D344="Teen Audiobook",LEFT(B344,11)="TEEN CD FIC"),B344,
IF(D344="Juvenile Audiobook",RIGHT(B344,LEN(B344)-8),
IF(D344="Juvenile Nonfiction",RIGHT(B344,LEN(B344)-2),
IF(D344="Teen Nonfiction",RIGHT(B344,LEN(B344)-5),
IF(AND(D344="Audiobook",
              NOT(OR(Contains($B344,"CD BIO"),Contains($B344,"CD FIC")))),RIGHT(B344,LEN(B344)-3),
IF(D344="Juvenile Biography",RIGHT(B344,LEN(B344)-2),
IF(D344="Teen Biography",RIGHT(B344,LEN(B344)-5),
IF(AND(D344="Audiobook",
              IFERROR(FIND("BIO",$B344)&gt;0,FALSE)),RIGHT(B344,LEN(B344)-3),
IF(D344="Juvenile Large Type","J "&amp;RIGHT(B344,LEN(B344)-11),
IF(D344="Teen Large Type","TEEN "&amp;RIGHT(B344,LEN(B344)-14),
IF(D344="Reference",RIGHT(B344,LEN(B344)-4),
IF(D344="DVD Educational",RIGHT(B344,LEN(B344)-7),
IF(D344="Juvenile DVD Educational",RIGHT(B344,LEN(B344)-9),
B344)))))))))))))))))</f>
        <v/>
      </c>
    </row>
    <row r="345" spans="1:8" ht="27" customHeight="1" x14ac:dyDescent="0.25">
      <c r="A345" s="10" t="str">
        <f ca="1">TEXT( INDIRECT( ADDRESS( ROW() + Row_Offset, INDIRECT( "Column_Number_" &amp; A$1), 4,1, tabname) ), "")</f>
        <v/>
      </c>
      <c r="B345" s="10" t="str">
        <f ca="1">TEXT(  IFERROR( VLOOKUP( $D345, CollName_Simplifier_Table[], 2, FALSE),"") &amp;
        INDIRECT( ADDRESS( ROW() + Row_Offset, INDIRECT( "Column_Number_" &amp; $B$1), 4,1, tabname) ), "")</f>
        <v/>
      </c>
      <c r="C345" s="10" t="str">
        <f ca="1">TEXT( INDIRECT( ADDRESS( ROW() + Row_Offset, INDIRECT( "Column_Number_" &amp; C$1), 4,1, tabname) ), "")</f>
        <v/>
      </c>
      <c r="D345" s="10" t="str">
        <f ca="1">TEXT( INDIRECT( ADDRESS( ROW() + Row_Offset, INDIRECT( "Column_Number_" &amp; D$1), 4,1, tabname) ), "")</f>
        <v/>
      </c>
      <c r="E345" s="10" t="str">
        <f ca="1">TEXT( INDIRECT( ADDRESS( ROW() + Row_Offset, INDIRECT( "Column_Number_" &amp; E$1), 4,1, tabname) ), "####")</f>
        <v/>
      </c>
      <c r="F345" s="15"/>
      <c r="G345" s="21" t="str">
        <f ca="1">IFERROR(INDEX(Rank_Table[],MATCH($D345&amp;$A345,Table4[Join],0)),"")</f>
        <v/>
      </c>
      <c r="H345" s="11" t="str">
        <f ca="1">IF(AND(D345="Juvenile Audiobook",LEFT(B345,8)="J CD BIO"),RIGHT(B345,LEN(B345)-9),
IF(AND(D345="Juvenile Audiobook",LEFT(B345,8)="J CD FIC"),B345,
IF(D345="Juvenile Audiobook",RIGHT(B345,LEN(B345)-5),
IF(AND(D345="Teen Audiobook",LEFT(B345,11)="TEEN CD BIO"),RIGHT(B345,LEN(B345)-12),
IF(AND(D345="Teen Audiobook",LEFT(B345,11)="TEEN CD FIC"),B345,
IF(D345="Juvenile Audiobook",RIGHT(B345,LEN(B345)-8),
IF(D345="Juvenile Nonfiction",RIGHT(B345,LEN(B345)-2),
IF(D345="Teen Nonfiction",RIGHT(B345,LEN(B345)-5),
IF(AND(D345="Audiobook",
              NOT(OR(Contains($B345,"CD BIO"),Contains($B345,"CD FIC")))),RIGHT(B345,LEN(B345)-3),
IF(D345="Juvenile Biography",RIGHT(B345,LEN(B345)-2),
IF(D345="Teen Biography",RIGHT(B345,LEN(B345)-5),
IF(AND(D345="Audiobook",
              IFERROR(FIND("BIO",$B345)&gt;0,FALSE)),RIGHT(B345,LEN(B345)-3),
IF(D345="Juvenile Large Type","J "&amp;RIGHT(B345,LEN(B345)-11),
IF(D345="Teen Large Type","TEEN "&amp;RIGHT(B345,LEN(B345)-14),
IF(D345="Reference",RIGHT(B345,LEN(B345)-4),
IF(D345="DVD Educational",RIGHT(B345,LEN(B345)-7),
IF(D345="Juvenile DVD Educational",RIGHT(B345,LEN(B345)-9),
B345)))))))))))))))))</f>
        <v/>
      </c>
    </row>
    <row r="346" spans="1:8" ht="27" customHeight="1" x14ac:dyDescent="0.25">
      <c r="A346" s="10" t="str">
        <f ca="1">TEXT( INDIRECT( ADDRESS( ROW() + Row_Offset, INDIRECT( "Column_Number_" &amp; A$1), 4,1, tabname) ), "")</f>
        <v/>
      </c>
      <c r="B346" s="10" t="str">
        <f ca="1">TEXT(  IFERROR( VLOOKUP( $D346, CollName_Simplifier_Table[], 2, FALSE),"") &amp;
        INDIRECT( ADDRESS( ROW() + Row_Offset, INDIRECT( "Column_Number_" &amp; $B$1), 4,1, tabname) ), "")</f>
        <v/>
      </c>
      <c r="C346" s="10" t="str">
        <f ca="1">TEXT( INDIRECT( ADDRESS( ROW() + Row_Offset, INDIRECT( "Column_Number_" &amp; C$1), 4,1, tabname) ), "")</f>
        <v/>
      </c>
      <c r="D346" s="10" t="str">
        <f ca="1">TEXT( INDIRECT( ADDRESS( ROW() + Row_Offset, INDIRECT( "Column_Number_" &amp; D$1), 4,1, tabname) ), "")</f>
        <v/>
      </c>
      <c r="E346" s="10" t="str">
        <f ca="1">TEXT( INDIRECT( ADDRESS( ROW() + Row_Offset, INDIRECT( "Column_Number_" &amp; E$1), 4,1, tabname) ), "####")</f>
        <v/>
      </c>
      <c r="F346" s="15"/>
      <c r="G346" s="21" t="str">
        <f ca="1">IFERROR(INDEX(Rank_Table[],MATCH($D346&amp;$A346,Table4[Join],0)),"")</f>
        <v/>
      </c>
      <c r="H346" s="11" t="str">
        <f ca="1">IF(AND(D346="Juvenile Audiobook",LEFT(B346,8)="J CD BIO"),RIGHT(B346,LEN(B346)-9),
IF(AND(D346="Juvenile Audiobook",LEFT(B346,8)="J CD FIC"),B346,
IF(D346="Juvenile Audiobook",RIGHT(B346,LEN(B346)-5),
IF(AND(D346="Teen Audiobook",LEFT(B346,11)="TEEN CD BIO"),RIGHT(B346,LEN(B346)-12),
IF(AND(D346="Teen Audiobook",LEFT(B346,11)="TEEN CD FIC"),B346,
IF(D346="Juvenile Audiobook",RIGHT(B346,LEN(B346)-8),
IF(D346="Juvenile Nonfiction",RIGHT(B346,LEN(B346)-2),
IF(D346="Teen Nonfiction",RIGHT(B346,LEN(B346)-5),
IF(AND(D346="Audiobook",
              NOT(OR(Contains($B346,"CD BIO"),Contains($B346,"CD FIC")))),RIGHT(B346,LEN(B346)-3),
IF(D346="Juvenile Biography",RIGHT(B346,LEN(B346)-2),
IF(D346="Teen Biography",RIGHT(B346,LEN(B346)-5),
IF(AND(D346="Audiobook",
              IFERROR(FIND("BIO",$B346)&gt;0,FALSE)),RIGHT(B346,LEN(B346)-3),
IF(D346="Juvenile Large Type","J "&amp;RIGHT(B346,LEN(B346)-11),
IF(D346="Teen Large Type","TEEN "&amp;RIGHT(B346,LEN(B346)-14),
IF(D346="Reference",RIGHT(B346,LEN(B346)-4),
IF(D346="DVD Educational",RIGHT(B346,LEN(B346)-7),
IF(D346="Juvenile DVD Educational",RIGHT(B346,LEN(B346)-9),
B346)))))))))))))))))</f>
        <v/>
      </c>
    </row>
    <row r="347" spans="1:8" ht="27" customHeight="1" x14ac:dyDescent="0.25">
      <c r="A347" s="10" t="str">
        <f ca="1">TEXT( INDIRECT( ADDRESS( ROW() + Row_Offset, INDIRECT( "Column_Number_" &amp; A$1), 4,1, tabname) ), "")</f>
        <v/>
      </c>
      <c r="B347" s="10" t="str">
        <f ca="1">TEXT(  IFERROR( VLOOKUP( $D347, CollName_Simplifier_Table[], 2, FALSE),"") &amp;
        INDIRECT( ADDRESS( ROW() + Row_Offset, INDIRECT( "Column_Number_" &amp; $B$1), 4,1, tabname) ), "")</f>
        <v/>
      </c>
      <c r="C347" s="10" t="str">
        <f ca="1">TEXT( INDIRECT( ADDRESS( ROW() + Row_Offset, INDIRECT( "Column_Number_" &amp; C$1), 4,1, tabname) ), "")</f>
        <v/>
      </c>
      <c r="D347" s="10" t="str">
        <f ca="1">TEXT( INDIRECT( ADDRESS( ROW() + Row_Offset, INDIRECT( "Column_Number_" &amp; D$1), 4,1, tabname) ), "")</f>
        <v/>
      </c>
      <c r="E347" s="10" t="str">
        <f ca="1">TEXT( INDIRECT( ADDRESS( ROW() + Row_Offset, INDIRECT( "Column_Number_" &amp; E$1), 4,1, tabname) ), "####")</f>
        <v/>
      </c>
      <c r="F347" s="15"/>
      <c r="G347" s="21" t="str">
        <f ca="1">IFERROR(INDEX(Rank_Table[],MATCH($D347&amp;$A347,Table4[Join],0)),"")</f>
        <v/>
      </c>
      <c r="H347" s="11" t="str">
        <f ca="1">IF(AND(D347="Juvenile Audiobook",LEFT(B347,8)="J CD BIO"),RIGHT(B347,LEN(B347)-9),
IF(AND(D347="Juvenile Audiobook",LEFT(B347,8)="J CD FIC"),B347,
IF(D347="Juvenile Audiobook",RIGHT(B347,LEN(B347)-5),
IF(AND(D347="Teen Audiobook",LEFT(B347,11)="TEEN CD BIO"),RIGHT(B347,LEN(B347)-12),
IF(AND(D347="Teen Audiobook",LEFT(B347,11)="TEEN CD FIC"),B347,
IF(D347="Juvenile Audiobook",RIGHT(B347,LEN(B347)-8),
IF(D347="Juvenile Nonfiction",RIGHT(B347,LEN(B347)-2),
IF(D347="Teen Nonfiction",RIGHT(B347,LEN(B347)-5),
IF(AND(D347="Audiobook",
              NOT(OR(Contains($B347,"CD BIO"),Contains($B347,"CD FIC")))),RIGHT(B347,LEN(B347)-3),
IF(D347="Juvenile Biography",RIGHT(B347,LEN(B347)-2),
IF(D347="Teen Biography",RIGHT(B347,LEN(B347)-5),
IF(AND(D347="Audiobook",
              IFERROR(FIND("BIO",$B347)&gt;0,FALSE)),RIGHT(B347,LEN(B347)-3),
IF(D347="Juvenile Large Type","J "&amp;RIGHT(B347,LEN(B347)-11),
IF(D347="Teen Large Type","TEEN "&amp;RIGHT(B347,LEN(B347)-14),
IF(D347="Reference",RIGHT(B347,LEN(B347)-4),
IF(D347="DVD Educational",RIGHT(B347,LEN(B347)-7),
IF(D347="Juvenile DVD Educational",RIGHT(B347,LEN(B347)-9),
B347)))))))))))))))))</f>
        <v/>
      </c>
    </row>
    <row r="348" spans="1:8" ht="27" customHeight="1" x14ac:dyDescent="0.25">
      <c r="A348" s="10" t="str">
        <f ca="1">TEXT( INDIRECT( ADDRESS( ROW() + Row_Offset, INDIRECT( "Column_Number_" &amp; A$1), 4,1, tabname) ), "")</f>
        <v/>
      </c>
      <c r="B348" s="10" t="str">
        <f ca="1">TEXT(  IFERROR( VLOOKUP( $D348, CollName_Simplifier_Table[], 2, FALSE),"") &amp;
        INDIRECT( ADDRESS( ROW() + Row_Offset, INDIRECT( "Column_Number_" &amp; $B$1), 4,1, tabname) ), "")</f>
        <v/>
      </c>
      <c r="C348" s="10" t="str">
        <f ca="1">TEXT( INDIRECT( ADDRESS( ROW() + Row_Offset, INDIRECT( "Column_Number_" &amp; C$1), 4,1, tabname) ), "")</f>
        <v/>
      </c>
      <c r="D348" s="10" t="str">
        <f ca="1">TEXT( INDIRECT( ADDRESS( ROW() + Row_Offset, INDIRECT( "Column_Number_" &amp; D$1), 4,1, tabname) ), "")</f>
        <v/>
      </c>
      <c r="E348" s="10" t="str">
        <f ca="1">TEXT( INDIRECT( ADDRESS( ROW() + Row_Offset, INDIRECT( "Column_Number_" &amp; E$1), 4,1, tabname) ), "####")</f>
        <v/>
      </c>
      <c r="F348" s="15"/>
      <c r="G348" s="21" t="str">
        <f ca="1">IFERROR(INDEX(Rank_Table[],MATCH($D348&amp;$A348,Table4[Join],0)),"")</f>
        <v/>
      </c>
      <c r="H348" s="11" t="str">
        <f ca="1">IF(AND(D348="Juvenile Audiobook",LEFT(B348,8)="J CD BIO"),RIGHT(B348,LEN(B348)-9),
IF(AND(D348="Juvenile Audiobook",LEFT(B348,8)="J CD FIC"),B348,
IF(D348="Juvenile Audiobook",RIGHT(B348,LEN(B348)-5),
IF(AND(D348="Teen Audiobook",LEFT(B348,11)="TEEN CD BIO"),RIGHT(B348,LEN(B348)-12),
IF(AND(D348="Teen Audiobook",LEFT(B348,11)="TEEN CD FIC"),B348,
IF(D348="Juvenile Audiobook",RIGHT(B348,LEN(B348)-8),
IF(D348="Juvenile Nonfiction",RIGHT(B348,LEN(B348)-2),
IF(D348="Teen Nonfiction",RIGHT(B348,LEN(B348)-5),
IF(AND(D348="Audiobook",
              NOT(OR(Contains($B348,"CD BIO"),Contains($B348,"CD FIC")))),RIGHT(B348,LEN(B348)-3),
IF(D348="Juvenile Biography",RIGHT(B348,LEN(B348)-2),
IF(D348="Teen Biography",RIGHT(B348,LEN(B348)-5),
IF(AND(D348="Audiobook",
              IFERROR(FIND("BIO",$B348)&gt;0,FALSE)),RIGHT(B348,LEN(B348)-3),
IF(D348="Juvenile Large Type","J "&amp;RIGHT(B348,LEN(B348)-11),
IF(D348="Teen Large Type","TEEN "&amp;RIGHT(B348,LEN(B348)-14),
IF(D348="Reference",RIGHT(B348,LEN(B348)-4),
IF(D348="DVD Educational",RIGHT(B348,LEN(B348)-7),
IF(D348="Juvenile DVD Educational",RIGHT(B348,LEN(B348)-9),
B348)))))))))))))))))</f>
        <v/>
      </c>
    </row>
    <row r="349" spans="1:8" ht="27" customHeight="1" x14ac:dyDescent="0.25">
      <c r="A349" s="10" t="str">
        <f ca="1">TEXT( INDIRECT( ADDRESS( ROW() + Row_Offset, INDIRECT( "Column_Number_" &amp; A$1), 4,1, tabname) ), "")</f>
        <v/>
      </c>
      <c r="B349" s="10" t="str">
        <f ca="1">TEXT(  IFERROR( VLOOKUP( $D349, CollName_Simplifier_Table[], 2, FALSE),"") &amp;
        INDIRECT( ADDRESS( ROW() + Row_Offset, INDIRECT( "Column_Number_" &amp; $B$1), 4,1, tabname) ), "")</f>
        <v/>
      </c>
      <c r="C349" s="10" t="str">
        <f ca="1">TEXT( INDIRECT( ADDRESS( ROW() + Row_Offset, INDIRECT( "Column_Number_" &amp; C$1), 4,1, tabname) ), "")</f>
        <v/>
      </c>
      <c r="D349" s="10" t="str">
        <f ca="1">TEXT( INDIRECT( ADDRESS( ROW() + Row_Offset, INDIRECT( "Column_Number_" &amp; D$1), 4,1, tabname) ), "")</f>
        <v/>
      </c>
      <c r="E349" s="10" t="str">
        <f ca="1">TEXT( INDIRECT( ADDRESS( ROW() + Row_Offset, INDIRECT( "Column_Number_" &amp; E$1), 4,1, tabname) ), "####")</f>
        <v/>
      </c>
      <c r="F349" s="15"/>
      <c r="G349" s="21" t="str">
        <f ca="1">IFERROR(INDEX(Rank_Table[],MATCH($D349&amp;$A349,Table4[Join],0)),"")</f>
        <v/>
      </c>
      <c r="H349" s="11" t="str">
        <f ca="1">IF(AND(D349="Juvenile Audiobook",LEFT(B349,8)="J CD BIO"),RIGHT(B349,LEN(B349)-9),
IF(AND(D349="Juvenile Audiobook",LEFT(B349,8)="J CD FIC"),B349,
IF(D349="Juvenile Audiobook",RIGHT(B349,LEN(B349)-5),
IF(AND(D349="Teen Audiobook",LEFT(B349,11)="TEEN CD BIO"),RIGHT(B349,LEN(B349)-12),
IF(AND(D349="Teen Audiobook",LEFT(B349,11)="TEEN CD FIC"),B349,
IF(D349="Juvenile Audiobook",RIGHT(B349,LEN(B349)-8),
IF(D349="Juvenile Nonfiction",RIGHT(B349,LEN(B349)-2),
IF(D349="Teen Nonfiction",RIGHT(B349,LEN(B349)-5),
IF(AND(D349="Audiobook",
              NOT(OR(Contains($B349,"CD BIO"),Contains($B349,"CD FIC")))),RIGHT(B349,LEN(B349)-3),
IF(D349="Juvenile Biography",RIGHT(B349,LEN(B349)-2),
IF(D349="Teen Biography",RIGHT(B349,LEN(B349)-5),
IF(AND(D349="Audiobook",
              IFERROR(FIND("BIO",$B349)&gt;0,FALSE)),RIGHT(B349,LEN(B349)-3),
IF(D349="Juvenile Large Type","J "&amp;RIGHT(B349,LEN(B349)-11),
IF(D349="Teen Large Type","TEEN "&amp;RIGHT(B349,LEN(B349)-14),
IF(D349="Reference",RIGHT(B349,LEN(B349)-4),
IF(D349="DVD Educational",RIGHT(B349,LEN(B349)-7),
IF(D349="Juvenile DVD Educational",RIGHT(B349,LEN(B349)-9),
B349)))))))))))))))))</f>
        <v/>
      </c>
    </row>
    <row r="350" spans="1:8" ht="27" customHeight="1" x14ac:dyDescent="0.25">
      <c r="A350" s="10" t="str">
        <f ca="1">TEXT( INDIRECT( ADDRESS( ROW() + Row_Offset, INDIRECT( "Column_Number_" &amp; A$1), 4,1, tabname) ), "")</f>
        <v/>
      </c>
      <c r="B350" s="10" t="str">
        <f ca="1">TEXT(  IFERROR( VLOOKUP( $D350, CollName_Simplifier_Table[], 2, FALSE),"") &amp;
        INDIRECT( ADDRESS( ROW() + Row_Offset, INDIRECT( "Column_Number_" &amp; $B$1), 4,1, tabname) ), "")</f>
        <v/>
      </c>
      <c r="C350" s="10" t="str">
        <f ca="1">TEXT( INDIRECT( ADDRESS( ROW() + Row_Offset, INDIRECT( "Column_Number_" &amp; C$1), 4,1, tabname) ), "")</f>
        <v/>
      </c>
      <c r="D350" s="10" t="str">
        <f ca="1">TEXT( INDIRECT( ADDRESS( ROW() + Row_Offset, INDIRECT( "Column_Number_" &amp; D$1), 4,1, tabname) ), "")</f>
        <v/>
      </c>
      <c r="E350" s="10" t="str">
        <f ca="1">TEXT( INDIRECT( ADDRESS( ROW() + Row_Offset, INDIRECT( "Column_Number_" &amp; E$1), 4,1, tabname) ), "####")</f>
        <v/>
      </c>
      <c r="F350" s="15"/>
      <c r="G350" s="21" t="str">
        <f ca="1">IFERROR(INDEX(Rank_Table[],MATCH($D350&amp;$A350,Table4[Join],0)),"")</f>
        <v/>
      </c>
      <c r="H350" s="11" t="str">
        <f ca="1">IF(AND(D350="Juvenile Audiobook",LEFT(B350,8)="J CD BIO"),RIGHT(B350,LEN(B350)-9),
IF(AND(D350="Juvenile Audiobook",LEFT(B350,8)="J CD FIC"),B350,
IF(D350="Juvenile Audiobook",RIGHT(B350,LEN(B350)-5),
IF(AND(D350="Teen Audiobook",LEFT(B350,11)="TEEN CD BIO"),RIGHT(B350,LEN(B350)-12),
IF(AND(D350="Teen Audiobook",LEFT(B350,11)="TEEN CD FIC"),B350,
IF(D350="Juvenile Audiobook",RIGHT(B350,LEN(B350)-8),
IF(D350="Juvenile Nonfiction",RIGHT(B350,LEN(B350)-2),
IF(D350="Teen Nonfiction",RIGHT(B350,LEN(B350)-5),
IF(AND(D350="Audiobook",
              NOT(OR(Contains($B350,"CD BIO"),Contains($B350,"CD FIC")))),RIGHT(B350,LEN(B350)-3),
IF(D350="Juvenile Biography",RIGHT(B350,LEN(B350)-2),
IF(D350="Teen Biography",RIGHT(B350,LEN(B350)-5),
IF(AND(D350="Audiobook",
              IFERROR(FIND("BIO",$B350)&gt;0,FALSE)),RIGHT(B350,LEN(B350)-3),
IF(D350="Juvenile Large Type","J "&amp;RIGHT(B350,LEN(B350)-11),
IF(D350="Teen Large Type","TEEN "&amp;RIGHT(B350,LEN(B350)-14),
IF(D350="Reference",RIGHT(B350,LEN(B350)-4),
IF(D350="DVD Educational",RIGHT(B350,LEN(B350)-7),
IF(D350="Juvenile DVD Educational",RIGHT(B350,LEN(B350)-9),
B350)))))))))))))))))</f>
        <v/>
      </c>
    </row>
    <row r="351" spans="1:8" ht="27" customHeight="1" x14ac:dyDescent="0.25">
      <c r="A351" s="10" t="str">
        <f ca="1">TEXT( INDIRECT( ADDRESS( ROW() + Row_Offset, INDIRECT( "Column_Number_" &amp; A$1), 4,1, tabname) ), "")</f>
        <v/>
      </c>
      <c r="B351" s="10" t="str">
        <f ca="1">TEXT(  IFERROR( VLOOKUP( $D351, CollName_Simplifier_Table[], 2, FALSE),"") &amp;
        INDIRECT( ADDRESS( ROW() + Row_Offset, INDIRECT( "Column_Number_" &amp; $B$1), 4,1, tabname) ), "")</f>
        <v/>
      </c>
      <c r="C351" s="10" t="str">
        <f ca="1">TEXT( INDIRECT( ADDRESS( ROW() + Row_Offset, INDIRECT( "Column_Number_" &amp; C$1), 4,1, tabname) ), "")</f>
        <v/>
      </c>
      <c r="D351" s="10" t="str">
        <f ca="1">TEXT( INDIRECT( ADDRESS( ROW() + Row_Offset, INDIRECT( "Column_Number_" &amp; D$1), 4,1, tabname) ), "")</f>
        <v/>
      </c>
      <c r="E351" s="10" t="str">
        <f ca="1">TEXT( INDIRECT( ADDRESS( ROW() + Row_Offset, INDIRECT( "Column_Number_" &amp; E$1), 4,1, tabname) ), "####")</f>
        <v/>
      </c>
      <c r="F351" s="15"/>
      <c r="G351" s="21" t="str">
        <f ca="1">IFERROR(INDEX(Rank_Table[],MATCH($D351&amp;$A351,Table4[Join],0)),"")</f>
        <v/>
      </c>
      <c r="H351" s="11" t="str">
        <f ca="1">IF(AND(D351="Juvenile Audiobook",LEFT(B351,8)="J CD BIO"),RIGHT(B351,LEN(B351)-9),
IF(AND(D351="Juvenile Audiobook",LEFT(B351,8)="J CD FIC"),B351,
IF(D351="Juvenile Audiobook",RIGHT(B351,LEN(B351)-5),
IF(AND(D351="Teen Audiobook",LEFT(B351,11)="TEEN CD BIO"),RIGHT(B351,LEN(B351)-12),
IF(AND(D351="Teen Audiobook",LEFT(B351,11)="TEEN CD FIC"),B351,
IF(D351="Juvenile Audiobook",RIGHT(B351,LEN(B351)-8),
IF(D351="Juvenile Nonfiction",RIGHT(B351,LEN(B351)-2),
IF(D351="Teen Nonfiction",RIGHT(B351,LEN(B351)-5),
IF(AND(D351="Audiobook",
              NOT(OR(Contains($B351,"CD BIO"),Contains($B351,"CD FIC")))),RIGHT(B351,LEN(B351)-3),
IF(D351="Juvenile Biography",RIGHT(B351,LEN(B351)-2),
IF(D351="Teen Biography",RIGHT(B351,LEN(B351)-5),
IF(AND(D351="Audiobook",
              IFERROR(FIND("BIO",$B351)&gt;0,FALSE)),RIGHT(B351,LEN(B351)-3),
IF(D351="Juvenile Large Type","J "&amp;RIGHT(B351,LEN(B351)-11),
IF(D351="Teen Large Type","TEEN "&amp;RIGHT(B351,LEN(B351)-14),
IF(D351="Reference",RIGHT(B351,LEN(B351)-4),
IF(D351="DVD Educational",RIGHT(B351,LEN(B351)-7),
IF(D351="Juvenile DVD Educational",RIGHT(B351,LEN(B351)-9),
B351)))))))))))))))))</f>
        <v/>
      </c>
    </row>
    <row r="352" spans="1:8" ht="27" customHeight="1" x14ac:dyDescent="0.25">
      <c r="A352" s="10" t="str">
        <f ca="1">TEXT( INDIRECT( ADDRESS( ROW() + Row_Offset, INDIRECT( "Column_Number_" &amp; A$1), 4,1, tabname) ), "")</f>
        <v/>
      </c>
      <c r="B352" s="10" t="str">
        <f ca="1">TEXT(  IFERROR( VLOOKUP( $D352, CollName_Simplifier_Table[], 2, FALSE),"") &amp;
        INDIRECT( ADDRESS( ROW() + Row_Offset, INDIRECT( "Column_Number_" &amp; $B$1), 4,1, tabname) ), "")</f>
        <v/>
      </c>
      <c r="C352" s="10" t="str">
        <f ca="1">TEXT( INDIRECT( ADDRESS( ROW() + Row_Offset, INDIRECT( "Column_Number_" &amp; C$1), 4,1, tabname) ), "")</f>
        <v/>
      </c>
      <c r="D352" s="10" t="str">
        <f ca="1">TEXT( INDIRECT( ADDRESS( ROW() + Row_Offset, INDIRECT( "Column_Number_" &amp; D$1), 4,1, tabname) ), "")</f>
        <v/>
      </c>
      <c r="E352" s="10" t="str">
        <f ca="1">TEXT( INDIRECT( ADDRESS( ROW() + Row_Offset, INDIRECT( "Column_Number_" &amp; E$1), 4,1, tabname) ), "####")</f>
        <v/>
      </c>
      <c r="F352" s="15"/>
      <c r="G352" s="21" t="str">
        <f ca="1">IFERROR(INDEX(Rank_Table[],MATCH($D352&amp;$A352,Table4[Join],0)),"")</f>
        <v/>
      </c>
      <c r="H352" s="11" t="str">
        <f ca="1">IF(AND(D352="Juvenile Audiobook",LEFT(B352,8)="J CD BIO"),RIGHT(B352,LEN(B352)-9),
IF(AND(D352="Juvenile Audiobook",LEFT(B352,8)="J CD FIC"),B352,
IF(D352="Juvenile Audiobook",RIGHT(B352,LEN(B352)-5),
IF(AND(D352="Teen Audiobook",LEFT(B352,11)="TEEN CD BIO"),RIGHT(B352,LEN(B352)-12),
IF(AND(D352="Teen Audiobook",LEFT(B352,11)="TEEN CD FIC"),B352,
IF(D352="Juvenile Audiobook",RIGHT(B352,LEN(B352)-8),
IF(D352="Juvenile Nonfiction",RIGHT(B352,LEN(B352)-2),
IF(D352="Teen Nonfiction",RIGHT(B352,LEN(B352)-5),
IF(AND(D352="Audiobook",
              NOT(OR(Contains($B352,"CD BIO"),Contains($B352,"CD FIC")))),RIGHT(B352,LEN(B352)-3),
IF(D352="Juvenile Biography",RIGHT(B352,LEN(B352)-2),
IF(D352="Teen Biography",RIGHT(B352,LEN(B352)-5),
IF(AND(D352="Audiobook",
              IFERROR(FIND("BIO",$B352)&gt;0,FALSE)),RIGHT(B352,LEN(B352)-3),
IF(D352="Juvenile Large Type","J "&amp;RIGHT(B352,LEN(B352)-11),
IF(D352="Teen Large Type","TEEN "&amp;RIGHT(B352,LEN(B352)-14),
IF(D352="Reference",RIGHT(B352,LEN(B352)-4),
IF(D352="DVD Educational",RIGHT(B352,LEN(B352)-7),
IF(D352="Juvenile DVD Educational",RIGHT(B352,LEN(B352)-9),
B352)))))))))))))))))</f>
        <v/>
      </c>
    </row>
    <row r="353" spans="1:8" ht="27" customHeight="1" x14ac:dyDescent="0.25">
      <c r="A353" s="10" t="str">
        <f ca="1">TEXT( INDIRECT( ADDRESS( ROW() + Row_Offset, INDIRECT( "Column_Number_" &amp; A$1), 4,1, tabname) ), "")</f>
        <v/>
      </c>
      <c r="B353" s="10" t="str">
        <f ca="1">TEXT(  IFERROR( VLOOKUP( $D353, CollName_Simplifier_Table[], 2, FALSE),"") &amp;
        INDIRECT( ADDRESS( ROW() + Row_Offset, INDIRECT( "Column_Number_" &amp; $B$1), 4,1, tabname) ), "")</f>
        <v/>
      </c>
      <c r="C353" s="10" t="str">
        <f ca="1">TEXT( INDIRECT( ADDRESS( ROW() + Row_Offset, INDIRECT( "Column_Number_" &amp; C$1), 4,1, tabname) ), "")</f>
        <v/>
      </c>
      <c r="D353" s="10" t="str">
        <f ca="1">TEXT( INDIRECT( ADDRESS( ROW() + Row_Offset, INDIRECT( "Column_Number_" &amp; D$1), 4,1, tabname) ), "")</f>
        <v/>
      </c>
      <c r="E353" s="10" t="str">
        <f ca="1">TEXT( INDIRECT( ADDRESS( ROW() + Row_Offset, INDIRECT( "Column_Number_" &amp; E$1), 4,1, tabname) ), "####")</f>
        <v/>
      </c>
      <c r="F353" s="15"/>
      <c r="G353" s="21" t="str">
        <f ca="1">IFERROR(INDEX(Rank_Table[],MATCH($D353&amp;$A353,Table4[Join],0)),"")</f>
        <v/>
      </c>
      <c r="H353" s="11" t="str">
        <f ca="1">IF(AND(D353="Juvenile Audiobook",LEFT(B353,8)="J CD BIO"),RIGHT(B353,LEN(B353)-9),
IF(AND(D353="Juvenile Audiobook",LEFT(B353,8)="J CD FIC"),B353,
IF(D353="Juvenile Audiobook",RIGHT(B353,LEN(B353)-5),
IF(AND(D353="Teen Audiobook",LEFT(B353,11)="TEEN CD BIO"),RIGHT(B353,LEN(B353)-12),
IF(AND(D353="Teen Audiobook",LEFT(B353,11)="TEEN CD FIC"),B353,
IF(D353="Juvenile Audiobook",RIGHT(B353,LEN(B353)-8),
IF(D353="Juvenile Nonfiction",RIGHT(B353,LEN(B353)-2),
IF(D353="Teen Nonfiction",RIGHT(B353,LEN(B353)-5),
IF(AND(D353="Audiobook",
              NOT(OR(Contains($B353,"CD BIO"),Contains($B353,"CD FIC")))),RIGHT(B353,LEN(B353)-3),
IF(D353="Juvenile Biography",RIGHT(B353,LEN(B353)-2),
IF(D353="Teen Biography",RIGHT(B353,LEN(B353)-5),
IF(AND(D353="Audiobook",
              IFERROR(FIND("BIO",$B353)&gt;0,FALSE)),RIGHT(B353,LEN(B353)-3),
IF(D353="Juvenile Large Type","J "&amp;RIGHT(B353,LEN(B353)-11),
IF(D353="Teen Large Type","TEEN "&amp;RIGHT(B353,LEN(B353)-14),
IF(D353="Reference",RIGHT(B353,LEN(B353)-4),
IF(D353="DVD Educational",RIGHT(B353,LEN(B353)-7),
IF(D353="Juvenile DVD Educational",RIGHT(B353,LEN(B353)-9),
B353)))))))))))))))))</f>
        <v/>
      </c>
    </row>
    <row r="354" spans="1:8" ht="27" customHeight="1" x14ac:dyDescent="0.25">
      <c r="A354" s="10" t="str">
        <f ca="1">TEXT( INDIRECT( ADDRESS( ROW() + Row_Offset, INDIRECT( "Column_Number_" &amp; A$1), 4,1, tabname) ), "")</f>
        <v/>
      </c>
      <c r="B354" s="10" t="str">
        <f ca="1">TEXT(  IFERROR( VLOOKUP( $D354, CollName_Simplifier_Table[], 2, FALSE),"") &amp;
        INDIRECT( ADDRESS( ROW() + Row_Offset, INDIRECT( "Column_Number_" &amp; $B$1), 4,1, tabname) ), "")</f>
        <v/>
      </c>
      <c r="C354" s="10" t="str">
        <f ca="1">TEXT( INDIRECT( ADDRESS( ROW() + Row_Offset, INDIRECT( "Column_Number_" &amp; C$1), 4,1, tabname) ), "")</f>
        <v/>
      </c>
      <c r="D354" s="10" t="str">
        <f ca="1">TEXT( INDIRECT( ADDRESS( ROW() + Row_Offset, INDIRECT( "Column_Number_" &amp; D$1), 4,1, tabname) ), "")</f>
        <v/>
      </c>
      <c r="E354" s="10" t="str">
        <f ca="1">TEXT( INDIRECT( ADDRESS( ROW() + Row_Offset, INDIRECT( "Column_Number_" &amp; E$1), 4,1, tabname) ), "####")</f>
        <v/>
      </c>
      <c r="F354" s="15"/>
      <c r="G354" s="21" t="str">
        <f ca="1">IFERROR(INDEX(Rank_Table[],MATCH($D354&amp;$A354,Table4[Join],0)),"")</f>
        <v/>
      </c>
      <c r="H354" s="11" t="str">
        <f ca="1">IF(AND(D354="Juvenile Audiobook",LEFT(B354,8)="J CD BIO"),RIGHT(B354,LEN(B354)-9),
IF(AND(D354="Juvenile Audiobook",LEFT(B354,8)="J CD FIC"),B354,
IF(D354="Juvenile Audiobook",RIGHT(B354,LEN(B354)-5),
IF(AND(D354="Teen Audiobook",LEFT(B354,11)="TEEN CD BIO"),RIGHT(B354,LEN(B354)-12),
IF(AND(D354="Teen Audiobook",LEFT(B354,11)="TEEN CD FIC"),B354,
IF(D354="Juvenile Audiobook",RIGHT(B354,LEN(B354)-8),
IF(D354="Juvenile Nonfiction",RIGHT(B354,LEN(B354)-2),
IF(D354="Teen Nonfiction",RIGHT(B354,LEN(B354)-5),
IF(AND(D354="Audiobook",
              NOT(OR(Contains($B354,"CD BIO"),Contains($B354,"CD FIC")))),RIGHT(B354,LEN(B354)-3),
IF(D354="Juvenile Biography",RIGHT(B354,LEN(B354)-2),
IF(D354="Teen Biography",RIGHT(B354,LEN(B354)-5),
IF(AND(D354="Audiobook",
              IFERROR(FIND("BIO",$B354)&gt;0,FALSE)),RIGHT(B354,LEN(B354)-3),
IF(D354="Juvenile Large Type","J "&amp;RIGHT(B354,LEN(B354)-11),
IF(D354="Teen Large Type","TEEN "&amp;RIGHT(B354,LEN(B354)-14),
IF(D354="Reference",RIGHT(B354,LEN(B354)-4),
IF(D354="DVD Educational",RIGHT(B354,LEN(B354)-7),
IF(D354="Juvenile DVD Educational",RIGHT(B354,LEN(B354)-9),
B354)))))))))))))))))</f>
        <v/>
      </c>
    </row>
    <row r="355" spans="1:8" ht="27" customHeight="1" x14ac:dyDescent="0.25">
      <c r="A355" s="10" t="str">
        <f ca="1">TEXT( INDIRECT( ADDRESS( ROW() + Row_Offset, INDIRECT( "Column_Number_" &amp; A$1), 4,1, tabname) ), "")</f>
        <v/>
      </c>
      <c r="B355" s="10" t="str">
        <f ca="1">TEXT(  IFERROR( VLOOKUP( $D355, CollName_Simplifier_Table[], 2, FALSE),"") &amp;
        INDIRECT( ADDRESS( ROW() + Row_Offset, INDIRECT( "Column_Number_" &amp; $B$1), 4,1, tabname) ), "")</f>
        <v/>
      </c>
      <c r="C355" s="10" t="str">
        <f ca="1">TEXT( INDIRECT( ADDRESS( ROW() + Row_Offset, INDIRECT( "Column_Number_" &amp; C$1), 4,1, tabname) ), "")</f>
        <v/>
      </c>
      <c r="D355" s="10" t="str">
        <f ca="1">TEXT( INDIRECT( ADDRESS( ROW() + Row_Offset, INDIRECT( "Column_Number_" &amp; D$1), 4,1, tabname) ), "")</f>
        <v/>
      </c>
      <c r="E355" s="10" t="str">
        <f ca="1">TEXT( INDIRECT( ADDRESS( ROW() + Row_Offset, INDIRECT( "Column_Number_" &amp; E$1), 4,1, tabname) ), "####")</f>
        <v/>
      </c>
      <c r="F355" s="15"/>
      <c r="G355" s="21" t="str">
        <f ca="1">IFERROR(INDEX(Rank_Table[],MATCH($D355&amp;$A355,Table4[Join],0)),"")</f>
        <v/>
      </c>
      <c r="H355" s="11" t="str">
        <f ca="1">IF(AND(D355="Juvenile Audiobook",LEFT(B355,8)="J CD BIO"),RIGHT(B355,LEN(B355)-9),
IF(AND(D355="Juvenile Audiobook",LEFT(B355,8)="J CD FIC"),B355,
IF(D355="Juvenile Audiobook",RIGHT(B355,LEN(B355)-5),
IF(AND(D355="Teen Audiobook",LEFT(B355,11)="TEEN CD BIO"),RIGHT(B355,LEN(B355)-12),
IF(AND(D355="Teen Audiobook",LEFT(B355,11)="TEEN CD FIC"),B355,
IF(D355="Juvenile Audiobook",RIGHT(B355,LEN(B355)-8),
IF(D355="Juvenile Nonfiction",RIGHT(B355,LEN(B355)-2),
IF(D355="Teen Nonfiction",RIGHT(B355,LEN(B355)-5),
IF(AND(D355="Audiobook",
              NOT(OR(Contains($B355,"CD BIO"),Contains($B355,"CD FIC")))),RIGHT(B355,LEN(B355)-3),
IF(D355="Juvenile Biography",RIGHT(B355,LEN(B355)-2),
IF(D355="Teen Biography",RIGHT(B355,LEN(B355)-5),
IF(AND(D355="Audiobook",
              IFERROR(FIND("BIO",$B355)&gt;0,FALSE)),RIGHT(B355,LEN(B355)-3),
IF(D355="Juvenile Large Type","J "&amp;RIGHT(B355,LEN(B355)-11),
IF(D355="Teen Large Type","TEEN "&amp;RIGHT(B355,LEN(B355)-14),
IF(D355="Reference",RIGHT(B355,LEN(B355)-4),
IF(D355="DVD Educational",RIGHT(B355,LEN(B355)-7),
IF(D355="Juvenile DVD Educational",RIGHT(B355,LEN(B355)-9),
B355)))))))))))))))))</f>
        <v/>
      </c>
    </row>
    <row r="356" spans="1:8" ht="27" customHeight="1" x14ac:dyDescent="0.25">
      <c r="A356" s="10" t="str">
        <f ca="1">TEXT( INDIRECT( ADDRESS( ROW() + Row_Offset, INDIRECT( "Column_Number_" &amp; A$1), 4,1, tabname) ), "")</f>
        <v/>
      </c>
      <c r="B356" s="10" t="str">
        <f ca="1">TEXT(  IFERROR( VLOOKUP( $D356, CollName_Simplifier_Table[], 2, FALSE),"") &amp;
        INDIRECT( ADDRESS( ROW() + Row_Offset, INDIRECT( "Column_Number_" &amp; $B$1), 4,1, tabname) ), "")</f>
        <v/>
      </c>
      <c r="C356" s="10" t="str">
        <f ca="1">TEXT( INDIRECT( ADDRESS( ROW() + Row_Offset, INDIRECT( "Column_Number_" &amp; C$1), 4,1, tabname) ), "")</f>
        <v/>
      </c>
      <c r="D356" s="10" t="str">
        <f ca="1">TEXT( INDIRECT( ADDRESS( ROW() + Row_Offset, INDIRECT( "Column_Number_" &amp; D$1), 4,1, tabname) ), "")</f>
        <v/>
      </c>
      <c r="E356" s="10" t="str">
        <f ca="1">TEXT( INDIRECT( ADDRESS( ROW() + Row_Offset, INDIRECT( "Column_Number_" &amp; E$1), 4,1, tabname) ), "####")</f>
        <v/>
      </c>
      <c r="F356" s="15"/>
      <c r="G356" s="21" t="str">
        <f ca="1">IFERROR(INDEX(Rank_Table[],MATCH($D356&amp;$A356,Table4[Join],0)),"")</f>
        <v/>
      </c>
      <c r="H356" s="11" t="str">
        <f ca="1">IF(AND(D356="Juvenile Audiobook",LEFT(B356,8)="J CD BIO"),RIGHT(B356,LEN(B356)-9),
IF(AND(D356="Juvenile Audiobook",LEFT(B356,8)="J CD FIC"),B356,
IF(D356="Juvenile Audiobook",RIGHT(B356,LEN(B356)-5),
IF(AND(D356="Teen Audiobook",LEFT(B356,11)="TEEN CD BIO"),RIGHT(B356,LEN(B356)-12),
IF(AND(D356="Teen Audiobook",LEFT(B356,11)="TEEN CD FIC"),B356,
IF(D356="Juvenile Audiobook",RIGHT(B356,LEN(B356)-8),
IF(D356="Juvenile Nonfiction",RIGHT(B356,LEN(B356)-2),
IF(D356="Teen Nonfiction",RIGHT(B356,LEN(B356)-5),
IF(AND(D356="Audiobook",
              NOT(OR(Contains($B356,"CD BIO"),Contains($B356,"CD FIC")))),RIGHT(B356,LEN(B356)-3),
IF(D356="Juvenile Biography",RIGHT(B356,LEN(B356)-2),
IF(D356="Teen Biography",RIGHT(B356,LEN(B356)-5),
IF(AND(D356="Audiobook",
              IFERROR(FIND("BIO",$B356)&gt;0,FALSE)),RIGHT(B356,LEN(B356)-3),
IF(D356="Juvenile Large Type","J "&amp;RIGHT(B356,LEN(B356)-11),
IF(D356="Teen Large Type","TEEN "&amp;RIGHT(B356,LEN(B356)-14),
IF(D356="Reference",RIGHT(B356,LEN(B356)-4),
IF(D356="DVD Educational",RIGHT(B356,LEN(B356)-7),
IF(D356="Juvenile DVD Educational",RIGHT(B356,LEN(B356)-9),
B356)))))))))))))))))</f>
        <v/>
      </c>
    </row>
    <row r="357" spans="1:8" ht="27" customHeight="1" x14ac:dyDescent="0.25">
      <c r="A357" s="10" t="str">
        <f ca="1">TEXT( INDIRECT( ADDRESS( ROW() + Row_Offset, INDIRECT( "Column_Number_" &amp; A$1), 4,1, tabname) ), "")</f>
        <v/>
      </c>
      <c r="B357" s="10" t="str">
        <f ca="1">TEXT(  IFERROR( VLOOKUP( $D357, CollName_Simplifier_Table[], 2, FALSE),"") &amp;
        INDIRECT( ADDRESS( ROW() + Row_Offset, INDIRECT( "Column_Number_" &amp; $B$1), 4,1, tabname) ), "")</f>
        <v/>
      </c>
      <c r="C357" s="10" t="str">
        <f ca="1">TEXT( INDIRECT( ADDRESS( ROW() + Row_Offset, INDIRECT( "Column_Number_" &amp; C$1), 4,1, tabname) ), "")</f>
        <v/>
      </c>
      <c r="D357" s="10" t="str">
        <f ca="1">TEXT( INDIRECT( ADDRESS( ROW() + Row_Offset, INDIRECT( "Column_Number_" &amp; D$1), 4,1, tabname) ), "")</f>
        <v/>
      </c>
      <c r="E357" s="10" t="str">
        <f ca="1">TEXT( INDIRECT( ADDRESS( ROW() + Row_Offset, INDIRECT( "Column_Number_" &amp; E$1), 4,1, tabname) ), "####")</f>
        <v/>
      </c>
      <c r="F357" s="15"/>
      <c r="G357" s="21" t="str">
        <f ca="1">IFERROR(INDEX(Rank_Table[],MATCH($D357&amp;$A357,Table4[Join],0)),"")</f>
        <v/>
      </c>
      <c r="H357" s="11" t="str">
        <f ca="1">IF(AND(D357="Juvenile Audiobook",LEFT(B357,8)="J CD BIO"),RIGHT(B357,LEN(B357)-9),
IF(AND(D357="Juvenile Audiobook",LEFT(B357,8)="J CD FIC"),B357,
IF(D357="Juvenile Audiobook",RIGHT(B357,LEN(B357)-5),
IF(AND(D357="Teen Audiobook",LEFT(B357,11)="TEEN CD BIO"),RIGHT(B357,LEN(B357)-12),
IF(AND(D357="Teen Audiobook",LEFT(B357,11)="TEEN CD FIC"),B357,
IF(D357="Juvenile Audiobook",RIGHT(B357,LEN(B357)-8),
IF(D357="Juvenile Nonfiction",RIGHT(B357,LEN(B357)-2),
IF(D357="Teen Nonfiction",RIGHT(B357,LEN(B357)-5),
IF(AND(D357="Audiobook",
              NOT(OR(Contains($B357,"CD BIO"),Contains($B357,"CD FIC")))),RIGHT(B357,LEN(B357)-3),
IF(D357="Juvenile Biography",RIGHT(B357,LEN(B357)-2),
IF(D357="Teen Biography",RIGHT(B357,LEN(B357)-5),
IF(AND(D357="Audiobook",
              IFERROR(FIND("BIO",$B357)&gt;0,FALSE)),RIGHT(B357,LEN(B357)-3),
IF(D357="Juvenile Large Type","J "&amp;RIGHT(B357,LEN(B357)-11),
IF(D357="Teen Large Type","TEEN "&amp;RIGHT(B357,LEN(B357)-14),
IF(D357="Reference",RIGHT(B357,LEN(B357)-4),
IF(D357="DVD Educational",RIGHT(B357,LEN(B357)-7),
IF(D357="Juvenile DVD Educational",RIGHT(B357,LEN(B357)-9),
B357)))))))))))))))))</f>
        <v/>
      </c>
    </row>
    <row r="358" spans="1:8" ht="27" customHeight="1" x14ac:dyDescent="0.25">
      <c r="A358" s="10" t="str">
        <f ca="1">TEXT( INDIRECT( ADDRESS( ROW() + Row_Offset, INDIRECT( "Column_Number_" &amp; A$1), 4,1, tabname) ), "")</f>
        <v/>
      </c>
      <c r="B358" s="10" t="str">
        <f ca="1">TEXT(  IFERROR( VLOOKUP( $D358, CollName_Simplifier_Table[], 2, FALSE),"") &amp;
        INDIRECT( ADDRESS( ROW() + Row_Offset, INDIRECT( "Column_Number_" &amp; $B$1), 4,1, tabname) ), "")</f>
        <v/>
      </c>
      <c r="C358" s="10" t="str">
        <f ca="1">TEXT( INDIRECT( ADDRESS( ROW() + Row_Offset, INDIRECT( "Column_Number_" &amp; C$1), 4,1, tabname) ), "")</f>
        <v/>
      </c>
      <c r="D358" s="10" t="str">
        <f ca="1">TEXT( INDIRECT( ADDRESS( ROW() + Row_Offset, INDIRECT( "Column_Number_" &amp; D$1), 4,1, tabname) ), "")</f>
        <v/>
      </c>
      <c r="E358" s="10" t="str">
        <f ca="1">TEXT( INDIRECT( ADDRESS( ROW() + Row_Offset, INDIRECT( "Column_Number_" &amp; E$1), 4,1, tabname) ), "####")</f>
        <v/>
      </c>
      <c r="F358" s="15"/>
      <c r="G358" s="21" t="str">
        <f ca="1">IFERROR(INDEX(Rank_Table[],MATCH($D358&amp;$A358,Table4[Join],0)),"")</f>
        <v/>
      </c>
      <c r="H358" s="11" t="str">
        <f ca="1">IF(AND(D358="Juvenile Audiobook",LEFT(B358,8)="J CD BIO"),RIGHT(B358,LEN(B358)-9),
IF(AND(D358="Juvenile Audiobook",LEFT(B358,8)="J CD FIC"),B358,
IF(D358="Juvenile Audiobook",RIGHT(B358,LEN(B358)-5),
IF(AND(D358="Teen Audiobook",LEFT(B358,11)="TEEN CD BIO"),RIGHT(B358,LEN(B358)-12),
IF(AND(D358="Teen Audiobook",LEFT(B358,11)="TEEN CD FIC"),B358,
IF(D358="Juvenile Audiobook",RIGHT(B358,LEN(B358)-8),
IF(D358="Juvenile Nonfiction",RIGHT(B358,LEN(B358)-2),
IF(D358="Teen Nonfiction",RIGHT(B358,LEN(B358)-5),
IF(AND(D358="Audiobook",
              NOT(OR(Contains($B358,"CD BIO"),Contains($B358,"CD FIC")))),RIGHT(B358,LEN(B358)-3),
IF(D358="Juvenile Biography",RIGHT(B358,LEN(B358)-2),
IF(D358="Teen Biography",RIGHT(B358,LEN(B358)-5),
IF(AND(D358="Audiobook",
              IFERROR(FIND("BIO",$B358)&gt;0,FALSE)),RIGHT(B358,LEN(B358)-3),
IF(D358="Juvenile Large Type","J "&amp;RIGHT(B358,LEN(B358)-11),
IF(D358="Teen Large Type","TEEN "&amp;RIGHT(B358,LEN(B358)-14),
IF(D358="Reference",RIGHT(B358,LEN(B358)-4),
IF(D358="DVD Educational",RIGHT(B358,LEN(B358)-7),
IF(D358="Juvenile DVD Educational",RIGHT(B358,LEN(B358)-9),
B358)))))))))))))))))</f>
        <v/>
      </c>
    </row>
    <row r="359" spans="1:8" ht="27" customHeight="1" x14ac:dyDescent="0.25">
      <c r="A359" s="10" t="str">
        <f ca="1">TEXT( INDIRECT( ADDRESS( ROW() + Row_Offset, INDIRECT( "Column_Number_" &amp; A$1), 4,1, tabname) ), "")</f>
        <v/>
      </c>
      <c r="B359" s="10" t="str">
        <f ca="1">TEXT(  IFERROR( VLOOKUP( $D359, CollName_Simplifier_Table[], 2, FALSE),"") &amp;
        INDIRECT( ADDRESS( ROW() + Row_Offset, INDIRECT( "Column_Number_" &amp; $B$1), 4,1, tabname) ), "")</f>
        <v/>
      </c>
      <c r="C359" s="10" t="str">
        <f ca="1">TEXT( INDIRECT( ADDRESS( ROW() + Row_Offset, INDIRECT( "Column_Number_" &amp; C$1), 4,1, tabname) ), "")</f>
        <v/>
      </c>
      <c r="D359" s="10" t="str">
        <f ca="1">TEXT( INDIRECT( ADDRESS( ROW() + Row_Offset, INDIRECT( "Column_Number_" &amp; D$1), 4,1, tabname) ), "")</f>
        <v/>
      </c>
      <c r="E359" s="10" t="str">
        <f ca="1">TEXT( INDIRECT( ADDRESS( ROW() + Row_Offset, INDIRECT( "Column_Number_" &amp; E$1), 4,1, tabname) ), "####")</f>
        <v/>
      </c>
      <c r="F359" s="15"/>
      <c r="G359" s="21" t="str">
        <f ca="1">IFERROR(INDEX(Rank_Table[],MATCH($D359&amp;$A359,Table4[Join],0)),"")</f>
        <v/>
      </c>
      <c r="H359" s="11" t="str">
        <f ca="1">IF(AND(D359="Juvenile Audiobook",LEFT(B359,8)="J CD BIO"),RIGHT(B359,LEN(B359)-9),
IF(AND(D359="Juvenile Audiobook",LEFT(B359,8)="J CD FIC"),B359,
IF(D359="Juvenile Audiobook",RIGHT(B359,LEN(B359)-5),
IF(AND(D359="Teen Audiobook",LEFT(B359,11)="TEEN CD BIO"),RIGHT(B359,LEN(B359)-12),
IF(AND(D359="Teen Audiobook",LEFT(B359,11)="TEEN CD FIC"),B359,
IF(D359="Juvenile Audiobook",RIGHT(B359,LEN(B359)-8),
IF(D359="Juvenile Nonfiction",RIGHT(B359,LEN(B359)-2),
IF(D359="Teen Nonfiction",RIGHT(B359,LEN(B359)-5),
IF(AND(D359="Audiobook",
              NOT(OR(Contains($B359,"CD BIO"),Contains($B359,"CD FIC")))),RIGHT(B359,LEN(B359)-3),
IF(D359="Juvenile Biography",RIGHT(B359,LEN(B359)-2),
IF(D359="Teen Biography",RIGHT(B359,LEN(B359)-5),
IF(AND(D359="Audiobook",
              IFERROR(FIND("BIO",$B359)&gt;0,FALSE)),RIGHT(B359,LEN(B359)-3),
IF(D359="Juvenile Large Type","J "&amp;RIGHT(B359,LEN(B359)-11),
IF(D359="Teen Large Type","TEEN "&amp;RIGHT(B359,LEN(B359)-14),
IF(D359="Reference",RIGHT(B359,LEN(B359)-4),
IF(D359="DVD Educational",RIGHT(B359,LEN(B359)-7),
IF(D359="Juvenile DVD Educational",RIGHT(B359,LEN(B359)-9),
B359)))))))))))))))))</f>
        <v/>
      </c>
    </row>
    <row r="360" spans="1:8" ht="27" customHeight="1" x14ac:dyDescent="0.25">
      <c r="A360" s="10" t="str">
        <f ca="1">TEXT( INDIRECT( ADDRESS( ROW() + Row_Offset, INDIRECT( "Column_Number_" &amp; A$1), 4,1, tabname) ), "")</f>
        <v/>
      </c>
      <c r="B360" s="10" t="str">
        <f ca="1">TEXT(  IFERROR( VLOOKUP( $D360, CollName_Simplifier_Table[], 2, FALSE),"") &amp;
        INDIRECT( ADDRESS( ROW() + Row_Offset, INDIRECT( "Column_Number_" &amp; $B$1), 4,1, tabname) ), "")</f>
        <v/>
      </c>
      <c r="C360" s="10" t="str">
        <f ca="1">TEXT( INDIRECT( ADDRESS( ROW() + Row_Offset, INDIRECT( "Column_Number_" &amp; C$1), 4,1, tabname) ), "")</f>
        <v/>
      </c>
      <c r="D360" s="10" t="str">
        <f ca="1">TEXT( INDIRECT( ADDRESS( ROW() + Row_Offset, INDIRECT( "Column_Number_" &amp; D$1), 4,1, tabname) ), "")</f>
        <v/>
      </c>
      <c r="E360" s="10" t="str">
        <f ca="1">TEXT( INDIRECT( ADDRESS( ROW() + Row_Offset, INDIRECT( "Column_Number_" &amp; E$1), 4,1, tabname) ), "####")</f>
        <v/>
      </c>
      <c r="F360" s="15"/>
      <c r="G360" s="21" t="str">
        <f ca="1">IFERROR(INDEX(Rank_Table[],MATCH($D360&amp;$A360,Table4[Join],0)),"")</f>
        <v/>
      </c>
      <c r="H360" s="11" t="str">
        <f ca="1">IF(AND(D360="Juvenile Audiobook",LEFT(B360,8)="J CD BIO"),RIGHT(B360,LEN(B360)-9),
IF(AND(D360="Juvenile Audiobook",LEFT(B360,8)="J CD FIC"),B360,
IF(D360="Juvenile Audiobook",RIGHT(B360,LEN(B360)-5),
IF(AND(D360="Teen Audiobook",LEFT(B360,11)="TEEN CD BIO"),RIGHT(B360,LEN(B360)-12),
IF(AND(D360="Teen Audiobook",LEFT(B360,11)="TEEN CD FIC"),B360,
IF(D360="Juvenile Audiobook",RIGHT(B360,LEN(B360)-8),
IF(D360="Juvenile Nonfiction",RIGHT(B360,LEN(B360)-2),
IF(D360="Teen Nonfiction",RIGHT(B360,LEN(B360)-5),
IF(AND(D360="Audiobook",
              NOT(OR(Contains($B360,"CD BIO"),Contains($B360,"CD FIC")))),RIGHT(B360,LEN(B360)-3),
IF(D360="Juvenile Biography",RIGHT(B360,LEN(B360)-2),
IF(D360="Teen Biography",RIGHT(B360,LEN(B360)-5),
IF(AND(D360="Audiobook",
              IFERROR(FIND("BIO",$B360)&gt;0,FALSE)),RIGHT(B360,LEN(B360)-3),
IF(D360="Juvenile Large Type","J "&amp;RIGHT(B360,LEN(B360)-11),
IF(D360="Teen Large Type","TEEN "&amp;RIGHT(B360,LEN(B360)-14),
IF(D360="Reference",RIGHT(B360,LEN(B360)-4),
IF(D360="DVD Educational",RIGHT(B360,LEN(B360)-7),
IF(D360="Juvenile DVD Educational",RIGHT(B360,LEN(B360)-9),
B360)))))))))))))))))</f>
        <v/>
      </c>
    </row>
    <row r="361" spans="1:8" ht="27" customHeight="1" x14ac:dyDescent="0.25">
      <c r="A361" s="10" t="str">
        <f ca="1">TEXT( INDIRECT( ADDRESS( ROW() + Row_Offset, INDIRECT( "Column_Number_" &amp; A$1), 4,1, tabname) ), "")</f>
        <v/>
      </c>
      <c r="B361" s="10" t="str">
        <f ca="1">TEXT(  IFERROR( VLOOKUP( $D361, CollName_Simplifier_Table[], 2, FALSE),"") &amp;
        INDIRECT( ADDRESS( ROW() + Row_Offset, INDIRECT( "Column_Number_" &amp; $B$1), 4,1, tabname) ), "")</f>
        <v/>
      </c>
      <c r="C361" s="10" t="str">
        <f ca="1">TEXT( INDIRECT( ADDRESS( ROW() + Row_Offset, INDIRECT( "Column_Number_" &amp; C$1), 4,1, tabname) ), "")</f>
        <v/>
      </c>
      <c r="D361" s="10" t="str">
        <f ca="1">TEXT( INDIRECT( ADDRESS( ROW() + Row_Offset, INDIRECT( "Column_Number_" &amp; D$1), 4,1, tabname) ), "")</f>
        <v/>
      </c>
      <c r="E361" s="10" t="str">
        <f ca="1">TEXT( INDIRECT( ADDRESS( ROW() + Row_Offset, INDIRECT( "Column_Number_" &amp; E$1), 4,1, tabname) ), "####")</f>
        <v/>
      </c>
      <c r="F361" s="15"/>
      <c r="G361" s="21" t="str">
        <f ca="1">IFERROR(INDEX(Rank_Table[],MATCH($D361&amp;$A361,Table4[Join],0)),"")</f>
        <v/>
      </c>
      <c r="H361" s="11" t="str">
        <f ca="1">IF(AND(D361="Juvenile Audiobook",LEFT(B361,8)="J CD BIO"),RIGHT(B361,LEN(B361)-9),
IF(AND(D361="Juvenile Audiobook",LEFT(B361,8)="J CD FIC"),B361,
IF(D361="Juvenile Audiobook",RIGHT(B361,LEN(B361)-5),
IF(AND(D361="Teen Audiobook",LEFT(B361,11)="TEEN CD BIO"),RIGHT(B361,LEN(B361)-12),
IF(AND(D361="Teen Audiobook",LEFT(B361,11)="TEEN CD FIC"),B361,
IF(D361="Juvenile Audiobook",RIGHT(B361,LEN(B361)-8),
IF(D361="Juvenile Nonfiction",RIGHT(B361,LEN(B361)-2),
IF(D361="Teen Nonfiction",RIGHT(B361,LEN(B361)-5),
IF(AND(D361="Audiobook",
              NOT(OR(Contains($B361,"CD BIO"),Contains($B361,"CD FIC")))),RIGHT(B361,LEN(B361)-3),
IF(D361="Juvenile Biography",RIGHT(B361,LEN(B361)-2),
IF(D361="Teen Biography",RIGHT(B361,LEN(B361)-5),
IF(AND(D361="Audiobook",
              IFERROR(FIND("BIO",$B361)&gt;0,FALSE)),RIGHT(B361,LEN(B361)-3),
IF(D361="Juvenile Large Type","J "&amp;RIGHT(B361,LEN(B361)-11),
IF(D361="Teen Large Type","TEEN "&amp;RIGHT(B361,LEN(B361)-14),
IF(D361="Reference",RIGHT(B361,LEN(B361)-4),
IF(D361="DVD Educational",RIGHT(B361,LEN(B361)-7),
IF(D361="Juvenile DVD Educational",RIGHT(B361,LEN(B361)-9),
B361)))))))))))))))))</f>
        <v/>
      </c>
    </row>
    <row r="362" spans="1:8" ht="27" customHeight="1" x14ac:dyDescent="0.25">
      <c r="A362" s="10" t="str">
        <f ca="1">TEXT( INDIRECT( ADDRESS( ROW() + Row_Offset, INDIRECT( "Column_Number_" &amp; A$1), 4,1, tabname) ), "")</f>
        <v/>
      </c>
      <c r="B362" s="10" t="str">
        <f ca="1">TEXT(  IFERROR( VLOOKUP( $D362, CollName_Simplifier_Table[], 2, FALSE),"") &amp;
        INDIRECT( ADDRESS( ROW() + Row_Offset, INDIRECT( "Column_Number_" &amp; $B$1), 4,1, tabname) ), "")</f>
        <v/>
      </c>
      <c r="C362" s="10" t="str">
        <f ca="1">TEXT( INDIRECT( ADDRESS( ROW() + Row_Offset, INDIRECT( "Column_Number_" &amp; C$1), 4,1, tabname) ), "")</f>
        <v/>
      </c>
      <c r="D362" s="10" t="str">
        <f ca="1">TEXT( INDIRECT( ADDRESS( ROW() + Row_Offset, INDIRECT( "Column_Number_" &amp; D$1), 4,1, tabname) ), "")</f>
        <v/>
      </c>
      <c r="E362" s="10" t="str">
        <f ca="1">TEXT( INDIRECT( ADDRESS( ROW() + Row_Offset, INDIRECT( "Column_Number_" &amp; E$1), 4,1, tabname) ), "####")</f>
        <v/>
      </c>
      <c r="F362" s="15"/>
      <c r="G362" s="21" t="str">
        <f ca="1">IFERROR(INDEX(Rank_Table[],MATCH($D362&amp;$A362,Table4[Join],0)),"")</f>
        <v/>
      </c>
      <c r="H362" s="11" t="str">
        <f ca="1">IF(AND(D362="Juvenile Audiobook",LEFT(B362,8)="J CD BIO"),RIGHT(B362,LEN(B362)-9),
IF(AND(D362="Juvenile Audiobook",LEFT(B362,8)="J CD FIC"),B362,
IF(D362="Juvenile Audiobook",RIGHT(B362,LEN(B362)-5),
IF(AND(D362="Teen Audiobook",LEFT(B362,11)="TEEN CD BIO"),RIGHT(B362,LEN(B362)-12),
IF(AND(D362="Teen Audiobook",LEFT(B362,11)="TEEN CD FIC"),B362,
IF(D362="Juvenile Audiobook",RIGHT(B362,LEN(B362)-8),
IF(D362="Juvenile Nonfiction",RIGHT(B362,LEN(B362)-2),
IF(D362="Teen Nonfiction",RIGHT(B362,LEN(B362)-5),
IF(AND(D362="Audiobook",
              NOT(OR(Contains($B362,"CD BIO"),Contains($B362,"CD FIC")))),RIGHT(B362,LEN(B362)-3),
IF(D362="Juvenile Biography",RIGHT(B362,LEN(B362)-2),
IF(D362="Teen Biography",RIGHT(B362,LEN(B362)-5),
IF(AND(D362="Audiobook",
              IFERROR(FIND("BIO",$B362)&gt;0,FALSE)),RIGHT(B362,LEN(B362)-3),
IF(D362="Juvenile Large Type","J "&amp;RIGHT(B362,LEN(B362)-11),
IF(D362="Teen Large Type","TEEN "&amp;RIGHT(B362,LEN(B362)-14),
IF(D362="Reference",RIGHT(B362,LEN(B362)-4),
IF(D362="DVD Educational",RIGHT(B362,LEN(B362)-7),
IF(D362="Juvenile DVD Educational",RIGHT(B362,LEN(B362)-9),
B362)))))))))))))))))</f>
        <v/>
      </c>
    </row>
    <row r="363" spans="1:8" ht="27" customHeight="1" x14ac:dyDescent="0.25">
      <c r="A363" s="10" t="str">
        <f ca="1">TEXT( INDIRECT( ADDRESS( ROW() + Row_Offset, INDIRECT( "Column_Number_" &amp; A$1), 4,1, tabname) ), "")</f>
        <v/>
      </c>
      <c r="B363" s="10" t="str">
        <f ca="1">TEXT(  IFERROR( VLOOKUP( $D363, CollName_Simplifier_Table[], 2, FALSE),"") &amp;
        INDIRECT( ADDRESS( ROW() + Row_Offset, INDIRECT( "Column_Number_" &amp; $B$1), 4,1, tabname) ), "")</f>
        <v/>
      </c>
      <c r="C363" s="10" t="str">
        <f ca="1">TEXT( INDIRECT( ADDRESS( ROW() + Row_Offset, INDIRECT( "Column_Number_" &amp; C$1), 4,1, tabname) ), "")</f>
        <v/>
      </c>
      <c r="D363" s="10" t="str">
        <f ca="1">TEXT( INDIRECT( ADDRESS( ROW() + Row_Offset, INDIRECT( "Column_Number_" &amp; D$1), 4,1, tabname) ), "")</f>
        <v/>
      </c>
      <c r="E363" s="10" t="str">
        <f ca="1">TEXT( INDIRECT( ADDRESS( ROW() + Row_Offset, INDIRECT( "Column_Number_" &amp; E$1), 4,1, tabname) ), "####")</f>
        <v/>
      </c>
      <c r="F363" s="15"/>
      <c r="G363" s="21" t="str">
        <f ca="1">IFERROR(INDEX(Rank_Table[],MATCH($D363&amp;$A363,Table4[Join],0)),"")</f>
        <v/>
      </c>
      <c r="H363" s="11" t="str">
        <f ca="1">IF(AND(D363="Juvenile Audiobook",LEFT(B363,8)="J CD BIO"),RIGHT(B363,LEN(B363)-9),
IF(AND(D363="Juvenile Audiobook",LEFT(B363,8)="J CD FIC"),B363,
IF(D363="Juvenile Audiobook",RIGHT(B363,LEN(B363)-5),
IF(AND(D363="Teen Audiobook",LEFT(B363,11)="TEEN CD BIO"),RIGHT(B363,LEN(B363)-12),
IF(AND(D363="Teen Audiobook",LEFT(B363,11)="TEEN CD FIC"),B363,
IF(D363="Juvenile Audiobook",RIGHT(B363,LEN(B363)-8),
IF(D363="Juvenile Nonfiction",RIGHT(B363,LEN(B363)-2),
IF(D363="Teen Nonfiction",RIGHT(B363,LEN(B363)-5),
IF(AND(D363="Audiobook",
              NOT(OR(Contains($B363,"CD BIO"),Contains($B363,"CD FIC")))),RIGHT(B363,LEN(B363)-3),
IF(D363="Juvenile Biography",RIGHT(B363,LEN(B363)-2),
IF(D363="Teen Biography",RIGHT(B363,LEN(B363)-5),
IF(AND(D363="Audiobook",
              IFERROR(FIND("BIO",$B363)&gt;0,FALSE)),RIGHT(B363,LEN(B363)-3),
IF(D363="Juvenile Large Type","J "&amp;RIGHT(B363,LEN(B363)-11),
IF(D363="Teen Large Type","TEEN "&amp;RIGHT(B363,LEN(B363)-14),
IF(D363="Reference",RIGHT(B363,LEN(B363)-4),
IF(D363="DVD Educational",RIGHT(B363,LEN(B363)-7),
IF(D363="Juvenile DVD Educational",RIGHT(B363,LEN(B363)-9),
B363)))))))))))))))))</f>
        <v/>
      </c>
    </row>
    <row r="364" spans="1:8" ht="27" customHeight="1" x14ac:dyDescent="0.25">
      <c r="A364" s="10" t="str">
        <f ca="1">TEXT( INDIRECT( ADDRESS( ROW() + Row_Offset, INDIRECT( "Column_Number_" &amp; A$1), 4,1, tabname) ), "")</f>
        <v/>
      </c>
      <c r="B364" s="10" t="str">
        <f ca="1">TEXT(  IFERROR( VLOOKUP( $D364, CollName_Simplifier_Table[], 2, FALSE),"") &amp;
        INDIRECT( ADDRESS( ROW() + Row_Offset, INDIRECT( "Column_Number_" &amp; $B$1), 4,1, tabname) ), "")</f>
        <v/>
      </c>
      <c r="C364" s="10" t="str">
        <f ca="1">TEXT( INDIRECT( ADDRESS( ROW() + Row_Offset, INDIRECT( "Column_Number_" &amp; C$1), 4,1, tabname) ), "")</f>
        <v/>
      </c>
      <c r="D364" s="10" t="str">
        <f ca="1">TEXT( INDIRECT( ADDRESS( ROW() + Row_Offset, INDIRECT( "Column_Number_" &amp; D$1), 4,1, tabname) ), "")</f>
        <v/>
      </c>
      <c r="E364" s="10" t="str">
        <f ca="1">TEXT( INDIRECT( ADDRESS( ROW() + Row_Offset, INDIRECT( "Column_Number_" &amp; E$1), 4,1, tabname) ), "####")</f>
        <v/>
      </c>
      <c r="F364" s="15"/>
      <c r="G364" s="21" t="str">
        <f ca="1">IFERROR(INDEX(Rank_Table[],MATCH($D364&amp;$A364,Table4[Join],0)),"")</f>
        <v/>
      </c>
      <c r="H364" s="11" t="str">
        <f ca="1">IF(AND(D364="Juvenile Audiobook",LEFT(B364,8)="J CD BIO"),RIGHT(B364,LEN(B364)-9),
IF(AND(D364="Juvenile Audiobook",LEFT(B364,8)="J CD FIC"),B364,
IF(D364="Juvenile Audiobook",RIGHT(B364,LEN(B364)-5),
IF(AND(D364="Teen Audiobook",LEFT(B364,11)="TEEN CD BIO"),RIGHT(B364,LEN(B364)-12),
IF(AND(D364="Teen Audiobook",LEFT(B364,11)="TEEN CD FIC"),B364,
IF(D364="Juvenile Audiobook",RIGHT(B364,LEN(B364)-8),
IF(D364="Juvenile Nonfiction",RIGHT(B364,LEN(B364)-2),
IF(D364="Teen Nonfiction",RIGHT(B364,LEN(B364)-5),
IF(AND(D364="Audiobook",
              NOT(OR(Contains($B364,"CD BIO"),Contains($B364,"CD FIC")))),RIGHT(B364,LEN(B364)-3),
IF(D364="Juvenile Biography",RIGHT(B364,LEN(B364)-2),
IF(D364="Teen Biography",RIGHT(B364,LEN(B364)-5),
IF(AND(D364="Audiobook",
              IFERROR(FIND("BIO",$B364)&gt;0,FALSE)),RIGHT(B364,LEN(B364)-3),
IF(D364="Juvenile Large Type","J "&amp;RIGHT(B364,LEN(B364)-11),
IF(D364="Teen Large Type","TEEN "&amp;RIGHT(B364,LEN(B364)-14),
IF(D364="Reference",RIGHT(B364,LEN(B364)-4),
IF(D364="DVD Educational",RIGHT(B364,LEN(B364)-7),
IF(D364="Juvenile DVD Educational",RIGHT(B364,LEN(B364)-9),
B364)))))))))))))))))</f>
        <v/>
      </c>
    </row>
    <row r="365" spans="1:8" ht="27" customHeight="1" x14ac:dyDescent="0.25">
      <c r="A365" s="10" t="str">
        <f ca="1">TEXT( INDIRECT( ADDRESS( ROW() + Row_Offset, INDIRECT( "Column_Number_" &amp; A$1), 4,1, tabname) ), "")</f>
        <v/>
      </c>
      <c r="B365" s="10" t="str">
        <f ca="1">TEXT(  IFERROR( VLOOKUP( $D365, CollName_Simplifier_Table[], 2, FALSE),"") &amp;
        INDIRECT( ADDRESS( ROW() + Row_Offset, INDIRECT( "Column_Number_" &amp; $B$1), 4,1, tabname) ), "")</f>
        <v/>
      </c>
      <c r="C365" s="10" t="str">
        <f ca="1">TEXT( INDIRECT( ADDRESS( ROW() + Row_Offset, INDIRECT( "Column_Number_" &amp; C$1), 4,1, tabname) ), "")</f>
        <v/>
      </c>
      <c r="D365" s="10" t="str">
        <f ca="1">TEXT( INDIRECT( ADDRESS( ROW() + Row_Offset, INDIRECT( "Column_Number_" &amp; D$1), 4,1, tabname) ), "")</f>
        <v/>
      </c>
      <c r="E365" s="10" t="str">
        <f ca="1">TEXT( INDIRECT( ADDRESS( ROW() + Row_Offset, INDIRECT( "Column_Number_" &amp; E$1), 4,1, tabname) ), "####")</f>
        <v/>
      </c>
      <c r="F365" s="15"/>
      <c r="G365" s="21" t="str">
        <f ca="1">IFERROR(INDEX(Rank_Table[],MATCH($D365&amp;$A365,Table4[Join],0)),"")</f>
        <v/>
      </c>
      <c r="H365" s="11" t="str">
        <f ca="1">IF(AND(D365="Juvenile Audiobook",LEFT(B365,8)="J CD BIO"),RIGHT(B365,LEN(B365)-9),
IF(AND(D365="Juvenile Audiobook",LEFT(B365,8)="J CD FIC"),B365,
IF(D365="Juvenile Audiobook",RIGHT(B365,LEN(B365)-5),
IF(AND(D365="Teen Audiobook",LEFT(B365,11)="TEEN CD BIO"),RIGHT(B365,LEN(B365)-12),
IF(AND(D365="Teen Audiobook",LEFT(B365,11)="TEEN CD FIC"),B365,
IF(D365="Juvenile Audiobook",RIGHT(B365,LEN(B365)-8),
IF(D365="Juvenile Nonfiction",RIGHT(B365,LEN(B365)-2),
IF(D365="Teen Nonfiction",RIGHT(B365,LEN(B365)-5),
IF(AND(D365="Audiobook",
              NOT(OR(Contains($B365,"CD BIO"),Contains($B365,"CD FIC")))),RIGHT(B365,LEN(B365)-3),
IF(D365="Juvenile Biography",RIGHT(B365,LEN(B365)-2),
IF(D365="Teen Biography",RIGHT(B365,LEN(B365)-5),
IF(AND(D365="Audiobook",
              IFERROR(FIND("BIO",$B365)&gt;0,FALSE)),RIGHT(B365,LEN(B365)-3),
IF(D365="Juvenile Large Type","J "&amp;RIGHT(B365,LEN(B365)-11),
IF(D365="Teen Large Type","TEEN "&amp;RIGHT(B365,LEN(B365)-14),
IF(D365="Reference",RIGHT(B365,LEN(B365)-4),
IF(D365="DVD Educational",RIGHT(B365,LEN(B365)-7),
IF(D365="Juvenile DVD Educational",RIGHT(B365,LEN(B365)-9),
B365)))))))))))))))))</f>
        <v/>
      </c>
    </row>
    <row r="366" spans="1:8" ht="27" customHeight="1" x14ac:dyDescent="0.25">
      <c r="A366" s="10" t="str">
        <f ca="1">TEXT( INDIRECT( ADDRESS( ROW() + Row_Offset, INDIRECT( "Column_Number_" &amp; A$1), 4,1, tabname) ), "")</f>
        <v/>
      </c>
      <c r="B366" s="10" t="str">
        <f ca="1">TEXT(  IFERROR( VLOOKUP( $D366, CollName_Simplifier_Table[], 2, FALSE),"") &amp;
        INDIRECT( ADDRESS( ROW() + Row_Offset, INDIRECT( "Column_Number_" &amp; $B$1), 4,1, tabname) ), "")</f>
        <v/>
      </c>
      <c r="C366" s="10" t="str">
        <f ca="1">TEXT( INDIRECT( ADDRESS( ROW() + Row_Offset, INDIRECT( "Column_Number_" &amp; C$1), 4,1, tabname) ), "")</f>
        <v/>
      </c>
      <c r="D366" s="10" t="str">
        <f ca="1">TEXT( INDIRECT( ADDRESS( ROW() + Row_Offset, INDIRECT( "Column_Number_" &amp; D$1), 4,1, tabname) ), "")</f>
        <v/>
      </c>
      <c r="E366" s="10" t="str">
        <f ca="1">TEXT( INDIRECT( ADDRESS( ROW() + Row_Offset, INDIRECT( "Column_Number_" &amp; E$1), 4,1, tabname) ), "####")</f>
        <v/>
      </c>
      <c r="F366" s="15"/>
      <c r="G366" s="21" t="str">
        <f ca="1">IFERROR(INDEX(Rank_Table[],MATCH($D366&amp;$A366,Table4[Join],0)),"")</f>
        <v/>
      </c>
      <c r="H366" s="11" t="str">
        <f ca="1">IF(AND(D366="Juvenile Audiobook",LEFT(B366,8)="J CD BIO"),RIGHT(B366,LEN(B366)-9),
IF(AND(D366="Juvenile Audiobook",LEFT(B366,8)="J CD FIC"),B366,
IF(D366="Juvenile Audiobook",RIGHT(B366,LEN(B366)-5),
IF(AND(D366="Teen Audiobook",LEFT(B366,11)="TEEN CD BIO"),RIGHT(B366,LEN(B366)-12),
IF(AND(D366="Teen Audiobook",LEFT(B366,11)="TEEN CD FIC"),B366,
IF(D366="Juvenile Audiobook",RIGHT(B366,LEN(B366)-8),
IF(D366="Juvenile Nonfiction",RIGHT(B366,LEN(B366)-2),
IF(D366="Teen Nonfiction",RIGHT(B366,LEN(B366)-5),
IF(AND(D366="Audiobook",
              NOT(OR(Contains($B366,"CD BIO"),Contains($B366,"CD FIC")))),RIGHT(B366,LEN(B366)-3),
IF(D366="Juvenile Biography",RIGHT(B366,LEN(B366)-2),
IF(D366="Teen Biography",RIGHT(B366,LEN(B366)-5),
IF(AND(D366="Audiobook",
              IFERROR(FIND("BIO",$B366)&gt;0,FALSE)),RIGHT(B366,LEN(B366)-3),
IF(D366="Juvenile Large Type","J "&amp;RIGHT(B366,LEN(B366)-11),
IF(D366="Teen Large Type","TEEN "&amp;RIGHT(B366,LEN(B366)-14),
IF(D366="Reference",RIGHT(B366,LEN(B366)-4),
IF(D366="DVD Educational",RIGHT(B366,LEN(B366)-7),
IF(D366="Juvenile DVD Educational",RIGHT(B366,LEN(B366)-9),
B366)))))))))))))))))</f>
        <v/>
      </c>
    </row>
    <row r="367" spans="1:8" ht="27" customHeight="1" x14ac:dyDescent="0.25">
      <c r="A367" s="10" t="str">
        <f ca="1">TEXT( INDIRECT( ADDRESS( ROW() + Row_Offset, INDIRECT( "Column_Number_" &amp; A$1), 4,1, tabname) ), "")</f>
        <v/>
      </c>
      <c r="B367" s="10" t="str">
        <f ca="1">TEXT(  IFERROR( VLOOKUP( $D367, CollName_Simplifier_Table[], 2, FALSE),"") &amp;
        INDIRECT( ADDRESS( ROW() + Row_Offset, INDIRECT( "Column_Number_" &amp; $B$1), 4,1, tabname) ), "")</f>
        <v/>
      </c>
      <c r="C367" s="10" t="str">
        <f ca="1">TEXT( INDIRECT( ADDRESS( ROW() + Row_Offset, INDIRECT( "Column_Number_" &amp; C$1), 4,1, tabname) ), "")</f>
        <v/>
      </c>
      <c r="D367" s="10" t="str">
        <f ca="1">TEXT( INDIRECT( ADDRESS( ROW() + Row_Offset, INDIRECT( "Column_Number_" &amp; D$1), 4,1, tabname) ), "")</f>
        <v/>
      </c>
      <c r="E367" s="10" t="str">
        <f ca="1">TEXT( INDIRECT( ADDRESS( ROW() + Row_Offset, INDIRECT( "Column_Number_" &amp; E$1), 4,1, tabname) ), "####")</f>
        <v/>
      </c>
      <c r="F367" s="15"/>
      <c r="G367" s="21" t="str">
        <f ca="1">IFERROR(INDEX(Rank_Table[],MATCH($D367&amp;$A367,Table4[Join],0)),"")</f>
        <v/>
      </c>
      <c r="H367" s="11" t="str">
        <f ca="1">IF(AND(D367="Juvenile Audiobook",LEFT(B367,8)="J CD BIO"),RIGHT(B367,LEN(B367)-9),
IF(AND(D367="Juvenile Audiobook",LEFT(B367,8)="J CD FIC"),B367,
IF(D367="Juvenile Audiobook",RIGHT(B367,LEN(B367)-5),
IF(AND(D367="Teen Audiobook",LEFT(B367,11)="TEEN CD BIO"),RIGHT(B367,LEN(B367)-12),
IF(AND(D367="Teen Audiobook",LEFT(B367,11)="TEEN CD FIC"),B367,
IF(D367="Juvenile Audiobook",RIGHT(B367,LEN(B367)-8),
IF(D367="Juvenile Nonfiction",RIGHT(B367,LEN(B367)-2),
IF(D367="Teen Nonfiction",RIGHT(B367,LEN(B367)-5),
IF(AND(D367="Audiobook",
              NOT(OR(Contains($B367,"CD BIO"),Contains($B367,"CD FIC")))),RIGHT(B367,LEN(B367)-3),
IF(D367="Juvenile Biography",RIGHT(B367,LEN(B367)-2),
IF(D367="Teen Biography",RIGHT(B367,LEN(B367)-5),
IF(AND(D367="Audiobook",
              IFERROR(FIND("BIO",$B367)&gt;0,FALSE)),RIGHT(B367,LEN(B367)-3),
IF(D367="Juvenile Large Type","J "&amp;RIGHT(B367,LEN(B367)-11),
IF(D367="Teen Large Type","TEEN "&amp;RIGHT(B367,LEN(B367)-14),
IF(D367="Reference",RIGHT(B367,LEN(B367)-4),
IF(D367="DVD Educational",RIGHT(B367,LEN(B367)-7),
IF(D367="Juvenile DVD Educational",RIGHT(B367,LEN(B367)-9),
B367)))))))))))))))))</f>
        <v/>
      </c>
    </row>
    <row r="368" spans="1:8" ht="27" customHeight="1" x14ac:dyDescent="0.25">
      <c r="A368" s="10" t="str">
        <f ca="1">TEXT( INDIRECT( ADDRESS( ROW() + Row_Offset, INDIRECT( "Column_Number_" &amp; A$1), 4,1, tabname) ), "")</f>
        <v/>
      </c>
      <c r="B368" s="10" t="str">
        <f ca="1">TEXT(  IFERROR( VLOOKUP( $D368, CollName_Simplifier_Table[], 2, FALSE),"") &amp;
        INDIRECT( ADDRESS( ROW() + Row_Offset, INDIRECT( "Column_Number_" &amp; $B$1), 4,1, tabname) ), "")</f>
        <v/>
      </c>
      <c r="C368" s="10" t="str">
        <f ca="1">TEXT( INDIRECT( ADDRESS( ROW() + Row_Offset, INDIRECT( "Column_Number_" &amp; C$1), 4,1, tabname) ), "")</f>
        <v/>
      </c>
      <c r="D368" s="10" t="str">
        <f ca="1">TEXT( INDIRECT( ADDRESS( ROW() + Row_Offset, INDIRECT( "Column_Number_" &amp; D$1), 4,1, tabname) ), "")</f>
        <v/>
      </c>
      <c r="E368" s="10" t="str">
        <f ca="1">TEXT( INDIRECT( ADDRESS( ROW() + Row_Offset, INDIRECT( "Column_Number_" &amp; E$1), 4,1, tabname) ), "####")</f>
        <v/>
      </c>
      <c r="F368" s="15"/>
      <c r="G368" s="21" t="str">
        <f ca="1">IFERROR(INDEX(Rank_Table[],MATCH($D368&amp;$A368,Table4[Join],0)),"")</f>
        <v/>
      </c>
      <c r="H368" s="11" t="str">
        <f ca="1">IF(AND(D368="Juvenile Audiobook",LEFT(B368,8)="J CD BIO"),RIGHT(B368,LEN(B368)-9),
IF(AND(D368="Juvenile Audiobook",LEFT(B368,8)="J CD FIC"),B368,
IF(D368="Juvenile Audiobook",RIGHT(B368,LEN(B368)-5),
IF(AND(D368="Teen Audiobook",LEFT(B368,11)="TEEN CD BIO"),RIGHT(B368,LEN(B368)-12),
IF(AND(D368="Teen Audiobook",LEFT(B368,11)="TEEN CD FIC"),B368,
IF(D368="Juvenile Audiobook",RIGHT(B368,LEN(B368)-8),
IF(D368="Juvenile Nonfiction",RIGHT(B368,LEN(B368)-2),
IF(D368="Teen Nonfiction",RIGHT(B368,LEN(B368)-5),
IF(AND(D368="Audiobook",
              NOT(OR(Contains($B368,"CD BIO"),Contains($B368,"CD FIC")))),RIGHT(B368,LEN(B368)-3),
IF(D368="Juvenile Biography",RIGHT(B368,LEN(B368)-2),
IF(D368="Teen Biography",RIGHT(B368,LEN(B368)-5),
IF(AND(D368="Audiobook",
              IFERROR(FIND("BIO",$B368)&gt;0,FALSE)),RIGHT(B368,LEN(B368)-3),
IF(D368="Juvenile Large Type","J "&amp;RIGHT(B368,LEN(B368)-11),
IF(D368="Teen Large Type","TEEN "&amp;RIGHT(B368,LEN(B368)-14),
IF(D368="Reference",RIGHT(B368,LEN(B368)-4),
IF(D368="DVD Educational",RIGHT(B368,LEN(B368)-7),
IF(D368="Juvenile DVD Educational",RIGHT(B368,LEN(B368)-9),
B368)))))))))))))))))</f>
        <v/>
      </c>
    </row>
    <row r="369" spans="1:8" ht="27" customHeight="1" x14ac:dyDescent="0.25">
      <c r="A369" s="10" t="str">
        <f ca="1">TEXT( INDIRECT( ADDRESS( ROW() + Row_Offset, INDIRECT( "Column_Number_" &amp; A$1), 4,1, tabname) ), "")</f>
        <v/>
      </c>
      <c r="B369" s="10" t="str">
        <f ca="1">TEXT(  IFERROR( VLOOKUP( $D369, CollName_Simplifier_Table[], 2, FALSE),"") &amp;
        INDIRECT( ADDRESS( ROW() + Row_Offset, INDIRECT( "Column_Number_" &amp; $B$1), 4,1, tabname) ), "")</f>
        <v/>
      </c>
      <c r="C369" s="10" t="str">
        <f ca="1">TEXT( INDIRECT( ADDRESS( ROW() + Row_Offset, INDIRECT( "Column_Number_" &amp; C$1), 4,1, tabname) ), "")</f>
        <v/>
      </c>
      <c r="D369" s="10" t="str">
        <f ca="1">TEXT( INDIRECT( ADDRESS( ROW() + Row_Offset, INDIRECT( "Column_Number_" &amp; D$1), 4,1, tabname) ), "")</f>
        <v/>
      </c>
      <c r="E369" s="10" t="str">
        <f ca="1">TEXT( INDIRECT( ADDRESS( ROW() + Row_Offset, INDIRECT( "Column_Number_" &amp; E$1), 4,1, tabname) ), "####")</f>
        <v/>
      </c>
      <c r="F369" s="15"/>
      <c r="G369" s="21" t="str">
        <f ca="1">IFERROR(INDEX(Rank_Table[],MATCH($D369&amp;$A369,Table4[Join],0)),"")</f>
        <v/>
      </c>
      <c r="H369" s="11" t="str">
        <f ca="1">IF(AND(D369="Juvenile Audiobook",LEFT(B369,8)="J CD BIO"),RIGHT(B369,LEN(B369)-9),
IF(AND(D369="Juvenile Audiobook",LEFT(B369,8)="J CD FIC"),B369,
IF(D369="Juvenile Audiobook",RIGHT(B369,LEN(B369)-5),
IF(AND(D369="Teen Audiobook",LEFT(B369,11)="TEEN CD BIO"),RIGHT(B369,LEN(B369)-12),
IF(AND(D369="Teen Audiobook",LEFT(B369,11)="TEEN CD FIC"),B369,
IF(D369="Juvenile Audiobook",RIGHT(B369,LEN(B369)-8),
IF(D369="Juvenile Nonfiction",RIGHT(B369,LEN(B369)-2),
IF(D369="Teen Nonfiction",RIGHT(B369,LEN(B369)-5),
IF(AND(D369="Audiobook",
              NOT(OR(Contains($B369,"CD BIO"),Contains($B369,"CD FIC")))),RIGHT(B369,LEN(B369)-3),
IF(D369="Juvenile Biography",RIGHT(B369,LEN(B369)-2),
IF(D369="Teen Biography",RIGHT(B369,LEN(B369)-5),
IF(AND(D369="Audiobook",
              IFERROR(FIND("BIO",$B369)&gt;0,FALSE)),RIGHT(B369,LEN(B369)-3),
IF(D369="Juvenile Large Type","J "&amp;RIGHT(B369,LEN(B369)-11),
IF(D369="Teen Large Type","TEEN "&amp;RIGHT(B369,LEN(B369)-14),
IF(D369="Reference",RIGHT(B369,LEN(B369)-4),
IF(D369="DVD Educational",RIGHT(B369,LEN(B369)-7),
IF(D369="Juvenile DVD Educational",RIGHT(B369,LEN(B369)-9),
B369)))))))))))))))))</f>
        <v/>
      </c>
    </row>
    <row r="370" spans="1:8" ht="27" customHeight="1" x14ac:dyDescent="0.25">
      <c r="A370" s="10" t="str">
        <f ca="1">TEXT( INDIRECT( ADDRESS( ROW() + Row_Offset, INDIRECT( "Column_Number_" &amp; A$1), 4,1, tabname) ), "")</f>
        <v/>
      </c>
      <c r="B370" s="10" t="str">
        <f ca="1">TEXT(  IFERROR( VLOOKUP( $D370, CollName_Simplifier_Table[], 2, FALSE),"") &amp;
        INDIRECT( ADDRESS( ROW() + Row_Offset, INDIRECT( "Column_Number_" &amp; $B$1), 4,1, tabname) ), "")</f>
        <v/>
      </c>
      <c r="C370" s="10" t="str">
        <f ca="1">TEXT( INDIRECT( ADDRESS( ROW() + Row_Offset, INDIRECT( "Column_Number_" &amp; C$1), 4,1, tabname) ), "")</f>
        <v/>
      </c>
      <c r="D370" s="10" t="str">
        <f ca="1">TEXT( INDIRECT( ADDRESS( ROW() + Row_Offset, INDIRECT( "Column_Number_" &amp; D$1), 4,1, tabname) ), "")</f>
        <v/>
      </c>
      <c r="E370" s="10" t="str">
        <f ca="1">TEXT( INDIRECT( ADDRESS( ROW() + Row_Offset, INDIRECT( "Column_Number_" &amp; E$1), 4,1, tabname) ), "####")</f>
        <v/>
      </c>
      <c r="F370" s="15"/>
      <c r="G370" s="21" t="str">
        <f ca="1">IFERROR(INDEX(Rank_Table[],MATCH($D370&amp;$A370,Table4[Join],0)),"")</f>
        <v/>
      </c>
      <c r="H370" s="11" t="str">
        <f ca="1">IF(AND(D370="Juvenile Audiobook",LEFT(B370,8)="J CD BIO"),RIGHT(B370,LEN(B370)-9),
IF(AND(D370="Juvenile Audiobook",LEFT(B370,8)="J CD FIC"),B370,
IF(D370="Juvenile Audiobook",RIGHT(B370,LEN(B370)-5),
IF(AND(D370="Teen Audiobook",LEFT(B370,11)="TEEN CD BIO"),RIGHT(B370,LEN(B370)-12),
IF(AND(D370="Teen Audiobook",LEFT(B370,11)="TEEN CD FIC"),B370,
IF(D370="Juvenile Audiobook",RIGHT(B370,LEN(B370)-8),
IF(D370="Juvenile Nonfiction",RIGHT(B370,LEN(B370)-2),
IF(D370="Teen Nonfiction",RIGHT(B370,LEN(B370)-5),
IF(AND(D370="Audiobook",
              NOT(OR(Contains($B370,"CD BIO"),Contains($B370,"CD FIC")))),RIGHT(B370,LEN(B370)-3),
IF(D370="Juvenile Biography",RIGHT(B370,LEN(B370)-2),
IF(D370="Teen Biography",RIGHT(B370,LEN(B370)-5),
IF(AND(D370="Audiobook",
              IFERROR(FIND("BIO",$B370)&gt;0,FALSE)),RIGHT(B370,LEN(B370)-3),
IF(D370="Juvenile Large Type","J "&amp;RIGHT(B370,LEN(B370)-11),
IF(D370="Teen Large Type","TEEN "&amp;RIGHT(B370,LEN(B370)-14),
IF(D370="Reference",RIGHT(B370,LEN(B370)-4),
IF(D370="DVD Educational",RIGHT(B370,LEN(B370)-7),
IF(D370="Juvenile DVD Educational",RIGHT(B370,LEN(B370)-9),
B370)))))))))))))))))</f>
        <v/>
      </c>
    </row>
    <row r="371" spans="1:8" ht="27" customHeight="1" x14ac:dyDescent="0.25">
      <c r="A371" s="10" t="str">
        <f ca="1">TEXT( INDIRECT( ADDRESS( ROW() + Row_Offset, INDIRECT( "Column_Number_" &amp; A$1), 4,1, tabname) ), "")</f>
        <v/>
      </c>
      <c r="B371" s="10" t="str">
        <f ca="1">TEXT(  IFERROR( VLOOKUP( $D371, CollName_Simplifier_Table[], 2, FALSE),"") &amp;
        INDIRECT( ADDRESS( ROW() + Row_Offset, INDIRECT( "Column_Number_" &amp; $B$1), 4,1, tabname) ), "")</f>
        <v/>
      </c>
      <c r="C371" s="10" t="str">
        <f ca="1">TEXT( INDIRECT( ADDRESS( ROW() + Row_Offset, INDIRECT( "Column_Number_" &amp; C$1), 4,1, tabname) ), "")</f>
        <v/>
      </c>
      <c r="D371" s="10" t="str">
        <f ca="1">TEXT( INDIRECT( ADDRESS( ROW() + Row_Offset, INDIRECT( "Column_Number_" &amp; D$1), 4,1, tabname) ), "")</f>
        <v/>
      </c>
      <c r="E371" s="10" t="str">
        <f ca="1">TEXT( INDIRECT( ADDRESS( ROW() + Row_Offset, INDIRECT( "Column_Number_" &amp; E$1), 4,1, tabname) ), "####")</f>
        <v/>
      </c>
      <c r="F371" s="15"/>
      <c r="G371" s="21" t="str">
        <f ca="1">IFERROR(INDEX(Rank_Table[],MATCH($D371&amp;$A371,Table4[Join],0)),"")</f>
        <v/>
      </c>
      <c r="H371" s="11" t="str">
        <f ca="1">IF(AND(D371="Juvenile Audiobook",LEFT(B371,8)="J CD BIO"),RIGHT(B371,LEN(B371)-9),
IF(AND(D371="Juvenile Audiobook",LEFT(B371,8)="J CD FIC"),B371,
IF(D371="Juvenile Audiobook",RIGHT(B371,LEN(B371)-5),
IF(AND(D371="Teen Audiobook",LEFT(B371,11)="TEEN CD BIO"),RIGHT(B371,LEN(B371)-12),
IF(AND(D371="Teen Audiobook",LEFT(B371,11)="TEEN CD FIC"),B371,
IF(D371="Juvenile Audiobook",RIGHT(B371,LEN(B371)-8),
IF(D371="Juvenile Nonfiction",RIGHT(B371,LEN(B371)-2),
IF(D371="Teen Nonfiction",RIGHT(B371,LEN(B371)-5),
IF(AND(D371="Audiobook",
              NOT(OR(Contains($B371,"CD BIO"),Contains($B371,"CD FIC")))),RIGHT(B371,LEN(B371)-3),
IF(D371="Juvenile Biography",RIGHT(B371,LEN(B371)-2),
IF(D371="Teen Biography",RIGHT(B371,LEN(B371)-5),
IF(AND(D371="Audiobook",
              IFERROR(FIND("BIO",$B371)&gt;0,FALSE)),RIGHT(B371,LEN(B371)-3),
IF(D371="Juvenile Large Type","J "&amp;RIGHT(B371,LEN(B371)-11),
IF(D371="Teen Large Type","TEEN "&amp;RIGHT(B371,LEN(B371)-14),
IF(D371="Reference",RIGHT(B371,LEN(B371)-4),
IF(D371="DVD Educational",RIGHT(B371,LEN(B371)-7),
IF(D371="Juvenile DVD Educational",RIGHT(B371,LEN(B371)-9),
B371)))))))))))))))))</f>
        <v/>
      </c>
    </row>
    <row r="372" spans="1:8" ht="27" customHeight="1" x14ac:dyDescent="0.25">
      <c r="A372" s="10" t="str">
        <f ca="1">TEXT( INDIRECT( ADDRESS( ROW() + Row_Offset, INDIRECT( "Column_Number_" &amp; A$1), 4,1, tabname) ), "")</f>
        <v/>
      </c>
      <c r="B372" s="10" t="str">
        <f ca="1">TEXT(  IFERROR( VLOOKUP( $D372, CollName_Simplifier_Table[], 2, FALSE),"") &amp;
        INDIRECT( ADDRESS( ROW() + Row_Offset, INDIRECT( "Column_Number_" &amp; $B$1), 4,1, tabname) ), "")</f>
        <v/>
      </c>
      <c r="C372" s="10" t="str">
        <f ca="1">TEXT( INDIRECT( ADDRESS( ROW() + Row_Offset, INDIRECT( "Column_Number_" &amp; C$1), 4,1, tabname) ), "")</f>
        <v/>
      </c>
      <c r="D372" s="10" t="str">
        <f ca="1">TEXT( INDIRECT( ADDRESS( ROW() + Row_Offset, INDIRECT( "Column_Number_" &amp; D$1), 4,1, tabname) ), "")</f>
        <v/>
      </c>
      <c r="E372" s="10" t="str">
        <f ca="1">TEXT( INDIRECT( ADDRESS( ROW() + Row_Offset, INDIRECT( "Column_Number_" &amp; E$1), 4,1, tabname) ), "####")</f>
        <v/>
      </c>
      <c r="F372" s="15"/>
      <c r="G372" s="21" t="str">
        <f ca="1">IFERROR(INDEX(Rank_Table[],MATCH($D372&amp;$A372,Table4[Join],0)),"")</f>
        <v/>
      </c>
      <c r="H372" s="11" t="str">
        <f ca="1">IF(AND(D372="Juvenile Audiobook",LEFT(B372,8)="J CD BIO"),RIGHT(B372,LEN(B372)-9),
IF(AND(D372="Juvenile Audiobook",LEFT(B372,8)="J CD FIC"),B372,
IF(D372="Juvenile Audiobook",RIGHT(B372,LEN(B372)-5),
IF(AND(D372="Teen Audiobook",LEFT(B372,11)="TEEN CD BIO"),RIGHT(B372,LEN(B372)-12),
IF(AND(D372="Teen Audiobook",LEFT(B372,11)="TEEN CD FIC"),B372,
IF(D372="Juvenile Audiobook",RIGHT(B372,LEN(B372)-8),
IF(D372="Juvenile Nonfiction",RIGHT(B372,LEN(B372)-2),
IF(D372="Teen Nonfiction",RIGHT(B372,LEN(B372)-5),
IF(AND(D372="Audiobook",
              NOT(OR(Contains($B372,"CD BIO"),Contains($B372,"CD FIC")))),RIGHT(B372,LEN(B372)-3),
IF(D372="Juvenile Biography",RIGHT(B372,LEN(B372)-2),
IF(D372="Teen Biography",RIGHT(B372,LEN(B372)-5),
IF(AND(D372="Audiobook",
              IFERROR(FIND("BIO",$B372)&gt;0,FALSE)),RIGHT(B372,LEN(B372)-3),
IF(D372="Juvenile Large Type","J "&amp;RIGHT(B372,LEN(B372)-11),
IF(D372="Teen Large Type","TEEN "&amp;RIGHT(B372,LEN(B372)-14),
IF(D372="Reference",RIGHT(B372,LEN(B372)-4),
IF(D372="DVD Educational",RIGHT(B372,LEN(B372)-7),
IF(D372="Juvenile DVD Educational",RIGHT(B372,LEN(B372)-9),
B372)))))))))))))))))</f>
        <v/>
      </c>
    </row>
    <row r="373" spans="1:8" ht="27" customHeight="1" x14ac:dyDescent="0.25">
      <c r="A373" s="10" t="str">
        <f ca="1">TEXT( INDIRECT( ADDRESS( ROW() + Row_Offset, INDIRECT( "Column_Number_" &amp; A$1), 4,1, tabname) ), "")</f>
        <v/>
      </c>
      <c r="B373" s="10" t="str">
        <f ca="1">TEXT(  IFERROR( VLOOKUP( $D373, CollName_Simplifier_Table[], 2, FALSE),"") &amp;
        INDIRECT( ADDRESS( ROW() + Row_Offset, INDIRECT( "Column_Number_" &amp; $B$1), 4,1, tabname) ), "")</f>
        <v/>
      </c>
      <c r="C373" s="10" t="str">
        <f ca="1">TEXT( INDIRECT( ADDRESS( ROW() + Row_Offset, INDIRECT( "Column_Number_" &amp; C$1), 4,1, tabname) ), "")</f>
        <v/>
      </c>
      <c r="D373" s="10" t="str">
        <f ca="1">TEXT( INDIRECT( ADDRESS( ROW() + Row_Offset, INDIRECT( "Column_Number_" &amp; D$1), 4,1, tabname) ), "")</f>
        <v/>
      </c>
      <c r="E373" s="10" t="str">
        <f ca="1">TEXT( INDIRECT( ADDRESS( ROW() + Row_Offset, INDIRECT( "Column_Number_" &amp; E$1), 4,1, tabname) ), "####")</f>
        <v/>
      </c>
      <c r="F373" s="15"/>
      <c r="G373" s="21" t="str">
        <f ca="1">IFERROR(INDEX(Rank_Table[],MATCH($D373&amp;$A373,Table4[Join],0)),"")</f>
        <v/>
      </c>
      <c r="H373" s="11" t="str">
        <f ca="1">IF(AND(D373="Juvenile Audiobook",LEFT(B373,8)="J CD BIO"),RIGHT(B373,LEN(B373)-9),
IF(AND(D373="Juvenile Audiobook",LEFT(B373,8)="J CD FIC"),B373,
IF(D373="Juvenile Audiobook",RIGHT(B373,LEN(B373)-5),
IF(AND(D373="Teen Audiobook",LEFT(B373,11)="TEEN CD BIO"),RIGHT(B373,LEN(B373)-12),
IF(AND(D373="Teen Audiobook",LEFT(B373,11)="TEEN CD FIC"),B373,
IF(D373="Juvenile Audiobook",RIGHT(B373,LEN(B373)-8),
IF(D373="Juvenile Nonfiction",RIGHT(B373,LEN(B373)-2),
IF(D373="Teen Nonfiction",RIGHT(B373,LEN(B373)-5),
IF(AND(D373="Audiobook",
              NOT(OR(Contains($B373,"CD BIO"),Contains($B373,"CD FIC")))),RIGHT(B373,LEN(B373)-3),
IF(D373="Juvenile Biography",RIGHT(B373,LEN(B373)-2),
IF(D373="Teen Biography",RIGHT(B373,LEN(B373)-5),
IF(AND(D373="Audiobook",
              IFERROR(FIND("BIO",$B373)&gt;0,FALSE)),RIGHT(B373,LEN(B373)-3),
IF(D373="Juvenile Large Type","J "&amp;RIGHT(B373,LEN(B373)-11),
IF(D373="Teen Large Type","TEEN "&amp;RIGHT(B373,LEN(B373)-14),
IF(D373="Reference",RIGHT(B373,LEN(B373)-4),
IF(D373="DVD Educational",RIGHT(B373,LEN(B373)-7),
IF(D373="Juvenile DVD Educational",RIGHT(B373,LEN(B373)-9),
B373)))))))))))))))))</f>
        <v/>
      </c>
    </row>
    <row r="374" spans="1:8" ht="27" customHeight="1" x14ac:dyDescent="0.25">
      <c r="A374" s="10" t="str">
        <f ca="1">TEXT( INDIRECT( ADDRESS( ROW() + Row_Offset, INDIRECT( "Column_Number_" &amp; A$1), 4,1, tabname) ), "")</f>
        <v/>
      </c>
      <c r="B374" s="10" t="str">
        <f ca="1">TEXT(  IFERROR( VLOOKUP( $D374, CollName_Simplifier_Table[], 2, FALSE),"") &amp;
        INDIRECT( ADDRESS( ROW() + Row_Offset, INDIRECT( "Column_Number_" &amp; $B$1), 4,1, tabname) ), "")</f>
        <v/>
      </c>
      <c r="C374" s="10" t="str">
        <f ca="1">TEXT( INDIRECT( ADDRESS( ROW() + Row_Offset, INDIRECT( "Column_Number_" &amp; C$1), 4,1, tabname) ), "")</f>
        <v/>
      </c>
      <c r="D374" s="10" t="str">
        <f ca="1">TEXT( INDIRECT( ADDRESS( ROW() + Row_Offset, INDIRECT( "Column_Number_" &amp; D$1), 4,1, tabname) ), "")</f>
        <v/>
      </c>
      <c r="E374" s="10" t="str">
        <f ca="1">TEXT( INDIRECT( ADDRESS( ROW() + Row_Offset, INDIRECT( "Column_Number_" &amp; E$1), 4,1, tabname) ), "####")</f>
        <v/>
      </c>
      <c r="F374" s="15"/>
      <c r="G374" s="21" t="str">
        <f ca="1">IFERROR(INDEX(Rank_Table[],MATCH($D374&amp;$A374,Table4[Join],0)),"")</f>
        <v/>
      </c>
      <c r="H374" s="11" t="str">
        <f ca="1">IF(AND(D374="Juvenile Audiobook",LEFT(B374,8)="J CD BIO"),RIGHT(B374,LEN(B374)-9),
IF(AND(D374="Juvenile Audiobook",LEFT(B374,8)="J CD FIC"),B374,
IF(D374="Juvenile Audiobook",RIGHT(B374,LEN(B374)-5),
IF(AND(D374="Teen Audiobook",LEFT(B374,11)="TEEN CD BIO"),RIGHT(B374,LEN(B374)-12),
IF(AND(D374="Teen Audiobook",LEFT(B374,11)="TEEN CD FIC"),B374,
IF(D374="Juvenile Audiobook",RIGHT(B374,LEN(B374)-8),
IF(D374="Juvenile Nonfiction",RIGHT(B374,LEN(B374)-2),
IF(D374="Teen Nonfiction",RIGHT(B374,LEN(B374)-5),
IF(AND(D374="Audiobook",
              NOT(OR(Contains($B374,"CD BIO"),Contains($B374,"CD FIC")))),RIGHT(B374,LEN(B374)-3),
IF(D374="Juvenile Biography",RIGHT(B374,LEN(B374)-2),
IF(D374="Teen Biography",RIGHT(B374,LEN(B374)-5),
IF(AND(D374="Audiobook",
              IFERROR(FIND("BIO",$B374)&gt;0,FALSE)),RIGHT(B374,LEN(B374)-3),
IF(D374="Juvenile Large Type","J "&amp;RIGHT(B374,LEN(B374)-11),
IF(D374="Teen Large Type","TEEN "&amp;RIGHT(B374,LEN(B374)-14),
IF(D374="Reference",RIGHT(B374,LEN(B374)-4),
IF(D374="DVD Educational",RIGHT(B374,LEN(B374)-7),
IF(D374="Juvenile DVD Educational",RIGHT(B374,LEN(B374)-9),
B374)))))))))))))))))</f>
        <v/>
      </c>
    </row>
    <row r="375" spans="1:8" ht="27" customHeight="1" x14ac:dyDescent="0.25">
      <c r="A375" s="10" t="str">
        <f ca="1">TEXT( INDIRECT( ADDRESS( ROW() + Row_Offset, INDIRECT( "Column_Number_" &amp; A$1), 4,1, tabname) ), "")</f>
        <v/>
      </c>
      <c r="B375" s="10" t="str">
        <f ca="1">TEXT(  IFERROR( VLOOKUP( $D375, CollName_Simplifier_Table[], 2, FALSE),"") &amp;
        INDIRECT( ADDRESS( ROW() + Row_Offset, INDIRECT( "Column_Number_" &amp; $B$1), 4,1, tabname) ), "")</f>
        <v/>
      </c>
      <c r="C375" s="10" t="str">
        <f ca="1">TEXT( INDIRECT( ADDRESS( ROW() + Row_Offset, INDIRECT( "Column_Number_" &amp; C$1), 4,1, tabname) ), "")</f>
        <v/>
      </c>
      <c r="D375" s="10" t="str">
        <f ca="1">TEXT( INDIRECT( ADDRESS( ROW() + Row_Offset, INDIRECT( "Column_Number_" &amp; D$1), 4,1, tabname) ), "")</f>
        <v/>
      </c>
      <c r="E375" s="10" t="str">
        <f ca="1">TEXT( INDIRECT( ADDRESS( ROW() + Row_Offset, INDIRECT( "Column_Number_" &amp; E$1), 4,1, tabname) ), "####")</f>
        <v/>
      </c>
      <c r="F375" s="15"/>
      <c r="G375" s="21" t="str">
        <f ca="1">IFERROR(INDEX(Rank_Table[],MATCH($D375&amp;$A375,Table4[Join],0)),"")</f>
        <v/>
      </c>
      <c r="H375" s="11" t="str">
        <f ca="1">IF(AND(D375="Juvenile Audiobook",LEFT(B375,8)="J CD BIO"),RIGHT(B375,LEN(B375)-9),
IF(AND(D375="Juvenile Audiobook",LEFT(B375,8)="J CD FIC"),B375,
IF(D375="Juvenile Audiobook",RIGHT(B375,LEN(B375)-5),
IF(AND(D375="Teen Audiobook",LEFT(B375,11)="TEEN CD BIO"),RIGHT(B375,LEN(B375)-12),
IF(AND(D375="Teen Audiobook",LEFT(B375,11)="TEEN CD FIC"),B375,
IF(D375="Juvenile Audiobook",RIGHT(B375,LEN(B375)-8),
IF(D375="Juvenile Nonfiction",RIGHT(B375,LEN(B375)-2),
IF(D375="Teen Nonfiction",RIGHT(B375,LEN(B375)-5),
IF(AND(D375="Audiobook",
              NOT(OR(Contains($B375,"CD BIO"),Contains($B375,"CD FIC")))),RIGHT(B375,LEN(B375)-3),
IF(D375="Juvenile Biography",RIGHT(B375,LEN(B375)-2),
IF(D375="Teen Biography",RIGHT(B375,LEN(B375)-5),
IF(AND(D375="Audiobook",
              IFERROR(FIND("BIO",$B375)&gt;0,FALSE)),RIGHT(B375,LEN(B375)-3),
IF(D375="Juvenile Large Type","J "&amp;RIGHT(B375,LEN(B375)-11),
IF(D375="Teen Large Type","TEEN "&amp;RIGHT(B375,LEN(B375)-14),
IF(D375="Reference",RIGHT(B375,LEN(B375)-4),
IF(D375="DVD Educational",RIGHT(B375,LEN(B375)-7),
IF(D375="Juvenile DVD Educational",RIGHT(B375,LEN(B375)-9),
B375)))))))))))))))))</f>
        <v/>
      </c>
    </row>
    <row r="376" spans="1:8" ht="27" customHeight="1" x14ac:dyDescent="0.25">
      <c r="A376" s="10" t="str">
        <f ca="1">TEXT( INDIRECT( ADDRESS( ROW() + Row_Offset, INDIRECT( "Column_Number_" &amp; A$1), 4,1, tabname) ), "")</f>
        <v/>
      </c>
      <c r="B376" s="10" t="str">
        <f ca="1">TEXT(  IFERROR( VLOOKUP( $D376, CollName_Simplifier_Table[], 2, FALSE),"") &amp;
        INDIRECT( ADDRESS( ROW() + Row_Offset, INDIRECT( "Column_Number_" &amp; $B$1), 4,1, tabname) ), "")</f>
        <v/>
      </c>
      <c r="C376" s="10" t="str">
        <f ca="1">TEXT( INDIRECT( ADDRESS( ROW() + Row_Offset, INDIRECT( "Column_Number_" &amp; C$1), 4,1, tabname) ), "")</f>
        <v/>
      </c>
      <c r="D376" s="10" t="str">
        <f ca="1">TEXT( INDIRECT( ADDRESS( ROW() + Row_Offset, INDIRECT( "Column_Number_" &amp; D$1), 4,1, tabname) ), "")</f>
        <v/>
      </c>
      <c r="E376" s="10" t="str">
        <f ca="1">TEXT( INDIRECT( ADDRESS( ROW() + Row_Offset, INDIRECT( "Column_Number_" &amp; E$1), 4,1, tabname) ), "####")</f>
        <v/>
      </c>
      <c r="F376" s="15"/>
      <c r="G376" s="21" t="str">
        <f ca="1">IFERROR(INDEX(Rank_Table[],MATCH($D376&amp;$A376,Table4[Join],0)),"")</f>
        <v/>
      </c>
      <c r="H376" s="11" t="str">
        <f ca="1">IF(AND(D376="Juvenile Audiobook",LEFT(B376,8)="J CD BIO"),RIGHT(B376,LEN(B376)-9),
IF(AND(D376="Juvenile Audiobook",LEFT(B376,8)="J CD FIC"),B376,
IF(D376="Juvenile Audiobook",RIGHT(B376,LEN(B376)-5),
IF(AND(D376="Teen Audiobook",LEFT(B376,11)="TEEN CD BIO"),RIGHT(B376,LEN(B376)-12),
IF(AND(D376="Teen Audiobook",LEFT(B376,11)="TEEN CD FIC"),B376,
IF(D376="Juvenile Audiobook",RIGHT(B376,LEN(B376)-8),
IF(D376="Juvenile Nonfiction",RIGHT(B376,LEN(B376)-2),
IF(D376="Teen Nonfiction",RIGHT(B376,LEN(B376)-5),
IF(AND(D376="Audiobook",
              NOT(OR(Contains($B376,"CD BIO"),Contains($B376,"CD FIC")))),RIGHT(B376,LEN(B376)-3),
IF(D376="Juvenile Biography",RIGHT(B376,LEN(B376)-2),
IF(D376="Teen Biography",RIGHT(B376,LEN(B376)-5),
IF(AND(D376="Audiobook",
              IFERROR(FIND("BIO",$B376)&gt;0,FALSE)),RIGHT(B376,LEN(B376)-3),
IF(D376="Juvenile Large Type","J "&amp;RIGHT(B376,LEN(B376)-11),
IF(D376="Teen Large Type","TEEN "&amp;RIGHT(B376,LEN(B376)-14),
IF(D376="Reference",RIGHT(B376,LEN(B376)-4),
IF(D376="DVD Educational",RIGHT(B376,LEN(B376)-7),
IF(D376="Juvenile DVD Educational",RIGHT(B376,LEN(B376)-9),
B376)))))))))))))))))</f>
        <v/>
      </c>
    </row>
    <row r="377" spans="1:8" ht="27" customHeight="1" x14ac:dyDescent="0.25">
      <c r="A377" s="10" t="str">
        <f ca="1">TEXT( INDIRECT( ADDRESS( ROW() + Row_Offset, INDIRECT( "Column_Number_" &amp; A$1), 4,1, tabname) ), "")</f>
        <v/>
      </c>
      <c r="B377" s="10" t="str">
        <f ca="1">TEXT(  IFERROR( VLOOKUP( $D377, CollName_Simplifier_Table[], 2, FALSE),"") &amp;
        INDIRECT( ADDRESS( ROW() + Row_Offset, INDIRECT( "Column_Number_" &amp; $B$1), 4,1, tabname) ), "")</f>
        <v/>
      </c>
      <c r="C377" s="10" t="str">
        <f ca="1">TEXT( INDIRECT( ADDRESS( ROW() + Row_Offset, INDIRECT( "Column_Number_" &amp; C$1), 4,1, tabname) ), "")</f>
        <v/>
      </c>
      <c r="D377" s="10" t="str">
        <f ca="1">TEXT( INDIRECT( ADDRESS( ROW() + Row_Offset, INDIRECT( "Column_Number_" &amp; D$1), 4,1, tabname) ), "")</f>
        <v/>
      </c>
      <c r="E377" s="10" t="str">
        <f ca="1">TEXT( INDIRECT( ADDRESS( ROW() + Row_Offset, INDIRECT( "Column_Number_" &amp; E$1), 4,1, tabname) ), "####")</f>
        <v/>
      </c>
      <c r="F377" s="15"/>
      <c r="G377" s="21" t="str">
        <f ca="1">IFERROR(INDEX(Rank_Table[],MATCH($D377&amp;$A377,Table4[Join],0)),"")</f>
        <v/>
      </c>
      <c r="H377" s="11" t="str">
        <f ca="1">IF(AND(D377="Juvenile Audiobook",LEFT(B377,8)="J CD BIO"),RIGHT(B377,LEN(B377)-9),
IF(AND(D377="Juvenile Audiobook",LEFT(B377,8)="J CD FIC"),B377,
IF(D377="Juvenile Audiobook",RIGHT(B377,LEN(B377)-5),
IF(AND(D377="Teen Audiobook",LEFT(B377,11)="TEEN CD BIO"),RIGHT(B377,LEN(B377)-12),
IF(AND(D377="Teen Audiobook",LEFT(B377,11)="TEEN CD FIC"),B377,
IF(D377="Juvenile Audiobook",RIGHT(B377,LEN(B377)-8),
IF(D377="Juvenile Nonfiction",RIGHT(B377,LEN(B377)-2),
IF(D377="Teen Nonfiction",RIGHT(B377,LEN(B377)-5),
IF(AND(D377="Audiobook",
              NOT(OR(Contains($B377,"CD BIO"),Contains($B377,"CD FIC")))),RIGHT(B377,LEN(B377)-3),
IF(D377="Juvenile Biography",RIGHT(B377,LEN(B377)-2),
IF(D377="Teen Biography",RIGHT(B377,LEN(B377)-5),
IF(AND(D377="Audiobook",
              IFERROR(FIND("BIO",$B377)&gt;0,FALSE)),RIGHT(B377,LEN(B377)-3),
IF(D377="Juvenile Large Type","J "&amp;RIGHT(B377,LEN(B377)-11),
IF(D377="Teen Large Type","TEEN "&amp;RIGHT(B377,LEN(B377)-14),
IF(D377="Reference",RIGHT(B377,LEN(B377)-4),
IF(D377="DVD Educational",RIGHT(B377,LEN(B377)-7),
IF(D377="Juvenile DVD Educational",RIGHT(B377,LEN(B377)-9),
B377)))))))))))))))))</f>
        <v/>
      </c>
    </row>
    <row r="378" spans="1:8" ht="27" customHeight="1" x14ac:dyDescent="0.25">
      <c r="A378" s="10" t="str">
        <f ca="1">TEXT( INDIRECT( ADDRESS( ROW() + Row_Offset, INDIRECT( "Column_Number_" &amp; A$1), 4,1, tabname) ), "")</f>
        <v/>
      </c>
      <c r="B378" s="10" t="str">
        <f ca="1">TEXT(  IFERROR( VLOOKUP( $D378, CollName_Simplifier_Table[], 2, FALSE),"") &amp;
        INDIRECT( ADDRESS( ROW() + Row_Offset, INDIRECT( "Column_Number_" &amp; $B$1), 4,1, tabname) ), "")</f>
        <v/>
      </c>
      <c r="C378" s="10" t="str">
        <f ca="1">TEXT( INDIRECT( ADDRESS( ROW() + Row_Offset, INDIRECT( "Column_Number_" &amp; C$1), 4,1, tabname) ), "")</f>
        <v/>
      </c>
      <c r="D378" s="10" t="str">
        <f ca="1">TEXT( INDIRECT( ADDRESS( ROW() + Row_Offset, INDIRECT( "Column_Number_" &amp; D$1), 4,1, tabname) ), "")</f>
        <v/>
      </c>
      <c r="E378" s="10" t="str">
        <f ca="1">TEXT( INDIRECT( ADDRESS( ROW() + Row_Offset, INDIRECT( "Column_Number_" &amp; E$1), 4,1, tabname) ), "####")</f>
        <v/>
      </c>
      <c r="F378" s="15"/>
      <c r="G378" s="21" t="str">
        <f ca="1">IFERROR(INDEX(Rank_Table[],MATCH($D378&amp;$A378,Table4[Join],0)),"")</f>
        <v/>
      </c>
      <c r="H378" s="11" t="str">
        <f ca="1">IF(AND(D378="Juvenile Audiobook",LEFT(B378,8)="J CD BIO"),RIGHT(B378,LEN(B378)-9),
IF(AND(D378="Juvenile Audiobook",LEFT(B378,8)="J CD FIC"),B378,
IF(D378="Juvenile Audiobook",RIGHT(B378,LEN(B378)-5),
IF(AND(D378="Teen Audiobook",LEFT(B378,11)="TEEN CD BIO"),RIGHT(B378,LEN(B378)-12),
IF(AND(D378="Teen Audiobook",LEFT(B378,11)="TEEN CD FIC"),B378,
IF(D378="Juvenile Audiobook",RIGHT(B378,LEN(B378)-8),
IF(D378="Juvenile Nonfiction",RIGHT(B378,LEN(B378)-2),
IF(D378="Teen Nonfiction",RIGHT(B378,LEN(B378)-5),
IF(AND(D378="Audiobook",
              NOT(OR(Contains($B378,"CD BIO"),Contains($B378,"CD FIC")))),RIGHT(B378,LEN(B378)-3),
IF(D378="Juvenile Biography",RIGHT(B378,LEN(B378)-2),
IF(D378="Teen Biography",RIGHT(B378,LEN(B378)-5),
IF(AND(D378="Audiobook",
              IFERROR(FIND("BIO",$B378)&gt;0,FALSE)),RIGHT(B378,LEN(B378)-3),
IF(D378="Juvenile Large Type","J "&amp;RIGHT(B378,LEN(B378)-11),
IF(D378="Teen Large Type","TEEN "&amp;RIGHT(B378,LEN(B378)-14),
IF(D378="Reference",RIGHT(B378,LEN(B378)-4),
IF(D378="DVD Educational",RIGHT(B378,LEN(B378)-7),
IF(D378="Juvenile DVD Educational",RIGHT(B378,LEN(B378)-9),
B378)))))))))))))))))</f>
        <v/>
      </c>
    </row>
    <row r="379" spans="1:8" ht="27" customHeight="1" x14ac:dyDescent="0.25">
      <c r="A379" s="10" t="str">
        <f ca="1">TEXT( INDIRECT( ADDRESS( ROW() + Row_Offset, INDIRECT( "Column_Number_" &amp; A$1), 4,1, tabname) ), "")</f>
        <v/>
      </c>
      <c r="B379" s="10" t="str">
        <f ca="1">TEXT(  IFERROR( VLOOKUP( $D379, CollName_Simplifier_Table[], 2, FALSE),"") &amp;
        INDIRECT( ADDRESS( ROW() + Row_Offset, INDIRECT( "Column_Number_" &amp; $B$1), 4,1, tabname) ), "")</f>
        <v/>
      </c>
      <c r="C379" s="10" t="str">
        <f ca="1">TEXT( INDIRECT( ADDRESS( ROW() + Row_Offset, INDIRECT( "Column_Number_" &amp; C$1), 4,1, tabname) ), "")</f>
        <v/>
      </c>
      <c r="D379" s="10" t="str">
        <f ca="1">TEXT( INDIRECT( ADDRESS( ROW() + Row_Offset, INDIRECT( "Column_Number_" &amp; D$1), 4,1, tabname) ), "")</f>
        <v/>
      </c>
      <c r="E379" s="10" t="str">
        <f ca="1">TEXT( INDIRECT( ADDRESS( ROW() + Row_Offset, INDIRECT( "Column_Number_" &amp; E$1), 4,1, tabname) ), "####")</f>
        <v/>
      </c>
      <c r="F379" s="15"/>
      <c r="G379" s="21" t="str">
        <f ca="1">IFERROR(INDEX(Rank_Table[],MATCH($D379&amp;$A379,Table4[Join],0)),"")</f>
        <v/>
      </c>
      <c r="H379" s="11" t="str">
        <f ca="1">IF(AND(D379="Juvenile Audiobook",LEFT(B379,8)="J CD BIO"),RIGHT(B379,LEN(B379)-9),
IF(AND(D379="Juvenile Audiobook",LEFT(B379,8)="J CD FIC"),B379,
IF(D379="Juvenile Audiobook",RIGHT(B379,LEN(B379)-5),
IF(AND(D379="Teen Audiobook",LEFT(B379,11)="TEEN CD BIO"),RIGHT(B379,LEN(B379)-12),
IF(AND(D379="Teen Audiobook",LEFT(B379,11)="TEEN CD FIC"),B379,
IF(D379="Juvenile Audiobook",RIGHT(B379,LEN(B379)-8),
IF(D379="Juvenile Nonfiction",RIGHT(B379,LEN(B379)-2),
IF(D379="Teen Nonfiction",RIGHT(B379,LEN(B379)-5),
IF(AND(D379="Audiobook",
              NOT(OR(Contains($B379,"CD BIO"),Contains($B379,"CD FIC")))),RIGHT(B379,LEN(B379)-3),
IF(D379="Juvenile Biography",RIGHT(B379,LEN(B379)-2),
IF(D379="Teen Biography",RIGHT(B379,LEN(B379)-5),
IF(AND(D379="Audiobook",
              IFERROR(FIND("BIO",$B379)&gt;0,FALSE)),RIGHT(B379,LEN(B379)-3),
IF(D379="Juvenile Large Type","J "&amp;RIGHT(B379,LEN(B379)-11),
IF(D379="Teen Large Type","TEEN "&amp;RIGHT(B379,LEN(B379)-14),
IF(D379="Reference",RIGHT(B379,LEN(B379)-4),
IF(D379="DVD Educational",RIGHT(B379,LEN(B379)-7),
IF(D379="Juvenile DVD Educational",RIGHT(B379,LEN(B379)-9),
B379)))))))))))))))))</f>
        <v/>
      </c>
    </row>
    <row r="380" spans="1:8" ht="27" customHeight="1" x14ac:dyDescent="0.25">
      <c r="A380" s="10" t="str">
        <f ca="1">TEXT( INDIRECT( ADDRESS( ROW() + Row_Offset, INDIRECT( "Column_Number_" &amp; A$1), 4,1, tabname) ), "")</f>
        <v/>
      </c>
      <c r="B380" s="10" t="str">
        <f ca="1">TEXT(  IFERROR( VLOOKUP( $D380, CollName_Simplifier_Table[], 2, FALSE),"") &amp;
        INDIRECT( ADDRESS( ROW() + Row_Offset, INDIRECT( "Column_Number_" &amp; $B$1), 4,1, tabname) ), "")</f>
        <v/>
      </c>
      <c r="C380" s="10" t="str">
        <f ca="1">TEXT( INDIRECT( ADDRESS( ROW() + Row_Offset, INDIRECT( "Column_Number_" &amp; C$1), 4,1, tabname) ), "")</f>
        <v/>
      </c>
      <c r="D380" s="10" t="str">
        <f ca="1">TEXT( INDIRECT( ADDRESS( ROW() + Row_Offset, INDIRECT( "Column_Number_" &amp; D$1), 4,1, tabname) ), "")</f>
        <v/>
      </c>
      <c r="E380" s="10" t="str">
        <f ca="1">TEXT( INDIRECT( ADDRESS( ROW() + Row_Offset, INDIRECT( "Column_Number_" &amp; E$1), 4,1, tabname) ), "####")</f>
        <v/>
      </c>
      <c r="F380" s="15"/>
      <c r="G380" s="21" t="str">
        <f ca="1">IFERROR(INDEX(Rank_Table[],MATCH($D380&amp;$A380,Table4[Join],0)),"")</f>
        <v/>
      </c>
      <c r="H380" s="11" t="str">
        <f ca="1">IF(AND(D380="Juvenile Audiobook",LEFT(B380,8)="J CD BIO"),RIGHT(B380,LEN(B380)-9),
IF(AND(D380="Juvenile Audiobook",LEFT(B380,8)="J CD FIC"),B380,
IF(D380="Juvenile Audiobook",RIGHT(B380,LEN(B380)-5),
IF(AND(D380="Teen Audiobook",LEFT(B380,11)="TEEN CD BIO"),RIGHT(B380,LEN(B380)-12),
IF(AND(D380="Teen Audiobook",LEFT(B380,11)="TEEN CD FIC"),B380,
IF(D380="Juvenile Audiobook",RIGHT(B380,LEN(B380)-8),
IF(D380="Juvenile Nonfiction",RIGHT(B380,LEN(B380)-2),
IF(D380="Teen Nonfiction",RIGHT(B380,LEN(B380)-5),
IF(AND(D380="Audiobook",
              NOT(OR(Contains($B380,"CD BIO"),Contains($B380,"CD FIC")))),RIGHT(B380,LEN(B380)-3),
IF(D380="Juvenile Biography",RIGHT(B380,LEN(B380)-2),
IF(D380="Teen Biography",RIGHT(B380,LEN(B380)-5),
IF(AND(D380="Audiobook",
              IFERROR(FIND("BIO",$B380)&gt;0,FALSE)),RIGHT(B380,LEN(B380)-3),
IF(D380="Juvenile Large Type","J "&amp;RIGHT(B380,LEN(B380)-11),
IF(D380="Teen Large Type","TEEN "&amp;RIGHT(B380,LEN(B380)-14),
IF(D380="Reference",RIGHT(B380,LEN(B380)-4),
IF(D380="DVD Educational",RIGHT(B380,LEN(B380)-7),
IF(D380="Juvenile DVD Educational",RIGHT(B380,LEN(B380)-9),
B380)))))))))))))))))</f>
        <v/>
      </c>
    </row>
    <row r="381" spans="1:8" ht="27" customHeight="1" x14ac:dyDescent="0.25">
      <c r="A381" s="10" t="str">
        <f ca="1">TEXT( INDIRECT( ADDRESS( ROW() + Row_Offset, INDIRECT( "Column_Number_" &amp; A$1), 4,1, tabname) ), "")</f>
        <v/>
      </c>
      <c r="B381" s="10" t="str">
        <f ca="1">TEXT(  IFERROR( VLOOKUP( $D381, CollName_Simplifier_Table[], 2, FALSE),"") &amp;
        INDIRECT( ADDRESS( ROW() + Row_Offset, INDIRECT( "Column_Number_" &amp; $B$1), 4,1, tabname) ), "")</f>
        <v/>
      </c>
      <c r="C381" s="10" t="str">
        <f ca="1">TEXT( INDIRECT( ADDRESS( ROW() + Row_Offset, INDIRECT( "Column_Number_" &amp; C$1), 4,1, tabname) ), "")</f>
        <v/>
      </c>
      <c r="D381" s="10" t="str">
        <f ca="1">TEXT( INDIRECT( ADDRESS( ROW() + Row_Offset, INDIRECT( "Column_Number_" &amp; D$1), 4,1, tabname) ), "")</f>
        <v/>
      </c>
      <c r="E381" s="10" t="str">
        <f ca="1">TEXT( INDIRECT( ADDRESS( ROW() + Row_Offset, INDIRECT( "Column_Number_" &amp; E$1), 4,1, tabname) ), "####")</f>
        <v/>
      </c>
      <c r="F381" s="15"/>
      <c r="G381" s="21" t="str">
        <f ca="1">IFERROR(INDEX(Rank_Table[],MATCH($D381&amp;$A381,Table4[Join],0)),"")</f>
        <v/>
      </c>
      <c r="H381" s="11" t="str">
        <f ca="1">IF(AND(D381="Juvenile Audiobook",LEFT(B381,8)="J CD BIO"),RIGHT(B381,LEN(B381)-9),
IF(AND(D381="Juvenile Audiobook",LEFT(B381,8)="J CD FIC"),B381,
IF(D381="Juvenile Audiobook",RIGHT(B381,LEN(B381)-5),
IF(AND(D381="Teen Audiobook",LEFT(B381,11)="TEEN CD BIO"),RIGHT(B381,LEN(B381)-12),
IF(AND(D381="Teen Audiobook",LEFT(B381,11)="TEEN CD FIC"),B381,
IF(D381="Juvenile Audiobook",RIGHT(B381,LEN(B381)-8),
IF(D381="Juvenile Nonfiction",RIGHT(B381,LEN(B381)-2),
IF(D381="Teen Nonfiction",RIGHT(B381,LEN(B381)-5),
IF(AND(D381="Audiobook",
              NOT(OR(Contains($B381,"CD BIO"),Contains($B381,"CD FIC")))),RIGHT(B381,LEN(B381)-3),
IF(D381="Juvenile Biography",RIGHT(B381,LEN(B381)-2),
IF(D381="Teen Biography",RIGHT(B381,LEN(B381)-5),
IF(AND(D381="Audiobook",
              IFERROR(FIND("BIO",$B381)&gt;0,FALSE)),RIGHT(B381,LEN(B381)-3),
IF(D381="Juvenile Large Type","J "&amp;RIGHT(B381,LEN(B381)-11),
IF(D381="Teen Large Type","TEEN "&amp;RIGHT(B381,LEN(B381)-14),
IF(D381="Reference",RIGHT(B381,LEN(B381)-4),
IF(D381="DVD Educational",RIGHT(B381,LEN(B381)-7),
IF(D381="Juvenile DVD Educational",RIGHT(B381,LEN(B381)-9),
B381)))))))))))))))))</f>
        <v/>
      </c>
    </row>
    <row r="382" spans="1:8" ht="27" customHeight="1" x14ac:dyDescent="0.25">
      <c r="A382" s="10" t="str">
        <f ca="1">TEXT( INDIRECT( ADDRESS( ROW() + Row_Offset, INDIRECT( "Column_Number_" &amp; A$1), 4,1, tabname) ), "")</f>
        <v/>
      </c>
      <c r="B382" s="10" t="str">
        <f ca="1">TEXT(  IFERROR( VLOOKUP( $D382, CollName_Simplifier_Table[], 2, FALSE),"") &amp;
        INDIRECT( ADDRESS( ROW() + Row_Offset, INDIRECT( "Column_Number_" &amp; $B$1), 4,1, tabname) ), "")</f>
        <v/>
      </c>
      <c r="C382" s="10" t="str">
        <f ca="1">TEXT( INDIRECT( ADDRESS( ROW() + Row_Offset, INDIRECT( "Column_Number_" &amp; C$1), 4,1, tabname) ), "")</f>
        <v/>
      </c>
      <c r="D382" s="10" t="str">
        <f ca="1">TEXT( INDIRECT( ADDRESS( ROW() + Row_Offset, INDIRECT( "Column_Number_" &amp; D$1), 4,1, tabname) ), "")</f>
        <v/>
      </c>
      <c r="E382" s="10" t="str">
        <f ca="1">TEXT( INDIRECT( ADDRESS( ROW() + Row_Offset, INDIRECT( "Column_Number_" &amp; E$1), 4,1, tabname) ), "####")</f>
        <v/>
      </c>
      <c r="F382" s="15"/>
      <c r="G382" s="21" t="str">
        <f ca="1">IFERROR(INDEX(Rank_Table[],MATCH($D382&amp;$A382,Table4[Join],0)),"")</f>
        <v/>
      </c>
      <c r="H382" s="11" t="str">
        <f ca="1">IF(AND(D382="Juvenile Audiobook",LEFT(B382,8)="J CD BIO"),RIGHT(B382,LEN(B382)-9),
IF(AND(D382="Juvenile Audiobook",LEFT(B382,8)="J CD FIC"),B382,
IF(D382="Juvenile Audiobook",RIGHT(B382,LEN(B382)-5),
IF(AND(D382="Teen Audiobook",LEFT(B382,11)="TEEN CD BIO"),RIGHT(B382,LEN(B382)-12),
IF(AND(D382="Teen Audiobook",LEFT(B382,11)="TEEN CD FIC"),B382,
IF(D382="Juvenile Audiobook",RIGHT(B382,LEN(B382)-8),
IF(D382="Juvenile Nonfiction",RIGHT(B382,LEN(B382)-2),
IF(D382="Teen Nonfiction",RIGHT(B382,LEN(B382)-5),
IF(AND(D382="Audiobook",
              NOT(OR(Contains($B382,"CD BIO"),Contains($B382,"CD FIC")))),RIGHT(B382,LEN(B382)-3),
IF(D382="Juvenile Biography",RIGHT(B382,LEN(B382)-2),
IF(D382="Teen Biography",RIGHT(B382,LEN(B382)-5),
IF(AND(D382="Audiobook",
              IFERROR(FIND("BIO",$B382)&gt;0,FALSE)),RIGHT(B382,LEN(B382)-3),
IF(D382="Juvenile Large Type","J "&amp;RIGHT(B382,LEN(B382)-11),
IF(D382="Teen Large Type","TEEN "&amp;RIGHT(B382,LEN(B382)-14),
IF(D382="Reference",RIGHT(B382,LEN(B382)-4),
IF(D382="DVD Educational",RIGHT(B382,LEN(B382)-7),
IF(D382="Juvenile DVD Educational",RIGHT(B382,LEN(B382)-9),
B382)))))))))))))))))</f>
        <v/>
      </c>
    </row>
    <row r="383" spans="1:8" ht="27" customHeight="1" x14ac:dyDescent="0.25">
      <c r="A383" s="10" t="str">
        <f ca="1">TEXT( INDIRECT( ADDRESS( ROW() + Row_Offset, INDIRECT( "Column_Number_" &amp; A$1), 4,1, tabname) ), "")</f>
        <v/>
      </c>
      <c r="B383" s="10" t="str">
        <f ca="1">TEXT(  IFERROR( VLOOKUP( $D383, CollName_Simplifier_Table[], 2, FALSE),"") &amp;
        INDIRECT( ADDRESS( ROW() + Row_Offset, INDIRECT( "Column_Number_" &amp; $B$1), 4,1, tabname) ), "")</f>
        <v/>
      </c>
      <c r="C383" s="10" t="str">
        <f ca="1">TEXT( INDIRECT( ADDRESS( ROW() + Row_Offset, INDIRECT( "Column_Number_" &amp; C$1), 4,1, tabname) ), "")</f>
        <v/>
      </c>
      <c r="D383" s="10" t="str">
        <f ca="1">TEXT( INDIRECT( ADDRESS( ROW() + Row_Offset, INDIRECT( "Column_Number_" &amp; D$1), 4,1, tabname) ), "")</f>
        <v/>
      </c>
      <c r="E383" s="10" t="str">
        <f ca="1">TEXT( INDIRECT( ADDRESS( ROW() + Row_Offset, INDIRECT( "Column_Number_" &amp; E$1), 4,1, tabname) ), "####")</f>
        <v/>
      </c>
      <c r="F383" s="15"/>
      <c r="G383" s="21" t="str">
        <f ca="1">IFERROR(INDEX(Rank_Table[],MATCH($D383&amp;$A383,Table4[Join],0)),"")</f>
        <v/>
      </c>
      <c r="H383" s="11" t="str">
        <f ca="1">IF(AND(D383="Juvenile Audiobook",LEFT(B383,8)="J CD BIO"),RIGHT(B383,LEN(B383)-9),
IF(AND(D383="Juvenile Audiobook",LEFT(B383,8)="J CD FIC"),B383,
IF(D383="Juvenile Audiobook",RIGHT(B383,LEN(B383)-5),
IF(AND(D383="Teen Audiobook",LEFT(B383,11)="TEEN CD BIO"),RIGHT(B383,LEN(B383)-12),
IF(AND(D383="Teen Audiobook",LEFT(B383,11)="TEEN CD FIC"),B383,
IF(D383="Juvenile Audiobook",RIGHT(B383,LEN(B383)-8),
IF(D383="Juvenile Nonfiction",RIGHT(B383,LEN(B383)-2),
IF(D383="Teen Nonfiction",RIGHT(B383,LEN(B383)-5),
IF(AND(D383="Audiobook",
              NOT(OR(Contains($B383,"CD BIO"),Contains($B383,"CD FIC")))),RIGHT(B383,LEN(B383)-3),
IF(D383="Juvenile Biography",RIGHT(B383,LEN(B383)-2),
IF(D383="Teen Biography",RIGHT(B383,LEN(B383)-5),
IF(AND(D383="Audiobook",
              IFERROR(FIND("BIO",$B383)&gt;0,FALSE)),RIGHT(B383,LEN(B383)-3),
IF(D383="Juvenile Large Type","J "&amp;RIGHT(B383,LEN(B383)-11),
IF(D383="Teen Large Type","TEEN "&amp;RIGHT(B383,LEN(B383)-14),
IF(D383="Reference",RIGHT(B383,LEN(B383)-4),
IF(D383="DVD Educational",RIGHT(B383,LEN(B383)-7),
IF(D383="Juvenile DVD Educational",RIGHT(B383,LEN(B383)-9),
B383)))))))))))))))))</f>
        <v/>
      </c>
    </row>
    <row r="384" spans="1:8" ht="27" customHeight="1" x14ac:dyDescent="0.25">
      <c r="A384" s="10" t="str">
        <f ca="1">TEXT( INDIRECT( ADDRESS( ROW() + Row_Offset, INDIRECT( "Column_Number_" &amp; A$1), 4,1, tabname) ), "")</f>
        <v/>
      </c>
      <c r="B384" s="10" t="str">
        <f ca="1">TEXT(  IFERROR( VLOOKUP( $D384, CollName_Simplifier_Table[], 2, FALSE),"") &amp;
        INDIRECT( ADDRESS( ROW() + Row_Offset, INDIRECT( "Column_Number_" &amp; $B$1), 4,1, tabname) ), "")</f>
        <v/>
      </c>
      <c r="C384" s="10" t="str">
        <f ca="1">TEXT( INDIRECT( ADDRESS( ROW() + Row_Offset, INDIRECT( "Column_Number_" &amp; C$1), 4,1, tabname) ), "")</f>
        <v/>
      </c>
      <c r="D384" s="10" t="str">
        <f ca="1">TEXT( INDIRECT( ADDRESS( ROW() + Row_Offset, INDIRECT( "Column_Number_" &amp; D$1), 4,1, tabname) ), "")</f>
        <v/>
      </c>
      <c r="E384" s="10" t="str">
        <f ca="1">TEXT( INDIRECT( ADDRESS( ROW() + Row_Offset, INDIRECT( "Column_Number_" &amp; E$1), 4,1, tabname) ), "####")</f>
        <v/>
      </c>
      <c r="F384" s="15"/>
      <c r="G384" s="21" t="str">
        <f ca="1">IFERROR(INDEX(Rank_Table[],MATCH($D384&amp;$A384,Table4[Join],0)),"")</f>
        <v/>
      </c>
      <c r="H384" s="11" t="str">
        <f ca="1">IF(AND(D384="Juvenile Audiobook",LEFT(B384,8)="J CD BIO"),RIGHT(B384,LEN(B384)-9),
IF(AND(D384="Juvenile Audiobook",LEFT(B384,8)="J CD FIC"),B384,
IF(D384="Juvenile Audiobook",RIGHT(B384,LEN(B384)-5),
IF(AND(D384="Teen Audiobook",LEFT(B384,11)="TEEN CD BIO"),RIGHT(B384,LEN(B384)-12),
IF(AND(D384="Teen Audiobook",LEFT(B384,11)="TEEN CD FIC"),B384,
IF(D384="Juvenile Audiobook",RIGHT(B384,LEN(B384)-8),
IF(D384="Juvenile Nonfiction",RIGHT(B384,LEN(B384)-2),
IF(D384="Teen Nonfiction",RIGHT(B384,LEN(B384)-5),
IF(AND(D384="Audiobook",
              NOT(OR(Contains($B384,"CD BIO"),Contains($B384,"CD FIC")))),RIGHT(B384,LEN(B384)-3),
IF(D384="Juvenile Biography",RIGHT(B384,LEN(B384)-2),
IF(D384="Teen Biography",RIGHT(B384,LEN(B384)-5),
IF(AND(D384="Audiobook",
              IFERROR(FIND("BIO",$B384)&gt;0,FALSE)),RIGHT(B384,LEN(B384)-3),
IF(D384="Juvenile Large Type","J "&amp;RIGHT(B384,LEN(B384)-11),
IF(D384="Teen Large Type","TEEN "&amp;RIGHT(B384,LEN(B384)-14),
IF(D384="Reference",RIGHT(B384,LEN(B384)-4),
IF(D384="DVD Educational",RIGHT(B384,LEN(B384)-7),
IF(D384="Juvenile DVD Educational",RIGHT(B384,LEN(B384)-9),
B384)))))))))))))))))</f>
        <v/>
      </c>
    </row>
    <row r="385" spans="1:8" ht="27" customHeight="1" x14ac:dyDescent="0.25">
      <c r="A385" s="10" t="str">
        <f ca="1">TEXT( INDIRECT( ADDRESS( ROW() + Row_Offset, INDIRECT( "Column_Number_" &amp; A$1), 4,1, tabname) ), "")</f>
        <v/>
      </c>
      <c r="B385" s="10" t="str">
        <f ca="1">TEXT(  IFERROR( VLOOKUP( $D385, CollName_Simplifier_Table[], 2, FALSE),"") &amp;
        INDIRECT( ADDRESS( ROW() + Row_Offset, INDIRECT( "Column_Number_" &amp; $B$1), 4,1, tabname) ), "")</f>
        <v/>
      </c>
      <c r="C385" s="10" t="str">
        <f ca="1">TEXT( INDIRECT( ADDRESS( ROW() + Row_Offset, INDIRECT( "Column_Number_" &amp; C$1), 4,1, tabname) ), "")</f>
        <v/>
      </c>
      <c r="D385" s="10" t="str">
        <f ca="1">TEXT( INDIRECT( ADDRESS( ROW() + Row_Offset, INDIRECT( "Column_Number_" &amp; D$1), 4,1, tabname) ), "")</f>
        <v/>
      </c>
      <c r="E385" s="10" t="str">
        <f ca="1">TEXT( INDIRECT( ADDRESS( ROW() + Row_Offset, INDIRECT( "Column_Number_" &amp; E$1), 4,1, tabname) ), "####")</f>
        <v/>
      </c>
      <c r="F385" s="15"/>
      <c r="G385" s="21" t="str">
        <f ca="1">IFERROR(INDEX(Rank_Table[],MATCH($D385&amp;$A385,Table4[Join],0)),"")</f>
        <v/>
      </c>
      <c r="H385" s="11" t="str">
        <f ca="1">IF(AND(D385="Juvenile Audiobook",LEFT(B385,8)="J CD BIO"),RIGHT(B385,LEN(B385)-9),
IF(AND(D385="Juvenile Audiobook",LEFT(B385,8)="J CD FIC"),B385,
IF(D385="Juvenile Audiobook",RIGHT(B385,LEN(B385)-5),
IF(AND(D385="Teen Audiobook",LEFT(B385,11)="TEEN CD BIO"),RIGHT(B385,LEN(B385)-12),
IF(AND(D385="Teen Audiobook",LEFT(B385,11)="TEEN CD FIC"),B385,
IF(D385="Juvenile Audiobook",RIGHT(B385,LEN(B385)-8),
IF(D385="Juvenile Nonfiction",RIGHT(B385,LEN(B385)-2),
IF(D385="Teen Nonfiction",RIGHT(B385,LEN(B385)-5),
IF(AND(D385="Audiobook",
              NOT(OR(Contains($B385,"CD BIO"),Contains($B385,"CD FIC")))),RIGHT(B385,LEN(B385)-3),
IF(D385="Juvenile Biography",RIGHT(B385,LEN(B385)-2),
IF(D385="Teen Biography",RIGHT(B385,LEN(B385)-5),
IF(AND(D385="Audiobook",
              IFERROR(FIND("BIO",$B385)&gt;0,FALSE)),RIGHT(B385,LEN(B385)-3),
IF(D385="Juvenile Large Type","J "&amp;RIGHT(B385,LEN(B385)-11),
IF(D385="Teen Large Type","TEEN "&amp;RIGHT(B385,LEN(B385)-14),
IF(D385="Reference",RIGHT(B385,LEN(B385)-4),
IF(D385="DVD Educational",RIGHT(B385,LEN(B385)-7),
IF(D385="Juvenile DVD Educational",RIGHT(B385,LEN(B385)-9),
B385)))))))))))))))))</f>
        <v/>
      </c>
    </row>
    <row r="386" spans="1:8" ht="27" customHeight="1" x14ac:dyDescent="0.25">
      <c r="A386" s="10" t="str">
        <f ca="1">TEXT( INDIRECT( ADDRESS( ROW() + Row_Offset, INDIRECT( "Column_Number_" &amp; A$1), 4,1, tabname) ), "")</f>
        <v/>
      </c>
      <c r="B386" s="10" t="str">
        <f ca="1">TEXT(  IFERROR( VLOOKUP( $D386, CollName_Simplifier_Table[], 2, FALSE),"") &amp;
        INDIRECT( ADDRESS( ROW() + Row_Offset, INDIRECT( "Column_Number_" &amp; $B$1), 4,1, tabname) ), "")</f>
        <v/>
      </c>
      <c r="C386" s="10" t="str">
        <f ca="1">TEXT( INDIRECT( ADDRESS( ROW() + Row_Offset, INDIRECT( "Column_Number_" &amp; C$1), 4,1, tabname) ), "")</f>
        <v/>
      </c>
      <c r="D386" s="10" t="str">
        <f ca="1">TEXT( INDIRECT( ADDRESS( ROW() + Row_Offset, INDIRECT( "Column_Number_" &amp; D$1), 4,1, tabname) ), "")</f>
        <v/>
      </c>
      <c r="E386" s="10" t="str">
        <f ca="1">TEXT( INDIRECT( ADDRESS( ROW() + Row_Offset, INDIRECT( "Column_Number_" &amp; E$1), 4,1, tabname) ), "####")</f>
        <v/>
      </c>
      <c r="F386" s="15"/>
      <c r="G386" s="21" t="str">
        <f ca="1">IFERROR(INDEX(Rank_Table[],MATCH($D386&amp;$A386,Table4[Join],0)),"")</f>
        <v/>
      </c>
      <c r="H386" s="11" t="str">
        <f ca="1">IF(AND(D386="Juvenile Audiobook",LEFT(B386,8)="J CD BIO"),RIGHT(B386,LEN(B386)-9),
IF(AND(D386="Juvenile Audiobook",LEFT(B386,8)="J CD FIC"),B386,
IF(D386="Juvenile Audiobook",RIGHT(B386,LEN(B386)-5),
IF(AND(D386="Teen Audiobook",LEFT(B386,11)="TEEN CD BIO"),RIGHT(B386,LEN(B386)-12),
IF(AND(D386="Teen Audiobook",LEFT(B386,11)="TEEN CD FIC"),B386,
IF(D386="Juvenile Audiobook",RIGHT(B386,LEN(B386)-8),
IF(D386="Juvenile Nonfiction",RIGHT(B386,LEN(B386)-2),
IF(D386="Teen Nonfiction",RIGHT(B386,LEN(B386)-5),
IF(AND(D386="Audiobook",
              NOT(OR(Contains($B386,"CD BIO"),Contains($B386,"CD FIC")))),RIGHT(B386,LEN(B386)-3),
IF(D386="Juvenile Biography",RIGHT(B386,LEN(B386)-2),
IF(D386="Teen Biography",RIGHT(B386,LEN(B386)-5),
IF(AND(D386="Audiobook",
              IFERROR(FIND("BIO",$B386)&gt;0,FALSE)),RIGHT(B386,LEN(B386)-3),
IF(D386="Juvenile Large Type","J "&amp;RIGHT(B386,LEN(B386)-11),
IF(D386="Teen Large Type","TEEN "&amp;RIGHT(B386,LEN(B386)-14),
IF(D386="Reference",RIGHT(B386,LEN(B386)-4),
IF(D386="DVD Educational",RIGHT(B386,LEN(B386)-7),
IF(D386="Juvenile DVD Educational",RIGHT(B386,LEN(B386)-9),
B386)))))))))))))))))</f>
        <v/>
      </c>
    </row>
    <row r="387" spans="1:8" ht="27" customHeight="1" x14ac:dyDescent="0.25">
      <c r="A387" s="10" t="str">
        <f ca="1">TEXT( INDIRECT( ADDRESS( ROW() + Row_Offset, INDIRECT( "Column_Number_" &amp; A$1), 4,1, tabname) ), "")</f>
        <v/>
      </c>
      <c r="B387" s="10" t="str">
        <f ca="1">TEXT(  IFERROR( VLOOKUP( $D387, CollName_Simplifier_Table[], 2, FALSE),"") &amp;
        INDIRECT( ADDRESS( ROW() + Row_Offset, INDIRECT( "Column_Number_" &amp; $B$1), 4,1, tabname) ), "")</f>
        <v/>
      </c>
      <c r="C387" s="10" t="str">
        <f ca="1">TEXT( INDIRECT( ADDRESS( ROW() + Row_Offset, INDIRECT( "Column_Number_" &amp; C$1), 4,1, tabname) ), "")</f>
        <v/>
      </c>
      <c r="D387" s="10" t="str">
        <f ca="1">TEXT( INDIRECT( ADDRESS( ROW() + Row_Offset, INDIRECT( "Column_Number_" &amp; D$1), 4,1, tabname) ), "")</f>
        <v/>
      </c>
      <c r="E387" s="10" t="str">
        <f ca="1">TEXT( INDIRECT( ADDRESS( ROW() + Row_Offset, INDIRECT( "Column_Number_" &amp; E$1), 4,1, tabname) ), "####")</f>
        <v/>
      </c>
      <c r="F387" s="15"/>
      <c r="G387" s="21" t="str">
        <f ca="1">IFERROR(INDEX(Rank_Table[],MATCH($D387&amp;$A387,Table4[Join],0)),"")</f>
        <v/>
      </c>
      <c r="H387" s="11" t="str">
        <f ca="1">IF(AND(D387="Juvenile Audiobook",LEFT(B387,8)="J CD BIO"),RIGHT(B387,LEN(B387)-9),
IF(AND(D387="Juvenile Audiobook",LEFT(B387,8)="J CD FIC"),B387,
IF(D387="Juvenile Audiobook",RIGHT(B387,LEN(B387)-5),
IF(AND(D387="Teen Audiobook",LEFT(B387,11)="TEEN CD BIO"),RIGHT(B387,LEN(B387)-12),
IF(AND(D387="Teen Audiobook",LEFT(B387,11)="TEEN CD FIC"),B387,
IF(D387="Juvenile Audiobook",RIGHT(B387,LEN(B387)-8),
IF(D387="Juvenile Nonfiction",RIGHT(B387,LEN(B387)-2),
IF(D387="Teen Nonfiction",RIGHT(B387,LEN(B387)-5),
IF(AND(D387="Audiobook",
              NOT(OR(Contains($B387,"CD BIO"),Contains($B387,"CD FIC")))),RIGHT(B387,LEN(B387)-3),
IF(D387="Juvenile Biography",RIGHT(B387,LEN(B387)-2),
IF(D387="Teen Biography",RIGHT(B387,LEN(B387)-5),
IF(AND(D387="Audiobook",
              IFERROR(FIND("BIO",$B387)&gt;0,FALSE)),RIGHT(B387,LEN(B387)-3),
IF(D387="Juvenile Large Type","J "&amp;RIGHT(B387,LEN(B387)-11),
IF(D387="Teen Large Type","TEEN "&amp;RIGHT(B387,LEN(B387)-14),
IF(D387="Reference",RIGHT(B387,LEN(B387)-4),
IF(D387="DVD Educational",RIGHT(B387,LEN(B387)-7),
IF(D387="Juvenile DVD Educational",RIGHT(B387,LEN(B387)-9),
B387)))))))))))))))))</f>
        <v/>
      </c>
    </row>
    <row r="388" spans="1:8" ht="27" customHeight="1" x14ac:dyDescent="0.25">
      <c r="A388" s="10" t="str">
        <f ca="1">TEXT( INDIRECT( ADDRESS( ROW() + Row_Offset, INDIRECT( "Column_Number_" &amp; A$1), 4,1, tabname) ), "")</f>
        <v/>
      </c>
      <c r="B388" s="10" t="str">
        <f ca="1">TEXT(  IFERROR( VLOOKUP( $D388, CollName_Simplifier_Table[], 2, FALSE),"") &amp;
        INDIRECT( ADDRESS( ROW() + Row_Offset, INDIRECT( "Column_Number_" &amp; $B$1), 4,1, tabname) ), "")</f>
        <v/>
      </c>
      <c r="C388" s="10" t="str">
        <f ca="1">TEXT( INDIRECT( ADDRESS( ROW() + Row_Offset, INDIRECT( "Column_Number_" &amp; C$1), 4,1, tabname) ), "")</f>
        <v/>
      </c>
      <c r="D388" s="10" t="str">
        <f ca="1">TEXT( INDIRECT( ADDRESS( ROW() + Row_Offset, INDIRECT( "Column_Number_" &amp; D$1), 4,1, tabname) ), "")</f>
        <v/>
      </c>
      <c r="E388" s="10" t="str">
        <f ca="1">TEXT( INDIRECT( ADDRESS( ROW() + Row_Offset, INDIRECT( "Column_Number_" &amp; E$1), 4,1, tabname) ), "####")</f>
        <v/>
      </c>
      <c r="F388" s="15"/>
      <c r="G388" s="21" t="str">
        <f ca="1">IFERROR(INDEX(Rank_Table[],MATCH($D388&amp;$A388,Table4[Join],0)),"")</f>
        <v/>
      </c>
      <c r="H388" s="11" t="str">
        <f ca="1">IF(AND(D388="Juvenile Audiobook",LEFT(B388,8)="J CD BIO"),RIGHT(B388,LEN(B388)-9),
IF(AND(D388="Juvenile Audiobook",LEFT(B388,8)="J CD FIC"),B388,
IF(D388="Juvenile Audiobook",RIGHT(B388,LEN(B388)-5),
IF(AND(D388="Teen Audiobook",LEFT(B388,11)="TEEN CD BIO"),RIGHT(B388,LEN(B388)-12),
IF(AND(D388="Teen Audiobook",LEFT(B388,11)="TEEN CD FIC"),B388,
IF(D388="Juvenile Audiobook",RIGHT(B388,LEN(B388)-8),
IF(D388="Juvenile Nonfiction",RIGHT(B388,LEN(B388)-2),
IF(D388="Teen Nonfiction",RIGHT(B388,LEN(B388)-5),
IF(AND(D388="Audiobook",
              NOT(OR(Contains($B388,"CD BIO"),Contains($B388,"CD FIC")))),RIGHT(B388,LEN(B388)-3),
IF(D388="Juvenile Biography",RIGHT(B388,LEN(B388)-2),
IF(D388="Teen Biography",RIGHT(B388,LEN(B388)-5),
IF(AND(D388="Audiobook",
              IFERROR(FIND("BIO",$B388)&gt;0,FALSE)),RIGHT(B388,LEN(B388)-3),
IF(D388="Juvenile Large Type","J "&amp;RIGHT(B388,LEN(B388)-11),
IF(D388="Teen Large Type","TEEN "&amp;RIGHT(B388,LEN(B388)-14),
IF(D388="Reference",RIGHT(B388,LEN(B388)-4),
IF(D388="DVD Educational",RIGHT(B388,LEN(B388)-7),
IF(D388="Juvenile DVD Educational",RIGHT(B388,LEN(B388)-9),
B388)))))))))))))))))</f>
        <v/>
      </c>
    </row>
    <row r="389" spans="1:8" ht="27" customHeight="1" x14ac:dyDescent="0.25">
      <c r="A389" s="10" t="str">
        <f ca="1">TEXT( INDIRECT( ADDRESS( ROW() + Row_Offset, INDIRECT( "Column_Number_" &amp; A$1), 4,1, tabname) ), "")</f>
        <v/>
      </c>
      <c r="B389" s="10" t="str">
        <f ca="1">TEXT(  IFERROR( VLOOKUP( $D389, CollName_Simplifier_Table[], 2, FALSE),"") &amp;
        INDIRECT( ADDRESS( ROW() + Row_Offset, INDIRECT( "Column_Number_" &amp; $B$1), 4,1, tabname) ), "")</f>
        <v/>
      </c>
      <c r="C389" s="10" t="str">
        <f ca="1">TEXT( INDIRECT( ADDRESS( ROW() + Row_Offset, INDIRECT( "Column_Number_" &amp; C$1), 4,1, tabname) ), "")</f>
        <v/>
      </c>
      <c r="D389" s="10" t="str">
        <f ca="1">TEXT( INDIRECT( ADDRESS( ROW() + Row_Offset, INDIRECT( "Column_Number_" &amp; D$1), 4,1, tabname) ), "")</f>
        <v/>
      </c>
      <c r="E389" s="10" t="str">
        <f ca="1">TEXT( INDIRECT( ADDRESS( ROW() + Row_Offset, INDIRECT( "Column_Number_" &amp; E$1), 4,1, tabname) ), "####")</f>
        <v/>
      </c>
      <c r="F389" s="15"/>
      <c r="G389" s="21" t="str">
        <f ca="1">IFERROR(INDEX(Rank_Table[],MATCH($D389&amp;$A389,Table4[Join],0)),"")</f>
        <v/>
      </c>
      <c r="H389" s="11" t="str">
        <f ca="1">IF(AND(D389="Juvenile Audiobook",LEFT(B389,8)="J CD BIO"),RIGHT(B389,LEN(B389)-9),
IF(AND(D389="Juvenile Audiobook",LEFT(B389,8)="J CD FIC"),B389,
IF(D389="Juvenile Audiobook",RIGHT(B389,LEN(B389)-5),
IF(AND(D389="Teen Audiobook",LEFT(B389,11)="TEEN CD BIO"),RIGHT(B389,LEN(B389)-12),
IF(AND(D389="Teen Audiobook",LEFT(B389,11)="TEEN CD FIC"),B389,
IF(D389="Juvenile Audiobook",RIGHT(B389,LEN(B389)-8),
IF(D389="Juvenile Nonfiction",RIGHT(B389,LEN(B389)-2),
IF(D389="Teen Nonfiction",RIGHT(B389,LEN(B389)-5),
IF(AND(D389="Audiobook",
              NOT(OR(Contains($B389,"CD BIO"),Contains($B389,"CD FIC")))),RIGHT(B389,LEN(B389)-3),
IF(D389="Juvenile Biography",RIGHT(B389,LEN(B389)-2),
IF(D389="Teen Biography",RIGHT(B389,LEN(B389)-5),
IF(AND(D389="Audiobook",
              IFERROR(FIND("BIO",$B389)&gt;0,FALSE)),RIGHT(B389,LEN(B389)-3),
IF(D389="Juvenile Large Type","J "&amp;RIGHT(B389,LEN(B389)-11),
IF(D389="Teen Large Type","TEEN "&amp;RIGHT(B389,LEN(B389)-14),
IF(D389="Reference",RIGHT(B389,LEN(B389)-4),
IF(D389="DVD Educational",RIGHT(B389,LEN(B389)-7),
IF(D389="Juvenile DVD Educational",RIGHT(B389,LEN(B389)-9),
B389)))))))))))))))))</f>
        <v/>
      </c>
    </row>
    <row r="390" spans="1:8" ht="27" customHeight="1" x14ac:dyDescent="0.25">
      <c r="A390" s="10" t="str">
        <f ca="1">TEXT( INDIRECT( ADDRESS( ROW() + Row_Offset, INDIRECT( "Column_Number_" &amp; A$1), 4,1, tabname) ), "")</f>
        <v/>
      </c>
      <c r="B390" s="10" t="str">
        <f ca="1">TEXT(  IFERROR( VLOOKUP( $D390, CollName_Simplifier_Table[], 2, FALSE),"") &amp;
        INDIRECT( ADDRESS( ROW() + Row_Offset, INDIRECT( "Column_Number_" &amp; $B$1), 4,1, tabname) ), "")</f>
        <v/>
      </c>
      <c r="C390" s="10" t="str">
        <f ca="1">TEXT( INDIRECT( ADDRESS( ROW() + Row_Offset, INDIRECT( "Column_Number_" &amp; C$1), 4,1, tabname) ), "")</f>
        <v/>
      </c>
      <c r="D390" s="10" t="str">
        <f ca="1">TEXT( INDIRECT( ADDRESS( ROW() + Row_Offset, INDIRECT( "Column_Number_" &amp; D$1), 4,1, tabname) ), "")</f>
        <v/>
      </c>
      <c r="E390" s="10" t="str">
        <f ca="1">TEXT( INDIRECT( ADDRESS( ROW() + Row_Offset, INDIRECT( "Column_Number_" &amp; E$1), 4,1, tabname) ), "####")</f>
        <v/>
      </c>
      <c r="F390" s="15"/>
      <c r="G390" s="21" t="str">
        <f ca="1">IFERROR(INDEX(Rank_Table[],MATCH($D390&amp;$A390,Table4[Join],0)),"")</f>
        <v/>
      </c>
      <c r="H390" s="11" t="str">
        <f ca="1">IF(AND(D390="Juvenile Audiobook",LEFT(B390,8)="J CD BIO"),RIGHT(B390,LEN(B390)-9),
IF(AND(D390="Juvenile Audiobook",LEFT(B390,8)="J CD FIC"),B390,
IF(D390="Juvenile Audiobook",RIGHT(B390,LEN(B390)-5),
IF(AND(D390="Teen Audiobook",LEFT(B390,11)="TEEN CD BIO"),RIGHT(B390,LEN(B390)-12),
IF(AND(D390="Teen Audiobook",LEFT(B390,11)="TEEN CD FIC"),B390,
IF(D390="Juvenile Audiobook",RIGHT(B390,LEN(B390)-8),
IF(D390="Juvenile Nonfiction",RIGHT(B390,LEN(B390)-2),
IF(D390="Teen Nonfiction",RIGHT(B390,LEN(B390)-5),
IF(AND(D390="Audiobook",
              NOT(OR(Contains($B390,"CD BIO"),Contains($B390,"CD FIC")))),RIGHT(B390,LEN(B390)-3),
IF(D390="Juvenile Biography",RIGHT(B390,LEN(B390)-2),
IF(D390="Teen Biography",RIGHT(B390,LEN(B390)-5),
IF(AND(D390="Audiobook",
              IFERROR(FIND("BIO",$B390)&gt;0,FALSE)),RIGHT(B390,LEN(B390)-3),
IF(D390="Juvenile Large Type","J "&amp;RIGHT(B390,LEN(B390)-11),
IF(D390="Teen Large Type","TEEN "&amp;RIGHT(B390,LEN(B390)-14),
IF(D390="Reference",RIGHT(B390,LEN(B390)-4),
IF(D390="DVD Educational",RIGHT(B390,LEN(B390)-7),
IF(D390="Juvenile DVD Educational",RIGHT(B390,LEN(B390)-9),
B390)))))))))))))))))</f>
        <v/>
      </c>
    </row>
    <row r="391" spans="1:8" ht="27" customHeight="1" x14ac:dyDescent="0.25">
      <c r="A391" s="10" t="str">
        <f ca="1">TEXT( INDIRECT( ADDRESS( ROW() + Row_Offset, INDIRECT( "Column_Number_" &amp; A$1), 4,1, tabname) ), "")</f>
        <v/>
      </c>
      <c r="B391" s="10" t="str">
        <f ca="1">TEXT(  IFERROR( VLOOKUP( $D391, CollName_Simplifier_Table[], 2, FALSE),"") &amp;
        INDIRECT( ADDRESS( ROW() + Row_Offset, INDIRECT( "Column_Number_" &amp; $B$1), 4,1, tabname) ), "")</f>
        <v/>
      </c>
      <c r="C391" s="10" t="str">
        <f ca="1">TEXT( INDIRECT( ADDRESS( ROW() + Row_Offset, INDIRECT( "Column_Number_" &amp; C$1), 4,1, tabname) ), "")</f>
        <v/>
      </c>
      <c r="D391" s="10" t="str">
        <f ca="1">TEXT( INDIRECT( ADDRESS( ROW() + Row_Offset, INDIRECT( "Column_Number_" &amp; D$1), 4,1, tabname) ), "")</f>
        <v/>
      </c>
      <c r="E391" s="10" t="str">
        <f ca="1">TEXT( INDIRECT( ADDRESS( ROW() + Row_Offset, INDIRECT( "Column_Number_" &amp; E$1), 4,1, tabname) ), "####")</f>
        <v/>
      </c>
      <c r="F391" s="15"/>
      <c r="G391" s="21" t="str">
        <f ca="1">IFERROR(INDEX(Rank_Table[],MATCH($D391&amp;$A391,Table4[Join],0)),"")</f>
        <v/>
      </c>
      <c r="H391" s="11" t="str">
        <f ca="1">IF(AND(D391="Juvenile Audiobook",LEFT(B391,8)="J CD BIO"),RIGHT(B391,LEN(B391)-9),
IF(AND(D391="Juvenile Audiobook",LEFT(B391,8)="J CD FIC"),B391,
IF(D391="Juvenile Audiobook",RIGHT(B391,LEN(B391)-5),
IF(AND(D391="Teen Audiobook",LEFT(B391,11)="TEEN CD BIO"),RIGHT(B391,LEN(B391)-12),
IF(AND(D391="Teen Audiobook",LEFT(B391,11)="TEEN CD FIC"),B391,
IF(D391="Juvenile Audiobook",RIGHT(B391,LEN(B391)-8),
IF(D391="Juvenile Nonfiction",RIGHT(B391,LEN(B391)-2),
IF(D391="Teen Nonfiction",RIGHT(B391,LEN(B391)-5),
IF(AND(D391="Audiobook",
              NOT(OR(Contains($B391,"CD BIO"),Contains($B391,"CD FIC")))),RIGHT(B391,LEN(B391)-3),
IF(D391="Juvenile Biography",RIGHT(B391,LEN(B391)-2),
IF(D391="Teen Biography",RIGHT(B391,LEN(B391)-5),
IF(AND(D391="Audiobook",
              IFERROR(FIND("BIO",$B391)&gt;0,FALSE)),RIGHT(B391,LEN(B391)-3),
IF(D391="Juvenile Large Type","J "&amp;RIGHT(B391,LEN(B391)-11),
IF(D391="Teen Large Type","TEEN "&amp;RIGHT(B391,LEN(B391)-14),
IF(D391="Reference",RIGHT(B391,LEN(B391)-4),
IF(D391="DVD Educational",RIGHT(B391,LEN(B391)-7),
IF(D391="Juvenile DVD Educational",RIGHT(B391,LEN(B391)-9),
B391)))))))))))))))))</f>
        <v/>
      </c>
    </row>
    <row r="392" spans="1:8" ht="27" customHeight="1" x14ac:dyDescent="0.25">
      <c r="A392" s="10" t="str">
        <f ca="1">TEXT( INDIRECT( ADDRESS( ROW() + Row_Offset, INDIRECT( "Column_Number_" &amp; A$1), 4,1, tabname) ), "")</f>
        <v/>
      </c>
      <c r="B392" s="10" t="str">
        <f ca="1">TEXT(  IFERROR( VLOOKUP( $D392, CollName_Simplifier_Table[], 2, FALSE),"") &amp;
        INDIRECT( ADDRESS( ROW() + Row_Offset, INDIRECT( "Column_Number_" &amp; $B$1), 4,1, tabname) ), "")</f>
        <v/>
      </c>
      <c r="C392" s="10" t="str">
        <f ca="1">TEXT( INDIRECT( ADDRESS( ROW() + Row_Offset, INDIRECT( "Column_Number_" &amp; C$1), 4,1, tabname) ), "")</f>
        <v/>
      </c>
      <c r="D392" s="10" t="str">
        <f ca="1">TEXT( INDIRECT( ADDRESS( ROW() + Row_Offset, INDIRECT( "Column_Number_" &amp; D$1), 4,1, tabname) ), "")</f>
        <v/>
      </c>
      <c r="E392" s="10" t="str">
        <f ca="1">TEXT( INDIRECT( ADDRESS( ROW() + Row_Offset, INDIRECT( "Column_Number_" &amp; E$1), 4,1, tabname) ), "####")</f>
        <v/>
      </c>
      <c r="F392" s="15"/>
      <c r="G392" s="21" t="str">
        <f ca="1">IFERROR(INDEX(Rank_Table[],MATCH($D392&amp;$A392,Table4[Join],0)),"")</f>
        <v/>
      </c>
      <c r="H392" s="11" t="str">
        <f ca="1">IF(AND(D392="Juvenile Audiobook",LEFT(B392,8)="J CD BIO"),RIGHT(B392,LEN(B392)-9),
IF(AND(D392="Juvenile Audiobook",LEFT(B392,8)="J CD FIC"),B392,
IF(D392="Juvenile Audiobook",RIGHT(B392,LEN(B392)-5),
IF(AND(D392="Teen Audiobook",LEFT(B392,11)="TEEN CD BIO"),RIGHT(B392,LEN(B392)-12),
IF(AND(D392="Teen Audiobook",LEFT(B392,11)="TEEN CD FIC"),B392,
IF(D392="Juvenile Audiobook",RIGHT(B392,LEN(B392)-8),
IF(D392="Juvenile Nonfiction",RIGHT(B392,LEN(B392)-2),
IF(D392="Teen Nonfiction",RIGHT(B392,LEN(B392)-5),
IF(AND(D392="Audiobook",
              NOT(OR(Contains($B392,"CD BIO"),Contains($B392,"CD FIC")))),RIGHT(B392,LEN(B392)-3),
IF(D392="Juvenile Biography",RIGHT(B392,LEN(B392)-2),
IF(D392="Teen Biography",RIGHT(B392,LEN(B392)-5),
IF(AND(D392="Audiobook",
              IFERROR(FIND("BIO",$B392)&gt;0,FALSE)),RIGHT(B392,LEN(B392)-3),
IF(D392="Juvenile Large Type","J "&amp;RIGHT(B392,LEN(B392)-11),
IF(D392="Teen Large Type","TEEN "&amp;RIGHT(B392,LEN(B392)-14),
IF(D392="Reference",RIGHT(B392,LEN(B392)-4),
IF(D392="DVD Educational",RIGHT(B392,LEN(B392)-7),
IF(D392="Juvenile DVD Educational",RIGHT(B392,LEN(B392)-9),
B392)))))))))))))))))</f>
        <v/>
      </c>
    </row>
    <row r="393" spans="1:8" ht="27" customHeight="1" x14ac:dyDescent="0.25">
      <c r="A393" s="10" t="str">
        <f ca="1">TEXT( INDIRECT( ADDRESS( ROW() + Row_Offset, INDIRECT( "Column_Number_" &amp; A$1), 4,1, tabname) ), "")</f>
        <v/>
      </c>
      <c r="B393" s="10" t="str">
        <f ca="1">TEXT(  IFERROR( VLOOKUP( $D393, CollName_Simplifier_Table[], 2, FALSE),"") &amp;
        INDIRECT( ADDRESS( ROW() + Row_Offset, INDIRECT( "Column_Number_" &amp; $B$1), 4,1, tabname) ), "")</f>
        <v/>
      </c>
      <c r="C393" s="10" t="str">
        <f ca="1">TEXT( INDIRECT( ADDRESS( ROW() + Row_Offset, INDIRECT( "Column_Number_" &amp; C$1), 4,1, tabname) ), "")</f>
        <v/>
      </c>
      <c r="D393" s="10" t="str">
        <f ca="1">TEXT( INDIRECT( ADDRESS( ROW() + Row_Offset, INDIRECT( "Column_Number_" &amp; D$1), 4,1, tabname) ), "")</f>
        <v/>
      </c>
      <c r="E393" s="10" t="str">
        <f ca="1">TEXT( INDIRECT( ADDRESS( ROW() + Row_Offset, INDIRECT( "Column_Number_" &amp; E$1), 4,1, tabname) ), "####")</f>
        <v/>
      </c>
      <c r="F393" s="15"/>
      <c r="G393" s="21" t="str">
        <f ca="1">IFERROR(INDEX(Rank_Table[],MATCH($D393&amp;$A393,Table4[Join],0)),"")</f>
        <v/>
      </c>
      <c r="H393" s="11" t="str">
        <f ca="1">IF(AND(D393="Juvenile Audiobook",LEFT(B393,8)="J CD BIO"),RIGHT(B393,LEN(B393)-9),
IF(AND(D393="Juvenile Audiobook",LEFT(B393,8)="J CD FIC"),B393,
IF(D393="Juvenile Audiobook",RIGHT(B393,LEN(B393)-5),
IF(AND(D393="Teen Audiobook",LEFT(B393,11)="TEEN CD BIO"),RIGHT(B393,LEN(B393)-12),
IF(AND(D393="Teen Audiobook",LEFT(B393,11)="TEEN CD FIC"),B393,
IF(D393="Juvenile Audiobook",RIGHT(B393,LEN(B393)-8),
IF(D393="Juvenile Nonfiction",RIGHT(B393,LEN(B393)-2),
IF(D393="Teen Nonfiction",RIGHT(B393,LEN(B393)-5),
IF(AND(D393="Audiobook",
              NOT(OR(Contains($B393,"CD BIO"),Contains($B393,"CD FIC")))),RIGHT(B393,LEN(B393)-3),
IF(D393="Juvenile Biography",RIGHT(B393,LEN(B393)-2),
IF(D393="Teen Biography",RIGHT(B393,LEN(B393)-5),
IF(AND(D393="Audiobook",
              IFERROR(FIND("BIO",$B393)&gt;0,FALSE)),RIGHT(B393,LEN(B393)-3),
IF(D393="Juvenile Large Type","J "&amp;RIGHT(B393,LEN(B393)-11),
IF(D393="Teen Large Type","TEEN "&amp;RIGHT(B393,LEN(B393)-14),
IF(D393="Reference",RIGHT(B393,LEN(B393)-4),
IF(D393="DVD Educational",RIGHT(B393,LEN(B393)-7),
IF(D393="Juvenile DVD Educational",RIGHT(B393,LEN(B393)-9),
B393)))))))))))))))))</f>
        <v/>
      </c>
    </row>
    <row r="394" spans="1:8" ht="27" customHeight="1" x14ac:dyDescent="0.25">
      <c r="A394" s="10" t="str">
        <f ca="1">TEXT( INDIRECT( ADDRESS( ROW() + Row_Offset, INDIRECT( "Column_Number_" &amp; A$1), 4,1, tabname) ), "")</f>
        <v/>
      </c>
      <c r="B394" s="10" t="str">
        <f ca="1">TEXT(  IFERROR( VLOOKUP( $D394, CollName_Simplifier_Table[], 2, FALSE),"") &amp;
        INDIRECT( ADDRESS( ROW() + Row_Offset, INDIRECT( "Column_Number_" &amp; $B$1), 4,1, tabname) ), "")</f>
        <v/>
      </c>
      <c r="C394" s="10" t="str">
        <f ca="1">TEXT( INDIRECT( ADDRESS( ROW() + Row_Offset, INDIRECT( "Column_Number_" &amp; C$1), 4,1, tabname) ), "")</f>
        <v/>
      </c>
      <c r="D394" s="10" t="str">
        <f ca="1">TEXT( INDIRECT( ADDRESS( ROW() + Row_Offset, INDIRECT( "Column_Number_" &amp; D$1), 4,1, tabname) ), "")</f>
        <v/>
      </c>
      <c r="E394" s="10" t="str">
        <f ca="1">TEXT( INDIRECT( ADDRESS( ROW() + Row_Offset, INDIRECT( "Column_Number_" &amp; E$1), 4,1, tabname) ), "####")</f>
        <v/>
      </c>
      <c r="F394" s="15"/>
      <c r="G394" s="21" t="str">
        <f ca="1">IFERROR(INDEX(Rank_Table[],MATCH($D394&amp;$A394,Table4[Join],0)),"")</f>
        <v/>
      </c>
      <c r="H394" s="11" t="str">
        <f ca="1">IF(AND(D394="Juvenile Audiobook",LEFT(B394,8)="J CD BIO"),RIGHT(B394,LEN(B394)-9),
IF(AND(D394="Juvenile Audiobook",LEFT(B394,8)="J CD FIC"),B394,
IF(D394="Juvenile Audiobook",RIGHT(B394,LEN(B394)-5),
IF(AND(D394="Teen Audiobook",LEFT(B394,11)="TEEN CD BIO"),RIGHT(B394,LEN(B394)-12),
IF(AND(D394="Teen Audiobook",LEFT(B394,11)="TEEN CD FIC"),B394,
IF(D394="Juvenile Audiobook",RIGHT(B394,LEN(B394)-8),
IF(D394="Juvenile Nonfiction",RIGHT(B394,LEN(B394)-2),
IF(D394="Teen Nonfiction",RIGHT(B394,LEN(B394)-5),
IF(AND(D394="Audiobook",
              NOT(OR(Contains($B394,"CD BIO"),Contains($B394,"CD FIC")))),RIGHT(B394,LEN(B394)-3),
IF(D394="Juvenile Biography",RIGHT(B394,LEN(B394)-2),
IF(D394="Teen Biography",RIGHT(B394,LEN(B394)-5),
IF(AND(D394="Audiobook",
              IFERROR(FIND("BIO",$B394)&gt;0,FALSE)),RIGHT(B394,LEN(B394)-3),
IF(D394="Juvenile Large Type","J "&amp;RIGHT(B394,LEN(B394)-11),
IF(D394="Teen Large Type","TEEN "&amp;RIGHT(B394,LEN(B394)-14),
IF(D394="Reference",RIGHT(B394,LEN(B394)-4),
IF(D394="DVD Educational",RIGHT(B394,LEN(B394)-7),
IF(D394="Juvenile DVD Educational",RIGHT(B394,LEN(B394)-9),
B394)))))))))))))))))</f>
        <v/>
      </c>
    </row>
    <row r="395" spans="1:8" ht="27" customHeight="1" x14ac:dyDescent="0.25">
      <c r="A395" s="10" t="str">
        <f ca="1">TEXT( INDIRECT( ADDRESS( ROW() + Row_Offset, INDIRECT( "Column_Number_" &amp; A$1), 4,1, tabname) ), "")</f>
        <v/>
      </c>
      <c r="B395" s="10" t="str">
        <f ca="1">TEXT(  IFERROR( VLOOKUP( $D395, CollName_Simplifier_Table[], 2, FALSE),"") &amp;
        INDIRECT( ADDRESS( ROW() + Row_Offset, INDIRECT( "Column_Number_" &amp; $B$1), 4,1, tabname) ), "")</f>
        <v/>
      </c>
      <c r="C395" s="10" t="str">
        <f ca="1">TEXT( INDIRECT( ADDRESS( ROW() + Row_Offset, INDIRECT( "Column_Number_" &amp; C$1), 4,1, tabname) ), "")</f>
        <v/>
      </c>
      <c r="D395" s="10" t="str">
        <f ca="1">TEXT( INDIRECT( ADDRESS( ROW() + Row_Offset, INDIRECT( "Column_Number_" &amp; D$1), 4,1, tabname) ), "")</f>
        <v/>
      </c>
      <c r="E395" s="10" t="str">
        <f ca="1">TEXT( INDIRECT( ADDRESS( ROW() + Row_Offset, INDIRECT( "Column_Number_" &amp; E$1), 4,1, tabname) ), "####")</f>
        <v/>
      </c>
      <c r="F395" s="15"/>
      <c r="G395" s="21" t="str">
        <f ca="1">IFERROR(INDEX(Rank_Table[],MATCH($D395&amp;$A395,Table4[Join],0)),"")</f>
        <v/>
      </c>
      <c r="H395" s="11" t="str">
        <f ca="1">IF(AND(D395="Juvenile Audiobook",LEFT(B395,8)="J CD BIO"),RIGHT(B395,LEN(B395)-9),
IF(AND(D395="Juvenile Audiobook",LEFT(B395,8)="J CD FIC"),B395,
IF(D395="Juvenile Audiobook",RIGHT(B395,LEN(B395)-5),
IF(AND(D395="Teen Audiobook",LEFT(B395,11)="TEEN CD BIO"),RIGHT(B395,LEN(B395)-12),
IF(AND(D395="Teen Audiobook",LEFT(B395,11)="TEEN CD FIC"),B395,
IF(D395="Juvenile Audiobook",RIGHT(B395,LEN(B395)-8),
IF(D395="Juvenile Nonfiction",RIGHT(B395,LEN(B395)-2),
IF(D395="Teen Nonfiction",RIGHT(B395,LEN(B395)-5),
IF(AND(D395="Audiobook",
              NOT(OR(Contains($B395,"CD BIO"),Contains($B395,"CD FIC")))),RIGHT(B395,LEN(B395)-3),
IF(D395="Juvenile Biography",RIGHT(B395,LEN(B395)-2),
IF(D395="Teen Biography",RIGHT(B395,LEN(B395)-5),
IF(AND(D395="Audiobook",
              IFERROR(FIND("BIO",$B395)&gt;0,FALSE)),RIGHT(B395,LEN(B395)-3),
IF(D395="Juvenile Large Type","J "&amp;RIGHT(B395,LEN(B395)-11),
IF(D395="Teen Large Type","TEEN "&amp;RIGHT(B395,LEN(B395)-14),
IF(D395="Reference",RIGHT(B395,LEN(B395)-4),
IF(D395="DVD Educational",RIGHT(B395,LEN(B395)-7),
IF(D395="Juvenile DVD Educational",RIGHT(B395,LEN(B395)-9),
B395)))))))))))))))))</f>
        <v/>
      </c>
    </row>
    <row r="396" spans="1:8" ht="27" customHeight="1" x14ac:dyDescent="0.25">
      <c r="A396" s="10" t="str">
        <f ca="1">TEXT( INDIRECT( ADDRESS( ROW() + Row_Offset, INDIRECT( "Column_Number_" &amp; A$1), 4,1, tabname) ), "")</f>
        <v/>
      </c>
      <c r="B396" s="10" t="str">
        <f ca="1">TEXT(  IFERROR( VLOOKUP( $D396, CollName_Simplifier_Table[], 2, FALSE),"") &amp;
        INDIRECT( ADDRESS( ROW() + Row_Offset, INDIRECT( "Column_Number_" &amp; $B$1), 4,1, tabname) ), "")</f>
        <v/>
      </c>
      <c r="C396" s="10" t="str">
        <f ca="1">TEXT( INDIRECT( ADDRESS( ROW() + Row_Offset, INDIRECT( "Column_Number_" &amp; C$1), 4,1, tabname) ), "")</f>
        <v/>
      </c>
      <c r="D396" s="10" t="str">
        <f ca="1">TEXT( INDIRECT( ADDRESS( ROW() + Row_Offset, INDIRECT( "Column_Number_" &amp; D$1), 4,1, tabname) ), "")</f>
        <v/>
      </c>
      <c r="E396" s="10" t="str">
        <f ca="1">TEXT( INDIRECT( ADDRESS( ROW() + Row_Offset, INDIRECT( "Column_Number_" &amp; E$1), 4,1, tabname) ), "####")</f>
        <v/>
      </c>
      <c r="F396" s="15"/>
      <c r="G396" s="21" t="str">
        <f ca="1">IFERROR(INDEX(Rank_Table[],MATCH($D396&amp;$A396,Table4[Join],0)),"")</f>
        <v/>
      </c>
      <c r="H396" s="11" t="str">
        <f ca="1">IF(AND(D396="Juvenile Audiobook",LEFT(B396,8)="J CD BIO"),RIGHT(B396,LEN(B396)-9),
IF(AND(D396="Juvenile Audiobook",LEFT(B396,8)="J CD FIC"),B396,
IF(D396="Juvenile Audiobook",RIGHT(B396,LEN(B396)-5),
IF(AND(D396="Teen Audiobook",LEFT(B396,11)="TEEN CD BIO"),RIGHT(B396,LEN(B396)-12),
IF(AND(D396="Teen Audiobook",LEFT(B396,11)="TEEN CD FIC"),B396,
IF(D396="Juvenile Audiobook",RIGHT(B396,LEN(B396)-8),
IF(D396="Juvenile Nonfiction",RIGHT(B396,LEN(B396)-2),
IF(D396="Teen Nonfiction",RIGHT(B396,LEN(B396)-5),
IF(AND(D396="Audiobook",
              NOT(OR(Contains($B396,"CD BIO"),Contains($B396,"CD FIC")))),RIGHT(B396,LEN(B396)-3),
IF(D396="Juvenile Biography",RIGHT(B396,LEN(B396)-2),
IF(D396="Teen Biography",RIGHT(B396,LEN(B396)-5),
IF(AND(D396="Audiobook",
              IFERROR(FIND("BIO",$B396)&gt;0,FALSE)),RIGHT(B396,LEN(B396)-3),
IF(D396="Juvenile Large Type","J "&amp;RIGHT(B396,LEN(B396)-11),
IF(D396="Teen Large Type","TEEN "&amp;RIGHT(B396,LEN(B396)-14),
IF(D396="Reference",RIGHT(B396,LEN(B396)-4),
IF(D396="DVD Educational",RIGHT(B396,LEN(B396)-7),
IF(D396="Juvenile DVD Educational",RIGHT(B396,LEN(B396)-9),
B396)))))))))))))))))</f>
        <v/>
      </c>
    </row>
    <row r="397" spans="1:8" ht="27" customHeight="1" x14ac:dyDescent="0.25">
      <c r="A397" s="10" t="str">
        <f ca="1">TEXT( INDIRECT( ADDRESS( ROW() + Row_Offset, INDIRECT( "Column_Number_" &amp; A$1), 4,1, tabname) ), "")</f>
        <v/>
      </c>
      <c r="B397" s="10" t="str">
        <f ca="1">TEXT(  IFERROR( VLOOKUP( $D397, CollName_Simplifier_Table[], 2, FALSE),"") &amp;
        INDIRECT( ADDRESS( ROW() + Row_Offset, INDIRECT( "Column_Number_" &amp; $B$1), 4,1, tabname) ), "")</f>
        <v/>
      </c>
      <c r="C397" s="10" t="str">
        <f ca="1">TEXT( INDIRECT( ADDRESS( ROW() + Row_Offset, INDIRECT( "Column_Number_" &amp; C$1), 4,1, tabname) ), "")</f>
        <v/>
      </c>
      <c r="D397" s="10" t="str">
        <f ca="1">TEXT( INDIRECT( ADDRESS( ROW() + Row_Offset, INDIRECT( "Column_Number_" &amp; D$1), 4,1, tabname) ), "")</f>
        <v/>
      </c>
      <c r="E397" s="10" t="str">
        <f ca="1">TEXT( INDIRECT( ADDRESS( ROW() + Row_Offset, INDIRECT( "Column_Number_" &amp; E$1), 4,1, tabname) ), "####")</f>
        <v/>
      </c>
      <c r="F397" s="15"/>
      <c r="G397" s="21" t="str">
        <f ca="1">IFERROR(INDEX(Rank_Table[],MATCH($D397&amp;$A397,Table4[Join],0)),"")</f>
        <v/>
      </c>
      <c r="H397" s="11" t="str">
        <f ca="1">IF(AND(D397="Juvenile Audiobook",LEFT(B397,8)="J CD BIO"),RIGHT(B397,LEN(B397)-9),
IF(AND(D397="Juvenile Audiobook",LEFT(B397,8)="J CD FIC"),B397,
IF(D397="Juvenile Audiobook",RIGHT(B397,LEN(B397)-5),
IF(AND(D397="Teen Audiobook",LEFT(B397,11)="TEEN CD BIO"),RIGHT(B397,LEN(B397)-12),
IF(AND(D397="Teen Audiobook",LEFT(B397,11)="TEEN CD FIC"),B397,
IF(D397="Juvenile Audiobook",RIGHT(B397,LEN(B397)-8),
IF(D397="Juvenile Nonfiction",RIGHT(B397,LEN(B397)-2),
IF(D397="Teen Nonfiction",RIGHT(B397,LEN(B397)-5),
IF(AND(D397="Audiobook",
              NOT(OR(Contains($B397,"CD BIO"),Contains($B397,"CD FIC")))),RIGHT(B397,LEN(B397)-3),
IF(D397="Juvenile Biography",RIGHT(B397,LEN(B397)-2),
IF(D397="Teen Biography",RIGHT(B397,LEN(B397)-5),
IF(AND(D397="Audiobook",
              IFERROR(FIND("BIO",$B397)&gt;0,FALSE)),RIGHT(B397,LEN(B397)-3),
IF(D397="Juvenile Large Type","J "&amp;RIGHT(B397,LEN(B397)-11),
IF(D397="Teen Large Type","TEEN "&amp;RIGHT(B397,LEN(B397)-14),
IF(D397="Reference",RIGHT(B397,LEN(B397)-4),
IF(D397="DVD Educational",RIGHT(B397,LEN(B397)-7),
IF(D397="Juvenile DVD Educational",RIGHT(B397,LEN(B397)-9),
B397)))))))))))))))))</f>
        <v/>
      </c>
    </row>
    <row r="398" spans="1:8" ht="27" customHeight="1" x14ac:dyDescent="0.25">
      <c r="A398" s="10" t="str">
        <f ca="1">TEXT( INDIRECT( ADDRESS( ROW() + Row_Offset, INDIRECT( "Column_Number_" &amp; A$1), 4,1, tabname) ), "")</f>
        <v/>
      </c>
      <c r="B398" s="10" t="str">
        <f ca="1">TEXT(  IFERROR( VLOOKUP( $D398, CollName_Simplifier_Table[], 2, FALSE),"") &amp;
        INDIRECT( ADDRESS( ROW() + Row_Offset, INDIRECT( "Column_Number_" &amp; $B$1), 4,1, tabname) ), "")</f>
        <v/>
      </c>
      <c r="C398" s="10" t="str">
        <f ca="1">TEXT( INDIRECT( ADDRESS( ROW() + Row_Offset, INDIRECT( "Column_Number_" &amp; C$1), 4,1, tabname) ), "")</f>
        <v/>
      </c>
      <c r="D398" s="10" t="str">
        <f ca="1">TEXT( INDIRECT( ADDRESS( ROW() + Row_Offset, INDIRECT( "Column_Number_" &amp; D$1), 4,1, tabname) ), "")</f>
        <v/>
      </c>
      <c r="E398" s="10" t="str">
        <f ca="1">TEXT( INDIRECT( ADDRESS( ROW() + Row_Offset, INDIRECT( "Column_Number_" &amp; E$1), 4,1, tabname) ), "####")</f>
        <v/>
      </c>
      <c r="F398" s="15"/>
      <c r="G398" s="21" t="str">
        <f ca="1">IFERROR(INDEX(Rank_Table[],MATCH($D398&amp;$A398,Table4[Join],0)),"")</f>
        <v/>
      </c>
      <c r="H398" s="11" t="str">
        <f ca="1">IF(AND(D398="Juvenile Audiobook",LEFT(B398,8)="J CD BIO"),RIGHT(B398,LEN(B398)-9),
IF(AND(D398="Juvenile Audiobook",LEFT(B398,8)="J CD FIC"),B398,
IF(D398="Juvenile Audiobook",RIGHT(B398,LEN(B398)-5),
IF(AND(D398="Teen Audiobook",LEFT(B398,11)="TEEN CD BIO"),RIGHT(B398,LEN(B398)-12),
IF(AND(D398="Teen Audiobook",LEFT(B398,11)="TEEN CD FIC"),B398,
IF(D398="Juvenile Audiobook",RIGHT(B398,LEN(B398)-8),
IF(D398="Juvenile Nonfiction",RIGHT(B398,LEN(B398)-2),
IF(D398="Teen Nonfiction",RIGHT(B398,LEN(B398)-5),
IF(AND(D398="Audiobook",
              NOT(OR(Contains($B398,"CD BIO"),Contains($B398,"CD FIC")))),RIGHT(B398,LEN(B398)-3),
IF(D398="Juvenile Biography",RIGHT(B398,LEN(B398)-2),
IF(D398="Teen Biography",RIGHT(B398,LEN(B398)-5),
IF(AND(D398="Audiobook",
              IFERROR(FIND("BIO",$B398)&gt;0,FALSE)),RIGHT(B398,LEN(B398)-3),
IF(D398="Juvenile Large Type","J "&amp;RIGHT(B398,LEN(B398)-11),
IF(D398="Teen Large Type","TEEN "&amp;RIGHT(B398,LEN(B398)-14),
IF(D398="Reference",RIGHT(B398,LEN(B398)-4),
IF(D398="DVD Educational",RIGHT(B398,LEN(B398)-7),
IF(D398="Juvenile DVD Educational",RIGHT(B398,LEN(B398)-9),
B398)))))))))))))))))</f>
        <v/>
      </c>
    </row>
    <row r="399" spans="1:8" ht="27" customHeight="1" x14ac:dyDescent="0.25">
      <c r="A399" s="10" t="str">
        <f ca="1">TEXT( INDIRECT( ADDRESS( ROW() + Row_Offset, INDIRECT( "Column_Number_" &amp; A$1), 4,1, tabname) ), "")</f>
        <v/>
      </c>
      <c r="B399" s="10" t="str">
        <f ca="1">TEXT(  IFERROR( VLOOKUP( $D399, CollName_Simplifier_Table[], 2, FALSE),"") &amp;
        INDIRECT( ADDRESS( ROW() + Row_Offset, INDIRECT( "Column_Number_" &amp; $B$1), 4,1, tabname) ), "")</f>
        <v/>
      </c>
      <c r="C399" s="10" t="str">
        <f ca="1">TEXT( INDIRECT( ADDRESS( ROW() + Row_Offset, INDIRECT( "Column_Number_" &amp; C$1), 4,1, tabname) ), "")</f>
        <v/>
      </c>
      <c r="D399" s="10" t="str">
        <f ca="1">TEXT( INDIRECT( ADDRESS( ROW() + Row_Offset, INDIRECT( "Column_Number_" &amp; D$1), 4,1, tabname) ), "")</f>
        <v/>
      </c>
      <c r="E399" s="10" t="str">
        <f ca="1">TEXT( INDIRECT( ADDRESS( ROW() + Row_Offset, INDIRECT( "Column_Number_" &amp; E$1), 4,1, tabname) ), "####")</f>
        <v/>
      </c>
      <c r="F399" s="15"/>
      <c r="G399" s="21" t="str">
        <f ca="1">IFERROR(INDEX(Rank_Table[],MATCH($D399&amp;$A399,Table4[Join],0)),"")</f>
        <v/>
      </c>
      <c r="H399" s="11" t="str">
        <f ca="1">IF(AND(D399="Juvenile Audiobook",LEFT(B399,8)="J CD BIO"),RIGHT(B399,LEN(B399)-9),
IF(AND(D399="Juvenile Audiobook",LEFT(B399,8)="J CD FIC"),B399,
IF(D399="Juvenile Audiobook",RIGHT(B399,LEN(B399)-5),
IF(AND(D399="Teen Audiobook",LEFT(B399,11)="TEEN CD BIO"),RIGHT(B399,LEN(B399)-12),
IF(AND(D399="Teen Audiobook",LEFT(B399,11)="TEEN CD FIC"),B399,
IF(D399="Juvenile Audiobook",RIGHT(B399,LEN(B399)-8),
IF(D399="Juvenile Nonfiction",RIGHT(B399,LEN(B399)-2),
IF(D399="Teen Nonfiction",RIGHT(B399,LEN(B399)-5),
IF(AND(D399="Audiobook",
              NOT(OR(Contains($B399,"CD BIO"),Contains($B399,"CD FIC")))),RIGHT(B399,LEN(B399)-3),
IF(D399="Juvenile Biography",RIGHT(B399,LEN(B399)-2),
IF(D399="Teen Biography",RIGHT(B399,LEN(B399)-5),
IF(AND(D399="Audiobook",
              IFERROR(FIND("BIO",$B399)&gt;0,FALSE)),RIGHT(B399,LEN(B399)-3),
IF(D399="Juvenile Large Type","J "&amp;RIGHT(B399,LEN(B399)-11),
IF(D399="Teen Large Type","TEEN "&amp;RIGHT(B399,LEN(B399)-14),
IF(D399="Reference",RIGHT(B399,LEN(B399)-4),
IF(D399="DVD Educational",RIGHT(B399,LEN(B399)-7),
IF(D399="Juvenile DVD Educational",RIGHT(B399,LEN(B399)-9),
B399)))))))))))))))))</f>
        <v/>
      </c>
    </row>
    <row r="400" spans="1:8" ht="27" customHeight="1" x14ac:dyDescent="0.25">
      <c r="A400" s="10" t="str">
        <f ca="1">TEXT( INDIRECT( ADDRESS( ROW() + Row_Offset, INDIRECT( "Column_Number_" &amp; A$1), 4,1, tabname) ), "")</f>
        <v/>
      </c>
      <c r="B400" s="10" t="str">
        <f ca="1">TEXT(  IFERROR( VLOOKUP( $D400, CollName_Simplifier_Table[], 2, FALSE),"") &amp;
        INDIRECT( ADDRESS( ROW() + Row_Offset, INDIRECT( "Column_Number_" &amp; $B$1), 4,1, tabname) ), "")</f>
        <v/>
      </c>
      <c r="C400" s="10" t="str">
        <f ca="1">TEXT( INDIRECT( ADDRESS( ROW() + Row_Offset, INDIRECT( "Column_Number_" &amp; C$1), 4,1, tabname) ), "")</f>
        <v/>
      </c>
      <c r="D400" s="10" t="str">
        <f ca="1">TEXT( INDIRECT( ADDRESS( ROW() + Row_Offset, INDIRECT( "Column_Number_" &amp; D$1), 4,1, tabname) ), "")</f>
        <v/>
      </c>
      <c r="E400" s="10" t="str">
        <f ca="1">TEXT( INDIRECT( ADDRESS( ROW() + Row_Offset, INDIRECT( "Column_Number_" &amp; E$1), 4,1, tabname) ), "####")</f>
        <v/>
      </c>
      <c r="F400" s="15"/>
      <c r="G400" s="21" t="str">
        <f ca="1">IFERROR(INDEX(Rank_Table[],MATCH($D400&amp;$A400,Table4[Join],0)),"")</f>
        <v/>
      </c>
      <c r="H400" s="11" t="str">
        <f ca="1">IF(AND(D400="Juvenile Audiobook",LEFT(B400,8)="J CD BIO"),RIGHT(B400,LEN(B400)-9),
IF(AND(D400="Juvenile Audiobook",LEFT(B400,8)="J CD FIC"),B400,
IF(D400="Juvenile Audiobook",RIGHT(B400,LEN(B400)-5),
IF(AND(D400="Teen Audiobook",LEFT(B400,11)="TEEN CD BIO"),RIGHT(B400,LEN(B400)-12),
IF(AND(D400="Teen Audiobook",LEFT(B400,11)="TEEN CD FIC"),B400,
IF(D400="Juvenile Audiobook",RIGHT(B400,LEN(B400)-8),
IF(D400="Juvenile Nonfiction",RIGHT(B400,LEN(B400)-2),
IF(D400="Teen Nonfiction",RIGHT(B400,LEN(B400)-5),
IF(AND(D400="Audiobook",
              NOT(OR(Contains($B400,"CD BIO"),Contains($B400,"CD FIC")))),RIGHT(B400,LEN(B400)-3),
IF(D400="Juvenile Biography",RIGHT(B400,LEN(B400)-2),
IF(D400="Teen Biography",RIGHT(B400,LEN(B400)-5),
IF(AND(D400="Audiobook",
              IFERROR(FIND("BIO",$B400)&gt;0,FALSE)),RIGHT(B400,LEN(B400)-3),
IF(D400="Juvenile Large Type","J "&amp;RIGHT(B400,LEN(B400)-11),
IF(D400="Teen Large Type","TEEN "&amp;RIGHT(B400,LEN(B400)-14),
IF(D400="Reference",RIGHT(B400,LEN(B400)-4),
IF(D400="DVD Educational",RIGHT(B400,LEN(B400)-7),
IF(D400="Juvenile DVD Educational",RIGHT(B400,LEN(B400)-9),
B400)))))))))))))))))</f>
        <v/>
      </c>
    </row>
    <row r="401" spans="1:8" ht="27" customHeight="1" x14ac:dyDescent="0.25">
      <c r="A401" s="10" t="str">
        <f ca="1">TEXT( INDIRECT( ADDRESS( ROW() + Row_Offset, INDIRECT( "Column_Number_" &amp; A$1), 4,1, tabname) ), "")</f>
        <v/>
      </c>
      <c r="B401" s="10" t="str">
        <f ca="1">TEXT(  IFERROR( VLOOKUP( $D401, CollName_Simplifier_Table[], 2, FALSE),"") &amp;
        INDIRECT( ADDRESS( ROW() + Row_Offset, INDIRECT( "Column_Number_" &amp; $B$1), 4,1, tabname) ), "")</f>
        <v/>
      </c>
      <c r="C401" s="10" t="str">
        <f ca="1">TEXT( INDIRECT( ADDRESS( ROW() + Row_Offset, INDIRECT( "Column_Number_" &amp; C$1), 4,1, tabname) ), "")</f>
        <v/>
      </c>
      <c r="D401" s="10" t="str">
        <f ca="1">TEXT( INDIRECT( ADDRESS( ROW() + Row_Offset, INDIRECT( "Column_Number_" &amp; D$1), 4,1, tabname) ), "")</f>
        <v/>
      </c>
      <c r="E401" s="10" t="str">
        <f ca="1">TEXT( INDIRECT( ADDRESS( ROW() + Row_Offset, INDIRECT( "Column_Number_" &amp; E$1), 4,1, tabname) ), "####")</f>
        <v/>
      </c>
      <c r="F401" s="15"/>
      <c r="G401" s="21" t="str">
        <f ca="1">IFERROR(INDEX(Rank_Table[],MATCH($D401&amp;$A401,Table4[Join],0)),"")</f>
        <v/>
      </c>
      <c r="H401" s="11" t="str">
        <f ca="1">IF(AND(D401="Juvenile Audiobook",LEFT(B401,8)="J CD BIO"),RIGHT(B401,LEN(B401)-9),
IF(AND(D401="Juvenile Audiobook",LEFT(B401,8)="J CD FIC"),B401,
IF(D401="Juvenile Audiobook",RIGHT(B401,LEN(B401)-5),
IF(AND(D401="Teen Audiobook",LEFT(B401,11)="TEEN CD BIO"),RIGHT(B401,LEN(B401)-12),
IF(AND(D401="Teen Audiobook",LEFT(B401,11)="TEEN CD FIC"),B401,
IF(D401="Juvenile Audiobook",RIGHT(B401,LEN(B401)-8),
IF(D401="Juvenile Nonfiction",RIGHT(B401,LEN(B401)-2),
IF(D401="Teen Nonfiction",RIGHT(B401,LEN(B401)-5),
IF(AND(D401="Audiobook",
              NOT(OR(Contains($B401,"CD BIO"),Contains($B401,"CD FIC")))),RIGHT(B401,LEN(B401)-3),
IF(D401="Juvenile Biography",RIGHT(B401,LEN(B401)-2),
IF(D401="Teen Biography",RIGHT(B401,LEN(B401)-5),
IF(AND(D401="Audiobook",
              IFERROR(FIND("BIO",$B401)&gt;0,FALSE)),RIGHT(B401,LEN(B401)-3),
IF(D401="Juvenile Large Type","J "&amp;RIGHT(B401,LEN(B401)-11),
IF(D401="Teen Large Type","TEEN "&amp;RIGHT(B401,LEN(B401)-14),
IF(D401="Reference",RIGHT(B401,LEN(B401)-4),
IF(D401="DVD Educational",RIGHT(B401,LEN(B401)-7),
IF(D401="Juvenile DVD Educational",RIGHT(B401,LEN(B401)-9),
B401)))))))))))))))))</f>
        <v/>
      </c>
    </row>
    <row r="402" spans="1:8" ht="27" customHeight="1" x14ac:dyDescent="0.25">
      <c r="A402" s="10" t="str">
        <f ca="1">TEXT( INDIRECT( ADDRESS( ROW() + Row_Offset, INDIRECT( "Column_Number_" &amp; A$1), 4,1, tabname) ), "")</f>
        <v/>
      </c>
      <c r="B402" s="10" t="str">
        <f ca="1">TEXT(  IFERROR( VLOOKUP( $D402, CollName_Simplifier_Table[], 2, FALSE),"") &amp;
        INDIRECT( ADDRESS( ROW() + Row_Offset, INDIRECT( "Column_Number_" &amp; $B$1), 4,1, tabname) ), "")</f>
        <v/>
      </c>
      <c r="C402" s="10" t="str">
        <f ca="1">TEXT( INDIRECT( ADDRESS( ROW() + Row_Offset, INDIRECT( "Column_Number_" &amp; C$1), 4,1, tabname) ), "")</f>
        <v/>
      </c>
      <c r="D402" s="10" t="str">
        <f ca="1">TEXT( INDIRECT( ADDRESS( ROW() + Row_Offset, INDIRECT( "Column_Number_" &amp; D$1), 4,1, tabname) ), "")</f>
        <v/>
      </c>
      <c r="E402" s="10" t="str">
        <f ca="1">TEXT( INDIRECT( ADDRESS( ROW() + Row_Offset, INDIRECT( "Column_Number_" &amp; E$1), 4,1, tabname) ), "####")</f>
        <v/>
      </c>
      <c r="F402" s="15"/>
      <c r="G402" s="21" t="str">
        <f ca="1">IFERROR(INDEX(Rank_Table[],MATCH($D402&amp;$A402,Table4[Join],0)),"")</f>
        <v/>
      </c>
      <c r="H402" s="11" t="str">
        <f ca="1">IF(AND(D402="Juvenile Audiobook",LEFT(B402,8)="J CD BIO"),RIGHT(B402,LEN(B402)-9),
IF(AND(D402="Juvenile Audiobook",LEFT(B402,8)="J CD FIC"),B402,
IF(D402="Juvenile Audiobook",RIGHT(B402,LEN(B402)-5),
IF(AND(D402="Teen Audiobook",LEFT(B402,11)="TEEN CD BIO"),RIGHT(B402,LEN(B402)-12),
IF(AND(D402="Teen Audiobook",LEFT(B402,11)="TEEN CD FIC"),B402,
IF(D402="Juvenile Audiobook",RIGHT(B402,LEN(B402)-8),
IF(D402="Juvenile Nonfiction",RIGHT(B402,LEN(B402)-2),
IF(D402="Teen Nonfiction",RIGHT(B402,LEN(B402)-5),
IF(AND(D402="Audiobook",
              NOT(OR(Contains($B402,"CD BIO"),Contains($B402,"CD FIC")))),RIGHT(B402,LEN(B402)-3),
IF(D402="Juvenile Biography",RIGHT(B402,LEN(B402)-2),
IF(D402="Teen Biography",RIGHT(B402,LEN(B402)-5),
IF(AND(D402="Audiobook",
              IFERROR(FIND("BIO",$B402)&gt;0,FALSE)),RIGHT(B402,LEN(B402)-3),
IF(D402="Juvenile Large Type","J "&amp;RIGHT(B402,LEN(B402)-11),
IF(D402="Teen Large Type","TEEN "&amp;RIGHT(B402,LEN(B402)-14),
IF(D402="Reference",RIGHT(B402,LEN(B402)-4),
IF(D402="DVD Educational",RIGHT(B402,LEN(B402)-7),
IF(D402="Juvenile DVD Educational",RIGHT(B402,LEN(B402)-9),
B402)))))))))))))))))</f>
        <v/>
      </c>
    </row>
    <row r="403" spans="1:8" ht="27" customHeight="1" x14ac:dyDescent="0.25">
      <c r="A403" s="10" t="str">
        <f ca="1">TEXT( INDIRECT( ADDRESS( ROW() + Row_Offset, INDIRECT( "Column_Number_" &amp; A$1), 4,1, tabname) ), "")</f>
        <v/>
      </c>
      <c r="B403" s="10" t="str">
        <f ca="1">TEXT(  IFERROR( VLOOKUP( $D403, CollName_Simplifier_Table[], 2, FALSE),"") &amp;
        INDIRECT( ADDRESS( ROW() + Row_Offset, INDIRECT( "Column_Number_" &amp; $B$1), 4,1, tabname) ), "")</f>
        <v/>
      </c>
      <c r="C403" s="10" t="str">
        <f ca="1">TEXT( INDIRECT( ADDRESS( ROW() + Row_Offset, INDIRECT( "Column_Number_" &amp; C$1), 4,1, tabname) ), "")</f>
        <v/>
      </c>
      <c r="D403" s="10" t="str">
        <f ca="1">TEXT( INDIRECT( ADDRESS( ROW() + Row_Offset, INDIRECT( "Column_Number_" &amp; D$1), 4,1, tabname) ), "")</f>
        <v/>
      </c>
      <c r="E403" s="10" t="str">
        <f ca="1">TEXT( INDIRECT( ADDRESS( ROW() + Row_Offset, INDIRECT( "Column_Number_" &amp; E$1), 4,1, tabname) ), "####")</f>
        <v/>
      </c>
      <c r="F403" s="15"/>
      <c r="G403" s="21" t="str">
        <f ca="1">IFERROR(INDEX(Rank_Table[],MATCH($D403&amp;$A403,Table4[Join],0)),"")</f>
        <v/>
      </c>
      <c r="H403" s="11" t="str">
        <f ca="1">IF(AND(D403="Juvenile Audiobook",LEFT(B403,8)="J CD BIO"),RIGHT(B403,LEN(B403)-9),
IF(AND(D403="Juvenile Audiobook",LEFT(B403,8)="J CD FIC"),B403,
IF(D403="Juvenile Audiobook",RIGHT(B403,LEN(B403)-5),
IF(AND(D403="Teen Audiobook",LEFT(B403,11)="TEEN CD BIO"),RIGHT(B403,LEN(B403)-12),
IF(AND(D403="Teen Audiobook",LEFT(B403,11)="TEEN CD FIC"),B403,
IF(D403="Juvenile Audiobook",RIGHT(B403,LEN(B403)-8),
IF(D403="Juvenile Nonfiction",RIGHT(B403,LEN(B403)-2),
IF(D403="Teen Nonfiction",RIGHT(B403,LEN(B403)-5),
IF(AND(D403="Audiobook",
              NOT(OR(Contains($B403,"CD BIO"),Contains($B403,"CD FIC")))),RIGHT(B403,LEN(B403)-3),
IF(D403="Juvenile Biography",RIGHT(B403,LEN(B403)-2),
IF(D403="Teen Biography",RIGHT(B403,LEN(B403)-5),
IF(AND(D403="Audiobook",
              IFERROR(FIND("BIO",$B403)&gt;0,FALSE)),RIGHT(B403,LEN(B403)-3),
IF(D403="Juvenile Large Type","J "&amp;RIGHT(B403,LEN(B403)-11),
IF(D403="Teen Large Type","TEEN "&amp;RIGHT(B403,LEN(B403)-14),
IF(D403="Reference",RIGHT(B403,LEN(B403)-4),
IF(D403="DVD Educational",RIGHT(B403,LEN(B403)-7),
IF(D403="Juvenile DVD Educational",RIGHT(B403,LEN(B403)-9),
B403)))))))))))))))))</f>
        <v/>
      </c>
    </row>
    <row r="404" spans="1:8" ht="27" customHeight="1" x14ac:dyDescent="0.25">
      <c r="A404" s="10" t="str">
        <f ca="1">TEXT( INDIRECT( ADDRESS( ROW() + Row_Offset, INDIRECT( "Column_Number_" &amp; A$1), 4,1, tabname) ), "")</f>
        <v/>
      </c>
      <c r="B404" s="10" t="str">
        <f ca="1">TEXT(  IFERROR( VLOOKUP( $D404, CollName_Simplifier_Table[], 2, FALSE),"") &amp;
        INDIRECT( ADDRESS( ROW() + Row_Offset, INDIRECT( "Column_Number_" &amp; $B$1), 4,1, tabname) ), "")</f>
        <v/>
      </c>
      <c r="C404" s="10" t="str">
        <f ca="1">TEXT( INDIRECT( ADDRESS( ROW() + Row_Offset, INDIRECT( "Column_Number_" &amp; C$1), 4,1, tabname) ), "")</f>
        <v/>
      </c>
      <c r="D404" s="10" t="str">
        <f ca="1">TEXT( INDIRECT( ADDRESS( ROW() + Row_Offset, INDIRECT( "Column_Number_" &amp; D$1), 4,1, tabname) ), "")</f>
        <v/>
      </c>
      <c r="E404" s="10" t="str">
        <f ca="1">TEXT( INDIRECT( ADDRESS( ROW() + Row_Offset, INDIRECT( "Column_Number_" &amp; E$1), 4,1, tabname) ), "####")</f>
        <v/>
      </c>
      <c r="F404" s="15"/>
      <c r="G404" s="21" t="str">
        <f ca="1">IFERROR(INDEX(Rank_Table[],MATCH($D404&amp;$A404,Table4[Join],0)),"")</f>
        <v/>
      </c>
      <c r="H404" s="11" t="str">
        <f ca="1">IF(AND(D404="Juvenile Audiobook",LEFT(B404,8)="J CD BIO"),RIGHT(B404,LEN(B404)-9),
IF(AND(D404="Juvenile Audiobook",LEFT(B404,8)="J CD FIC"),B404,
IF(D404="Juvenile Audiobook",RIGHT(B404,LEN(B404)-5),
IF(AND(D404="Teen Audiobook",LEFT(B404,11)="TEEN CD BIO"),RIGHT(B404,LEN(B404)-12),
IF(AND(D404="Teen Audiobook",LEFT(B404,11)="TEEN CD FIC"),B404,
IF(D404="Juvenile Audiobook",RIGHT(B404,LEN(B404)-8),
IF(D404="Juvenile Nonfiction",RIGHT(B404,LEN(B404)-2),
IF(D404="Teen Nonfiction",RIGHT(B404,LEN(B404)-5),
IF(AND(D404="Audiobook",
              NOT(OR(Contains($B404,"CD BIO"),Contains($B404,"CD FIC")))),RIGHT(B404,LEN(B404)-3),
IF(D404="Juvenile Biography",RIGHT(B404,LEN(B404)-2),
IF(D404="Teen Biography",RIGHT(B404,LEN(B404)-5),
IF(AND(D404="Audiobook",
              IFERROR(FIND("BIO",$B404)&gt;0,FALSE)),RIGHT(B404,LEN(B404)-3),
IF(D404="Juvenile Large Type","J "&amp;RIGHT(B404,LEN(B404)-11),
IF(D404="Teen Large Type","TEEN "&amp;RIGHT(B404,LEN(B404)-14),
IF(D404="Reference",RIGHT(B404,LEN(B404)-4),
IF(D404="DVD Educational",RIGHT(B404,LEN(B404)-7),
IF(D404="Juvenile DVD Educational",RIGHT(B404,LEN(B404)-9),
B404)))))))))))))))))</f>
        <v/>
      </c>
    </row>
    <row r="405" spans="1:8" ht="27" customHeight="1" x14ac:dyDescent="0.25">
      <c r="A405" s="10" t="str">
        <f ca="1">TEXT( INDIRECT( ADDRESS( ROW() + Row_Offset, INDIRECT( "Column_Number_" &amp; A$1), 4,1, tabname) ), "")</f>
        <v/>
      </c>
      <c r="B405" s="10" t="str">
        <f ca="1">TEXT(  IFERROR( VLOOKUP( $D405, CollName_Simplifier_Table[], 2, FALSE),"") &amp;
        INDIRECT( ADDRESS( ROW() + Row_Offset, INDIRECT( "Column_Number_" &amp; $B$1), 4,1, tabname) ), "")</f>
        <v/>
      </c>
      <c r="C405" s="10" t="str">
        <f ca="1">TEXT( INDIRECT( ADDRESS( ROW() + Row_Offset, INDIRECT( "Column_Number_" &amp; C$1), 4,1, tabname) ), "")</f>
        <v/>
      </c>
      <c r="D405" s="10" t="str">
        <f ca="1">TEXT( INDIRECT( ADDRESS( ROW() + Row_Offset, INDIRECT( "Column_Number_" &amp; D$1), 4,1, tabname) ), "")</f>
        <v/>
      </c>
      <c r="E405" s="10" t="str">
        <f ca="1">TEXT( INDIRECT( ADDRESS( ROW() + Row_Offset, INDIRECT( "Column_Number_" &amp; E$1), 4,1, tabname) ), "####")</f>
        <v/>
      </c>
      <c r="F405" s="15"/>
      <c r="G405" s="21" t="str">
        <f ca="1">IFERROR(INDEX(Rank_Table[],MATCH($D405&amp;$A405,Table4[Join],0)),"")</f>
        <v/>
      </c>
      <c r="H405" s="11" t="str">
        <f ca="1">IF(AND(D405="Juvenile Audiobook",LEFT(B405,8)="J CD BIO"),RIGHT(B405,LEN(B405)-9),
IF(AND(D405="Juvenile Audiobook",LEFT(B405,8)="J CD FIC"),B405,
IF(D405="Juvenile Audiobook",RIGHT(B405,LEN(B405)-5),
IF(AND(D405="Teen Audiobook",LEFT(B405,11)="TEEN CD BIO"),RIGHT(B405,LEN(B405)-12),
IF(AND(D405="Teen Audiobook",LEFT(B405,11)="TEEN CD FIC"),B405,
IF(D405="Juvenile Audiobook",RIGHT(B405,LEN(B405)-8),
IF(D405="Juvenile Nonfiction",RIGHT(B405,LEN(B405)-2),
IF(D405="Teen Nonfiction",RIGHT(B405,LEN(B405)-5),
IF(AND(D405="Audiobook",
              NOT(OR(Contains($B405,"CD BIO"),Contains($B405,"CD FIC")))),RIGHT(B405,LEN(B405)-3),
IF(D405="Juvenile Biography",RIGHT(B405,LEN(B405)-2),
IF(D405="Teen Biography",RIGHT(B405,LEN(B405)-5),
IF(AND(D405="Audiobook",
              IFERROR(FIND("BIO",$B405)&gt;0,FALSE)),RIGHT(B405,LEN(B405)-3),
IF(D405="Juvenile Large Type","J "&amp;RIGHT(B405,LEN(B405)-11),
IF(D405="Teen Large Type","TEEN "&amp;RIGHT(B405,LEN(B405)-14),
IF(D405="Reference",RIGHT(B405,LEN(B405)-4),
IF(D405="DVD Educational",RIGHT(B405,LEN(B405)-7),
IF(D405="Juvenile DVD Educational",RIGHT(B405,LEN(B405)-9),
B405)))))))))))))))))</f>
        <v/>
      </c>
    </row>
    <row r="406" spans="1:8" ht="27" customHeight="1" x14ac:dyDescent="0.25">
      <c r="A406" s="10" t="str">
        <f ca="1">TEXT( INDIRECT( ADDRESS( ROW() + Row_Offset, INDIRECT( "Column_Number_" &amp; A$1), 4,1, tabname) ), "")</f>
        <v/>
      </c>
      <c r="B406" s="10" t="str">
        <f ca="1">TEXT(  IFERROR( VLOOKUP( $D406, CollName_Simplifier_Table[], 2, FALSE),"") &amp;
        INDIRECT( ADDRESS( ROW() + Row_Offset, INDIRECT( "Column_Number_" &amp; $B$1), 4,1, tabname) ), "")</f>
        <v/>
      </c>
      <c r="C406" s="10" t="str">
        <f ca="1">TEXT( INDIRECT( ADDRESS( ROW() + Row_Offset, INDIRECT( "Column_Number_" &amp; C$1), 4,1, tabname) ), "")</f>
        <v/>
      </c>
      <c r="D406" s="10" t="str">
        <f ca="1">TEXT( INDIRECT( ADDRESS( ROW() + Row_Offset, INDIRECT( "Column_Number_" &amp; D$1), 4,1, tabname) ), "")</f>
        <v/>
      </c>
      <c r="E406" s="10" t="str">
        <f ca="1">TEXT( INDIRECT( ADDRESS( ROW() + Row_Offset, INDIRECT( "Column_Number_" &amp; E$1), 4,1, tabname) ), "####")</f>
        <v/>
      </c>
      <c r="F406" s="15"/>
      <c r="G406" s="21" t="str">
        <f ca="1">IFERROR(INDEX(Rank_Table[],MATCH($D406&amp;$A406,Table4[Join],0)),"")</f>
        <v/>
      </c>
      <c r="H406" s="11" t="str">
        <f ca="1">IF(AND(D406="Juvenile Audiobook",LEFT(B406,8)="J CD BIO"),RIGHT(B406,LEN(B406)-9),
IF(AND(D406="Juvenile Audiobook",LEFT(B406,8)="J CD FIC"),B406,
IF(D406="Juvenile Audiobook",RIGHT(B406,LEN(B406)-5),
IF(AND(D406="Teen Audiobook",LEFT(B406,11)="TEEN CD BIO"),RIGHT(B406,LEN(B406)-12),
IF(AND(D406="Teen Audiobook",LEFT(B406,11)="TEEN CD FIC"),B406,
IF(D406="Juvenile Audiobook",RIGHT(B406,LEN(B406)-8),
IF(D406="Juvenile Nonfiction",RIGHT(B406,LEN(B406)-2),
IF(D406="Teen Nonfiction",RIGHT(B406,LEN(B406)-5),
IF(AND(D406="Audiobook",
              NOT(OR(Contains($B406,"CD BIO"),Contains($B406,"CD FIC")))),RIGHT(B406,LEN(B406)-3),
IF(D406="Juvenile Biography",RIGHT(B406,LEN(B406)-2),
IF(D406="Teen Biography",RIGHT(B406,LEN(B406)-5),
IF(AND(D406="Audiobook",
              IFERROR(FIND("BIO",$B406)&gt;0,FALSE)),RIGHT(B406,LEN(B406)-3),
IF(D406="Juvenile Large Type","J "&amp;RIGHT(B406,LEN(B406)-11),
IF(D406="Teen Large Type","TEEN "&amp;RIGHT(B406,LEN(B406)-14),
IF(D406="Reference",RIGHT(B406,LEN(B406)-4),
IF(D406="DVD Educational",RIGHT(B406,LEN(B406)-7),
IF(D406="Juvenile DVD Educational",RIGHT(B406,LEN(B406)-9),
B406)))))))))))))))))</f>
        <v/>
      </c>
    </row>
    <row r="407" spans="1:8" ht="27" customHeight="1" x14ac:dyDescent="0.25">
      <c r="A407" s="10" t="str">
        <f ca="1">TEXT( INDIRECT( ADDRESS( ROW() + Row_Offset, INDIRECT( "Column_Number_" &amp; A$1), 4,1, tabname) ), "")</f>
        <v/>
      </c>
      <c r="B407" s="10" t="str">
        <f ca="1">TEXT(  IFERROR( VLOOKUP( $D407, CollName_Simplifier_Table[], 2, FALSE),"") &amp;
        INDIRECT( ADDRESS( ROW() + Row_Offset, INDIRECT( "Column_Number_" &amp; $B$1), 4,1, tabname) ), "")</f>
        <v/>
      </c>
      <c r="C407" s="10" t="str">
        <f ca="1">TEXT( INDIRECT( ADDRESS( ROW() + Row_Offset, INDIRECT( "Column_Number_" &amp; C$1), 4,1, tabname) ), "")</f>
        <v/>
      </c>
      <c r="D407" s="10" t="str">
        <f ca="1">TEXT( INDIRECT( ADDRESS( ROW() + Row_Offset, INDIRECT( "Column_Number_" &amp; D$1), 4,1, tabname) ), "")</f>
        <v/>
      </c>
      <c r="E407" s="10" t="str">
        <f ca="1">TEXT( INDIRECT( ADDRESS( ROW() + Row_Offset, INDIRECT( "Column_Number_" &amp; E$1), 4,1, tabname) ), "####")</f>
        <v/>
      </c>
      <c r="F407" s="15"/>
      <c r="G407" s="21" t="str">
        <f ca="1">IFERROR(INDEX(Rank_Table[],MATCH($D407&amp;$A407,Table4[Join],0)),"")</f>
        <v/>
      </c>
      <c r="H407" s="11" t="str">
        <f ca="1">IF(AND(D407="Juvenile Audiobook",LEFT(B407,8)="J CD BIO"),RIGHT(B407,LEN(B407)-9),
IF(AND(D407="Juvenile Audiobook",LEFT(B407,8)="J CD FIC"),B407,
IF(D407="Juvenile Audiobook",RIGHT(B407,LEN(B407)-5),
IF(AND(D407="Teen Audiobook",LEFT(B407,11)="TEEN CD BIO"),RIGHT(B407,LEN(B407)-12),
IF(AND(D407="Teen Audiobook",LEFT(B407,11)="TEEN CD FIC"),B407,
IF(D407="Juvenile Audiobook",RIGHT(B407,LEN(B407)-8),
IF(D407="Juvenile Nonfiction",RIGHT(B407,LEN(B407)-2),
IF(D407="Teen Nonfiction",RIGHT(B407,LEN(B407)-5),
IF(AND(D407="Audiobook",
              NOT(OR(Contains($B407,"CD BIO"),Contains($B407,"CD FIC")))),RIGHT(B407,LEN(B407)-3),
IF(D407="Juvenile Biography",RIGHT(B407,LEN(B407)-2),
IF(D407="Teen Biography",RIGHT(B407,LEN(B407)-5),
IF(AND(D407="Audiobook",
              IFERROR(FIND("BIO",$B407)&gt;0,FALSE)),RIGHT(B407,LEN(B407)-3),
IF(D407="Juvenile Large Type","J "&amp;RIGHT(B407,LEN(B407)-11),
IF(D407="Teen Large Type","TEEN "&amp;RIGHT(B407,LEN(B407)-14),
IF(D407="Reference",RIGHT(B407,LEN(B407)-4),
IF(D407="DVD Educational",RIGHT(B407,LEN(B407)-7),
IF(D407="Juvenile DVD Educational",RIGHT(B407,LEN(B407)-9),
B407)))))))))))))))))</f>
        <v/>
      </c>
    </row>
    <row r="408" spans="1:8" ht="27" customHeight="1" x14ac:dyDescent="0.25">
      <c r="A408" s="10" t="str">
        <f ca="1">TEXT( INDIRECT( ADDRESS( ROW() + Row_Offset, INDIRECT( "Column_Number_" &amp; A$1), 4,1, tabname) ), "")</f>
        <v/>
      </c>
      <c r="B408" s="10" t="str">
        <f ca="1">TEXT(  IFERROR( VLOOKUP( $D408, CollName_Simplifier_Table[], 2, FALSE),"") &amp;
        INDIRECT( ADDRESS( ROW() + Row_Offset, INDIRECT( "Column_Number_" &amp; $B$1), 4,1, tabname) ), "")</f>
        <v/>
      </c>
      <c r="C408" s="10" t="str">
        <f ca="1">TEXT( INDIRECT( ADDRESS( ROW() + Row_Offset, INDIRECT( "Column_Number_" &amp; C$1), 4,1, tabname) ), "")</f>
        <v/>
      </c>
      <c r="D408" s="10" t="str">
        <f ca="1">TEXT( INDIRECT( ADDRESS( ROW() + Row_Offset, INDIRECT( "Column_Number_" &amp; D$1), 4,1, tabname) ), "")</f>
        <v/>
      </c>
      <c r="E408" s="10" t="str">
        <f ca="1">TEXT( INDIRECT( ADDRESS( ROW() + Row_Offset, INDIRECT( "Column_Number_" &amp; E$1), 4,1, tabname) ), "####")</f>
        <v/>
      </c>
      <c r="F408" s="15"/>
      <c r="G408" s="21" t="str">
        <f ca="1">IFERROR(INDEX(Rank_Table[],MATCH($D408&amp;$A408,Table4[Join],0)),"")</f>
        <v/>
      </c>
      <c r="H408" s="11" t="str">
        <f ca="1">IF(AND(D408="Juvenile Audiobook",LEFT(B408,8)="J CD BIO"),RIGHT(B408,LEN(B408)-9),
IF(AND(D408="Juvenile Audiobook",LEFT(B408,8)="J CD FIC"),B408,
IF(D408="Juvenile Audiobook",RIGHT(B408,LEN(B408)-5),
IF(AND(D408="Teen Audiobook",LEFT(B408,11)="TEEN CD BIO"),RIGHT(B408,LEN(B408)-12),
IF(AND(D408="Teen Audiobook",LEFT(B408,11)="TEEN CD FIC"),B408,
IF(D408="Juvenile Audiobook",RIGHT(B408,LEN(B408)-8),
IF(D408="Juvenile Nonfiction",RIGHT(B408,LEN(B408)-2),
IF(D408="Teen Nonfiction",RIGHT(B408,LEN(B408)-5),
IF(AND(D408="Audiobook",
              NOT(OR(Contains($B408,"CD BIO"),Contains($B408,"CD FIC")))),RIGHT(B408,LEN(B408)-3),
IF(D408="Juvenile Biography",RIGHT(B408,LEN(B408)-2),
IF(D408="Teen Biography",RIGHT(B408,LEN(B408)-5),
IF(AND(D408="Audiobook",
              IFERROR(FIND("BIO",$B408)&gt;0,FALSE)),RIGHT(B408,LEN(B408)-3),
IF(D408="Juvenile Large Type","J "&amp;RIGHT(B408,LEN(B408)-11),
IF(D408="Teen Large Type","TEEN "&amp;RIGHT(B408,LEN(B408)-14),
IF(D408="Reference",RIGHT(B408,LEN(B408)-4),
IF(D408="DVD Educational",RIGHT(B408,LEN(B408)-7),
IF(D408="Juvenile DVD Educational",RIGHT(B408,LEN(B408)-9),
B408)))))))))))))))))</f>
        <v/>
      </c>
    </row>
    <row r="409" spans="1:8" ht="27" customHeight="1" x14ac:dyDescent="0.25">
      <c r="A409" s="10" t="str">
        <f ca="1">TEXT( INDIRECT( ADDRESS( ROW() + Row_Offset, INDIRECT( "Column_Number_" &amp; A$1), 4,1, tabname) ), "")</f>
        <v/>
      </c>
      <c r="B409" s="10" t="str">
        <f ca="1">TEXT(  IFERROR( VLOOKUP( $D409, CollName_Simplifier_Table[], 2, FALSE),"") &amp;
        INDIRECT( ADDRESS( ROW() + Row_Offset, INDIRECT( "Column_Number_" &amp; $B$1), 4,1, tabname) ), "")</f>
        <v/>
      </c>
      <c r="C409" s="10" t="str">
        <f ca="1">TEXT( INDIRECT( ADDRESS( ROW() + Row_Offset, INDIRECT( "Column_Number_" &amp; C$1), 4,1, tabname) ), "")</f>
        <v/>
      </c>
      <c r="D409" s="10" t="str">
        <f ca="1">TEXT( INDIRECT( ADDRESS( ROW() + Row_Offset, INDIRECT( "Column_Number_" &amp; D$1), 4,1, tabname) ), "")</f>
        <v/>
      </c>
      <c r="E409" s="10" t="str">
        <f ca="1">TEXT( INDIRECT( ADDRESS( ROW() + Row_Offset, INDIRECT( "Column_Number_" &amp; E$1), 4,1, tabname) ), "####")</f>
        <v/>
      </c>
      <c r="F409" s="15"/>
      <c r="G409" s="21" t="str">
        <f ca="1">IFERROR(INDEX(Rank_Table[],MATCH($D409&amp;$A409,Table4[Join],0)),"")</f>
        <v/>
      </c>
      <c r="H409" s="11" t="str">
        <f ca="1">IF(AND(D409="Juvenile Audiobook",LEFT(B409,8)="J CD BIO"),RIGHT(B409,LEN(B409)-9),
IF(AND(D409="Juvenile Audiobook",LEFT(B409,8)="J CD FIC"),B409,
IF(D409="Juvenile Audiobook",RIGHT(B409,LEN(B409)-5),
IF(AND(D409="Teen Audiobook",LEFT(B409,11)="TEEN CD BIO"),RIGHT(B409,LEN(B409)-12),
IF(AND(D409="Teen Audiobook",LEFT(B409,11)="TEEN CD FIC"),B409,
IF(D409="Juvenile Audiobook",RIGHT(B409,LEN(B409)-8),
IF(D409="Juvenile Nonfiction",RIGHT(B409,LEN(B409)-2),
IF(D409="Teen Nonfiction",RIGHT(B409,LEN(B409)-5),
IF(AND(D409="Audiobook",
              NOT(OR(Contains($B409,"CD BIO"),Contains($B409,"CD FIC")))),RIGHT(B409,LEN(B409)-3),
IF(D409="Juvenile Biography",RIGHT(B409,LEN(B409)-2),
IF(D409="Teen Biography",RIGHT(B409,LEN(B409)-5),
IF(AND(D409="Audiobook",
              IFERROR(FIND("BIO",$B409)&gt;0,FALSE)),RIGHT(B409,LEN(B409)-3),
IF(D409="Juvenile Large Type","J "&amp;RIGHT(B409,LEN(B409)-11),
IF(D409="Teen Large Type","TEEN "&amp;RIGHT(B409,LEN(B409)-14),
IF(D409="Reference",RIGHT(B409,LEN(B409)-4),
IF(D409="DVD Educational",RIGHT(B409,LEN(B409)-7),
IF(D409="Juvenile DVD Educational",RIGHT(B409,LEN(B409)-9),
B409)))))))))))))))))</f>
        <v/>
      </c>
    </row>
    <row r="410" spans="1:8" ht="27" customHeight="1" x14ac:dyDescent="0.25">
      <c r="A410" s="10" t="str">
        <f ca="1">TEXT( INDIRECT( ADDRESS( ROW() + Row_Offset, INDIRECT( "Column_Number_" &amp; A$1), 4,1, tabname) ), "")</f>
        <v/>
      </c>
      <c r="B410" s="10" t="str">
        <f ca="1">TEXT(  IFERROR( VLOOKUP( $D410, CollName_Simplifier_Table[], 2, FALSE),"") &amp;
        INDIRECT( ADDRESS( ROW() + Row_Offset, INDIRECT( "Column_Number_" &amp; $B$1), 4,1, tabname) ), "")</f>
        <v/>
      </c>
      <c r="C410" s="10" t="str">
        <f ca="1">TEXT( INDIRECT( ADDRESS( ROW() + Row_Offset, INDIRECT( "Column_Number_" &amp; C$1), 4,1, tabname) ), "")</f>
        <v/>
      </c>
      <c r="D410" s="10" t="str">
        <f ca="1">TEXT( INDIRECT( ADDRESS( ROW() + Row_Offset, INDIRECT( "Column_Number_" &amp; D$1), 4,1, tabname) ), "")</f>
        <v/>
      </c>
      <c r="E410" s="10" t="str">
        <f ca="1">TEXT( INDIRECT( ADDRESS( ROW() + Row_Offset, INDIRECT( "Column_Number_" &amp; E$1), 4,1, tabname) ), "####")</f>
        <v/>
      </c>
      <c r="F410" s="15"/>
      <c r="G410" s="21" t="str">
        <f ca="1">IFERROR(INDEX(Rank_Table[],MATCH($D410&amp;$A410,Table4[Join],0)),"")</f>
        <v/>
      </c>
      <c r="H410" s="11" t="str">
        <f ca="1">IF(AND(D410="Juvenile Audiobook",LEFT(B410,8)="J CD BIO"),RIGHT(B410,LEN(B410)-9),
IF(AND(D410="Juvenile Audiobook",LEFT(B410,8)="J CD FIC"),B410,
IF(D410="Juvenile Audiobook",RIGHT(B410,LEN(B410)-5),
IF(AND(D410="Teen Audiobook",LEFT(B410,11)="TEEN CD BIO"),RIGHT(B410,LEN(B410)-12),
IF(AND(D410="Teen Audiobook",LEFT(B410,11)="TEEN CD FIC"),B410,
IF(D410="Juvenile Audiobook",RIGHT(B410,LEN(B410)-8),
IF(D410="Juvenile Nonfiction",RIGHT(B410,LEN(B410)-2),
IF(D410="Teen Nonfiction",RIGHT(B410,LEN(B410)-5),
IF(AND(D410="Audiobook",
              NOT(OR(Contains($B410,"CD BIO"),Contains($B410,"CD FIC")))),RIGHT(B410,LEN(B410)-3),
IF(D410="Juvenile Biography",RIGHT(B410,LEN(B410)-2),
IF(D410="Teen Biography",RIGHT(B410,LEN(B410)-5),
IF(AND(D410="Audiobook",
              IFERROR(FIND("BIO",$B410)&gt;0,FALSE)),RIGHT(B410,LEN(B410)-3),
IF(D410="Juvenile Large Type","J "&amp;RIGHT(B410,LEN(B410)-11),
IF(D410="Teen Large Type","TEEN "&amp;RIGHT(B410,LEN(B410)-14),
IF(D410="Reference",RIGHT(B410,LEN(B410)-4),
IF(D410="DVD Educational",RIGHT(B410,LEN(B410)-7),
IF(D410="Juvenile DVD Educational",RIGHT(B410,LEN(B410)-9),
B410)))))))))))))))))</f>
        <v/>
      </c>
    </row>
    <row r="411" spans="1:8" ht="27" customHeight="1" x14ac:dyDescent="0.25">
      <c r="A411" s="10" t="str">
        <f ca="1">TEXT( INDIRECT( ADDRESS( ROW() + Row_Offset, INDIRECT( "Column_Number_" &amp; A$1), 4,1, tabname) ), "")</f>
        <v/>
      </c>
      <c r="B411" s="10" t="str">
        <f ca="1">TEXT(  IFERROR( VLOOKUP( $D411, CollName_Simplifier_Table[], 2, FALSE),"") &amp;
        INDIRECT( ADDRESS( ROW() + Row_Offset, INDIRECT( "Column_Number_" &amp; $B$1), 4,1, tabname) ), "")</f>
        <v/>
      </c>
      <c r="C411" s="10" t="str">
        <f ca="1">TEXT( INDIRECT( ADDRESS( ROW() + Row_Offset, INDIRECT( "Column_Number_" &amp; C$1), 4,1, tabname) ), "")</f>
        <v/>
      </c>
      <c r="D411" s="10" t="str">
        <f ca="1">TEXT( INDIRECT( ADDRESS( ROW() + Row_Offset, INDIRECT( "Column_Number_" &amp; D$1), 4,1, tabname) ), "")</f>
        <v/>
      </c>
      <c r="E411" s="10" t="str">
        <f ca="1">TEXT( INDIRECT( ADDRESS( ROW() + Row_Offset, INDIRECT( "Column_Number_" &amp; E$1), 4,1, tabname) ), "####")</f>
        <v/>
      </c>
      <c r="F411" s="15"/>
      <c r="G411" s="21" t="str">
        <f ca="1">IFERROR(INDEX(Rank_Table[],MATCH($D411&amp;$A411,Table4[Join],0)),"")</f>
        <v/>
      </c>
      <c r="H411" s="11" t="str">
        <f ca="1">IF(AND(D411="Juvenile Audiobook",LEFT(B411,8)="J CD BIO"),RIGHT(B411,LEN(B411)-9),
IF(AND(D411="Juvenile Audiobook",LEFT(B411,8)="J CD FIC"),B411,
IF(D411="Juvenile Audiobook",RIGHT(B411,LEN(B411)-5),
IF(AND(D411="Teen Audiobook",LEFT(B411,11)="TEEN CD BIO"),RIGHT(B411,LEN(B411)-12),
IF(AND(D411="Teen Audiobook",LEFT(B411,11)="TEEN CD FIC"),B411,
IF(D411="Juvenile Audiobook",RIGHT(B411,LEN(B411)-8),
IF(D411="Juvenile Nonfiction",RIGHT(B411,LEN(B411)-2),
IF(D411="Teen Nonfiction",RIGHT(B411,LEN(B411)-5),
IF(AND(D411="Audiobook",
              NOT(OR(Contains($B411,"CD BIO"),Contains($B411,"CD FIC")))),RIGHT(B411,LEN(B411)-3),
IF(D411="Juvenile Biography",RIGHT(B411,LEN(B411)-2),
IF(D411="Teen Biography",RIGHT(B411,LEN(B411)-5),
IF(AND(D411="Audiobook",
              IFERROR(FIND("BIO",$B411)&gt;0,FALSE)),RIGHT(B411,LEN(B411)-3),
IF(D411="Juvenile Large Type","J "&amp;RIGHT(B411,LEN(B411)-11),
IF(D411="Teen Large Type","TEEN "&amp;RIGHT(B411,LEN(B411)-14),
IF(D411="Reference",RIGHT(B411,LEN(B411)-4),
IF(D411="DVD Educational",RIGHT(B411,LEN(B411)-7),
IF(D411="Juvenile DVD Educational",RIGHT(B411,LEN(B411)-9),
B411)))))))))))))))))</f>
        <v/>
      </c>
    </row>
    <row r="412" spans="1:8" ht="27" customHeight="1" x14ac:dyDescent="0.25">
      <c r="A412" s="10" t="str">
        <f ca="1">TEXT( INDIRECT( ADDRESS( ROW() + Row_Offset, INDIRECT( "Column_Number_" &amp; A$1), 4,1, tabname) ), "")</f>
        <v/>
      </c>
      <c r="B412" s="10" t="str">
        <f ca="1">TEXT(  IFERROR( VLOOKUP( $D412, CollName_Simplifier_Table[], 2, FALSE),"") &amp;
        INDIRECT( ADDRESS( ROW() + Row_Offset, INDIRECT( "Column_Number_" &amp; $B$1), 4,1, tabname) ), "")</f>
        <v/>
      </c>
      <c r="C412" s="10" t="str">
        <f ca="1">TEXT( INDIRECT( ADDRESS( ROW() + Row_Offset, INDIRECT( "Column_Number_" &amp; C$1), 4,1, tabname) ), "")</f>
        <v/>
      </c>
      <c r="D412" s="10" t="str">
        <f ca="1">TEXT( INDIRECT( ADDRESS( ROW() + Row_Offset, INDIRECT( "Column_Number_" &amp; D$1), 4,1, tabname) ), "")</f>
        <v/>
      </c>
      <c r="E412" s="10" t="str">
        <f ca="1">TEXT( INDIRECT( ADDRESS( ROW() + Row_Offset, INDIRECT( "Column_Number_" &amp; E$1), 4,1, tabname) ), "####")</f>
        <v/>
      </c>
      <c r="F412" s="15"/>
      <c r="G412" s="21" t="str">
        <f ca="1">IFERROR(INDEX(Rank_Table[],MATCH($D412&amp;$A412,Table4[Join],0)),"")</f>
        <v/>
      </c>
      <c r="H412" s="11" t="str">
        <f ca="1">IF(AND(D412="Juvenile Audiobook",LEFT(B412,8)="J CD BIO"),RIGHT(B412,LEN(B412)-9),
IF(AND(D412="Juvenile Audiobook",LEFT(B412,8)="J CD FIC"),B412,
IF(D412="Juvenile Audiobook",RIGHT(B412,LEN(B412)-5),
IF(AND(D412="Teen Audiobook",LEFT(B412,11)="TEEN CD BIO"),RIGHT(B412,LEN(B412)-12),
IF(AND(D412="Teen Audiobook",LEFT(B412,11)="TEEN CD FIC"),B412,
IF(D412="Juvenile Audiobook",RIGHT(B412,LEN(B412)-8),
IF(D412="Juvenile Nonfiction",RIGHT(B412,LEN(B412)-2),
IF(D412="Teen Nonfiction",RIGHT(B412,LEN(B412)-5),
IF(AND(D412="Audiobook",
              NOT(OR(Contains($B412,"CD BIO"),Contains($B412,"CD FIC")))),RIGHT(B412,LEN(B412)-3),
IF(D412="Juvenile Biography",RIGHT(B412,LEN(B412)-2),
IF(D412="Teen Biography",RIGHT(B412,LEN(B412)-5),
IF(AND(D412="Audiobook",
              IFERROR(FIND("BIO",$B412)&gt;0,FALSE)),RIGHT(B412,LEN(B412)-3),
IF(D412="Juvenile Large Type","J "&amp;RIGHT(B412,LEN(B412)-11),
IF(D412="Teen Large Type","TEEN "&amp;RIGHT(B412,LEN(B412)-14),
IF(D412="Reference",RIGHT(B412,LEN(B412)-4),
IF(D412="DVD Educational",RIGHT(B412,LEN(B412)-7),
IF(D412="Juvenile DVD Educational",RIGHT(B412,LEN(B412)-9),
B412)))))))))))))))))</f>
        <v/>
      </c>
    </row>
    <row r="413" spans="1:8" ht="27" customHeight="1" x14ac:dyDescent="0.25">
      <c r="A413" s="10" t="str">
        <f ca="1">TEXT( INDIRECT( ADDRESS( ROW() + Row_Offset, INDIRECT( "Column_Number_" &amp; A$1), 4,1, tabname) ), "")</f>
        <v/>
      </c>
      <c r="B413" s="10" t="str">
        <f ca="1">TEXT(  IFERROR( VLOOKUP( $D413, CollName_Simplifier_Table[], 2, FALSE),"") &amp;
        INDIRECT( ADDRESS( ROW() + Row_Offset, INDIRECT( "Column_Number_" &amp; $B$1), 4,1, tabname) ), "")</f>
        <v/>
      </c>
      <c r="C413" s="10" t="str">
        <f ca="1">TEXT( INDIRECT( ADDRESS( ROW() + Row_Offset, INDIRECT( "Column_Number_" &amp; C$1), 4,1, tabname) ), "")</f>
        <v/>
      </c>
      <c r="D413" s="10" t="str">
        <f ca="1">TEXT( INDIRECT( ADDRESS( ROW() + Row_Offset, INDIRECT( "Column_Number_" &amp; D$1), 4,1, tabname) ), "")</f>
        <v/>
      </c>
      <c r="E413" s="10" t="str">
        <f ca="1">TEXT( INDIRECT( ADDRESS( ROW() + Row_Offset, INDIRECT( "Column_Number_" &amp; E$1), 4,1, tabname) ), "####")</f>
        <v/>
      </c>
      <c r="F413" s="15"/>
      <c r="G413" s="21" t="str">
        <f ca="1">IFERROR(INDEX(Rank_Table[],MATCH($D413&amp;$A413,Table4[Join],0)),"")</f>
        <v/>
      </c>
      <c r="H413" s="11" t="str">
        <f ca="1">IF(AND(D413="Juvenile Audiobook",LEFT(B413,8)="J CD BIO"),RIGHT(B413,LEN(B413)-9),
IF(AND(D413="Juvenile Audiobook",LEFT(B413,8)="J CD FIC"),B413,
IF(D413="Juvenile Audiobook",RIGHT(B413,LEN(B413)-5),
IF(AND(D413="Teen Audiobook",LEFT(B413,11)="TEEN CD BIO"),RIGHT(B413,LEN(B413)-12),
IF(AND(D413="Teen Audiobook",LEFT(B413,11)="TEEN CD FIC"),B413,
IF(D413="Juvenile Audiobook",RIGHT(B413,LEN(B413)-8),
IF(D413="Juvenile Nonfiction",RIGHT(B413,LEN(B413)-2),
IF(D413="Teen Nonfiction",RIGHT(B413,LEN(B413)-5),
IF(AND(D413="Audiobook",
              NOT(OR(Contains($B413,"CD BIO"),Contains($B413,"CD FIC")))),RIGHT(B413,LEN(B413)-3),
IF(D413="Juvenile Biography",RIGHT(B413,LEN(B413)-2),
IF(D413="Teen Biography",RIGHT(B413,LEN(B413)-5),
IF(AND(D413="Audiobook",
              IFERROR(FIND("BIO",$B413)&gt;0,FALSE)),RIGHT(B413,LEN(B413)-3),
IF(D413="Juvenile Large Type","J "&amp;RIGHT(B413,LEN(B413)-11),
IF(D413="Teen Large Type","TEEN "&amp;RIGHT(B413,LEN(B413)-14),
IF(D413="Reference",RIGHT(B413,LEN(B413)-4),
IF(D413="DVD Educational",RIGHT(B413,LEN(B413)-7),
IF(D413="Juvenile DVD Educational",RIGHT(B413,LEN(B413)-9),
B413)))))))))))))))))</f>
        <v/>
      </c>
    </row>
    <row r="414" spans="1:8" ht="27" customHeight="1" x14ac:dyDescent="0.25">
      <c r="A414" s="10" t="str">
        <f ca="1">TEXT( INDIRECT( ADDRESS( ROW() + Row_Offset, INDIRECT( "Column_Number_" &amp; A$1), 4,1, tabname) ), "")</f>
        <v/>
      </c>
      <c r="B414" s="10" t="str">
        <f ca="1">TEXT(  IFERROR( VLOOKUP( $D414, CollName_Simplifier_Table[], 2, FALSE),"") &amp;
        INDIRECT( ADDRESS( ROW() + Row_Offset, INDIRECT( "Column_Number_" &amp; $B$1), 4,1, tabname) ), "")</f>
        <v/>
      </c>
      <c r="C414" s="10" t="str">
        <f ca="1">TEXT( INDIRECT( ADDRESS( ROW() + Row_Offset, INDIRECT( "Column_Number_" &amp; C$1), 4,1, tabname) ), "")</f>
        <v/>
      </c>
      <c r="D414" s="10" t="str">
        <f ca="1">TEXT( INDIRECT( ADDRESS( ROW() + Row_Offset, INDIRECT( "Column_Number_" &amp; D$1), 4,1, tabname) ), "")</f>
        <v/>
      </c>
      <c r="E414" s="10" t="str">
        <f ca="1">TEXT( INDIRECT( ADDRESS( ROW() + Row_Offset, INDIRECT( "Column_Number_" &amp; E$1), 4,1, tabname) ), "####")</f>
        <v/>
      </c>
      <c r="F414" s="15"/>
      <c r="G414" s="21" t="str">
        <f ca="1">IFERROR(INDEX(Rank_Table[],MATCH($D414&amp;$A414,Table4[Join],0)),"")</f>
        <v/>
      </c>
      <c r="H414" s="11" t="str">
        <f ca="1">IF(AND(D414="Juvenile Audiobook",LEFT(B414,8)="J CD BIO"),RIGHT(B414,LEN(B414)-9),
IF(AND(D414="Juvenile Audiobook",LEFT(B414,8)="J CD FIC"),B414,
IF(D414="Juvenile Audiobook",RIGHT(B414,LEN(B414)-5),
IF(AND(D414="Teen Audiobook",LEFT(B414,11)="TEEN CD BIO"),RIGHT(B414,LEN(B414)-12),
IF(AND(D414="Teen Audiobook",LEFT(B414,11)="TEEN CD FIC"),B414,
IF(D414="Juvenile Audiobook",RIGHT(B414,LEN(B414)-8),
IF(D414="Juvenile Nonfiction",RIGHT(B414,LEN(B414)-2),
IF(D414="Teen Nonfiction",RIGHT(B414,LEN(B414)-5),
IF(AND(D414="Audiobook",
              NOT(OR(Contains($B414,"CD BIO"),Contains($B414,"CD FIC")))),RIGHT(B414,LEN(B414)-3),
IF(D414="Juvenile Biography",RIGHT(B414,LEN(B414)-2),
IF(D414="Teen Biography",RIGHT(B414,LEN(B414)-5),
IF(AND(D414="Audiobook",
              IFERROR(FIND("BIO",$B414)&gt;0,FALSE)),RIGHT(B414,LEN(B414)-3),
IF(D414="Juvenile Large Type","J "&amp;RIGHT(B414,LEN(B414)-11),
IF(D414="Teen Large Type","TEEN "&amp;RIGHT(B414,LEN(B414)-14),
IF(D414="Reference",RIGHT(B414,LEN(B414)-4),
IF(D414="DVD Educational",RIGHT(B414,LEN(B414)-7),
IF(D414="Juvenile DVD Educational",RIGHT(B414,LEN(B414)-9),
B414)))))))))))))))))</f>
        <v/>
      </c>
    </row>
    <row r="415" spans="1:8" ht="27" customHeight="1" x14ac:dyDescent="0.25">
      <c r="A415" s="10" t="str">
        <f ca="1">TEXT( INDIRECT( ADDRESS( ROW() + Row_Offset, INDIRECT( "Column_Number_" &amp; A$1), 4,1, tabname) ), "")</f>
        <v/>
      </c>
      <c r="B415" s="10" t="str">
        <f ca="1">TEXT(  IFERROR( VLOOKUP( $D415, CollName_Simplifier_Table[], 2, FALSE),"") &amp;
        INDIRECT( ADDRESS( ROW() + Row_Offset, INDIRECT( "Column_Number_" &amp; $B$1), 4,1, tabname) ), "")</f>
        <v/>
      </c>
      <c r="C415" s="10" t="str">
        <f ca="1">TEXT( INDIRECT( ADDRESS( ROW() + Row_Offset, INDIRECT( "Column_Number_" &amp; C$1), 4,1, tabname) ), "")</f>
        <v/>
      </c>
      <c r="D415" s="10" t="str">
        <f ca="1">TEXT( INDIRECT( ADDRESS( ROW() + Row_Offset, INDIRECT( "Column_Number_" &amp; D$1), 4,1, tabname) ), "")</f>
        <v/>
      </c>
      <c r="E415" s="10" t="str">
        <f ca="1">TEXT( INDIRECT( ADDRESS( ROW() + Row_Offset, INDIRECT( "Column_Number_" &amp; E$1), 4,1, tabname) ), "####")</f>
        <v/>
      </c>
      <c r="F415" s="15"/>
      <c r="G415" s="21" t="str">
        <f ca="1">IFERROR(INDEX(Rank_Table[],MATCH($D415&amp;$A415,Table4[Join],0)),"")</f>
        <v/>
      </c>
      <c r="H415" s="11" t="str">
        <f ca="1">IF(AND(D415="Juvenile Audiobook",LEFT(B415,8)="J CD BIO"),RIGHT(B415,LEN(B415)-9),
IF(AND(D415="Juvenile Audiobook",LEFT(B415,8)="J CD FIC"),B415,
IF(D415="Juvenile Audiobook",RIGHT(B415,LEN(B415)-5),
IF(AND(D415="Teen Audiobook",LEFT(B415,11)="TEEN CD BIO"),RIGHT(B415,LEN(B415)-12),
IF(AND(D415="Teen Audiobook",LEFT(B415,11)="TEEN CD FIC"),B415,
IF(D415="Juvenile Audiobook",RIGHT(B415,LEN(B415)-8),
IF(D415="Juvenile Nonfiction",RIGHT(B415,LEN(B415)-2),
IF(D415="Teen Nonfiction",RIGHT(B415,LEN(B415)-5),
IF(AND(D415="Audiobook",
              NOT(OR(Contains($B415,"CD BIO"),Contains($B415,"CD FIC")))),RIGHT(B415,LEN(B415)-3),
IF(D415="Juvenile Biography",RIGHT(B415,LEN(B415)-2),
IF(D415="Teen Biography",RIGHT(B415,LEN(B415)-5),
IF(AND(D415="Audiobook",
              IFERROR(FIND("BIO",$B415)&gt;0,FALSE)),RIGHT(B415,LEN(B415)-3),
IF(D415="Juvenile Large Type","J "&amp;RIGHT(B415,LEN(B415)-11),
IF(D415="Teen Large Type","TEEN "&amp;RIGHT(B415,LEN(B415)-14),
IF(D415="Reference",RIGHT(B415,LEN(B415)-4),
IF(D415="DVD Educational",RIGHT(B415,LEN(B415)-7),
IF(D415="Juvenile DVD Educational",RIGHT(B415,LEN(B415)-9),
B415)))))))))))))))))</f>
        <v/>
      </c>
    </row>
    <row r="416" spans="1:8" ht="27" customHeight="1" x14ac:dyDescent="0.25">
      <c r="A416" s="10" t="str">
        <f ca="1">TEXT( INDIRECT( ADDRESS( ROW() + Row_Offset, INDIRECT( "Column_Number_" &amp; A$1), 4,1, tabname) ), "")</f>
        <v/>
      </c>
      <c r="B416" s="10" t="str">
        <f ca="1">TEXT(  IFERROR( VLOOKUP( $D416, CollName_Simplifier_Table[], 2, FALSE),"") &amp;
        INDIRECT( ADDRESS( ROW() + Row_Offset, INDIRECT( "Column_Number_" &amp; $B$1), 4,1, tabname) ), "")</f>
        <v/>
      </c>
      <c r="C416" s="10" t="str">
        <f ca="1">TEXT( INDIRECT( ADDRESS( ROW() + Row_Offset, INDIRECT( "Column_Number_" &amp; C$1), 4,1, tabname) ), "")</f>
        <v/>
      </c>
      <c r="D416" s="10" t="str">
        <f ca="1">TEXT( INDIRECT( ADDRESS( ROW() + Row_Offset, INDIRECT( "Column_Number_" &amp; D$1), 4,1, tabname) ), "")</f>
        <v/>
      </c>
      <c r="E416" s="10" t="str">
        <f ca="1">TEXT( INDIRECT( ADDRESS( ROW() + Row_Offset, INDIRECT( "Column_Number_" &amp; E$1), 4,1, tabname) ), "####")</f>
        <v/>
      </c>
      <c r="F416" s="15"/>
      <c r="G416" s="21" t="str">
        <f ca="1">IFERROR(INDEX(Rank_Table[],MATCH($D416&amp;$A416,Table4[Join],0)),"")</f>
        <v/>
      </c>
      <c r="H416" s="11" t="str">
        <f ca="1">IF(AND(D416="Juvenile Audiobook",LEFT(B416,8)="J CD BIO"),RIGHT(B416,LEN(B416)-9),
IF(AND(D416="Juvenile Audiobook",LEFT(B416,8)="J CD FIC"),B416,
IF(D416="Juvenile Audiobook",RIGHT(B416,LEN(B416)-5),
IF(AND(D416="Teen Audiobook",LEFT(B416,11)="TEEN CD BIO"),RIGHT(B416,LEN(B416)-12),
IF(AND(D416="Teen Audiobook",LEFT(B416,11)="TEEN CD FIC"),B416,
IF(D416="Juvenile Audiobook",RIGHT(B416,LEN(B416)-8),
IF(D416="Juvenile Nonfiction",RIGHT(B416,LEN(B416)-2),
IF(D416="Teen Nonfiction",RIGHT(B416,LEN(B416)-5),
IF(AND(D416="Audiobook",
              NOT(OR(Contains($B416,"CD BIO"),Contains($B416,"CD FIC")))),RIGHT(B416,LEN(B416)-3),
IF(D416="Juvenile Biography",RIGHT(B416,LEN(B416)-2),
IF(D416="Teen Biography",RIGHT(B416,LEN(B416)-5),
IF(AND(D416="Audiobook",
              IFERROR(FIND("BIO",$B416)&gt;0,FALSE)),RIGHT(B416,LEN(B416)-3),
IF(D416="Juvenile Large Type","J "&amp;RIGHT(B416,LEN(B416)-11),
IF(D416="Teen Large Type","TEEN "&amp;RIGHT(B416,LEN(B416)-14),
IF(D416="Reference",RIGHT(B416,LEN(B416)-4),
IF(D416="DVD Educational",RIGHT(B416,LEN(B416)-7),
IF(D416="Juvenile DVD Educational",RIGHT(B416,LEN(B416)-9),
B416)))))))))))))))))</f>
        <v/>
      </c>
    </row>
    <row r="417" spans="1:8" ht="27" customHeight="1" x14ac:dyDescent="0.25">
      <c r="A417" s="10" t="str">
        <f ca="1">TEXT( INDIRECT( ADDRESS( ROW() + Row_Offset, INDIRECT( "Column_Number_" &amp; A$1), 4,1, tabname) ), "")</f>
        <v/>
      </c>
      <c r="B417" s="10" t="str">
        <f ca="1">TEXT(  IFERROR( VLOOKUP( $D417, CollName_Simplifier_Table[], 2, FALSE),"") &amp;
        INDIRECT( ADDRESS( ROW() + Row_Offset, INDIRECT( "Column_Number_" &amp; $B$1), 4,1, tabname) ), "")</f>
        <v/>
      </c>
      <c r="C417" s="10" t="str">
        <f ca="1">TEXT( INDIRECT( ADDRESS( ROW() + Row_Offset, INDIRECT( "Column_Number_" &amp; C$1), 4,1, tabname) ), "")</f>
        <v/>
      </c>
      <c r="D417" s="10" t="str">
        <f ca="1">TEXT( INDIRECT( ADDRESS( ROW() + Row_Offset, INDIRECT( "Column_Number_" &amp; D$1), 4,1, tabname) ), "")</f>
        <v/>
      </c>
      <c r="E417" s="10" t="str">
        <f ca="1">TEXT( INDIRECT( ADDRESS( ROW() + Row_Offset, INDIRECT( "Column_Number_" &amp; E$1), 4,1, tabname) ), "####")</f>
        <v/>
      </c>
      <c r="F417" s="15"/>
      <c r="G417" s="21" t="str">
        <f ca="1">IFERROR(INDEX(Rank_Table[],MATCH($D417&amp;$A417,Table4[Join],0)),"")</f>
        <v/>
      </c>
      <c r="H417" s="11" t="str">
        <f ca="1">IF(AND(D417="Juvenile Audiobook",LEFT(B417,8)="J CD BIO"),RIGHT(B417,LEN(B417)-9),
IF(AND(D417="Juvenile Audiobook",LEFT(B417,8)="J CD FIC"),B417,
IF(D417="Juvenile Audiobook",RIGHT(B417,LEN(B417)-5),
IF(AND(D417="Teen Audiobook",LEFT(B417,11)="TEEN CD BIO"),RIGHT(B417,LEN(B417)-12),
IF(AND(D417="Teen Audiobook",LEFT(B417,11)="TEEN CD FIC"),B417,
IF(D417="Juvenile Audiobook",RIGHT(B417,LEN(B417)-8),
IF(D417="Juvenile Nonfiction",RIGHT(B417,LEN(B417)-2),
IF(D417="Teen Nonfiction",RIGHT(B417,LEN(B417)-5),
IF(AND(D417="Audiobook",
              NOT(OR(Contains($B417,"CD BIO"),Contains($B417,"CD FIC")))),RIGHT(B417,LEN(B417)-3),
IF(D417="Juvenile Biography",RIGHT(B417,LEN(B417)-2),
IF(D417="Teen Biography",RIGHT(B417,LEN(B417)-5),
IF(AND(D417="Audiobook",
              IFERROR(FIND("BIO",$B417)&gt;0,FALSE)),RIGHT(B417,LEN(B417)-3),
IF(D417="Juvenile Large Type","J "&amp;RIGHT(B417,LEN(B417)-11),
IF(D417="Teen Large Type","TEEN "&amp;RIGHT(B417,LEN(B417)-14),
IF(D417="Reference",RIGHT(B417,LEN(B417)-4),
IF(D417="DVD Educational",RIGHT(B417,LEN(B417)-7),
IF(D417="Juvenile DVD Educational",RIGHT(B417,LEN(B417)-9),
B417)))))))))))))))))</f>
        <v/>
      </c>
    </row>
    <row r="418" spans="1:8" ht="27" customHeight="1" x14ac:dyDescent="0.25">
      <c r="A418" s="10" t="str">
        <f ca="1">TEXT( INDIRECT( ADDRESS( ROW() + Row_Offset, INDIRECT( "Column_Number_" &amp; A$1), 4,1, tabname) ), "")</f>
        <v/>
      </c>
      <c r="B418" s="10" t="str">
        <f ca="1">TEXT(  IFERROR( VLOOKUP( $D418, CollName_Simplifier_Table[], 2, FALSE),"") &amp;
        INDIRECT( ADDRESS( ROW() + Row_Offset, INDIRECT( "Column_Number_" &amp; $B$1), 4,1, tabname) ), "")</f>
        <v/>
      </c>
      <c r="C418" s="10" t="str">
        <f ca="1">TEXT( INDIRECT( ADDRESS( ROW() + Row_Offset, INDIRECT( "Column_Number_" &amp; C$1), 4,1, tabname) ), "")</f>
        <v/>
      </c>
      <c r="D418" s="10" t="str">
        <f ca="1">TEXT( INDIRECT( ADDRESS( ROW() + Row_Offset, INDIRECT( "Column_Number_" &amp; D$1), 4,1, tabname) ), "")</f>
        <v/>
      </c>
      <c r="E418" s="10" t="str">
        <f ca="1">TEXT( INDIRECT( ADDRESS( ROW() + Row_Offset, INDIRECT( "Column_Number_" &amp; E$1), 4,1, tabname) ), "####")</f>
        <v/>
      </c>
      <c r="F418" s="15"/>
      <c r="G418" s="21" t="str">
        <f ca="1">IFERROR(INDEX(Rank_Table[],MATCH($D418&amp;$A418,Table4[Join],0)),"")</f>
        <v/>
      </c>
      <c r="H418" s="11" t="str">
        <f ca="1">IF(AND(D418="Juvenile Audiobook",LEFT(B418,8)="J CD BIO"),RIGHT(B418,LEN(B418)-9),
IF(AND(D418="Juvenile Audiobook",LEFT(B418,8)="J CD FIC"),B418,
IF(D418="Juvenile Audiobook",RIGHT(B418,LEN(B418)-5),
IF(AND(D418="Teen Audiobook",LEFT(B418,11)="TEEN CD BIO"),RIGHT(B418,LEN(B418)-12),
IF(AND(D418="Teen Audiobook",LEFT(B418,11)="TEEN CD FIC"),B418,
IF(D418="Juvenile Audiobook",RIGHT(B418,LEN(B418)-8),
IF(D418="Juvenile Nonfiction",RIGHT(B418,LEN(B418)-2),
IF(D418="Teen Nonfiction",RIGHT(B418,LEN(B418)-5),
IF(AND(D418="Audiobook",
              NOT(OR(Contains($B418,"CD BIO"),Contains($B418,"CD FIC")))),RIGHT(B418,LEN(B418)-3),
IF(D418="Juvenile Biography",RIGHT(B418,LEN(B418)-2),
IF(D418="Teen Biography",RIGHT(B418,LEN(B418)-5),
IF(AND(D418="Audiobook",
              IFERROR(FIND("BIO",$B418)&gt;0,FALSE)),RIGHT(B418,LEN(B418)-3),
IF(D418="Juvenile Large Type","J "&amp;RIGHT(B418,LEN(B418)-11),
IF(D418="Teen Large Type","TEEN "&amp;RIGHT(B418,LEN(B418)-14),
IF(D418="Reference",RIGHT(B418,LEN(B418)-4),
IF(D418="DVD Educational",RIGHT(B418,LEN(B418)-7),
IF(D418="Juvenile DVD Educational",RIGHT(B418,LEN(B418)-9),
B418)))))))))))))))))</f>
        <v/>
      </c>
    </row>
    <row r="419" spans="1:8" ht="27" customHeight="1" x14ac:dyDescent="0.25">
      <c r="A419" s="10" t="str">
        <f ca="1">TEXT( INDIRECT( ADDRESS( ROW() + Row_Offset, INDIRECT( "Column_Number_" &amp; A$1), 4,1, tabname) ), "")</f>
        <v/>
      </c>
      <c r="B419" s="10" t="str">
        <f ca="1">TEXT(  IFERROR( VLOOKUP( $D419, CollName_Simplifier_Table[], 2, FALSE),"") &amp;
        INDIRECT( ADDRESS( ROW() + Row_Offset, INDIRECT( "Column_Number_" &amp; $B$1), 4,1, tabname) ), "")</f>
        <v/>
      </c>
      <c r="C419" s="10" t="str">
        <f ca="1">TEXT( INDIRECT( ADDRESS( ROW() + Row_Offset, INDIRECT( "Column_Number_" &amp; C$1), 4,1, tabname) ), "")</f>
        <v/>
      </c>
      <c r="D419" s="10" t="str">
        <f ca="1">TEXT( INDIRECT( ADDRESS( ROW() + Row_Offset, INDIRECT( "Column_Number_" &amp; D$1), 4,1, tabname) ), "")</f>
        <v/>
      </c>
      <c r="E419" s="10" t="str">
        <f ca="1">TEXT( INDIRECT( ADDRESS( ROW() + Row_Offset, INDIRECT( "Column_Number_" &amp; E$1), 4,1, tabname) ), "####")</f>
        <v/>
      </c>
      <c r="F419" s="15"/>
      <c r="G419" s="21" t="str">
        <f ca="1">IFERROR(INDEX(Rank_Table[],MATCH($D419&amp;$A419,Table4[Join],0)),"")</f>
        <v/>
      </c>
      <c r="H419" s="11" t="str">
        <f ca="1">IF(AND(D419="Juvenile Audiobook",LEFT(B419,8)="J CD BIO"),RIGHT(B419,LEN(B419)-9),
IF(AND(D419="Juvenile Audiobook",LEFT(B419,8)="J CD FIC"),B419,
IF(D419="Juvenile Audiobook",RIGHT(B419,LEN(B419)-5),
IF(AND(D419="Teen Audiobook",LEFT(B419,11)="TEEN CD BIO"),RIGHT(B419,LEN(B419)-12),
IF(AND(D419="Teen Audiobook",LEFT(B419,11)="TEEN CD FIC"),B419,
IF(D419="Juvenile Audiobook",RIGHT(B419,LEN(B419)-8),
IF(D419="Juvenile Nonfiction",RIGHT(B419,LEN(B419)-2),
IF(D419="Teen Nonfiction",RIGHT(B419,LEN(B419)-5),
IF(AND(D419="Audiobook",
              NOT(OR(Contains($B419,"CD BIO"),Contains($B419,"CD FIC")))),RIGHT(B419,LEN(B419)-3),
IF(D419="Juvenile Biography",RIGHT(B419,LEN(B419)-2),
IF(D419="Teen Biography",RIGHT(B419,LEN(B419)-5),
IF(AND(D419="Audiobook",
              IFERROR(FIND("BIO",$B419)&gt;0,FALSE)),RIGHT(B419,LEN(B419)-3),
IF(D419="Juvenile Large Type","J "&amp;RIGHT(B419,LEN(B419)-11),
IF(D419="Teen Large Type","TEEN "&amp;RIGHT(B419,LEN(B419)-14),
IF(D419="Reference",RIGHT(B419,LEN(B419)-4),
IF(D419="DVD Educational",RIGHT(B419,LEN(B419)-7),
IF(D419="Juvenile DVD Educational",RIGHT(B419,LEN(B419)-9),
B419)))))))))))))))))</f>
        <v/>
      </c>
    </row>
    <row r="420" spans="1:8" ht="27" customHeight="1" x14ac:dyDescent="0.25">
      <c r="A420" s="10" t="str">
        <f ca="1">TEXT( INDIRECT( ADDRESS( ROW() + Row_Offset, INDIRECT( "Column_Number_" &amp; A$1), 4,1, tabname) ), "")</f>
        <v/>
      </c>
      <c r="B420" s="10" t="str">
        <f ca="1">TEXT(  IFERROR( VLOOKUP( $D420, CollName_Simplifier_Table[], 2, FALSE),"") &amp;
        INDIRECT( ADDRESS( ROW() + Row_Offset, INDIRECT( "Column_Number_" &amp; $B$1), 4,1, tabname) ), "")</f>
        <v/>
      </c>
      <c r="C420" s="10" t="str">
        <f ca="1">TEXT( INDIRECT( ADDRESS( ROW() + Row_Offset, INDIRECT( "Column_Number_" &amp; C$1), 4,1, tabname) ), "")</f>
        <v/>
      </c>
      <c r="D420" s="10" t="str">
        <f ca="1">TEXT( INDIRECT( ADDRESS( ROW() + Row_Offset, INDIRECT( "Column_Number_" &amp; D$1), 4,1, tabname) ), "")</f>
        <v/>
      </c>
      <c r="E420" s="10" t="str">
        <f ca="1">TEXT( INDIRECT( ADDRESS( ROW() + Row_Offset, INDIRECT( "Column_Number_" &amp; E$1), 4,1, tabname) ), "####")</f>
        <v/>
      </c>
      <c r="F420" s="15"/>
      <c r="G420" s="21" t="str">
        <f ca="1">IFERROR(INDEX(Rank_Table[],MATCH($D420&amp;$A420,Table4[Join],0)),"")</f>
        <v/>
      </c>
      <c r="H420" s="11" t="str">
        <f ca="1">IF(AND(D420="Juvenile Audiobook",LEFT(B420,8)="J CD BIO"),RIGHT(B420,LEN(B420)-9),
IF(AND(D420="Juvenile Audiobook",LEFT(B420,8)="J CD FIC"),B420,
IF(D420="Juvenile Audiobook",RIGHT(B420,LEN(B420)-5),
IF(AND(D420="Teen Audiobook",LEFT(B420,11)="TEEN CD BIO"),RIGHT(B420,LEN(B420)-12),
IF(AND(D420="Teen Audiobook",LEFT(B420,11)="TEEN CD FIC"),B420,
IF(D420="Juvenile Audiobook",RIGHT(B420,LEN(B420)-8),
IF(D420="Juvenile Nonfiction",RIGHT(B420,LEN(B420)-2),
IF(D420="Teen Nonfiction",RIGHT(B420,LEN(B420)-5),
IF(AND(D420="Audiobook",
              NOT(OR(Contains($B420,"CD BIO"),Contains($B420,"CD FIC")))),RIGHT(B420,LEN(B420)-3),
IF(D420="Juvenile Biography",RIGHT(B420,LEN(B420)-2),
IF(D420="Teen Biography",RIGHT(B420,LEN(B420)-5),
IF(AND(D420="Audiobook",
              IFERROR(FIND("BIO",$B420)&gt;0,FALSE)),RIGHT(B420,LEN(B420)-3),
IF(D420="Juvenile Large Type","J "&amp;RIGHT(B420,LEN(B420)-11),
IF(D420="Teen Large Type","TEEN "&amp;RIGHT(B420,LEN(B420)-14),
IF(D420="Reference",RIGHT(B420,LEN(B420)-4),
IF(D420="DVD Educational",RIGHT(B420,LEN(B420)-7),
IF(D420="Juvenile DVD Educational",RIGHT(B420,LEN(B420)-9),
B420)))))))))))))))))</f>
        <v/>
      </c>
    </row>
    <row r="421" spans="1:8" ht="27" customHeight="1" x14ac:dyDescent="0.25">
      <c r="A421" s="10" t="str">
        <f ca="1">TEXT( INDIRECT( ADDRESS( ROW() + Row_Offset, INDIRECT( "Column_Number_" &amp; A$1), 4,1, tabname) ), "")</f>
        <v/>
      </c>
      <c r="B421" s="10" t="str">
        <f ca="1">TEXT(  IFERROR( VLOOKUP( $D421, CollName_Simplifier_Table[], 2, FALSE),"") &amp;
        INDIRECT( ADDRESS( ROW() + Row_Offset, INDIRECT( "Column_Number_" &amp; $B$1), 4,1, tabname) ), "")</f>
        <v/>
      </c>
      <c r="C421" s="10" t="str">
        <f ca="1">TEXT( INDIRECT( ADDRESS( ROW() + Row_Offset, INDIRECT( "Column_Number_" &amp; C$1), 4,1, tabname) ), "")</f>
        <v/>
      </c>
      <c r="D421" s="10" t="str">
        <f ca="1">TEXT( INDIRECT( ADDRESS( ROW() + Row_Offset, INDIRECT( "Column_Number_" &amp; D$1), 4,1, tabname) ), "")</f>
        <v/>
      </c>
      <c r="E421" s="10" t="str">
        <f ca="1">TEXT( INDIRECT( ADDRESS( ROW() + Row_Offset, INDIRECT( "Column_Number_" &amp; E$1), 4,1, tabname) ), "####")</f>
        <v/>
      </c>
      <c r="F421" s="15"/>
      <c r="G421" s="21" t="str">
        <f ca="1">IFERROR(INDEX(Rank_Table[],MATCH($D421&amp;$A421,Table4[Join],0)),"")</f>
        <v/>
      </c>
      <c r="H421" s="11" t="str">
        <f ca="1">IF(AND(D421="Juvenile Audiobook",LEFT(B421,8)="J CD BIO"),RIGHT(B421,LEN(B421)-9),
IF(AND(D421="Juvenile Audiobook",LEFT(B421,8)="J CD FIC"),B421,
IF(D421="Juvenile Audiobook",RIGHT(B421,LEN(B421)-5),
IF(AND(D421="Teen Audiobook",LEFT(B421,11)="TEEN CD BIO"),RIGHT(B421,LEN(B421)-12),
IF(AND(D421="Teen Audiobook",LEFT(B421,11)="TEEN CD FIC"),B421,
IF(D421="Juvenile Audiobook",RIGHT(B421,LEN(B421)-8),
IF(D421="Juvenile Nonfiction",RIGHT(B421,LEN(B421)-2),
IF(D421="Teen Nonfiction",RIGHT(B421,LEN(B421)-5),
IF(AND(D421="Audiobook",
              NOT(OR(Contains($B421,"CD BIO"),Contains($B421,"CD FIC")))),RIGHT(B421,LEN(B421)-3),
IF(D421="Juvenile Biography",RIGHT(B421,LEN(B421)-2),
IF(D421="Teen Biography",RIGHT(B421,LEN(B421)-5),
IF(AND(D421="Audiobook",
              IFERROR(FIND("BIO",$B421)&gt;0,FALSE)),RIGHT(B421,LEN(B421)-3),
IF(D421="Juvenile Large Type","J "&amp;RIGHT(B421,LEN(B421)-11),
IF(D421="Teen Large Type","TEEN "&amp;RIGHT(B421,LEN(B421)-14),
IF(D421="Reference",RIGHT(B421,LEN(B421)-4),
IF(D421="DVD Educational",RIGHT(B421,LEN(B421)-7),
IF(D421="Juvenile DVD Educational",RIGHT(B421,LEN(B421)-9),
B421)))))))))))))))))</f>
        <v/>
      </c>
    </row>
    <row r="422" spans="1:8" ht="27" customHeight="1" x14ac:dyDescent="0.25">
      <c r="A422" s="10" t="str">
        <f ca="1">TEXT( INDIRECT( ADDRESS( ROW() + Row_Offset, INDIRECT( "Column_Number_" &amp; A$1), 4,1, tabname) ), "")</f>
        <v/>
      </c>
      <c r="B422" s="10" t="str">
        <f ca="1">TEXT(  IFERROR( VLOOKUP( $D422, CollName_Simplifier_Table[], 2, FALSE),"") &amp;
        INDIRECT( ADDRESS( ROW() + Row_Offset, INDIRECT( "Column_Number_" &amp; $B$1), 4,1, tabname) ), "")</f>
        <v/>
      </c>
      <c r="C422" s="10" t="str">
        <f ca="1">TEXT( INDIRECT( ADDRESS( ROW() + Row_Offset, INDIRECT( "Column_Number_" &amp; C$1), 4,1, tabname) ), "")</f>
        <v/>
      </c>
      <c r="D422" s="10" t="str">
        <f ca="1">TEXT( INDIRECT( ADDRESS( ROW() + Row_Offset, INDIRECT( "Column_Number_" &amp; D$1), 4,1, tabname) ), "")</f>
        <v/>
      </c>
      <c r="E422" s="10" t="str">
        <f ca="1">TEXT( INDIRECT( ADDRESS( ROW() + Row_Offset, INDIRECT( "Column_Number_" &amp; E$1), 4,1, tabname) ), "####")</f>
        <v/>
      </c>
      <c r="F422" s="15"/>
      <c r="G422" s="21" t="str">
        <f ca="1">IFERROR(INDEX(Rank_Table[],MATCH($D422&amp;$A422,Table4[Join],0)),"")</f>
        <v/>
      </c>
      <c r="H422" s="11" t="str">
        <f ca="1">IF(AND(D422="Juvenile Audiobook",LEFT(B422,8)="J CD BIO"),RIGHT(B422,LEN(B422)-9),
IF(AND(D422="Juvenile Audiobook",LEFT(B422,8)="J CD FIC"),B422,
IF(D422="Juvenile Audiobook",RIGHT(B422,LEN(B422)-5),
IF(AND(D422="Teen Audiobook",LEFT(B422,11)="TEEN CD BIO"),RIGHT(B422,LEN(B422)-12),
IF(AND(D422="Teen Audiobook",LEFT(B422,11)="TEEN CD FIC"),B422,
IF(D422="Juvenile Audiobook",RIGHT(B422,LEN(B422)-8),
IF(D422="Juvenile Nonfiction",RIGHT(B422,LEN(B422)-2),
IF(D422="Teen Nonfiction",RIGHT(B422,LEN(B422)-5),
IF(AND(D422="Audiobook",
              NOT(OR(Contains($B422,"CD BIO"),Contains($B422,"CD FIC")))),RIGHT(B422,LEN(B422)-3),
IF(D422="Juvenile Biography",RIGHT(B422,LEN(B422)-2),
IF(D422="Teen Biography",RIGHT(B422,LEN(B422)-5),
IF(AND(D422="Audiobook",
              IFERROR(FIND("BIO",$B422)&gt;0,FALSE)),RIGHT(B422,LEN(B422)-3),
IF(D422="Juvenile Large Type","J "&amp;RIGHT(B422,LEN(B422)-11),
IF(D422="Teen Large Type","TEEN "&amp;RIGHT(B422,LEN(B422)-14),
IF(D422="Reference",RIGHT(B422,LEN(B422)-4),
IF(D422="DVD Educational",RIGHT(B422,LEN(B422)-7),
IF(D422="Juvenile DVD Educational",RIGHT(B422,LEN(B422)-9),
B422)))))))))))))))))</f>
        <v/>
      </c>
    </row>
    <row r="423" spans="1:8" ht="27" customHeight="1" x14ac:dyDescent="0.25">
      <c r="A423" s="10" t="str">
        <f ca="1">TEXT( INDIRECT( ADDRESS( ROW() + Row_Offset, INDIRECT( "Column_Number_" &amp; A$1), 4,1, tabname) ), "")</f>
        <v/>
      </c>
      <c r="B423" s="10" t="str">
        <f ca="1">TEXT(  IFERROR( VLOOKUP( $D423, CollName_Simplifier_Table[], 2, FALSE),"") &amp;
        INDIRECT( ADDRESS( ROW() + Row_Offset, INDIRECT( "Column_Number_" &amp; $B$1), 4,1, tabname) ), "")</f>
        <v/>
      </c>
      <c r="C423" s="10" t="str">
        <f ca="1">TEXT( INDIRECT( ADDRESS( ROW() + Row_Offset, INDIRECT( "Column_Number_" &amp; C$1), 4,1, tabname) ), "")</f>
        <v/>
      </c>
      <c r="D423" s="10" t="str">
        <f ca="1">TEXT( INDIRECT( ADDRESS( ROW() + Row_Offset, INDIRECT( "Column_Number_" &amp; D$1), 4,1, tabname) ), "")</f>
        <v/>
      </c>
      <c r="E423" s="10" t="str">
        <f ca="1">TEXT( INDIRECT( ADDRESS( ROW() + Row_Offset, INDIRECT( "Column_Number_" &amp; E$1), 4,1, tabname) ), "####")</f>
        <v/>
      </c>
      <c r="F423" s="15"/>
      <c r="G423" s="21" t="str">
        <f ca="1">IFERROR(INDEX(Rank_Table[],MATCH($D423&amp;$A423,Table4[Join],0)),"")</f>
        <v/>
      </c>
      <c r="H423" s="11" t="str">
        <f ca="1">IF(AND(D423="Juvenile Audiobook",LEFT(B423,8)="J CD BIO"),RIGHT(B423,LEN(B423)-9),
IF(AND(D423="Juvenile Audiobook",LEFT(B423,8)="J CD FIC"),B423,
IF(D423="Juvenile Audiobook",RIGHT(B423,LEN(B423)-5),
IF(AND(D423="Teen Audiobook",LEFT(B423,11)="TEEN CD BIO"),RIGHT(B423,LEN(B423)-12),
IF(AND(D423="Teen Audiobook",LEFT(B423,11)="TEEN CD FIC"),B423,
IF(D423="Juvenile Audiobook",RIGHT(B423,LEN(B423)-8),
IF(D423="Juvenile Nonfiction",RIGHT(B423,LEN(B423)-2),
IF(D423="Teen Nonfiction",RIGHT(B423,LEN(B423)-5),
IF(AND(D423="Audiobook",
              NOT(OR(Contains($B423,"CD BIO"),Contains($B423,"CD FIC")))),RIGHT(B423,LEN(B423)-3),
IF(D423="Juvenile Biography",RIGHT(B423,LEN(B423)-2),
IF(D423="Teen Biography",RIGHT(B423,LEN(B423)-5),
IF(AND(D423="Audiobook",
              IFERROR(FIND("BIO",$B423)&gt;0,FALSE)),RIGHT(B423,LEN(B423)-3),
IF(D423="Juvenile Large Type","J "&amp;RIGHT(B423,LEN(B423)-11),
IF(D423="Teen Large Type","TEEN "&amp;RIGHT(B423,LEN(B423)-14),
IF(D423="Reference",RIGHT(B423,LEN(B423)-4),
IF(D423="DVD Educational",RIGHT(B423,LEN(B423)-7),
IF(D423="Juvenile DVD Educational",RIGHT(B423,LEN(B423)-9),
B423)))))))))))))))))</f>
        <v/>
      </c>
    </row>
    <row r="424" spans="1:8" ht="27" customHeight="1" x14ac:dyDescent="0.25">
      <c r="A424" s="10" t="str">
        <f ca="1">TEXT( INDIRECT( ADDRESS( ROW() + Row_Offset, INDIRECT( "Column_Number_" &amp; A$1), 4,1, tabname) ), "")</f>
        <v/>
      </c>
      <c r="B424" s="10" t="str">
        <f ca="1">TEXT(  IFERROR( VLOOKUP( $D424, CollName_Simplifier_Table[], 2, FALSE),"") &amp;
        INDIRECT( ADDRESS( ROW() + Row_Offset, INDIRECT( "Column_Number_" &amp; $B$1), 4,1, tabname) ), "")</f>
        <v/>
      </c>
      <c r="C424" s="10" t="str">
        <f ca="1">TEXT( INDIRECT( ADDRESS( ROW() + Row_Offset, INDIRECT( "Column_Number_" &amp; C$1), 4,1, tabname) ), "")</f>
        <v/>
      </c>
      <c r="D424" s="10" t="str">
        <f ca="1">TEXT( INDIRECT( ADDRESS( ROW() + Row_Offset, INDIRECT( "Column_Number_" &amp; D$1), 4,1, tabname) ), "")</f>
        <v/>
      </c>
      <c r="E424" s="10" t="str">
        <f ca="1">TEXT( INDIRECT( ADDRESS( ROW() + Row_Offset, INDIRECT( "Column_Number_" &amp; E$1), 4,1, tabname) ), "####")</f>
        <v/>
      </c>
      <c r="F424" s="15"/>
      <c r="G424" s="21" t="str">
        <f ca="1">IFERROR(INDEX(Rank_Table[],MATCH($D424&amp;$A424,Table4[Join],0)),"")</f>
        <v/>
      </c>
      <c r="H424" s="11" t="str">
        <f ca="1">IF(AND(D424="Juvenile Audiobook",LEFT(B424,8)="J CD BIO"),RIGHT(B424,LEN(B424)-9),
IF(AND(D424="Juvenile Audiobook",LEFT(B424,8)="J CD FIC"),B424,
IF(D424="Juvenile Audiobook",RIGHT(B424,LEN(B424)-5),
IF(AND(D424="Teen Audiobook",LEFT(B424,11)="TEEN CD BIO"),RIGHT(B424,LEN(B424)-12),
IF(AND(D424="Teen Audiobook",LEFT(B424,11)="TEEN CD FIC"),B424,
IF(D424="Juvenile Audiobook",RIGHT(B424,LEN(B424)-8),
IF(D424="Juvenile Nonfiction",RIGHT(B424,LEN(B424)-2),
IF(D424="Teen Nonfiction",RIGHT(B424,LEN(B424)-5),
IF(AND(D424="Audiobook",
              NOT(OR(Contains($B424,"CD BIO"),Contains($B424,"CD FIC")))),RIGHT(B424,LEN(B424)-3),
IF(D424="Juvenile Biography",RIGHT(B424,LEN(B424)-2),
IF(D424="Teen Biography",RIGHT(B424,LEN(B424)-5),
IF(AND(D424="Audiobook",
              IFERROR(FIND("BIO",$B424)&gt;0,FALSE)),RIGHT(B424,LEN(B424)-3),
IF(D424="Juvenile Large Type","J "&amp;RIGHT(B424,LEN(B424)-11),
IF(D424="Teen Large Type","TEEN "&amp;RIGHT(B424,LEN(B424)-14),
IF(D424="Reference",RIGHT(B424,LEN(B424)-4),
IF(D424="DVD Educational",RIGHT(B424,LEN(B424)-7),
IF(D424="Juvenile DVD Educational",RIGHT(B424,LEN(B424)-9),
B424)))))))))))))))))</f>
        <v/>
      </c>
    </row>
    <row r="425" spans="1:8" ht="27" customHeight="1" x14ac:dyDescent="0.25">
      <c r="A425" s="10" t="str">
        <f ca="1">TEXT( INDIRECT( ADDRESS( ROW() + Row_Offset, INDIRECT( "Column_Number_" &amp; A$1), 4,1, tabname) ), "")</f>
        <v/>
      </c>
      <c r="B425" s="10" t="str">
        <f ca="1">TEXT(  IFERROR( VLOOKUP( $D425, CollName_Simplifier_Table[], 2, FALSE),"") &amp;
        INDIRECT( ADDRESS( ROW() + Row_Offset, INDIRECT( "Column_Number_" &amp; $B$1), 4,1, tabname) ), "")</f>
        <v/>
      </c>
      <c r="C425" s="10" t="str">
        <f ca="1">TEXT( INDIRECT( ADDRESS( ROW() + Row_Offset, INDIRECT( "Column_Number_" &amp; C$1), 4,1, tabname) ), "")</f>
        <v/>
      </c>
      <c r="D425" s="10" t="str">
        <f ca="1">TEXT( INDIRECT( ADDRESS( ROW() + Row_Offset, INDIRECT( "Column_Number_" &amp; D$1), 4,1, tabname) ), "")</f>
        <v/>
      </c>
      <c r="E425" s="10" t="str">
        <f ca="1">TEXT( INDIRECT( ADDRESS( ROW() + Row_Offset, INDIRECT( "Column_Number_" &amp; E$1), 4,1, tabname) ), "####")</f>
        <v/>
      </c>
      <c r="F425" s="15"/>
      <c r="G425" s="21" t="str">
        <f ca="1">IFERROR(INDEX(Rank_Table[],MATCH($D425&amp;$A425,Table4[Join],0)),"")</f>
        <v/>
      </c>
      <c r="H425" s="11" t="str">
        <f ca="1">IF(AND(D425="Juvenile Audiobook",LEFT(B425,8)="J CD BIO"),RIGHT(B425,LEN(B425)-9),
IF(AND(D425="Juvenile Audiobook",LEFT(B425,8)="J CD FIC"),B425,
IF(D425="Juvenile Audiobook",RIGHT(B425,LEN(B425)-5),
IF(AND(D425="Teen Audiobook",LEFT(B425,11)="TEEN CD BIO"),RIGHT(B425,LEN(B425)-12),
IF(AND(D425="Teen Audiobook",LEFT(B425,11)="TEEN CD FIC"),B425,
IF(D425="Juvenile Audiobook",RIGHT(B425,LEN(B425)-8),
IF(D425="Juvenile Nonfiction",RIGHT(B425,LEN(B425)-2),
IF(D425="Teen Nonfiction",RIGHT(B425,LEN(B425)-5),
IF(AND(D425="Audiobook",
              NOT(OR(Contains($B425,"CD BIO"),Contains($B425,"CD FIC")))),RIGHT(B425,LEN(B425)-3),
IF(D425="Juvenile Biography",RIGHT(B425,LEN(B425)-2),
IF(D425="Teen Biography",RIGHT(B425,LEN(B425)-5),
IF(AND(D425="Audiobook",
              IFERROR(FIND("BIO",$B425)&gt;0,FALSE)),RIGHT(B425,LEN(B425)-3),
IF(D425="Juvenile Large Type","J "&amp;RIGHT(B425,LEN(B425)-11),
IF(D425="Teen Large Type","TEEN "&amp;RIGHT(B425,LEN(B425)-14),
IF(D425="Reference",RIGHT(B425,LEN(B425)-4),
IF(D425="DVD Educational",RIGHT(B425,LEN(B425)-7),
IF(D425="Juvenile DVD Educational",RIGHT(B425,LEN(B425)-9),
B425)))))))))))))))))</f>
        <v/>
      </c>
    </row>
    <row r="426" spans="1:8" ht="27" customHeight="1" x14ac:dyDescent="0.25">
      <c r="A426" s="10" t="str">
        <f ca="1">TEXT( INDIRECT( ADDRESS( ROW() + Row_Offset, INDIRECT( "Column_Number_" &amp; A$1), 4,1, tabname) ), "")</f>
        <v/>
      </c>
      <c r="B426" s="10" t="str">
        <f ca="1">TEXT(  IFERROR( VLOOKUP( $D426, CollName_Simplifier_Table[], 2, FALSE),"") &amp;
        INDIRECT( ADDRESS( ROW() + Row_Offset, INDIRECT( "Column_Number_" &amp; $B$1), 4,1, tabname) ), "")</f>
        <v/>
      </c>
      <c r="C426" s="10" t="str">
        <f ca="1">TEXT( INDIRECT( ADDRESS( ROW() + Row_Offset, INDIRECT( "Column_Number_" &amp; C$1), 4,1, tabname) ), "")</f>
        <v/>
      </c>
      <c r="D426" s="10" t="str">
        <f ca="1">TEXT( INDIRECT( ADDRESS( ROW() + Row_Offset, INDIRECT( "Column_Number_" &amp; D$1), 4,1, tabname) ), "")</f>
        <v/>
      </c>
      <c r="E426" s="10" t="str">
        <f ca="1">TEXT( INDIRECT( ADDRESS( ROW() + Row_Offset, INDIRECT( "Column_Number_" &amp; E$1), 4,1, tabname) ), "####")</f>
        <v/>
      </c>
      <c r="F426" s="15"/>
      <c r="G426" s="21" t="str">
        <f ca="1">IFERROR(INDEX(Rank_Table[],MATCH($D426&amp;$A426,Table4[Join],0)),"")</f>
        <v/>
      </c>
      <c r="H426" s="11" t="str">
        <f ca="1">IF(AND(D426="Juvenile Audiobook",LEFT(B426,8)="J CD BIO"),RIGHT(B426,LEN(B426)-9),
IF(AND(D426="Juvenile Audiobook",LEFT(B426,8)="J CD FIC"),B426,
IF(D426="Juvenile Audiobook",RIGHT(B426,LEN(B426)-5),
IF(AND(D426="Teen Audiobook",LEFT(B426,11)="TEEN CD BIO"),RIGHT(B426,LEN(B426)-12),
IF(AND(D426="Teen Audiobook",LEFT(B426,11)="TEEN CD FIC"),B426,
IF(D426="Juvenile Audiobook",RIGHT(B426,LEN(B426)-8),
IF(D426="Juvenile Nonfiction",RIGHT(B426,LEN(B426)-2),
IF(D426="Teen Nonfiction",RIGHT(B426,LEN(B426)-5),
IF(AND(D426="Audiobook",
              NOT(OR(Contains($B426,"CD BIO"),Contains($B426,"CD FIC")))),RIGHT(B426,LEN(B426)-3),
IF(D426="Juvenile Biography",RIGHT(B426,LEN(B426)-2),
IF(D426="Teen Biography",RIGHT(B426,LEN(B426)-5),
IF(AND(D426="Audiobook",
              IFERROR(FIND("BIO",$B426)&gt;0,FALSE)),RIGHT(B426,LEN(B426)-3),
IF(D426="Juvenile Large Type","J "&amp;RIGHT(B426,LEN(B426)-11),
IF(D426="Teen Large Type","TEEN "&amp;RIGHT(B426,LEN(B426)-14),
IF(D426="Reference",RIGHT(B426,LEN(B426)-4),
IF(D426="DVD Educational",RIGHT(B426,LEN(B426)-7),
IF(D426="Juvenile DVD Educational",RIGHT(B426,LEN(B426)-9),
B426)))))))))))))))))</f>
        <v/>
      </c>
    </row>
    <row r="427" spans="1:8" ht="27" customHeight="1" x14ac:dyDescent="0.25">
      <c r="A427" s="10" t="str">
        <f ca="1">TEXT( INDIRECT( ADDRESS( ROW() + Row_Offset, INDIRECT( "Column_Number_" &amp; A$1), 4,1, tabname) ), "")</f>
        <v/>
      </c>
      <c r="B427" s="10" t="str">
        <f ca="1">TEXT(  IFERROR( VLOOKUP( $D427, CollName_Simplifier_Table[], 2, FALSE),"") &amp;
        INDIRECT( ADDRESS( ROW() + Row_Offset, INDIRECT( "Column_Number_" &amp; $B$1), 4,1, tabname) ), "")</f>
        <v/>
      </c>
      <c r="C427" s="10" t="str">
        <f ca="1">TEXT( INDIRECT( ADDRESS( ROW() + Row_Offset, INDIRECT( "Column_Number_" &amp; C$1), 4,1, tabname) ), "")</f>
        <v/>
      </c>
      <c r="D427" s="10" t="str">
        <f ca="1">TEXT( INDIRECT( ADDRESS( ROW() + Row_Offset, INDIRECT( "Column_Number_" &amp; D$1), 4,1, tabname) ), "")</f>
        <v/>
      </c>
      <c r="E427" s="10" t="str">
        <f ca="1">TEXT( INDIRECT( ADDRESS( ROW() + Row_Offset, INDIRECT( "Column_Number_" &amp; E$1), 4,1, tabname) ), "####")</f>
        <v/>
      </c>
      <c r="F427" s="15"/>
      <c r="G427" s="21" t="str">
        <f ca="1">IFERROR(INDEX(Rank_Table[],MATCH($D427&amp;$A427,Table4[Join],0)),"")</f>
        <v/>
      </c>
      <c r="H427" s="11" t="str">
        <f ca="1">IF(AND(D427="Juvenile Audiobook",LEFT(B427,8)="J CD BIO"),RIGHT(B427,LEN(B427)-9),
IF(AND(D427="Juvenile Audiobook",LEFT(B427,8)="J CD FIC"),B427,
IF(D427="Juvenile Audiobook",RIGHT(B427,LEN(B427)-5),
IF(AND(D427="Teen Audiobook",LEFT(B427,11)="TEEN CD BIO"),RIGHT(B427,LEN(B427)-12),
IF(AND(D427="Teen Audiobook",LEFT(B427,11)="TEEN CD FIC"),B427,
IF(D427="Juvenile Audiobook",RIGHT(B427,LEN(B427)-8),
IF(D427="Juvenile Nonfiction",RIGHT(B427,LEN(B427)-2),
IF(D427="Teen Nonfiction",RIGHT(B427,LEN(B427)-5),
IF(AND(D427="Audiobook",
              NOT(OR(Contains($B427,"CD BIO"),Contains($B427,"CD FIC")))),RIGHT(B427,LEN(B427)-3),
IF(D427="Juvenile Biography",RIGHT(B427,LEN(B427)-2),
IF(D427="Teen Biography",RIGHT(B427,LEN(B427)-5),
IF(AND(D427="Audiobook",
              IFERROR(FIND("BIO",$B427)&gt;0,FALSE)),RIGHT(B427,LEN(B427)-3),
IF(D427="Juvenile Large Type","J "&amp;RIGHT(B427,LEN(B427)-11),
IF(D427="Teen Large Type","TEEN "&amp;RIGHT(B427,LEN(B427)-14),
IF(D427="Reference",RIGHT(B427,LEN(B427)-4),
IF(D427="DVD Educational",RIGHT(B427,LEN(B427)-7),
IF(D427="Juvenile DVD Educational",RIGHT(B427,LEN(B427)-9),
B427)))))))))))))))))</f>
        <v/>
      </c>
    </row>
    <row r="428" spans="1:8" ht="27" customHeight="1" x14ac:dyDescent="0.25">
      <c r="A428" s="10" t="str">
        <f ca="1">TEXT( INDIRECT( ADDRESS( ROW() + Row_Offset, INDIRECT( "Column_Number_" &amp; A$1), 4,1, tabname) ), "")</f>
        <v/>
      </c>
      <c r="B428" s="10" t="str">
        <f ca="1">TEXT(  IFERROR( VLOOKUP( $D428, CollName_Simplifier_Table[], 2, FALSE),"") &amp;
        INDIRECT( ADDRESS( ROW() + Row_Offset, INDIRECT( "Column_Number_" &amp; $B$1), 4,1, tabname) ), "")</f>
        <v/>
      </c>
      <c r="C428" s="10" t="str">
        <f ca="1">TEXT( INDIRECT( ADDRESS( ROW() + Row_Offset, INDIRECT( "Column_Number_" &amp; C$1), 4,1, tabname) ), "")</f>
        <v/>
      </c>
      <c r="D428" s="10" t="str">
        <f ca="1">TEXT( INDIRECT( ADDRESS( ROW() + Row_Offset, INDIRECT( "Column_Number_" &amp; D$1), 4,1, tabname) ), "")</f>
        <v/>
      </c>
      <c r="E428" s="10" t="str">
        <f ca="1">TEXT( INDIRECT( ADDRESS( ROW() + Row_Offset, INDIRECT( "Column_Number_" &amp; E$1), 4,1, tabname) ), "####")</f>
        <v/>
      </c>
      <c r="F428" s="15"/>
      <c r="G428" s="21" t="str">
        <f ca="1">IFERROR(INDEX(Rank_Table[],MATCH($D428&amp;$A428,Table4[Join],0)),"")</f>
        <v/>
      </c>
      <c r="H428" s="11" t="str">
        <f ca="1">IF(AND(D428="Juvenile Audiobook",LEFT(B428,8)="J CD BIO"),RIGHT(B428,LEN(B428)-9),
IF(AND(D428="Juvenile Audiobook",LEFT(B428,8)="J CD FIC"),B428,
IF(D428="Juvenile Audiobook",RIGHT(B428,LEN(B428)-5),
IF(AND(D428="Teen Audiobook",LEFT(B428,11)="TEEN CD BIO"),RIGHT(B428,LEN(B428)-12),
IF(AND(D428="Teen Audiobook",LEFT(B428,11)="TEEN CD FIC"),B428,
IF(D428="Juvenile Audiobook",RIGHT(B428,LEN(B428)-8),
IF(D428="Juvenile Nonfiction",RIGHT(B428,LEN(B428)-2),
IF(D428="Teen Nonfiction",RIGHT(B428,LEN(B428)-5),
IF(AND(D428="Audiobook",
              NOT(OR(Contains($B428,"CD BIO"),Contains($B428,"CD FIC")))),RIGHT(B428,LEN(B428)-3),
IF(D428="Juvenile Biography",RIGHT(B428,LEN(B428)-2),
IF(D428="Teen Biography",RIGHT(B428,LEN(B428)-5),
IF(AND(D428="Audiobook",
              IFERROR(FIND("BIO",$B428)&gt;0,FALSE)),RIGHT(B428,LEN(B428)-3),
IF(D428="Juvenile Large Type","J "&amp;RIGHT(B428,LEN(B428)-11),
IF(D428="Teen Large Type","TEEN "&amp;RIGHT(B428,LEN(B428)-14),
IF(D428="Reference",RIGHT(B428,LEN(B428)-4),
IF(D428="DVD Educational",RIGHT(B428,LEN(B428)-7),
IF(D428="Juvenile DVD Educational",RIGHT(B428,LEN(B428)-9),
B428)))))))))))))))))</f>
        <v/>
      </c>
    </row>
    <row r="429" spans="1:8" ht="27" customHeight="1" x14ac:dyDescent="0.25">
      <c r="A429" s="10" t="str">
        <f ca="1">TEXT( INDIRECT( ADDRESS( ROW() + Row_Offset, INDIRECT( "Column_Number_" &amp; A$1), 4,1, tabname) ), "")</f>
        <v/>
      </c>
      <c r="B429" s="10" t="str">
        <f ca="1">TEXT(  IFERROR( VLOOKUP( $D429, CollName_Simplifier_Table[], 2, FALSE),"") &amp;
        INDIRECT( ADDRESS( ROW() + Row_Offset, INDIRECT( "Column_Number_" &amp; $B$1), 4,1, tabname) ), "")</f>
        <v/>
      </c>
      <c r="C429" s="10" t="str">
        <f ca="1">TEXT( INDIRECT( ADDRESS( ROW() + Row_Offset, INDIRECT( "Column_Number_" &amp; C$1), 4,1, tabname) ), "")</f>
        <v/>
      </c>
      <c r="D429" s="10" t="str">
        <f ca="1">TEXT( INDIRECT( ADDRESS( ROW() + Row_Offset, INDIRECT( "Column_Number_" &amp; D$1), 4,1, tabname) ), "")</f>
        <v/>
      </c>
      <c r="E429" s="10" t="str">
        <f ca="1">TEXT( INDIRECT( ADDRESS( ROW() + Row_Offset, INDIRECT( "Column_Number_" &amp; E$1), 4,1, tabname) ), "####")</f>
        <v/>
      </c>
      <c r="F429" s="15"/>
      <c r="G429" s="21" t="str">
        <f ca="1">IFERROR(INDEX(Rank_Table[],MATCH($D429&amp;$A429,Table4[Join],0)),"")</f>
        <v/>
      </c>
      <c r="H429" s="11" t="str">
        <f ca="1">IF(AND(D429="Juvenile Audiobook",LEFT(B429,8)="J CD BIO"),RIGHT(B429,LEN(B429)-9),
IF(AND(D429="Juvenile Audiobook",LEFT(B429,8)="J CD FIC"),B429,
IF(D429="Juvenile Audiobook",RIGHT(B429,LEN(B429)-5),
IF(AND(D429="Teen Audiobook",LEFT(B429,11)="TEEN CD BIO"),RIGHT(B429,LEN(B429)-12),
IF(AND(D429="Teen Audiobook",LEFT(B429,11)="TEEN CD FIC"),B429,
IF(D429="Juvenile Audiobook",RIGHT(B429,LEN(B429)-8),
IF(D429="Juvenile Nonfiction",RIGHT(B429,LEN(B429)-2),
IF(D429="Teen Nonfiction",RIGHT(B429,LEN(B429)-5),
IF(AND(D429="Audiobook",
              NOT(OR(Contains($B429,"CD BIO"),Contains($B429,"CD FIC")))),RIGHT(B429,LEN(B429)-3),
IF(D429="Juvenile Biography",RIGHT(B429,LEN(B429)-2),
IF(D429="Teen Biography",RIGHT(B429,LEN(B429)-5),
IF(AND(D429="Audiobook",
              IFERROR(FIND("BIO",$B429)&gt;0,FALSE)),RIGHT(B429,LEN(B429)-3),
IF(D429="Juvenile Large Type","J "&amp;RIGHT(B429,LEN(B429)-11),
IF(D429="Teen Large Type","TEEN "&amp;RIGHT(B429,LEN(B429)-14),
IF(D429="Reference",RIGHT(B429,LEN(B429)-4),
IF(D429="DVD Educational",RIGHT(B429,LEN(B429)-7),
IF(D429="Juvenile DVD Educational",RIGHT(B429,LEN(B429)-9),
B429)))))))))))))))))</f>
        <v/>
      </c>
    </row>
    <row r="430" spans="1:8" ht="27" customHeight="1" x14ac:dyDescent="0.25">
      <c r="A430" s="10" t="str">
        <f ca="1">TEXT( INDIRECT( ADDRESS( ROW() + Row_Offset, INDIRECT( "Column_Number_" &amp; A$1), 4,1, tabname) ), "")</f>
        <v/>
      </c>
      <c r="B430" s="10" t="str">
        <f ca="1">TEXT(  IFERROR( VLOOKUP( $D430, CollName_Simplifier_Table[], 2, FALSE),"") &amp;
        INDIRECT( ADDRESS( ROW() + Row_Offset, INDIRECT( "Column_Number_" &amp; $B$1), 4,1, tabname) ), "")</f>
        <v/>
      </c>
      <c r="C430" s="10" t="str">
        <f ca="1">TEXT( INDIRECT( ADDRESS( ROW() + Row_Offset, INDIRECT( "Column_Number_" &amp; C$1), 4,1, tabname) ), "")</f>
        <v/>
      </c>
      <c r="D430" s="10" t="str">
        <f ca="1">TEXT( INDIRECT( ADDRESS( ROW() + Row_Offset, INDIRECT( "Column_Number_" &amp; D$1), 4,1, tabname) ), "")</f>
        <v/>
      </c>
      <c r="E430" s="10" t="str">
        <f ca="1">TEXT( INDIRECT( ADDRESS( ROW() + Row_Offset, INDIRECT( "Column_Number_" &amp; E$1), 4,1, tabname) ), "####")</f>
        <v/>
      </c>
      <c r="F430" s="15"/>
      <c r="G430" s="21" t="str">
        <f ca="1">IFERROR(INDEX(Rank_Table[],MATCH($D430&amp;$A430,Table4[Join],0)),"")</f>
        <v/>
      </c>
      <c r="H430" s="11" t="str">
        <f ca="1">IF(AND(D430="Juvenile Audiobook",LEFT(B430,8)="J CD BIO"),RIGHT(B430,LEN(B430)-9),
IF(AND(D430="Juvenile Audiobook",LEFT(B430,8)="J CD FIC"),B430,
IF(D430="Juvenile Audiobook",RIGHT(B430,LEN(B430)-5),
IF(AND(D430="Teen Audiobook",LEFT(B430,11)="TEEN CD BIO"),RIGHT(B430,LEN(B430)-12),
IF(AND(D430="Teen Audiobook",LEFT(B430,11)="TEEN CD FIC"),B430,
IF(D430="Juvenile Audiobook",RIGHT(B430,LEN(B430)-8),
IF(D430="Juvenile Nonfiction",RIGHT(B430,LEN(B430)-2),
IF(D430="Teen Nonfiction",RIGHT(B430,LEN(B430)-5),
IF(AND(D430="Audiobook",
              NOT(OR(Contains($B430,"CD BIO"),Contains($B430,"CD FIC")))),RIGHT(B430,LEN(B430)-3),
IF(D430="Juvenile Biography",RIGHT(B430,LEN(B430)-2),
IF(D430="Teen Biography",RIGHT(B430,LEN(B430)-5),
IF(AND(D430="Audiobook",
              IFERROR(FIND("BIO",$B430)&gt;0,FALSE)),RIGHT(B430,LEN(B430)-3),
IF(D430="Juvenile Large Type","J "&amp;RIGHT(B430,LEN(B430)-11),
IF(D430="Teen Large Type","TEEN "&amp;RIGHT(B430,LEN(B430)-14),
IF(D430="Reference",RIGHT(B430,LEN(B430)-4),
IF(D430="DVD Educational",RIGHT(B430,LEN(B430)-7),
IF(D430="Juvenile DVD Educational",RIGHT(B430,LEN(B430)-9),
B430)))))))))))))))))</f>
        <v/>
      </c>
    </row>
    <row r="431" spans="1:8" ht="27" customHeight="1" x14ac:dyDescent="0.25">
      <c r="A431" s="10" t="str">
        <f ca="1">TEXT( INDIRECT( ADDRESS( ROW() + Row_Offset, INDIRECT( "Column_Number_" &amp; A$1), 4,1, tabname) ), "")</f>
        <v/>
      </c>
      <c r="B431" s="10" t="str">
        <f ca="1">TEXT(  IFERROR( VLOOKUP( $D431, CollName_Simplifier_Table[], 2, FALSE),"") &amp;
        INDIRECT( ADDRESS( ROW() + Row_Offset, INDIRECT( "Column_Number_" &amp; $B$1), 4,1, tabname) ), "")</f>
        <v/>
      </c>
      <c r="C431" s="10" t="str">
        <f ca="1">TEXT( INDIRECT( ADDRESS( ROW() + Row_Offset, INDIRECT( "Column_Number_" &amp; C$1), 4,1, tabname) ), "")</f>
        <v/>
      </c>
      <c r="D431" s="10" t="str">
        <f ca="1">TEXT( INDIRECT( ADDRESS( ROW() + Row_Offset, INDIRECT( "Column_Number_" &amp; D$1), 4,1, tabname) ), "")</f>
        <v/>
      </c>
      <c r="E431" s="10" t="str">
        <f ca="1">TEXT( INDIRECT( ADDRESS( ROW() + Row_Offset, INDIRECT( "Column_Number_" &amp; E$1), 4,1, tabname) ), "####")</f>
        <v/>
      </c>
      <c r="F431" s="15"/>
      <c r="G431" s="21" t="str">
        <f ca="1">IFERROR(INDEX(Rank_Table[],MATCH($D431&amp;$A431,Table4[Join],0)),"")</f>
        <v/>
      </c>
      <c r="H431" s="11" t="str">
        <f ca="1">IF(AND(D431="Juvenile Audiobook",LEFT(B431,8)="J CD BIO"),RIGHT(B431,LEN(B431)-9),
IF(AND(D431="Juvenile Audiobook",LEFT(B431,8)="J CD FIC"),B431,
IF(D431="Juvenile Audiobook",RIGHT(B431,LEN(B431)-5),
IF(AND(D431="Teen Audiobook",LEFT(B431,11)="TEEN CD BIO"),RIGHT(B431,LEN(B431)-12),
IF(AND(D431="Teen Audiobook",LEFT(B431,11)="TEEN CD FIC"),B431,
IF(D431="Juvenile Audiobook",RIGHT(B431,LEN(B431)-8),
IF(D431="Juvenile Nonfiction",RIGHT(B431,LEN(B431)-2),
IF(D431="Teen Nonfiction",RIGHT(B431,LEN(B431)-5),
IF(AND(D431="Audiobook",
              NOT(OR(Contains($B431,"CD BIO"),Contains($B431,"CD FIC")))),RIGHT(B431,LEN(B431)-3),
IF(D431="Juvenile Biography",RIGHT(B431,LEN(B431)-2),
IF(D431="Teen Biography",RIGHT(B431,LEN(B431)-5),
IF(AND(D431="Audiobook",
              IFERROR(FIND("BIO",$B431)&gt;0,FALSE)),RIGHT(B431,LEN(B431)-3),
IF(D431="Juvenile Large Type","J "&amp;RIGHT(B431,LEN(B431)-11),
IF(D431="Teen Large Type","TEEN "&amp;RIGHT(B431,LEN(B431)-14),
IF(D431="Reference",RIGHT(B431,LEN(B431)-4),
IF(D431="DVD Educational",RIGHT(B431,LEN(B431)-7),
IF(D431="Juvenile DVD Educational",RIGHT(B431,LEN(B431)-9),
B431)))))))))))))))))</f>
        <v/>
      </c>
    </row>
    <row r="432" spans="1:8" ht="27" customHeight="1" x14ac:dyDescent="0.25">
      <c r="A432" s="10" t="str">
        <f ca="1">TEXT( INDIRECT( ADDRESS( ROW() + Row_Offset, INDIRECT( "Column_Number_" &amp; A$1), 4,1, tabname) ), "")</f>
        <v/>
      </c>
      <c r="B432" s="10" t="str">
        <f ca="1">TEXT(  IFERROR( VLOOKUP( $D432, CollName_Simplifier_Table[], 2, FALSE),"") &amp;
        INDIRECT( ADDRESS( ROW() + Row_Offset, INDIRECT( "Column_Number_" &amp; $B$1), 4,1, tabname) ), "")</f>
        <v/>
      </c>
      <c r="C432" s="10" t="str">
        <f ca="1">TEXT( INDIRECT( ADDRESS( ROW() + Row_Offset, INDIRECT( "Column_Number_" &amp; C$1), 4,1, tabname) ), "")</f>
        <v/>
      </c>
      <c r="D432" s="10" t="str">
        <f ca="1">TEXT( INDIRECT( ADDRESS( ROW() + Row_Offset, INDIRECT( "Column_Number_" &amp; D$1), 4,1, tabname) ), "")</f>
        <v/>
      </c>
      <c r="E432" s="10" t="str">
        <f ca="1">TEXT( INDIRECT( ADDRESS( ROW() + Row_Offset, INDIRECT( "Column_Number_" &amp; E$1), 4,1, tabname) ), "####")</f>
        <v/>
      </c>
      <c r="F432" s="15"/>
      <c r="G432" s="21" t="str">
        <f ca="1">IFERROR(INDEX(Rank_Table[],MATCH($D432&amp;$A432,Table4[Join],0)),"")</f>
        <v/>
      </c>
      <c r="H432" s="11" t="str">
        <f ca="1">IF(AND(D432="Juvenile Audiobook",LEFT(B432,8)="J CD BIO"),RIGHT(B432,LEN(B432)-9),
IF(AND(D432="Juvenile Audiobook",LEFT(B432,8)="J CD FIC"),B432,
IF(D432="Juvenile Audiobook",RIGHT(B432,LEN(B432)-5),
IF(AND(D432="Teen Audiobook",LEFT(B432,11)="TEEN CD BIO"),RIGHT(B432,LEN(B432)-12),
IF(AND(D432="Teen Audiobook",LEFT(B432,11)="TEEN CD FIC"),B432,
IF(D432="Juvenile Audiobook",RIGHT(B432,LEN(B432)-8),
IF(D432="Juvenile Nonfiction",RIGHT(B432,LEN(B432)-2),
IF(D432="Teen Nonfiction",RIGHT(B432,LEN(B432)-5),
IF(AND(D432="Audiobook",
              NOT(OR(Contains($B432,"CD BIO"),Contains($B432,"CD FIC")))),RIGHT(B432,LEN(B432)-3),
IF(D432="Juvenile Biography",RIGHT(B432,LEN(B432)-2),
IF(D432="Teen Biography",RIGHT(B432,LEN(B432)-5),
IF(AND(D432="Audiobook",
              IFERROR(FIND("BIO",$B432)&gt;0,FALSE)),RIGHT(B432,LEN(B432)-3),
IF(D432="Juvenile Large Type","J "&amp;RIGHT(B432,LEN(B432)-11),
IF(D432="Teen Large Type","TEEN "&amp;RIGHT(B432,LEN(B432)-14),
IF(D432="Reference",RIGHT(B432,LEN(B432)-4),
IF(D432="DVD Educational",RIGHT(B432,LEN(B432)-7),
IF(D432="Juvenile DVD Educational",RIGHT(B432,LEN(B432)-9),
B432)))))))))))))))))</f>
        <v/>
      </c>
    </row>
    <row r="433" spans="1:8" ht="27" customHeight="1" x14ac:dyDescent="0.25">
      <c r="A433" s="10" t="str">
        <f ca="1">TEXT( INDIRECT( ADDRESS( ROW() + Row_Offset, INDIRECT( "Column_Number_" &amp; A$1), 4,1, tabname) ), "")</f>
        <v/>
      </c>
      <c r="B433" s="10" t="str">
        <f ca="1">TEXT(  IFERROR( VLOOKUP( $D433, CollName_Simplifier_Table[], 2, FALSE),"") &amp;
        INDIRECT( ADDRESS( ROW() + Row_Offset, INDIRECT( "Column_Number_" &amp; $B$1), 4,1, tabname) ), "")</f>
        <v/>
      </c>
      <c r="C433" s="10" t="str">
        <f ca="1">TEXT( INDIRECT( ADDRESS( ROW() + Row_Offset, INDIRECT( "Column_Number_" &amp; C$1), 4,1, tabname) ), "")</f>
        <v/>
      </c>
      <c r="D433" s="10" t="str">
        <f ca="1">TEXT( INDIRECT( ADDRESS( ROW() + Row_Offset, INDIRECT( "Column_Number_" &amp; D$1), 4,1, tabname) ), "")</f>
        <v/>
      </c>
      <c r="E433" s="10" t="str">
        <f ca="1">TEXT( INDIRECT( ADDRESS( ROW() + Row_Offset, INDIRECT( "Column_Number_" &amp; E$1), 4,1, tabname) ), "####")</f>
        <v/>
      </c>
      <c r="F433" s="15"/>
      <c r="G433" s="21" t="str">
        <f ca="1">IFERROR(INDEX(Rank_Table[],MATCH($D433&amp;$A433,Table4[Join],0)),"")</f>
        <v/>
      </c>
      <c r="H433" s="11" t="str">
        <f ca="1">IF(AND(D433="Juvenile Audiobook",LEFT(B433,8)="J CD BIO"),RIGHT(B433,LEN(B433)-9),
IF(AND(D433="Juvenile Audiobook",LEFT(B433,8)="J CD FIC"),B433,
IF(D433="Juvenile Audiobook",RIGHT(B433,LEN(B433)-5),
IF(AND(D433="Teen Audiobook",LEFT(B433,11)="TEEN CD BIO"),RIGHT(B433,LEN(B433)-12),
IF(AND(D433="Teen Audiobook",LEFT(B433,11)="TEEN CD FIC"),B433,
IF(D433="Juvenile Audiobook",RIGHT(B433,LEN(B433)-8),
IF(D433="Juvenile Nonfiction",RIGHT(B433,LEN(B433)-2),
IF(D433="Teen Nonfiction",RIGHT(B433,LEN(B433)-5),
IF(AND(D433="Audiobook",
              NOT(OR(Contains($B433,"CD BIO"),Contains($B433,"CD FIC")))),RIGHT(B433,LEN(B433)-3),
IF(D433="Juvenile Biography",RIGHT(B433,LEN(B433)-2),
IF(D433="Teen Biography",RIGHT(B433,LEN(B433)-5),
IF(AND(D433="Audiobook",
              IFERROR(FIND("BIO",$B433)&gt;0,FALSE)),RIGHT(B433,LEN(B433)-3),
IF(D433="Juvenile Large Type","J "&amp;RIGHT(B433,LEN(B433)-11),
IF(D433="Teen Large Type","TEEN "&amp;RIGHT(B433,LEN(B433)-14),
IF(D433="Reference",RIGHT(B433,LEN(B433)-4),
IF(D433="DVD Educational",RIGHT(B433,LEN(B433)-7),
IF(D433="Juvenile DVD Educational",RIGHT(B433,LEN(B433)-9),
B433)))))))))))))))))</f>
        <v/>
      </c>
    </row>
    <row r="434" spans="1:8" ht="27" customHeight="1" x14ac:dyDescent="0.25">
      <c r="A434" s="10" t="str">
        <f ca="1">TEXT( INDIRECT( ADDRESS( ROW() + Row_Offset, INDIRECT( "Column_Number_" &amp; A$1), 4,1, tabname) ), "")</f>
        <v/>
      </c>
      <c r="B434" s="10" t="str">
        <f ca="1">TEXT(  IFERROR( VLOOKUP( $D434, CollName_Simplifier_Table[], 2, FALSE),"") &amp;
        INDIRECT( ADDRESS( ROW() + Row_Offset, INDIRECT( "Column_Number_" &amp; $B$1), 4,1, tabname) ), "")</f>
        <v/>
      </c>
      <c r="C434" s="10" t="str">
        <f ca="1">TEXT( INDIRECT( ADDRESS( ROW() + Row_Offset, INDIRECT( "Column_Number_" &amp; C$1), 4,1, tabname) ), "")</f>
        <v/>
      </c>
      <c r="D434" s="10" t="str">
        <f ca="1">TEXT( INDIRECT( ADDRESS( ROW() + Row_Offset, INDIRECT( "Column_Number_" &amp; D$1), 4,1, tabname) ), "")</f>
        <v/>
      </c>
      <c r="E434" s="10" t="str">
        <f ca="1">TEXT( INDIRECT( ADDRESS( ROW() + Row_Offset, INDIRECT( "Column_Number_" &amp; E$1), 4,1, tabname) ), "####")</f>
        <v/>
      </c>
      <c r="F434" s="15"/>
      <c r="G434" s="21" t="str">
        <f ca="1">IFERROR(INDEX(Rank_Table[],MATCH($D434&amp;$A434,Table4[Join],0)),"")</f>
        <v/>
      </c>
      <c r="H434" s="11" t="str">
        <f ca="1">IF(AND(D434="Juvenile Audiobook",LEFT(B434,8)="J CD BIO"),RIGHT(B434,LEN(B434)-9),
IF(AND(D434="Juvenile Audiobook",LEFT(B434,8)="J CD FIC"),B434,
IF(D434="Juvenile Audiobook",RIGHT(B434,LEN(B434)-5),
IF(AND(D434="Teen Audiobook",LEFT(B434,11)="TEEN CD BIO"),RIGHT(B434,LEN(B434)-12),
IF(AND(D434="Teen Audiobook",LEFT(B434,11)="TEEN CD FIC"),B434,
IF(D434="Juvenile Audiobook",RIGHT(B434,LEN(B434)-8),
IF(D434="Juvenile Nonfiction",RIGHT(B434,LEN(B434)-2),
IF(D434="Teen Nonfiction",RIGHT(B434,LEN(B434)-5),
IF(AND(D434="Audiobook",
              NOT(OR(Contains($B434,"CD BIO"),Contains($B434,"CD FIC")))),RIGHT(B434,LEN(B434)-3),
IF(D434="Juvenile Biography",RIGHT(B434,LEN(B434)-2),
IF(D434="Teen Biography",RIGHT(B434,LEN(B434)-5),
IF(AND(D434="Audiobook",
              IFERROR(FIND("BIO",$B434)&gt;0,FALSE)),RIGHT(B434,LEN(B434)-3),
IF(D434="Juvenile Large Type","J "&amp;RIGHT(B434,LEN(B434)-11),
IF(D434="Teen Large Type","TEEN "&amp;RIGHT(B434,LEN(B434)-14),
IF(D434="Reference",RIGHT(B434,LEN(B434)-4),
IF(D434="DVD Educational",RIGHT(B434,LEN(B434)-7),
IF(D434="Juvenile DVD Educational",RIGHT(B434,LEN(B434)-9),
B434)))))))))))))))))</f>
        <v/>
      </c>
    </row>
    <row r="435" spans="1:8" ht="27" customHeight="1" x14ac:dyDescent="0.25">
      <c r="A435" s="10" t="str">
        <f ca="1">TEXT( INDIRECT( ADDRESS( ROW() + Row_Offset, INDIRECT( "Column_Number_" &amp; A$1), 4,1, tabname) ), "")</f>
        <v/>
      </c>
      <c r="B435" s="10" t="str">
        <f ca="1">TEXT(  IFERROR( VLOOKUP( $D435, CollName_Simplifier_Table[], 2, FALSE),"") &amp;
        INDIRECT( ADDRESS( ROW() + Row_Offset, INDIRECT( "Column_Number_" &amp; $B$1), 4,1, tabname) ), "")</f>
        <v/>
      </c>
      <c r="C435" s="10" t="str">
        <f ca="1">TEXT( INDIRECT( ADDRESS( ROW() + Row_Offset, INDIRECT( "Column_Number_" &amp; C$1), 4,1, tabname) ), "")</f>
        <v/>
      </c>
      <c r="D435" s="10" t="str">
        <f ca="1">TEXT( INDIRECT( ADDRESS( ROW() + Row_Offset, INDIRECT( "Column_Number_" &amp; D$1), 4,1, tabname) ), "")</f>
        <v/>
      </c>
      <c r="E435" s="10" t="str">
        <f ca="1">TEXT( INDIRECT( ADDRESS( ROW() + Row_Offset, INDIRECT( "Column_Number_" &amp; E$1), 4,1, tabname) ), "####")</f>
        <v/>
      </c>
      <c r="F435" s="15"/>
      <c r="G435" s="21" t="str">
        <f ca="1">IFERROR(INDEX(Rank_Table[],MATCH($D435&amp;$A435,Table4[Join],0)),"")</f>
        <v/>
      </c>
      <c r="H435" s="11" t="str">
        <f ca="1">IF(AND(D435="Juvenile Audiobook",LEFT(B435,8)="J CD BIO"),RIGHT(B435,LEN(B435)-9),
IF(AND(D435="Juvenile Audiobook",LEFT(B435,8)="J CD FIC"),B435,
IF(D435="Juvenile Audiobook",RIGHT(B435,LEN(B435)-5),
IF(AND(D435="Teen Audiobook",LEFT(B435,11)="TEEN CD BIO"),RIGHT(B435,LEN(B435)-12),
IF(AND(D435="Teen Audiobook",LEFT(B435,11)="TEEN CD FIC"),B435,
IF(D435="Juvenile Audiobook",RIGHT(B435,LEN(B435)-8),
IF(D435="Juvenile Nonfiction",RIGHT(B435,LEN(B435)-2),
IF(D435="Teen Nonfiction",RIGHT(B435,LEN(B435)-5),
IF(AND(D435="Audiobook",
              NOT(OR(Contains($B435,"CD BIO"),Contains($B435,"CD FIC")))),RIGHT(B435,LEN(B435)-3),
IF(D435="Juvenile Biography",RIGHT(B435,LEN(B435)-2),
IF(D435="Teen Biography",RIGHT(B435,LEN(B435)-5),
IF(AND(D435="Audiobook",
              IFERROR(FIND("BIO",$B435)&gt;0,FALSE)),RIGHT(B435,LEN(B435)-3),
IF(D435="Juvenile Large Type","J "&amp;RIGHT(B435,LEN(B435)-11),
IF(D435="Teen Large Type","TEEN "&amp;RIGHT(B435,LEN(B435)-14),
IF(D435="Reference",RIGHT(B435,LEN(B435)-4),
IF(D435="DVD Educational",RIGHT(B435,LEN(B435)-7),
IF(D435="Juvenile DVD Educational",RIGHT(B435,LEN(B435)-9),
B435)))))))))))))))))</f>
        <v/>
      </c>
    </row>
    <row r="436" spans="1:8" ht="27" customHeight="1" x14ac:dyDescent="0.25">
      <c r="A436" s="10" t="str">
        <f ca="1">TEXT( INDIRECT( ADDRESS( ROW() + Row_Offset, INDIRECT( "Column_Number_" &amp; A$1), 4,1, tabname) ), "")</f>
        <v/>
      </c>
      <c r="B436" s="10" t="str">
        <f ca="1">TEXT(  IFERROR( VLOOKUP( $D436, CollName_Simplifier_Table[], 2, FALSE),"") &amp;
        INDIRECT( ADDRESS( ROW() + Row_Offset, INDIRECT( "Column_Number_" &amp; $B$1), 4,1, tabname) ), "")</f>
        <v/>
      </c>
      <c r="C436" s="10" t="str">
        <f ca="1">TEXT( INDIRECT( ADDRESS( ROW() + Row_Offset, INDIRECT( "Column_Number_" &amp; C$1), 4,1, tabname) ), "")</f>
        <v/>
      </c>
      <c r="D436" s="10" t="str">
        <f ca="1">TEXT( INDIRECT( ADDRESS( ROW() + Row_Offset, INDIRECT( "Column_Number_" &amp; D$1), 4,1, tabname) ), "")</f>
        <v/>
      </c>
      <c r="E436" s="10" t="str">
        <f ca="1">TEXT( INDIRECT( ADDRESS( ROW() + Row_Offset, INDIRECT( "Column_Number_" &amp; E$1), 4,1, tabname) ), "####")</f>
        <v/>
      </c>
      <c r="F436" s="15"/>
      <c r="G436" s="21" t="str">
        <f ca="1">IFERROR(INDEX(Rank_Table[],MATCH($D436&amp;$A436,Table4[Join],0)),"")</f>
        <v/>
      </c>
      <c r="H436" s="11" t="str">
        <f ca="1">IF(AND(D436="Juvenile Audiobook",LEFT(B436,8)="J CD BIO"),RIGHT(B436,LEN(B436)-9),
IF(AND(D436="Juvenile Audiobook",LEFT(B436,8)="J CD FIC"),B436,
IF(D436="Juvenile Audiobook",RIGHT(B436,LEN(B436)-5),
IF(AND(D436="Teen Audiobook",LEFT(B436,11)="TEEN CD BIO"),RIGHT(B436,LEN(B436)-12),
IF(AND(D436="Teen Audiobook",LEFT(B436,11)="TEEN CD FIC"),B436,
IF(D436="Juvenile Audiobook",RIGHT(B436,LEN(B436)-8),
IF(D436="Juvenile Nonfiction",RIGHT(B436,LEN(B436)-2),
IF(D436="Teen Nonfiction",RIGHT(B436,LEN(B436)-5),
IF(AND(D436="Audiobook",
              NOT(OR(Contains($B436,"CD BIO"),Contains($B436,"CD FIC")))),RIGHT(B436,LEN(B436)-3),
IF(D436="Juvenile Biography",RIGHT(B436,LEN(B436)-2),
IF(D436="Teen Biography",RIGHT(B436,LEN(B436)-5),
IF(AND(D436="Audiobook",
              IFERROR(FIND("BIO",$B436)&gt;0,FALSE)),RIGHT(B436,LEN(B436)-3),
IF(D436="Juvenile Large Type","J "&amp;RIGHT(B436,LEN(B436)-11),
IF(D436="Teen Large Type","TEEN "&amp;RIGHT(B436,LEN(B436)-14),
IF(D436="Reference",RIGHT(B436,LEN(B436)-4),
IF(D436="DVD Educational",RIGHT(B436,LEN(B436)-7),
IF(D436="Juvenile DVD Educational",RIGHT(B436,LEN(B436)-9),
B436)))))))))))))))))</f>
        <v/>
      </c>
    </row>
    <row r="437" spans="1:8" ht="27" customHeight="1" x14ac:dyDescent="0.25">
      <c r="A437" s="10" t="str">
        <f ca="1">TEXT( INDIRECT( ADDRESS( ROW() + Row_Offset, INDIRECT( "Column_Number_" &amp; A$1), 4,1, tabname) ), "")</f>
        <v/>
      </c>
      <c r="B437" s="10" t="str">
        <f ca="1">TEXT(  IFERROR( VLOOKUP( $D437, CollName_Simplifier_Table[], 2, FALSE),"") &amp;
        INDIRECT( ADDRESS( ROW() + Row_Offset, INDIRECT( "Column_Number_" &amp; $B$1), 4,1, tabname) ), "")</f>
        <v/>
      </c>
      <c r="C437" s="10" t="str">
        <f ca="1">TEXT( INDIRECT( ADDRESS( ROW() + Row_Offset, INDIRECT( "Column_Number_" &amp; C$1), 4,1, tabname) ), "")</f>
        <v/>
      </c>
      <c r="D437" s="10" t="str">
        <f ca="1">TEXT( INDIRECT( ADDRESS( ROW() + Row_Offset, INDIRECT( "Column_Number_" &amp; D$1), 4,1, tabname) ), "")</f>
        <v/>
      </c>
      <c r="E437" s="10" t="str">
        <f ca="1">TEXT( INDIRECT( ADDRESS( ROW() + Row_Offset, INDIRECT( "Column_Number_" &amp; E$1), 4,1, tabname) ), "####")</f>
        <v/>
      </c>
      <c r="F437" s="15"/>
      <c r="G437" s="21" t="str">
        <f ca="1">IFERROR(INDEX(Rank_Table[],MATCH($D437&amp;$A437,Table4[Join],0)),"")</f>
        <v/>
      </c>
      <c r="H437" s="11" t="str">
        <f ca="1">IF(AND(D437="Juvenile Audiobook",LEFT(B437,8)="J CD BIO"),RIGHT(B437,LEN(B437)-9),
IF(AND(D437="Juvenile Audiobook",LEFT(B437,8)="J CD FIC"),B437,
IF(D437="Juvenile Audiobook",RIGHT(B437,LEN(B437)-5),
IF(AND(D437="Teen Audiobook",LEFT(B437,11)="TEEN CD BIO"),RIGHT(B437,LEN(B437)-12),
IF(AND(D437="Teen Audiobook",LEFT(B437,11)="TEEN CD FIC"),B437,
IF(D437="Juvenile Audiobook",RIGHT(B437,LEN(B437)-8),
IF(D437="Juvenile Nonfiction",RIGHT(B437,LEN(B437)-2),
IF(D437="Teen Nonfiction",RIGHT(B437,LEN(B437)-5),
IF(AND(D437="Audiobook",
              NOT(OR(Contains($B437,"CD BIO"),Contains($B437,"CD FIC")))),RIGHT(B437,LEN(B437)-3),
IF(D437="Juvenile Biography",RIGHT(B437,LEN(B437)-2),
IF(D437="Teen Biography",RIGHT(B437,LEN(B437)-5),
IF(AND(D437="Audiobook",
              IFERROR(FIND("BIO",$B437)&gt;0,FALSE)),RIGHT(B437,LEN(B437)-3),
IF(D437="Juvenile Large Type","J "&amp;RIGHT(B437,LEN(B437)-11),
IF(D437="Teen Large Type","TEEN "&amp;RIGHT(B437,LEN(B437)-14),
IF(D437="Reference",RIGHT(B437,LEN(B437)-4),
IF(D437="DVD Educational",RIGHT(B437,LEN(B437)-7),
IF(D437="Juvenile DVD Educational",RIGHT(B437,LEN(B437)-9),
B437)))))))))))))))))</f>
        <v/>
      </c>
    </row>
    <row r="438" spans="1:8" ht="27" customHeight="1" x14ac:dyDescent="0.25">
      <c r="A438" s="10" t="str">
        <f ca="1">TEXT( INDIRECT( ADDRESS( ROW() + Row_Offset, INDIRECT( "Column_Number_" &amp; A$1), 4,1, tabname) ), "")</f>
        <v/>
      </c>
      <c r="B438" s="10" t="str">
        <f ca="1">TEXT(  IFERROR( VLOOKUP( $D438, CollName_Simplifier_Table[], 2, FALSE),"") &amp;
        INDIRECT( ADDRESS( ROW() + Row_Offset, INDIRECT( "Column_Number_" &amp; $B$1), 4,1, tabname) ), "")</f>
        <v/>
      </c>
      <c r="C438" s="10" t="str">
        <f ca="1">TEXT( INDIRECT( ADDRESS( ROW() + Row_Offset, INDIRECT( "Column_Number_" &amp; C$1), 4,1, tabname) ), "")</f>
        <v/>
      </c>
      <c r="D438" s="10" t="str">
        <f ca="1">TEXT( INDIRECT( ADDRESS( ROW() + Row_Offset, INDIRECT( "Column_Number_" &amp; D$1), 4,1, tabname) ), "")</f>
        <v/>
      </c>
      <c r="E438" s="10" t="str">
        <f ca="1">TEXT( INDIRECT( ADDRESS( ROW() + Row_Offset, INDIRECT( "Column_Number_" &amp; E$1), 4,1, tabname) ), "####")</f>
        <v/>
      </c>
      <c r="F438" s="15"/>
      <c r="G438" s="21" t="str">
        <f ca="1">IFERROR(INDEX(Rank_Table[],MATCH($D438&amp;$A438,Table4[Join],0)),"")</f>
        <v/>
      </c>
      <c r="H438" s="11" t="str">
        <f ca="1">IF(AND(D438="Juvenile Audiobook",LEFT(B438,8)="J CD BIO"),RIGHT(B438,LEN(B438)-9),
IF(AND(D438="Juvenile Audiobook",LEFT(B438,8)="J CD FIC"),B438,
IF(D438="Juvenile Audiobook",RIGHT(B438,LEN(B438)-5),
IF(AND(D438="Teen Audiobook",LEFT(B438,11)="TEEN CD BIO"),RIGHT(B438,LEN(B438)-12),
IF(AND(D438="Teen Audiobook",LEFT(B438,11)="TEEN CD FIC"),B438,
IF(D438="Juvenile Audiobook",RIGHT(B438,LEN(B438)-8),
IF(D438="Juvenile Nonfiction",RIGHT(B438,LEN(B438)-2),
IF(D438="Teen Nonfiction",RIGHT(B438,LEN(B438)-5),
IF(AND(D438="Audiobook",
              NOT(OR(Contains($B438,"CD BIO"),Contains($B438,"CD FIC")))),RIGHT(B438,LEN(B438)-3),
IF(D438="Juvenile Biography",RIGHT(B438,LEN(B438)-2),
IF(D438="Teen Biography",RIGHT(B438,LEN(B438)-5),
IF(AND(D438="Audiobook",
              IFERROR(FIND("BIO",$B438)&gt;0,FALSE)),RIGHT(B438,LEN(B438)-3),
IF(D438="Juvenile Large Type","J "&amp;RIGHT(B438,LEN(B438)-11),
IF(D438="Teen Large Type","TEEN "&amp;RIGHT(B438,LEN(B438)-14),
IF(D438="Reference",RIGHT(B438,LEN(B438)-4),
IF(D438="DVD Educational",RIGHT(B438,LEN(B438)-7),
IF(D438="Juvenile DVD Educational",RIGHT(B438,LEN(B438)-9),
B438)))))))))))))))))</f>
        <v/>
      </c>
    </row>
    <row r="439" spans="1:8" ht="27" customHeight="1" x14ac:dyDescent="0.25">
      <c r="A439" s="10" t="str">
        <f ca="1">TEXT( INDIRECT( ADDRESS( ROW() + Row_Offset, INDIRECT( "Column_Number_" &amp; A$1), 4,1, tabname) ), "")</f>
        <v/>
      </c>
      <c r="B439" s="10" t="str">
        <f ca="1">TEXT(  IFERROR( VLOOKUP( $D439, CollName_Simplifier_Table[], 2, FALSE),"") &amp;
        INDIRECT( ADDRESS( ROW() + Row_Offset, INDIRECT( "Column_Number_" &amp; $B$1), 4,1, tabname) ), "")</f>
        <v/>
      </c>
      <c r="C439" s="10" t="str">
        <f ca="1">TEXT( INDIRECT( ADDRESS( ROW() + Row_Offset, INDIRECT( "Column_Number_" &amp; C$1), 4,1, tabname) ), "")</f>
        <v/>
      </c>
      <c r="D439" s="10" t="str">
        <f ca="1">TEXT( INDIRECT( ADDRESS( ROW() + Row_Offset, INDIRECT( "Column_Number_" &amp; D$1), 4,1, tabname) ), "")</f>
        <v/>
      </c>
      <c r="E439" s="10" t="str">
        <f ca="1">TEXT( INDIRECT( ADDRESS( ROW() + Row_Offset, INDIRECT( "Column_Number_" &amp; E$1), 4,1, tabname) ), "####")</f>
        <v/>
      </c>
      <c r="F439" s="15"/>
      <c r="G439" s="21" t="str">
        <f ca="1">IFERROR(INDEX(Rank_Table[],MATCH($D439&amp;$A439,Table4[Join],0)),"")</f>
        <v/>
      </c>
      <c r="H439" s="11" t="str">
        <f ca="1">IF(AND(D439="Juvenile Audiobook",LEFT(B439,8)="J CD BIO"),RIGHT(B439,LEN(B439)-9),
IF(AND(D439="Juvenile Audiobook",LEFT(B439,8)="J CD FIC"),B439,
IF(D439="Juvenile Audiobook",RIGHT(B439,LEN(B439)-5),
IF(AND(D439="Teen Audiobook",LEFT(B439,11)="TEEN CD BIO"),RIGHT(B439,LEN(B439)-12),
IF(AND(D439="Teen Audiobook",LEFT(B439,11)="TEEN CD FIC"),B439,
IF(D439="Juvenile Audiobook",RIGHT(B439,LEN(B439)-8),
IF(D439="Juvenile Nonfiction",RIGHT(B439,LEN(B439)-2),
IF(D439="Teen Nonfiction",RIGHT(B439,LEN(B439)-5),
IF(AND(D439="Audiobook",
              NOT(OR(Contains($B439,"CD BIO"),Contains($B439,"CD FIC")))),RIGHT(B439,LEN(B439)-3),
IF(D439="Juvenile Biography",RIGHT(B439,LEN(B439)-2),
IF(D439="Teen Biography",RIGHT(B439,LEN(B439)-5),
IF(AND(D439="Audiobook",
              IFERROR(FIND("BIO",$B439)&gt;0,FALSE)),RIGHT(B439,LEN(B439)-3),
IF(D439="Juvenile Large Type","J "&amp;RIGHT(B439,LEN(B439)-11),
IF(D439="Teen Large Type","TEEN "&amp;RIGHT(B439,LEN(B439)-14),
IF(D439="Reference",RIGHT(B439,LEN(B439)-4),
IF(D439="DVD Educational",RIGHT(B439,LEN(B439)-7),
IF(D439="Juvenile DVD Educational",RIGHT(B439,LEN(B439)-9),
B439)))))))))))))))))</f>
        <v/>
      </c>
    </row>
    <row r="440" spans="1:8" ht="27" customHeight="1" x14ac:dyDescent="0.25">
      <c r="A440" s="10" t="str">
        <f ca="1">TEXT( INDIRECT( ADDRESS( ROW() + Row_Offset, INDIRECT( "Column_Number_" &amp; A$1), 4,1, tabname) ), "")</f>
        <v/>
      </c>
      <c r="B440" s="10" t="str">
        <f ca="1">TEXT(  IFERROR( VLOOKUP( $D440, CollName_Simplifier_Table[], 2, FALSE),"") &amp;
        INDIRECT( ADDRESS( ROW() + Row_Offset, INDIRECT( "Column_Number_" &amp; $B$1), 4,1, tabname) ), "")</f>
        <v/>
      </c>
      <c r="C440" s="10" t="str">
        <f ca="1">TEXT( INDIRECT( ADDRESS( ROW() + Row_Offset, INDIRECT( "Column_Number_" &amp; C$1), 4,1, tabname) ), "")</f>
        <v/>
      </c>
      <c r="D440" s="10" t="str">
        <f ca="1">TEXT( INDIRECT( ADDRESS( ROW() + Row_Offset, INDIRECT( "Column_Number_" &amp; D$1), 4,1, tabname) ), "")</f>
        <v/>
      </c>
      <c r="E440" s="10" t="str">
        <f ca="1">TEXT( INDIRECT( ADDRESS( ROW() + Row_Offset, INDIRECT( "Column_Number_" &amp; E$1), 4,1, tabname) ), "####")</f>
        <v/>
      </c>
      <c r="F440" s="15"/>
      <c r="G440" s="21" t="str">
        <f ca="1">IFERROR(INDEX(Rank_Table[],MATCH($D440&amp;$A440,Table4[Join],0)),"")</f>
        <v/>
      </c>
      <c r="H440" s="11" t="str">
        <f ca="1">IF(AND(D440="Juvenile Audiobook",LEFT(B440,8)="J CD BIO"),RIGHT(B440,LEN(B440)-9),
IF(AND(D440="Juvenile Audiobook",LEFT(B440,8)="J CD FIC"),B440,
IF(D440="Juvenile Audiobook",RIGHT(B440,LEN(B440)-5),
IF(AND(D440="Teen Audiobook",LEFT(B440,11)="TEEN CD BIO"),RIGHT(B440,LEN(B440)-12),
IF(AND(D440="Teen Audiobook",LEFT(B440,11)="TEEN CD FIC"),B440,
IF(D440="Juvenile Audiobook",RIGHT(B440,LEN(B440)-8),
IF(D440="Juvenile Nonfiction",RIGHT(B440,LEN(B440)-2),
IF(D440="Teen Nonfiction",RIGHT(B440,LEN(B440)-5),
IF(AND(D440="Audiobook",
              NOT(OR(Contains($B440,"CD BIO"),Contains($B440,"CD FIC")))),RIGHT(B440,LEN(B440)-3),
IF(D440="Juvenile Biography",RIGHT(B440,LEN(B440)-2),
IF(D440="Teen Biography",RIGHT(B440,LEN(B440)-5),
IF(AND(D440="Audiobook",
              IFERROR(FIND("BIO",$B440)&gt;0,FALSE)),RIGHT(B440,LEN(B440)-3),
IF(D440="Juvenile Large Type","J "&amp;RIGHT(B440,LEN(B440)-11),
IF(D440="Teen Large Type","TEEN "&amp;RIGHT(B440,LEN(B440)-14),
IF(D440="Reference",RIGHT(B440,LEN(B440)-4),
IF(D440="DVD Educational",RIGHT(B440,LEN(B440)-7),
IF(D440="Juvenile DVD Educational",RIGHT(B440,LEN(B440)-9),
B440)))))))))))))))))</f>
        <v/>
      </c>
    </row>
    <row r="441" spans="1:8" ht="27" customHeight="1" x14ac:dyDescent="0.25">
      <c r="A441" s="10" t="str">
        <f ca="1">TEXT( INDIRECT( ADDRESS( ROW() + Row_Offset, INDIRECT( "Column_Number_" &amp; A$1), 4,1, tabname) ), "")</f>
        <v/>
      </c>
      <c r="B441" s="10" t="str">
        <f ca="1">TEXT(  IFERROR( VLOOKUP( $D441, CollName_Simplifier_Table[], 2, FALSE),"") &amp;
        INDIRECT( ADDRESS( ROW() + Row_Offset, INDIRECT( "Column_Number_" &amp; $B$1), 4,1, tabname) ), "")</f>
        <v/>
      </c>
      <c r="C441" s="10" t="str">
        <f ca="1">TEXT( INDIRECT( ADDRESS( ROW() + Row_Offset, INDIRECT( "Column_Number_" &amp; C$1), 4,1, tabname) ), "")</f>
        <v/>
      </c>
      <c r="D441" s="10" t="str">
        <f ca="1">TEXT( INDIRECT( ADDRESS( ROW() + Row_Offset, INDIRECT( "Column_Number_" &amp; D$1), 4,1, tabname) ), "")</f>
        <v/>
      </c>
      <c r="E441" s="10" t="str">
        <f ca="1">TEXT( INDIRECT( ADDRESS( ROW() + Row_Offset, INDIRECT( "Column_Number_" &amp; E$1), 4,1, tabname) ), "####")</f>
        <v/>
      </c>
      <c r="F441" s="15"/>
      <c r="G441" s="21" t="str">
        <f ca="1">IFERROR(INDEX(Rank_Table[],MATCH($D441&amp;$A441,Table4[Join],0)),"")</f>
        <v/>
      </c>
      <c r="H441" s="11" t="str">
        <f ca="1">IF(AND(D441="Juvenile Audiobook",LEFT(B441,8)="J CD BIO"),RIGHT(B441,LEN(B441)-9),
IF(AND(D441="Juvenile Audiobook",LEFT(B441,8)="J CD FIC"),B441,
IF(D441="Juvenile Audiobook",RIGHT(B441,LEN(B441)-5),
IF(AND(D441="Teen Audiobook",LEFT(B441,11)="TEEN CD BIO"),RIGHT(B441,LEN(B441)-12),
IF(AND(D441="Teen Audiobook",LEFT(B441,11)="TEEN CD FIC"),B441,
IF(D441="Juvenile Audiobook",RIGHT(B441,LEN(B441)-8),
IF(D441="Juvenile Nonfiction",RIGHT(B441,LEN(B441)-2),
IF(D441="Teen Nonfiction",RIGHT(B441,LEN(B441)-5),
IF(AND(D441="Audiobook",
              NOT(OR(Contains($B441,"CD BIO"),Contains($B441,"CD FIC")))),RIGHT(B441,LEN(B441)-3),
IF(D441="Juvenile Biography",RIGHT(B441,LEN(B441)-2),
IF(D441="Teen Biography",RIGHT(B441,LEN(B441)-5),
IF(AND(D441="Audiobook",
              IFERROR(FIND("BIO",$B441)&gt;0,FALSE)),RIGHT(B441,LEN(B441)-3),
IF(D441="Juvenile Large Type","J "&amp;RIGHT(B441,LEN(B441)-11),
IF(D441="Teen Large Type","TEEN "&amp;RIGHT(B441,LEN(B441)-14),
IF(D441="Reference",RIGHT(B441,LEN(B441)-4),
IF(D441="DVD Educational",RIGHT(B441,LEN(B441)-7),
IF(D441="Juvenile DVD Educational",RIGHT(B441,LEN(B441)-9),
B441)))))))))))))))))</f>
        <v/>
      </c>
    </row>
    <row r="442" spans="1:8" ht="27" customHeight="1" x14ac:dyDescent="0.25">
      <c r="A442" s="10" t="str">
        <f ca="1">TEXT( INDIRECT( ADDRESS( ROW() + Row_Offset, INDIRECT( "Column_Number_" &amp; A$1), 4,1, tabname) ), "")</f>
        <v/>
      </c>
      <c r="B442" s="10" t="str">
        <f ca="1">TEXT(  IFERROR( VLOOKUP( $D442, CollName_Simplifier_Table[], 2, FALSE),"") &amp;
        INDIRECT( ADDRESS( ROW() + Row_Offset, INDIRECT( "Column_Number_" &amp; $B$1), 4,1, tabname) ), "")</f>
        <v/>
      </c>
      <c r="C442" s="10" t="str">
        <f ca="1">TEXT( INDIRECT( ADDRESS( ROW() + Row_Offset, INDIRECT( "Column_Number_" &amp; C$1), 4,1, tabname) ), "")</f>
        <v/>
      </c>
      <c r="D442" s="10" t="str">
        <f ca="1">TEXT( INDIRECT( ADDRESS( ROW() + Row_Offset, INDIRECT( "Column_Number_" &amp; D$1), 4,1, tabname) ), "")</f>
        <v/>
      </c>
      <c r="E442" s="10" t="str">
        <f ca="1">TEXT( INDIRECT( ADDRESS( ROW() + Row_Offset, INDIRECT( "Column_Number_" &amp; E$1), 4,1, tabname) ), "####")</f>
        <v/>
      </c>
      <c r="F442" s="15"/>
      <c r="G442" s="21" t="str">
        <f ca="1">IFERROR(INDEX(Rank_Table[],MATCH($D442&amp;$A442,Table4[Join],0)),"")</f>
        <v/>
      </c>
      <c r="H442" s="11" t="str">
        <f ca="1">IF(AND(D442="Juvenile Audiobook",LEFT(B442,8)="J CD BIO"),RIGHT(B442,LEN(B442)-9),
IF(AND(D442="Juvenile Audiobook",LEFT(B442,8)="J CD FIC"),B442,
IF(D442="Juvenile Audiobook",RIGHT(B442,LEN(B442)-5),
IF(AND(D442="Teen Audiobook",LEFT(B442,11)="TEEN CD BIO"),RIGHT(B442,LEN(B442)-12),
IF(AND(D442="Teen Audiobook",LEFT(B442,11)="TEEN CD FIC"),B442,
IF(D442="Juvenile Audiobook",RIGHT(B442,LEN(B442)-8),
IF(D442="Juvenile Nonfiction",RIGHT(B442,LEN(B442)-2),
IF(D442="Teen Nonfiction",RIGHT(B442,LEN(B442)-5),
IF(AND(D442="Audiobook",
              NOT(OR(Contains($B442,"CD BIO"),Contains($B442,"CD FIC")))),RIGHT(B442,LEN(B442)-3),
IF(D442="Juvenile Biography",RIGHT(B442,LEN(B442)-2),
IF(D442="Teen Biography",RIGHT(B442,LEN(B442)-5),
IF(AND(D442="Audiobook",
              IFERROR(FIND("BIO",$B442)&gt;0,FALSE)),RIGHT(B442,LEN(B442)-3),
IF(D442="Juvenile Large Type","J "&amp;RIGHT(B442,LEN(B442)-11),
IF(D442="Teen Large Type","TEEN "&amp;RIGHT(B442,LEN(B442)-14),
IF(D442="Reference",RIGHT(B442,LEN(B442)-4),
IF(D442="DVD Educational",RIGHT(B442,LEN(B442)-7),
IF(D442="Juvenile DVD Educational",RIGHT(B442,LEN(B442)-9),
B442)))))))))))))))))</f>
        <v/>
      </c>
    </row>
    <row r="443" spans="1:8" ht="27" customHeight="1" x14ac:dyDescent="0.25">
      <c r="A443" s="10" t="str">
        <f ca="1">TEXT( INDIRECT( ADDRESS( ROW() + Row_Offset, INDIRECT( "Column_Number_" &amp; A$1), 4,1, tabname) ), "")</f>
        <v/>
      </c>
      <c r="B443" s="10" t="str">
        <f ca="1">TEXT(  IFERROR( VLOOKUP( $D443, CollName_Simplifier_Table[], 2, FALSE),"") &amp;
        INDIRECT( ADDRESS( ROW() + Row_Offset, INDIRECT( "Column_Number_" &amp; $B$1), 4,1, tabname) ), "")</f>
        <v/>
      </c>
      <c r="C443" s="10" t="str">
        <f ca="1">TEXT( INDIRECT( ADDRESS( ROW() + Row_Offset, INDIRECT( "Column_Number_" &amp; C$1), 4,1, tabname) ), "")</f>
        <v/>
      </c>
      <c r="D443" s="10" t="str">
        <f ca="1">TEXT( INDIRECT( ADDRESS( ROW() + Row_Offset, INDIRECT( "Column_Number_" &amp; D$1), 4,1, tabname) ), "")</f>
        <v/>
      </c>
      <c r="E443" s="10" t="str">
        <f ca="1">TEXT( INDIRECT( ADDRESS( ROW() + Row_Offset, INDIRECT( "Column_Number_" &amp; E$1), 4,1, tabname) ), "####")</f>
        <v/>
      </c>
      <c r="F443" s="15"/>
      <c r="G443" s="21" t="str">
        <f ca="1">IFERROR(INDEX(Rank_Table[],MATCH($D443&amp;$A443,Table4[Join],0)),"")</f>
        <v/>
      </c>
      <c r="H443" s="11" t="str">
        <f ca="1">IF(AND(D443="Juvenile Audiobook",LEFT(B443,8)="J CD BIO"),RIGHT(B443,LEN(B443)-9),
IF(AND(D443="Juvenile Audiobook",LEFT(B443,8)="J CD FIC"),B443,
IF(D443="Juvenile Audiobook",RIGHT(B443,LEN(B443)-5),
IF(AND(D443="Teen Audiobook",LEFT(B443,11)="TEEN CD BIO"),RIGHT(B443,LEN(B443)-12),
IF(AND(D443="Teen Audiobook",LEFT(B443,11)="TEEN CD FIC"),B443,
IF(D443="Juvenile Audiobook",RIGHT(B443,LEN(B443)-8),
IF(D443="Juvenile Nonfiction",RIGHT(B443,LEN(B443)-2),
IF(D443="Teen Nonfiction",RIGHT(B443,LEN(B443)-5),
IF(AND(D443="Audiobook",
              NOT(OR(Contains($B443,"CD BIO"),Contains($B443,"CD FIC")))),RIGHT(B443,LEN(B443)-3),
IF(D443="Juvenile Biography",RIGHT(B443,LEN(B443)-2),
IF(D443="Teen Biography",RIGHT(B443,LEN(B443)-5),
IF(AND(D443="Audiobook",
              IFERROR(FIND("BIO",$B443)&gt;0,FALSE)),RIGHT(B443,LEN(B443)-3),
IF(D443="Juvenile Large Type","J "&amp;RIGHT(B443,LEN(B443)-11),
IF(D443="Teen Large Type","TEEN "&amp;RIGHT(B443,LEN(B443)-14),
IF(D443="Reference",RIGHT(B443,LEN(B443)-4),
IF(D443="DVD Educational",RIGHT(B443,LEN(B443)-7),
IF(D443="Juvenile DVD Educational",RIGHT(B443,LEN(B443)-9),
B443)))))))))))))))))</f>
        <v/>
      </c>
    </row>
    <row r="444" spans="1:8" ht="27" customHeight="1" x14ac:dyDescent="0.25">
      <c r="A444" s="10" t="str">
        <f ca="1">TEXT( INDIRECT( ADDRESS( ROW() + Row_Offset, INDIRECT( "Column_Number_" &amp; A$1), 4,1, tabname) ), "")</f>
        <v/>
      </c>
      <c r="B444" s="10" t="str">
        <f ca="1">TEXT(  IFERROR( VLOOKUP( $D444, CollName_Simplifier_Table[], 2, FALSE),"") &amp;
        INDIRECT( ADDRESS( ROW() + Row_Offset, INDIRECT( "Column_Number_" &amp; $B$1), 4,1, tabname) ), "")</f>
        <v/>
      </c>
      <c r="C444" s="10" t="str">
        <f ca="1">TEXT( INDIRECT( ADDRESS( ROW() + Row_Offset, INDIRECT( "Column_Number_" &amp; C$1), 4,1, tabname) ), "")</f>
        <v/>
      </c>
      <c r="D444" s="10" t="str">
        <f ca="1">TEXT( INDIRECT( ADDRESS( ROW() + Row_Offset, INDIRECT( "Column_Number_" &amp; D$1), 4,1, tabname) ), "")</f>
        <v/>
      </c>
      <c r="E444" s="10" t="str">
        <f ca="1">TEXT( INDIRECT( ADDRESS( ROW() + Row_Offset, INDIRECT( "Column_Number_" &amp; E$1), 4,1, tabname) ), "####")</f>
        <v/>
      </c>
      <c r="F444" s="15"/>
      <c r="G444" s="21" t="str">
        <f ca="1">IFERROR(INDEX(Rank_Table[],MATCH($D444&amp;$A444,Table4[Join],0)),"")</f>
        <v/>
      </c>
      <c r="H444" s="11" t="str">
        <f ca="1">IF(AND(D444="Juvenile Audiobook",LEFT(B444,8)="J CD BIO"),RIGHT(B444,LEN(B444)-9),
IF(AND(D444="Juvenile Audiobook",LEFT(B444,8)="J CD FIC"),B444,
IF(D444="Juvenile Audiobook",RIGHT(B444,LEN(B444)-5),
IF(AND(D444="Teen Audiobook",LEFT(B444,11)="TEEN CD BIO"),RIGHT(B444,LEN(B444)-12),
IF(AND(D444="Teen Audiobook",LEFT(B444,11)="TEEN CD FIC"),B444,
IF(D444="Juvenile Audiobook",RIGHT(B444,LEN(B444)-8),
IF(D444="Juvenile Nonfiction",RIGHT(B444,LEN(B444)-2),
IF(D444="Teen Nonfiction",RIGHT(B444,LEN(B444)-5),
IF(AND(D444="Audiobook",
              NOT(OR(Contains($B444,"CD BIO"),Contains($B444,"CD FIC")))),RIGHT(B444,LEN(B444)-3),
IF(D444="Juvenile Biography",RIGHT(B444,LEN(B444)-2),
IF(D444="Teen Biography",RIGHT(B444,LEN(B444)-5),
IF(AND(D444="Audiobook",
              IFERROR(FIND("BIO",$B444)&gt;0,FALSE)),RIGHT(B444,LEN(B444)-3),
IF(D444="Juvenile Large Type","J "&amp;RIGHT(B444,LEN(B444)-11),
IF(D444="Teen Large Type","TEEN "&amp;RIGHT(B444,LEN(B444)-14),
IF(D444="Reference",RIGHT(B444,LEN(B444)-4),
IF(D444="DVD Educational",RIGHT(B444,LEN(B444)-7),
IF(D444="Juvenile DVD Educational",RIGHT(B444,LEN(B444)-9),
B444)))))))))))))))))</f>
        <v/>
      </c>
    </row>
    <row r="445" spans="1:8" ht="27" customHeight="1" x14ac:dyDescent="0.25">
      <c r="A445" s="10" t="str">
        <f ca="1">TEXT( INDIRECT( ADDRESS( ROW() + Row_Offset, INDIRECT( "Column_Number_" &amp; A$1), 4,1, tabname) ), "")</f>
        <v/>
      </c>
      <c r="B445" s="10" t="str">
        <f ca="1">TEXT(  IFERROR( VLOOKUP( $D445, CollName_Simplifier_Table[], 2, FALSE),"") &amp;
        INDIRECT( ADDRESS( ROW() + Row_Offset, INDIRECT( "Column_Number_" &amp; $B$1), 4,1, tabname) ), "")</f>
        <v/>
      </c>
      <c r="C445" s="10" t="str">
        <f ca="1">TEXT( INDIRECT( ADDRESS( ROW() + Row_Offset, INDIRECT( "Column_Number_" &amp; C$1), 4,1, tabname) ), "")</f>
        <v/>
      </c>
      <c r="D445" s="10" t="str">
        <f ca="1">TEXT( INDIRECT( ADDRESS( ROW() + Row_Offset, INDIRECT( "Column_Number_" &amp; D$1), 4,1, tabname) ), "")</f>
        <v/>
      </c>
      <c r="E445" s="10" t="str">
        <f ca="1">TEXT( INDIRECT( ADDRESS( ROW() + Row_Offset, INDIRECT( "Column_Number_" &amp; E$1), 4,1, tabname) ), "####")</f>
        <v/>
      </c>
      <c r="F445" s="15"/>
      <c r="G445" s="21" t="str">
        <f ca="1">IFERROR(INDEX(Rank_Table[],MATCH($D445&amp;$A445,Table4[Join],0)),"")</f>
        <v/>
      </c>
      <c r="H445" s="11" t="str">
        <f ca="1">IF(AND(D445="Juvenile Audiobook",LEFT(B445,8)="J CD BIO"),RIGHT(B445,LEN(B445)-9),
IF(AND(D445="Juvenile Audiobook",LEFT(B445,8)="J CD FIC"),B445,
IF(D445="Juvenile Audiobook",RIGHT(B445,LEN(B445)-5),
IF(AND(D445="Teen Audiobook",LEFT(B445,11)="TEEN CD BIO"),RIGHT(B445,LEN(B445)-12),
IF(AND(D445="Teen Audiobook",LEFT(B445,11)="TEEN CD FIC"),B445,
IF(D445="Juvenile Audiobook",RIGHT(B445,LEN(B445)-8),
IF(D445="Juvenile Nonfiction",RIGHT(B445,LEN(B445)-2),
IF(D445="Teen Nonfiction",RIGHT(B445,LEN(B445)-5),
IF(AND(D445="Audiobook",
              NOT(OR(Contains($B445,"CD BIO"),Contains($B445,"CD FIC")))),RIGHT(B445,LEN(B445)-3),
IF(D445="Juvenile Biography",RIGHT(B445,LEN(B445)-2),
IF(D445="Teen Biography",RIGHT(B445,LEN(B445)-5),
IF(AND(D445="Audiobook",
              IFERROR(FIND("BIO",$B445)&gt;0,FALSE)),RIGHT(B445,LEN(B445)-3),
IF(D445="Juvenile Large Type","J "&amp;RIGHT(B445,LEN(B445)-11),
IF(D445="Teen Large Type","TEEN "&amp;RIGHT(B445,LEN(B445)-14),
IF(D445="Reference",RIGHT(B445,LEN(B445)-4),
IF(D445="DVD Educational",RIGHT(B445,LEN(B445)-7),
IF(D445="Juvenile DVD Educational",RIGHT(B445,LEN(B445)-9),
B445)))))))))))))))))</f>
        <v/>
      </c>
    </row>
    <row r="446" spans="1:8" ht="27" customHeight="1" x14ac:dyDescent="0.25">
      <c r="A446" s="10" t="str">
        <f ca="1">TEXT( INDIRECT( ADDRESS( ROW() + Row_Offset, INDIRECT( "Column_Number_" &amp; A$1), 4,1, tabname) ), "")</f>
        <v/>
      </c>
      <c r="B446" s="10" t="str">
        <f ca="1">TEXT(  IFERROR( VLOOKUP( $D446, CollName_Simplifier_Table[], 2, FALSE),"") &amp;
        INDIRECT( ADDRESS( ROW() + Row_Offset, INDIRECT( "Column_Number_" &amp; $B$1), 4,1, tabname) ), "")</f>
        <v/>
      </c>
      <c r="C446" s="10" t="str">
        <f ca="1">TEXT( INDIRECT( ADDRESS( ROW() + Row_Offset, INDIRECT( "Column_Number_" &amp; C$1), 4,1, tabname) ), "")</f>
        <v/>
      </c>
      <c r="D446" s="10" t="str">
        <f ca="1">TEXT( INDIRECT( ADDRESS( ROW() + Row_Offset, INDIRECT( "Column_Number_" &amp; D$1), 4,1, tabname) ), "")</f>
        <v/>
      </c>
      <c r="E446" s="10" t="str">
        <f ca="1">TEXT( INDIRECT( ADDRESS( ROW() + Row_Offset, INDIRECT( "Column_Number_" &amp; E$1), 4,1, tabname) ), "####")</f>
        <v/>
      </c>
      <c r="F446" s="15"/>
      <c r="G446" s="21" t="str">
        <f ca="1">IFERROR(INDEX(Rank_Table[],MATCH($D446&amp;$A446,Table4[Join],0)),"")</f>
        <v/>
      </c>
      <c r="H446" s="11" t="str">
        <f ca="1">IF(AND(D446="Juvenile Audiobook",LEFT(B446,8)="J CD BIO"),RIGHT(B446,LEN(B446)-9),
IF(AND(D446="Juvenile Audiobook",LEFT(B446,8)="J CD FIC"),B446,
IF(D446="Juvenile Audiobook",RIGHT(B446,LEN(B446)-5),
IF(AND(D446="Teen Audiobook",LEFT(B446,11)="TEEN CD BIO"),RIGHT(B446,LEN(B446)-12),
IF(AND(D446="Teen Audiobook",LEFT(B446,11)="TEEN CD FIC"),B446,
IF(D446="Juvenile Audiobook",RIGHT(B446,LEN(B446)-8),
IF(D446="Juvenile Nonfiction",RIGHT(B446,LEN(B446)-2),
IF(D446="Teen Nonfiction",RIGHT(B446,LEN(B446)-5),
IF(AND(D446="Audiobook",
              NOT(OR(Contains($B446,"CD BIO"),Contains($B446,"CD FIC")))),RIGHT(B446,LEN(B446)-3),
IF(D446="Juvenile Biography",RIGHT(B446,LEN(B446)-2),
IF(D446="Teen Biography",RIGHT(B446,LEN(B446)-5),
IF(AND(D446="Audiobook",
              IFERROR(FIND("BIO",$B446)&gt;0,FALSE)),RIGHT(B446,LEN(B446)-3),
IF(D446="Juvenile Large Type","J "&amp;RIGHT(B446,LEN(B446)-11),
IF(D446="Teen Large Type","TEEN "&amp;RIGHT(B446,LEN(B446)-14),
IF(D446="Reference",RIGHT(B446,LEN(B446)-4),
IF(D446="DVD Educational",RIGHT(B446,LEN(B446)-7),
IF(D446="Juvenile DVD Educational",RIGHT(B446,LEN(B446)-9),
B446)))))))))))))))))</f>
        <v/>
      </c>
    </row>
    <row r="447" spans="1:8" ht="27" customHeight="1" x14ac:dyDescent="0.25">
      <c r="A447" s="10" t="str">
        <f ca="1">TEXT( INDIRECT( ADDRESS( ROW() + Row_Offset, INDIRECT( "Column_Number_" &amp; A$1), 4,1, tabname) ), "")</f>
        <v/>
      </c>
      <c r="B447" s="10" t="str">
        <f ca="1">TEXT(  IFERROR( VLOOKUP( $D447, CollName_Simplifier_Table[], 2, FALSE),"") &amp;
        INDIRECT( ADDRESS( ROW() + Row_Offset, INDIRECT( "Column_Number_" &amp; $B$1), 4,1, tabname) ), "")</f>
        <v/>
      </c>
      <c r="C447" s="10" t="str">
        <f ca="1">TEXT( INDIRECT( ADDRESS( ROW() + Row_Offset, INDIRECT( "Column_Number_" &amp; C$1), 4,1, tabname) ), "")</f>
        <v/>
      </c>
      <c r="D447" s="10" t="str">
        <f ca="1">TEXT( INDIRECT( ADDRESS( ROW() + Row_Offset, INDIRECT( "Column_Number_" &amp; D$1), 4,1, tabname) ), "")</f>
        <v/>
      </c>
      <c r="E447" s="10" t="str">
        <f ca="1">TEXT( INDIRECT( ADDRESS( ROW() + Row_Offset, INDIRECT( "Column_Number_" &amp; E$1), 4,1, tabname) ), "####")</f>
        <v/>
      </c>
      <c r="F447" s="15"/>
      <c r="G447" s="21" t="str">
        <f ca="1">IFERROR(INDEX(Rank_Table[],MATCH($D447&amp;$A447,Table4[Join],0)),"")</f>
        <v/>
      </c>
      <c r="H447" s="11" t="str">
        <f ca="1">IF(AND(D447="Juvenile Audiobook",LEFT(B447,8)="J CD BIO"),RIGHT(B447,LEN(B447)-9),
IF(AND(D447="Juvenile Audiobook",LEFT(B447,8)="J CD FIC"),B447,
IF(D447="Juvenile Audiobook",RIGHT(B447,LEN(B447)-5),
IF(AND(D447="Teen Audiobook",LEFT(B447,11)="TEEN CD BIO"),RIGHT(B447,LEN(B447)-12),
IF(AND(D447="Teen Audiobook",LEFT(B447,11)="TEEN CD FIC"),B447,
IF(D447="Juvenile Audiobook",RIGHT(B447,LEN(B447)-8),
IF(D447="Juvenile Nonfiction",RIGHT(B447,LEN(B447)-2),
IF(D447="Teen Nonfiction",RIGHT(B447,LEN(B447)-5),
IF(AND(D447="Audiobook",
              NOT(OR(Contains($B447,"CD BIO"),Contains($B447,"CD FIC")))),RIGHT(B447,LEN(B447)-3),
IF(D447="Juvenile Biography",RIGHT(B447,LEN(B447)-2),
IF(D447="Teen Biography",RIGHT(B447,LEN(B447)-5),
IF(AND(D447="Audiobook",
              IFERROR(FIND("BIO",$B447)&gt;0,FALSE)),RIGHT(B447,LEN(B447)-3),
IF(D447="Juvenile Large Type","J "&amp;RIGHT(B447,LEN(B447)-11),
IF(D447="Teen Large Type","TEEN "&amp;RIGHT(B447,LEN(B447)-14),
IF(D447="Reference",RIGHT(B447,LEN(B447)-4),
IF(D447="DVD Educational",RIGHT(B447,LEN(B447)-7),
IF(D447="Juvenile DVD Educational",RIGHT(B447,LEN(B447)-9),
B447)))))))))))))))))</f>
        <v/>
      </c>
    </row>
    <row r="448" spans="1:8" ht="27" customHeight="1" x14ac:dyDescent="0.25">
      <c r="A448" s="10" t="str">
        <f ca="1">TEXT( INDIRECT( ADDRESS( ROW() + Row_Offset, INDIRECT( "Column_Number_" &amp; A$1), 4,1, tabname) ), "")</f>
        <v/>
      </c>
      <c r="B448" s="10" t="str">
        <f ca="1">TEXT(  IFERROR( VLOOKUP( $D448, CollName_Simplifier_Table[], 2, FALSE),"") &amp;
        INDIRECT( ADDRESS( ROW() + Row_Offset, INDIRECT( "Column_Number_" &amp; $B$1), 4,1, tabname) ), "")</f>
        <v/>
      </c>
      <c r="C448" s="10" t="str">
        <f ca="1">TEXT( INDIRECT( ADDRESS( ROW() + Row_Offset, INDIRECT( "Column_Number_" &amp; C$1), 4,1, tabname) ), "")</f>
        <v/>
      </c>
      <c r="D448" s="10" t="str">
        <f ca="1">TEXT( INDIRECT( ADDRESS( ROW() + Row_Offset, INDIRECT( "Column_Number_" &amp; D$1), 4,1, tabname) ), "")</f>
        <v/>
      </c>
      <c r="E448" s="10" t="str">
        <f ca="1">TEXT( INDIRECT( ADDRESS( ROW() + Row_Offset, INDIRECT( "Column_Number_" &amp; E$1), 4,1, tabname) ), "####")</f>
        <v/>
      </c>
      <c r="F448" s="15"/>
      <c r="G448" s="21" t="str">
        <f ca="1">IFERROR(INDEX(Rank_Table[],MATCH($D448&amp;$A448,Table4[Join],0)),"")</f>
        <v/>
      </c>
      <c r="H448" s="11" t="str">
        <f ca="1">IF(AND(D448="Juvenile Audiobook",LEFT(B448,8)="J CD BIO"),RIGHT(B448,LEN(B448)-9),
IF(AND(D448="Juvenile Audiobook",LEFT(B448,8)="J CD FIC"),B448,
IF(D448="Juvenile Audiobook",RIGHT(B448,LEN(B448)-5),
IF(AND(D448="Teen Audiobook",LEFT(B448,11)="TEEN CD BIO"),RIGHT(B448,LEN(B448)-12),
IF(AND(D448="Teen Audiobook",LEFT(B448,11)="TEEN CD FIC"),B448,
IF(D448="Juvenile Audiobook",RIGHT(B448,LEN(B448)-8),
IF(D448="Juvenile Nonfiction",RIGHT(B448,LEN(B448)-2),
IF(D448="Teen Nonfiction",RIGHT(B448,LEN(B448)-5),
IF(AND(D448="Audiobook",
              NOT(OR(Contains($B448,"CD BIO"),Contains($B448,"CD FIC")))),RIGHT(B448,LEN(B448)-3),
IF(D448="Juvenile Biography",RIGHT(B448,LEN(B448)-2),
IF(D448="Teen Biography",RIGHT(B448,LEN(B448)-5),
IF(AND(D448="Audiobook",
              IFERROR(FIND("BIO",$B448)&gt;0,FALSE)),RIGHT(B448,LEN(B448)-3),
IF(D448="Juvenile Large Type","J "&amp;RIGHT(B448,LEN(B448)-11),
IF(D448="Teen Large Type","TEEN "&amp;RIGHT(B448,LEN(B448)-14),
IF(D448="Reference",RIGHT(B448,LEN(B448)-4),
IF(D448="DVD Educational",RIGHT(B448,LEN(B448)-7),
IF(D448="Juvenile DVD Educational",RIGHT(B448,LEN(B448)-9),
B448)))))))))))))))))</f>
        <v/>
      </c>
    </row>
    <row r="449" spans="1:8" ht="27" customHeight="1" x14ac:dyDescent="0.25">
      <c r="A449" s="10" t="str">
        <f ca="1">TEXT( INDIRECT( ADDRESS( ROW() + Row_Offset, INDIRECT( "Column_Number_" &amp; A$1), 4,1, tabname) ), "")</f>
        <v/>
      </c>
      <c r="B449" s="10" t="str">
        <f ca="1">TEXT(  IFERROR( VLOOKUP( $D449, CollName_Simplifier_Table[], 2, FALSE),"") &amp;
        INDIRECT( ADDRESS( ROW() + Row_Offset, INDIRECT( "Column_Number_" &amp; $B$1), 4,1, tabname) ), "")</f>
        <v/>
      </c>
      <c r="C449" s="10" t="str">
        <f ca="1">TEXT( INDIRECT( ADDRESS( ROW() + Row_Offset, INDIRECT( "Column_Number_" &amp; C$1), 4,1, tabname) ), "")</f>
        <v/>
      </c>
      <c r="D449" s="10" t="str">
        <f ca="1">TEXT( INDIRECT( ADDRESS( ROW() + Row_Offset, INDIRECT( "Column_Number_" &amp; D$1), 4,1, tabname) ), "")</f>
        <v/>
      </c>
      <c r="E449" s="10" t="str">
        <f ca="1">TEXT( INDIRECT( ADDRESS( ROW() + Row_Offset, INDIRECT( "Column_Number_" &amp; E$1), 4,1, tabname) ), "####")</f>
        <v/>
      </c>
      <c r="F449" s="15"/>
      <c r="G449" s="21" t="str">
        <f ca="1">IFERROR(INDEX(Rank_Table[],MATCH($D449&amp;$A449,Table4[Join],0)),"")</f>
        <v/>
      </c>
      <c r="H449" s="11" t="str">
        <f ca="1">IF(AND(D449="Juvenile Audiobook",LEFT(B449,8)="J CD BIO"),RIGHT(B449,LEN(B449)-9),
IF(AND(D449="Juvenile Audiobook",LEFT(B449,8)="J CD FIC"),B449,
IF(D449="Juvenile Audiobook",RIGHT(B449,LEN(B449)-5),
IF(AND(D449="Teen Audiobook",LEFT(B449,11)="TEEN CD BIO"),RIGHT(B449,LEN(B449)-12),
IF(AND(D449="Teen Audiobook",LEFT(B449,11)="TEEN CD FIC"),B449,
IF(D449="Juvenile Audiobook",RIGHT(B449,LEN(B449)-8),
IF(D449="Juvenile Nonfiction",RIGHT(B449,LEN(B449)-2),
IF(D449="Teen Nonfiction",RIGHT(B449,LEN(B449)-5),
IF(AND(D449="Audiobook",
              NOT(OR(Contains($B449,"CD BIO"),Contains($B449,"CD FIC")))),RIGHT(B449,LEN(B449)-3),
IF(D449="Juvenile Biography",RIGHT(B449,LEN(B449)-2),
IF(D449="Teen Biography",RIGHT(B449,LEN(B449)-5),
IF(AND(D449="Audiobook",
              IFERROR(FIND("BIO",$B449)&gt;0,FALSE)),RIGHT(B449,LEN(B449)-3),
IF(D449="Juvenile Large Type","J "&amp;RIGHT(B449,LEN(B449)-11),
IF(D449="Teen Large Type","TEEN "&amp;RIGHT(B449,LEN(B449)-14),
IF(D449="Reference",RIGHT(B449,LEN(B449)-4),
IF(D449="DVD Educational",RIGHT(B449,LEN(B449)-7),
IF(D449="Juvenile DVD Educational",RIGHT(B449,LEN(B449)-9),
B449)))))))))))))))))</f>
        <v/>
      </c>
    </row>
    <row r="450" spans="1:8" ht="27" customHeight="1" x14ac:dyDescent="0.25">
      <c r="A450" s="10" t="str">
        <f ca="1">TEXT( INDIRECT( ADDRESS( ROW() + Row_Offset, INDIRECT( "Column_Number_" &amp; A$1), 4,1, tabname) ), "")</f>
        <v/>
      </c>
      <c r="B450" s="10" t="str">
        <f ca="1">TEXT(  IFERROR( VLOOKUP( $D450, CollName_Simplifier_Table[], 2, FALSE),"") &amp;
        INDIRECT( ADDRESS( ROW() + Row_Offset, INDIRECT( "Column_Number_" &amp; $B$1), 4,1, tabname) ), "")</f>
        <v/>
      </c>
      <c r="C450" s="10" t="str">
        <f ca="1">TEXT( INDIRECT( ADDRESS( ROW() + Row_Offset, INDIRECT( "Column_Number_" &amp; C$1), 4,1, tabname) ), "")</f>
        <v/>
      </c>
      <c r="D450" s="10" t="str">
        <f ca="1">TEXT( INDIRECT( ADDRESS( ROW() + Row_Offset, INDIRECT( "Column_Number_" &amp; D$1), 4,1, tabname) ), "")</f>
        <v/>
      </c>
      <c r="E450" s="10" t="str">
        <f ca="1">TEXT( INDIRECT( ADDRESS( ROW() + Row_Offset, INDIRECT( "Column_Number_" &amp; E$1), 4,1, tabname) ), "####")</f>
        <v/>
      </c>
      <c r="F450" s="15"/>
      <c r="G450" s="21" t="str">
        <f ca="1">IFERROR(INDEX(Rank_Table[],MATCH($D450&amp;$A450,Table4[Join],0)),"")</f>
        <v/>
      </c>
      <c r="H450" s="11" t="str">
        <f ca="1">IF(AND(D450="Juvenile Audiobook",LEFT(B450,8)="J CD BIO"),RIGHT(B450,LEN(B450)-9),
IF(AND(D450="Juvenile Audiobook",LEFT(B450,8)="J CD FIC"),B450,
IF(D450="Juvenile Audiobook",RIGHT(B450,LEN(B450)-5),
IF(AND(D450="Teen Audiobook",LEFT(B450,11)="TEEN CD BIO"),RIGHT(B450,LEN(B450)-12),
IF(AND(D450="Teen Audiobook",LEFT(B450,11)="TEEN CD FIC"),B450,
IF(D450="Juvenile Audiobook",RIGHT(B450,LEN(B450)-8),
IF(D450="Juvenile Nonfiction",RIGHT(B450,LEN(B450)-2),
IF(D450="Teen Nonfiction",RIGHT(B450,LEN(B450)-5),
IF(AND(D450="Audiobook",
              NOT(OR(Contains($B450,"CD BIO"),Contains($B450,"CD FIC")))),RIGHT(B450,LEN(B450)-3),
IF(D450="Juvenile Biography",RIGHT(B450,LEN(B450)-2),
IF(D450="Teen Biography",RIGHT(B450,LEN(B450)-5),
IF(AND(D450="Audiobook",
              IFERROR(FIND("BIO",$B450)&gt;0,FALSE)),RIGHT(B450,LEN(B450)-3),
IF(D450="Juvenile Large Type","J "&amp;RIGHT(B450,LEN(B450)-11),
IF(D450="Teen Large Type","TEEN "&amp;RIGHT(B450,LEN(B450)-14),
IF(D450="Reference",RIGHT(B450,LEN(B450)-4),
IF(D450="DVD Educational",RIGHT(B450,LEN(B450)-7),
IF(D450="Juvenile DVD Educational",RIGHT(B450,LEN(B450)-9),
B450)))))))))))))))))</f>
        <v/>
      </c>
    </row>
    <row r="451" spans="1:8" ht="27" customHeight="1" x14ac:dyDescent="0.25">
      <c r="A451" s="10" t="str">
        <f ca="1">TEXT( INDIRECT( ADDRESS( ROW() + Row_Offset, INDIRECT( "Column_Number_" &amp; A$1), 4,1, tabname) ), "")</f>
        <v/>
      </c>
      <c r="B451" s="10" t="str">
        <f ca="1">TEXT(  IFERROR( VLOOKUP( $D451, CollName_Simplifier_Table[], 2, FALSE),"") &amp;
        INDIRECT( ADDRESS( ROW() + Row_Offset, INDIRECT( "Column_Number_" &amp; $B$1), 4,1, tabname) ), "")</f>
        <v/>
      </c>
      <c r="C451" s="10" t="str">
        <f ca="1">TEXT( INDIRECT( ADDRESS( ROW() + Row_Offset, INDIRECT( "Column_Number_" &amp; C$1), 4,1, tabname) ), "")</f>
        <v/>
      </c>
      <c r="D451" s="10" t="str">
        <f ca="1">TEXT( INDIRECT( ADDRESS( ROW() + Row_Offset, INDIRECT( "Column_Number_" &amp; D$1), 4,1, tabname) ), "")</f>
        <v/>
      </c>
      <c r="E451" s="10" t="str">
        <f ca="1">TEXT( INDIRECT( ADDRESS( ROW() + Row_Offset, INDIRECT( "Column_Number_" &amp; E$1), 4,1, tabname) ), "####")</f>
        <v/>
      </c>
      <c r="F451" s="15"/>
      <c r="G451" s="21" t="str">
        <f ca="1">IFERROR(INDEX(Rank_Table[],MATCH($D451&amp;$A451,Table4[Join],0)),"")</f>
        <v/>
      </c>
      <c r="H451" s="11" t="str">
        <f ca="1">IF(AND(D451="Juvenile Audiobook",LEFT(B451,8)="J CD BIO"),RIGHT(B451,LEN(B451)-9),
IF(AND(D451="Juvenile Audiobook",LEFT(B451,8)="J CD FIC"),B451,
IF(D451="Juvenile Audiobook",RIGHT(B451,LEN(B451)-5),
IF(AND(D451="Teen Audiobook",LEFT(B451,11)="TEEN CD BIO"),RIGHT(B451,LEN(B451)-12),
IF(AND(D451="Teen Audiobook",LEFT(B451,11)="TEEN CD FIC"),B451,
IF(D451="Juvenile Audiobook",RIGHT(B451,LEN(B451)-8),
IF(D451="Juvenile Nonfiction",RIGHT(B451,LEN(B451)-2),
IF(D451="Teen Nonfiction",RIGHT(B451,LEN(B451)-5),
IF(AND(D451="Audiobook",
              NOT(OR(Contains($B451,"CD BIO"),Contains($B451,"CD FIC")))),RIGHT(B451,LEN(B451)-3),
IF(D451="Juvenile Biography",RIGHT(B451,LEN(B451)-2),
IF(D451="Teen Biography",RIGHT(B451,LEN(B451)-5),
IF(AND(D451="Audiobook",
              IFERROR(FIND("BIO",$B451)&gt;0,FALSE)),RIGHT(B451,LEN(B451)-3),
IF(D451="Juvenile Large Type","J "&amp;RIGHT(B451,LEN(B451)-11),
IF(D451="Teen Large Type","TEEN "&amp;RIGHT(B451,LEN(B451)-14),
IF(D451="Reference",RIGHT(B451,LEN(B451)-4),
IF(D451="DVD Educational",RIGHT(B451,LEN(B451)-7),
IF(D451="Juvenile DVD Educational",RIGHT(B451,LEN(B451)-9),
B451)))))))))))))))))</f>
        <v/>
      </c>
    </row>
    <row r="452" spans="1:8" ht="27" customHeight="1" x14ac:dyDescent="0.25">
      <c r="A452" s="10" t="str">
        <f ca="1">TEXT( INDIRECT( ADDRESS( ROW() + Row_Offset, INDIRECT( "Column_Number_" &amp; A$1), 4,1, tabname) ), "")</f>
        <v/>
      </c>
      <c r="B452" s="10" t="str">
        <f ca="1">TEXT(  IFERROR( VLOOKUP( $D452, CollName_Simplifier_Table[], 2, FALSE),"") &amp;
        INDIRECT( ADDRESS( ROW() + Row_Offset, INDIRECT( "Column_Number_" &amp; $B$1), 4,1, tabname) ), "")</f>
        <v/>
      </c>
      <c r="C452" s="10" t="str">
        <f ca="1">TEXT( INDIRECT( ADDRESS( ROW() + Row_Offset, INDIRECT( "Column_Number_" &amp; C$1), 4,1, tabname) ), "")</f>
        <v/>
      </c>
      <c r="D452" s="10" t="str">
        <f ca="1">TEXT( INDIRECT( ADDRESS( ROW() + Row_Offset, INDIRECT( "Column_Number_" &amp; D$1), 4,1, tabname) ), "")</f>
        <v/>
      </c>
      <c r="E452" s="10" t="str">
        <f ca="1">TEXT( INDIRECT( ADDRESS( ROW() + Row_Offset, INDIRECT( "Column_Number_" &amp; E$1), 4,1, tabname) ), "####")</f>
        <v/>
      </c>
      <c r="F452" s="15"/>
      <c r="G452" s="21" t="str">
        <f ca="1">IFERROR(INDEX(Rank_Table[],MATCH($D452&amp;$A452,Table4[Join],0)),"")</f>
        <v/>
      </c>
      <c r="H452" s="11" t="str">
        <f ca="1">IF(AND(D452="Juvenile Audiobook",LEFT(B452,8)="J CD BIO"),RIGHT(B452,LEN(B452)-9),
IF(AND(D452="Juvenile Audiobook",LEFT(B452,8)="J CD FIC"),B452,
IF(D452="Juvenile Audiobook",RIGHT(B452,LEN(B452)-5),
IF(AND(D452="Teen Audiobook",LEFT(B452,11)="TEEN CD BIO"),RIGHT(B452,LEN(B452)-12),
IF(AND(D452="Teen Audiobook",LEFT(B452,11)="TEEN CD FIC"),B452,
IF(D452="Juvenile Audiobook",RIGHT(B452,LEN(B452)-8),
IF(D452="Juvenile Nonfiction",RIGHT(B452,LEN(B452)-2),
IF(D452="Teen Nonfiction",RIGHT(B452,LEN(B452)-5),
IF(AND(D452="Audiobook",
              NOT(OR(Contains($B452,"CD BIO"),Contains($B452,"CD FIC")))),RIGHT(B452,LEN(B452)-3),
IF(D452="Juvenile Biography",RIGHT(B452,LEN(B452)-2),
IF(D452="Teen Biography",RIGHT(B452,LEN(B452)-5),
IF(AND(D452="Audiobook",
              IFERROR(FIND("BIO",$B452)&gt;0,FALSE)),RIGHT(B452,LEN(B452)-3),
IF(D452="Juvenile Large Type","J "&amp;RIGHT(B452,LEN(B452)-11),
IF(D452="Teen Large Type","TEEN "&amp;RIGHT(B452,LEN(B452)-14),
IF(D452="Reference",RIGHT(B452,LEN(B452)-4),
IF(D452="DVD Educational",RIGHT(B452,LEN(B452)-7),
IF(D452="Juvenile DVD Educational",RIGHT(B452,LEN(B452)-9),
B452)))))))))))))))))</f>
        <v/>
      </c>
    </row>
    <row r="453" spans="1:8" ht="27" customHeight="1" x14ac:dyDescent="0.25">
      <c r="A453" s="10" t="str">
        <f ca="1">TEXT( INDIRECT( ADDRESS( ROW() + Row_Offset, INDIRECT( "Column_Number_" &amp; A$1), 4,1, tabname) ), "")</f>
        <v/>
      </c>
      <c r="B453" s="10" t="str">
        <f ca="1">TEXT(  IFERROR( VLOOKUP( $D453, CollName_Simplifier_Table[], 2, FALSE),"") &amp;
        INDIRECT( ADDRESS( ROW() + Row_Offset, INDIRECT( "Column_Number_" &amp; $B$1), 4,1, tabname) ), "")</f>
        <v/>
      </c>
      <c r="C453" s="10" t="str">
        <f ca="1">TEXT( INDIRECT( ADDRESS( ROW() + Row_Offset, INDIRECT( "Column_Number_" &amp; C$1), 4,1, tabname) ), "")</f>
        <v/>
      </c>
      <c r="D453" s="10" t="str">
        <f ca="1">TEXT( INDIRECT( ADDRESS( ROW() + Row_Offset, INDIRECT( "Column_Number_" &amp; D$1), 4,1, tabname) ), "")</f>
        <v/>
      </c>
      <c r="E453" s="10" t="str">
        <f ca="1">TEXT( INDIRECT( ADDRESS( ROW() + Row_Offset, INDIRECT( "Column_Number_" &amp; E$1), 4,1, tabname) ), "####")</f>
        <v/>
      </c>
      <c r="F453" s="15"/>
      <c r="G453" s="21" t="str">
        <f ca="1">IFERROR(INDEX(Rank_Table[],MATCH($D453&amp;$A453,Table4[Join],0)),"")</f>
        <v/>
      </c>
      <c r="H453" s="11" t="str">
        <f ca="1">IF(AND(D453="Juvenile Audiobook",LEFT(B453,8)="J CD BIO"),RIGHT(B453,LEN(B453)-9),
IF(AND(D453="Juvenile Audiobook",LEFT(B453,8)="J CD FIC"),B453,
IF(D453="Juvenile Audiobook",RIGHT(B453,LEN(B453)-5),
IF(AND(D453="Teen Audiobook",LEFT(B453,11)="TEEN CD BIO"),RIGHT(B453,LEN(B453)-12),
IF(AND(D453="Teen Audiobook",LEFT(B453,11)="TEEN CD FIC"),B453,
IF(D453="Juvenile Audiobook",RIGHT(B453,LEN(B453)-8),
IF(D453="Juvenile Nonfiction",RIGHT(B453,LEN(B453)-2),
IF(D453="Teen Nonfiction",RIGHT(B453,LEN(B453)-5),
IF(AND(D453="Audiobook",
              NOT(OR(Contains($B453,"CD BIO"),Contains($B453,"CD FIC")))),RIGHT(B453,LEN(B453)-3),
IF(D453="Juvenile Biography",RIGHT(B453,LEN(B453)-2),
IF(D453="Teen Biography",RIGHT(B453,LEN(B453)-5),
IF(AND(D453="Audiobook",
              IFERROR(FIND("BIO",$B453)&gt;0,FALSE)),RIGHT(B453,LEN(B453)-3),
IF(D453="Juvenile Large Type","J "&amp;RIGHT(B453,LEN(B453)-11),
IF(D453="Teen Large Type","TEEN "&amp;RIGHT(B453,LEN(B453)-14),
IF(D453="Reference",RIGHT(B453,LEN(B453)-4),
IF(D453="DVD Educational",RIGHT(B453,LEN(B453)-7),
IF(D453="Juvenile DVD Educational",RIGHT(B453,LEN(B453)-9),
B453)))))))))))))))))</f>
        <v/>
      </c>
    </row>
    <row r="454" spans="1:8" ht="27" customHeight="1" x14ac:dyDescent="0.25">
      <c r="A454" s="10" t="str">
        <f ca="1">TEXT( INDIRECT( ADDRESS( ROW() + Row_Offset, INDIRECT( "Column_Number_" &amp; A$1), 4,1, tabname) ), "")</f>
        <v/>
      </c>
      <c r="B454" s="10" t="str">
        <f ca="1">TEXT(  IFERROR( VLOOKUP( $D454, CollName_Simplifier_Table[], 2, FALSE),"") &amp;
        INDIRECT( ADDRESS( ROW() + Row_Offset, INDIRECT( "Column_Number_" &amp; $B$1), 4,1, tabname) ), "")</f>
        <v/>
      </c>
      <c r="C454" s="10" t="str">
        <f ca="1">TEXT( INDIRECT( ADDRESS( ROW() + Row_Offset, INDIRECT( "Column_Number_" &amp; C$1), 4,1, tabname) ), "")</f>
        <v/>
      </c>
      <c r="D454" s="10" t="str">
        <f ca="1">TEXT( INDIRECT( ADDRESS( ROW() + Row_Offset, INDIRECT( "Column_Number_" &amp; D$1), 4,1, tabname) ), "")</f>
        <v/>
      </c>
      <c r="E454" s="10" t="str">
        <f ca="1">TEXT( INDIRECT( ADDRESS( ROW() + Row_Offset, INDIRECT( "Column_Number_" &amp; E$1), 4,1, tabname) ), "####")</f>
        <v/>
      </c>
      <c r="F454" s="15"/>
      <c r="G454" s="21" t="str">
        <f ca="1">IFERROR(INDEX(Rank_Table[],MATCH($D454&amp;$A454,Table4[Join],0)),"")</f>
        <v/>
      </c>
      <c r="H454" s="11" t="str">
        <f ca="1">IF(AND(D454="Juvenile Audiobook",LEFT(B454,8)="J CD BIO"),RIGHT(B454,LEN(B454)-9),
IF(AND(D454="Juvenile Audiobook",LEFT(B454,8)="J CD FIC"),B454,
IF(D454="Juvenile Audiobook",RIGHT(B454,LEN(B454)-5),
IF(AND(D454="Teen Audiobook",LEFT(B454,11)="TEEN CD BIO"),RIGHT(B454,LEN(B454)-12),
IF(AND(D454="Teen Audiobook",LEFT(B454,11)="TEEN CD FIC"),B454,
IF(D454="Juvenile Audiobook",RIGHT(B454,LEN(B454)-8),
IF(D454="Juvenile Nonfiction",RIGHT(B454,LEN(B454)-2),
IF(D454="Teen Nonfiction",RIGHT(B454,LEN(B454)-5),
IF(AND(D454="Audiobook",
              NOT(OR(Contains($B454,"CD BIO"),Contains($B454,"CD FIC")))),RIGHT(B454,LEN(B454)-3),
IF(D454="Juvenile Biography",RIGHT(B454,LEN(B454)-2),
IF(D454="Teen Biography",RIGHT(B454,LEN(B454)-5),
IF(AND(D454="Audiobook",
              IFERROR(FIND("BIO",$B454)&gt;0,FALSE)),RIGHT(B454,LEN(B454)-3),
IF(D454="Juvenile Large Type","J "&amp;RIGHT(B454,LEN(B454)-11),
IF(D454="Teen Large Type","TEEN "&amp;RIGHT(B454,LEN(B454)-14),
IF(D454="Reference",RIGHT(B454,LEN(B454)-4),
IF(D454="DVD Educational",RIGHT(B454,LEN(B454)-7),
IF(D454="Juvenile DVD Educational",RIGHT(B454,LEN(B454)-9),
B454)))))))))))))))))</f>
        <v/>
      </c>
    </row>
    <row r="455" spans="1:8" ht="27" customHeight="1" x14ac:dyDescent="0.25">
      <c r="A455" s="10" t="str">
        <f ca="1">TEXT( INDIRECT( ADDRESS( ROW() + Row_Offset, INDIRECT( "Column_Number_" &amp; A$1), 4,1, tabname) ), "")</f>
        <v/>
      </c>
      <c r="B455" s="10" t="str">
        <f ca="1">TEXT(  IFERROR( VLOOKUP( $D455, CollName_Simplifier_Table[], 2, FALSE),"") &amp;
        INDIRECT( ADDRESS( ROW() + Row_Offset, INDIRECT( "Column_Number_" &amp; $B$1), 4,1, tabname) ), "")</f>
        <v/>
      </c>
      <c r="C455" s="10" t="str">
        <f ca="1">TEXT( INDIRECT( ADDRESS( ROW() + Row_Offset, INDIRECT( "Column_Number_" &amp; C$1), 4,1, tabname) ), "")</f>
        <v/>
      </c>
      <c r="D455" s="10" t="str">
        <f ca="1">TEXT( INDIRECT( ADDRESS( ROW() + Row_Offset, INDIRECT( "Column_Number_" &amp; D$1), 4,1, tabname) ), "")</f>
        <v/>
      </c>
      <c r="E455" s="10" t="str">
        <f ca="1">TEXT( INDIRECT( ADDRESS( ROW() + Row_Offset, INDIRECT( "Column_Number_" &amp; E$1), 4,1, tabname) ), "####")</f>
        <v/>
      </c>
      <c r="F455" s="15"/>
      <c r="G455" s="21" t="str">
        <f ca="1">IFERROR(INDEX(Rank_Table[],MATCH($D455&amp;$A455,Table4[Join],0)),"")</f>
        <v/>
      </c>
      <c r="H455" s="11" t="str">
        <f ca="1">IF(AND(D455="Juvenile Audiobook",LEFT(B455,8)="J CD BIO"),RIGHT(B455,LEN(B455)-9),
IF(AND(D455="Juvenile Audiobook",LEFT(B455,8)="J CD FIC"),B455,
IF(D455="Juvenile Audiobook",RIGHT(B455,LEN(B455)-5),
IF(AND(D455="Teen Audiobook",LEFT(B455,11)="TEEN CD BIO"),RIGHT(B455,LEN(B455)-12),
IF(AND(D455="Teen Audiobook",LEFT(B455,11)="TEEN CD FIC"),B455,
IF(D455="Juvenile Audiobook",RIGHT(B455,LEN(B455)-8),
IF(D455="Juvenile Nonfiction",RIGHT(B455,LEN(B455)-2),
IF(D455="Teen Nonfiction",RIGHT(B455,LEN(B455)-5),
IF(AND(D455="Audiobook",
              NOT(OR(Contains($B455,"CD BIO"),Contains($B455,"CD FIC")))),RIGHT(B455,LEN(B455)-3),
IF(D455="Juvenile Biography",RIGHT(B455,LEN(B455)-2),
IF(D455="Teen Biography",RIGHT(B455,LEN(B455)-5),
IF(AND(D455="Audiobook",
              IFERROR(FIND("BIO",$B455)&gt;0,FALSE)),RIGHT(B455,LEN(B455)-3),
IF(D455="Juvenile Large Type","J "&amp;RIGHT(B455,LEN(B455)-11),
IF(D455="Teen Large Type","TEEN "&amp;RIGHT(B455,LEN(B455)-14),
IF(D455="Reference",RIGHT(B455,LEN(B455)-4),
IF(D455="DVD Educational",RIGHT(B455,LEN(B455)-7),
IF(D455="Juvenile DVD Educational",RIGHT(B455,LEN(B455)-9),
B455)))))))))))))))))</f>
        <v/>
      </c>
    </row>
    <row r="456" spans="1:8" ht="27" customHeight="1" x14ac:dyDescent="0.25">
      <c r="A456" s="10" t="str">
        <f ca="1">TEXT( INDIRECT( ADDRESS( ROW() + Row_Offset, INDIRECT( "Column_Number_" &amp; A$1), 4,1, tabname) ), "")</f>
        <v/>
      </c>
      <c r="B456" s="10" t="str">
        <f ca="1">TEXT(  IFERROR( VLOOKUP( $D456, CollName_Simplifier_Table[], 2, FALSE),"") &amp;
        INDIRECT( ADDRESS( ROW() + Row_Offset, INDIRECT( "Column_Number_" &amp; $B$1), 4,1, tabname) ), "")</f>
        <v/>
      </c>
      <c r="C456" s="10" t="str">
        <f ca="1">TEXT( INDIRECT( ADDRESS( ROW() + Row_Offset, INDIRECT( "Column_Number_" &amp; C$1), 4,1, tabname) ), "")</f>
        <v/>
      </c>
      <c r="D456" s="10" t="str">
        <f ca="1">TEXT( INDIRECT( ADDRESS( ROW() + Row_Offset, INDIRECT( "Column_Number_" &amp; D$1), 4,1, tabname) ), "")</f>
        <v/>
      </c>
      <c r="E456" s="10" t="str">
        <f ca="1">TEXT( INDIRECT( ADDRESS( ROW() + Row_Offset, INDIRECT( "Column_Number_" &amp; E$1), 4,1, tabname) ), "####")</f>
        <v/>
      </c>
      <c r="F456" s="15"/>
      <c r="G456" s="21" t="str">
        <f ca="1">IFERROR(INDEX(Rank_Table[],MATCH($D456&amp;$A456,Table4[Join],0)),"")</f>
        <v/>
      </c>
      <c r="H456" s="11" t="str">
        <f ca="1">IF(AND(D456="Juvenile Audiobook",LEFT(B456,8)="J CD BIO"),RIGHT(B456,LEN(B456)-9),
IF(AND(D456="Juvenile Audiobook",LEFT(B456,8)="J CD FIC"),B456,
IF(D456="Juvenile Audiobook",RIGHT(B456,LEN(B456)-5),
IF(AND(D456="Teen Audiobook",LEFT(B456,11)="TEEN CD BIO"),RIGHT(B456,LEN(B456)-12),
IF(AND(D456="Teen Audiobook",LEFT(B456,11)="TEEN CD FIC"),B456,
IF(D456="Juvenile Audiobook",RIGHT(B456,LEN(B456)-8),
IF(D456="Juvenile Nonfiction",RIGHT(B456,LEN(B456)-2),
IF(D456="Teen Nonfiction",RIGHT(B456,LEN(B456)-5),
IF(AND(D456="Audiobook",
              NOT(OR(Contains($B456,"CD BIO"),Contains($B456,"CD FIC")))),RIGHT(B456,LEN(B456)-3),
IF(D456="Juvenile Biography",RIGHT(B456,LEN(B456)-2),
IF(D456="Teen Biography",RIGHT(B456,LEN(B456)-5),
IF(AND(D456="Audiobook",
              IFERROR(FIND("BIO",$B456)&gt;0,FALSE)),RIGHT(B456,LEN(B456)-3),
IF(D456="Juvenile Large Type","J "&amp;RIGHT(B456,LEN(B456)-11),
IF(D456="Teen Large Type","TEEN "&amp;RIGHT(B456,LEN(B456)-14),
IF(D456="Reference",RIGHT(B456,LEN(B456)-4),
IF(D456="DVD Educational",RIGHT(B456,LEN(B456)-7),
IF(D456="Juvenile DVD Educational",RIGHT(B456,LEN(B456)-9),
B456)))))))))))))))))</f>
        <v/>
      </c>
    </row>
    <row r="457" spans="1:8" ht="27" customHeight="1" x14ac:dyDescent="0.25">
      <c r="A457" s="10" t="str">
        <f ca="1">TEXT( INDIRECT( ADDRESS( ROW() + Row_Offset, INDIRECT( "Column_Number_" &amp; A$1), 4,1, tabname) ), "")</f>
        <v/>
      </c>
      <c r="B457" s="10" t="str">
        <f ca="1">TEXT(  IFERROR( VLOOKUP( $D457, CollName_Simplifier_Table[], 2, FALSE),"") &amp;
        INDIRECT( ADDRESS( ROW() + Row_Offset, INDIRECT( "Column_Number_" &amp; $B$1), 4,1, tabname) ), "")</f>
        <v/>
      </c>
      <c r="C457" s="10" t="str">
        <f ca="1">TEXT( INDIRECT( ADDRESS( ROW() + Row_Offset, INDIRECT( "Column_Number_" &amp; C$1), 4,1, tabname) ), "")</f>
        <v/>
      </c>
      <c r="D457" s="10" t="str">
        <f ca="1">TEXT( INDIRECT( ADDRESS( ROW() + Row_Offset, INDIRECT( "Column_Number_" &amp; D$1), 4,1, tabname) ), "")</f>
        <v/>
      </c>
      <c r="E457" s="10" t="str">
        <f ca="1">TEXT( INDIRECT( ADDRESS( ROW() + Row_Offset, INDIRECT( "Column_Number_" &amp; E$1), 4,1, tabname) ), "####")</f>
        <v/>
      </c>
      <c r="F457" s="15"/>
      <c r="G457" s="21" t="str">
        <f ca="1">IFERROR(INDEX(Rank_Table[],MATCH($D457&amp;$A457,Table4[Join],0)),"")</f>
        <v/>
      </c>
      <c r="H457" s="11" t="str">
        <f ca="1">IF(AND(D457="Juvenile Audiobook",LEFT(B457,8)="J CD BIO"),RIGHT(B457,LEN(B457)-9),
IF(AND(D457="Juvenile Audiobook",LEFT(B457,8)="J CD FIC"),B457,
IF(D457="Juvenile Audiobook",RIGHT(B457,LEN(B457)-5),
IF(AND(D457="Teen Audiobook",LEFT(B457,11)="TEEN CD BIO"),RIGHT(B457,LEN(B457)-12),
IF(AND(D457="Teen Audiobook",LEFT(B457,11)="TEEN CD FIC"),B457,
IF(D457="Juvenile Audiobook",RIGHT(B457,LEN(B457)-8),
IF(D457="Juvenile Nonfiction",RIGHT(B457,LEN(B457)-2),
IF(D457="Teen Nonfiction",RIGHT(B457,LEN(B457)-5),
IF(AND(D457="Audiobook",
              NOT(OR(Contains($B457,"CD BIO"),Contains($B457,"CD FIC")))),RIGHT(B457,LEN(B457)-3),
IF(D457="Juvenile Biography",RIGHT(B457,LEN(B457)-2),
IF(D457="Teen Biography",RIGHT(B457,LEN(B457)-5),
IF(AND(D457="Audiobook",
              IFERROR(FIND("BIO",$B457)&gt;0,FALSE)),RIGHT(B457,LEN(B457)-3),
IF(D457="Juvenile Large Type","J "&amp;RIGHT(B457,LEN(B457)-11),
IF(D457="Teen Large Type","TEEN "&amp;RIGHT(B457,LEN(B457)-14),
IF(D457="Reference",RIGHT(B457,LEN(B457)-4),
IF(D457="DVD Educational",RIGHT(B457,LEN(B457)-7),
IF(D457="Juvenile DVD Educational",RIGHT(B457,LEN(B457)-9),
B457)))))))))))))))))</f>
        <v/>
      </c>
    </row>
    <row r="458" spans="1:8" ht="27" customHeight="1" x14ac:dyDescent="0.25">
      <c r="A458" s="10" t="str">
        <f ca="1">TEXT( INDIRECT( ADDRESS( ROW() + Row_Offset, INDIRECT( "Column_Number_" &amp; A$1), 4,1, tabname) ), "")</f>
        <v/>
      </c>
      <c r="B458" s="10" t="str">
        <f ca="1">TEXT(  IFERROR( VLOOKUP( $D458, CollName_Simplifier_Table[], 2, FALSE),"") &amp;
        INDIRECT( ADDRESS( ROW() + Row_Offset, INDIRECT( "Column_Number_" &amp; $B$1), 4,1, tabname) ), "")</f>
        <v/>
      </c>
      <c r="C458" s="10" t="str">
        <f ca="1">TEXT( INDIRECT( ADDRESS( ROW() + Row_Offset, INDIRECT( "Column_Number_" &amp; C$1), 4,1, tabname) ), "")</f>
        <v/>
      </c>
      <c r="D458" s="10" t="str">
        <f ca="1">TEXT( INDIRECT( ADDRESS( ROW() + Row_Offset, INDIRECT( "Column_Number_" &amp; D$1), 4,1, tabname) ), "")</f>
        <v/>
      </c>
      <c r="E458" s="10" t="str">
        <f ca="1">TEXT( INDIRECT( ADDRESS( ROW() + Row_Offset, INDIRECT( "Column_Number_" &amp; E$1), 4,1, tabname) ), "####")</f>
        <v/>
      </c>
      <c r="F458" s="15"/>
      <c r="G458" s="21" t="str">
        <f ca="1">IFERROR(INDEX(Rank_Table[],MATCH($D458&amp;$A458,Table4[Join],0)),"")</f>
        <v/>
      </c>
      <c r="H458" s="11" t="str">
        <f ca="1">IF(AND(D458="Juvenile Audiobook",LEFT(B458,8)="J CD BIO"),RIGHT(B458,LEN(B458)-9),
IF(AND(D458="Juvenile Audiobook",LEFT(B458,8)="J CD FIC"),B458,
IF(D458="Juvenile Audiobook",RIGHT(B458,LEN(B458)-5),
IF(AND(D458="Teen Audiobook",LEFT(B458,11)="TEEN CD BIO"),RIGHT(B458,LEN(B458)-12),
IF(AND(D458="Teen Audiobook",LEFT(B458,11)="TEEN CD FIC"),B458,
IF(D458="Juvenile Audiobook",RIGHT(B458,LEN(B458)-8),
IF(D458="Juvenile Nonfiction",RIGHT(B458,LEN(B458)-2),
IF(D458="Teen Nonfiction",RIGHT(B458,LEN(B458)-5),
IF(AND(D458="Audiobook",
              NOT(OR(Contains($B458,"CD BIO"),Contains($B458,"CD FIC")))),RIGHT(B458,LEN(B458)-3),
IF(D458="Juvenile Biography",RIGHT(B458,LEN(B458)-2),
IF(D458="Teen Biography",RIGHT(B458,LEN(B458)-5),
IF(AND(D458="Audiobook",
              IFERROR(FIND("BIO",$B458)&gt;0,FALSE)),RIGHT(B458,LEN(B458)-3),
IF(D458="Juvenile Large Type","J "&amp;RIGHT(B458,LEN(B458)-11),
IF(D458="Teen Large Type","TEEN "&amp;RIGHT(B458,LEN(B458)-14),
IF(D458="Reference",RIGHT(B458,LEN(B458)-4),
IF(D458="DVD Educational",RIGHT(B458,LEN(B458)-7),
IF(D458="Juvenile DVD Educational",RIGHT(B458,LEN(B458)-9),
B458)))))))))))))))))</f>
        <v/>
      </c>
    </row>
    <row r="459" spans="1:8" ht="27" customHeight="1" x14ac:dyDescent="0.25">
      <c r="A459" s="10" t="str">
        <f ca="1">TEXT( INDIRECT( ADDRESS( ROW() + Row_Offset, INDIRECT( "Column_Number_" &amp; A$1), 4,1, tabname) ), "")</f>
        <v/>
      </c>
      <c r="B459" s="10" t="str">
        <f ca="1">TEXT(  IFERROR( VLOOKUP( $D459, CollName_Simplifier_Table[], 2, FALSE),"") &amp;
        INDIRECT( ADDRESS( ROW() + Row_Offset, INDIRECT( "Column_Number_" &amp; $B$1), 4,1, tabname) ), "")</f>
        <v/>
      </c>
      <c r="C459" s="10" t="str">
        <f ca="1">TEXT( INDIRECT( ADDRESS( ROW() + Row_Offset, INDIRECT( "Column_Number_" &amp; C$1), 4,1, tabname) ), "")</f>
        <v/>
      </c>
      <c r="D459" s="10" t="str">
        <f ca="1">TEXT( INDIRECT( ADDRESS( ROW() + Row_Offset, INDIRECT( "Column_Number_" &amp; D$1), 4,1, tabname) ), "")</f>
        <v/>
      </c>
      <c r="E459" s="10" t="str">
        <f ca="1">TEXT( INDIRECT( ADDRESS( ROW() + Row_Offset, INDIRECT( "Column_Number_" &amp; E$1), 4,1, tabname) ), "####")</f>
        <v/>
      </c>
      <c r="F459" s="15"/>
      <c r="G459" s="21" t="str">
        <f ca="1">IFERROR(INDEX(Rank_Table[],MATCH($D459&amp;$A459,Table4[Join],0)),"")</f>
        <v/>
      </c>
      <c r="H459" s="11" t="str">
        <f ca="1">IF(AND(D459="Juvenile Audiobook",LEFT(B459,8)="J CD BIO"),RIGHT(B459,LEN(B459)-9),
IF(AND(D459="Juvenile Audiobook",LEFT(B459,8)="J CD FIC"),B459,
IF(D459="Juvenile Audiobook",RIGHT(B459,LEN(B459)-5),
IF(AND(D459="Teen Audiobook",LEFT(B459,11)="TEEN CD BIO"),RIGHT(B459,LEN(B459)-12),
IF(AND(D459="Teen Audiobook",LEFT(B459,11)="TEEN CD FIC"),B459,
IF(D459="Juvenile Audiobook",RIGHT(B459,LEN(B459)-8),
IF(D459="Juvenile Nonfiction",RIGHT(B459,LEN(B459)-2),
IF(D459="Teen Nonfiction",RIGHT(B459,LEN(B459)-5),
IF(AND(D459="Audiobook",
              NOT(OR(Contains($B459,"CD BIO"),Contains($B459,"CD FIC")))),RIGHT(B459,LEN(B459)-3),
IF(D459="Juvenile Biography",RIGHT(B459,LEN(B459)-2),
IF(D459="Teen Biography",RIGHT(B459,LEN(B459)-5),
IF(AND(D459="Audiobook",
              IFERROR(FIND("BIO",$B459)&gt;0,FALSE)),RIGHT(B459,LEN(B459)-3),
IF(D459="Juvenile Large Type","J "&amp;RIGHT(B459,LEN(B459)-11),
IF(D459="Teen Large Type","TEEN "&amp;RIGHT(B459,LEN(B459)-14),
IF(D459="Reference",RIGHT(B459,LEN(B459)-4),
IF(D459="DVD Educational",RIGHT(B459,LEN(B459)-7),
IF(D459="Juvenile DVD Educational",RIGHT(B459,LEN(B459)-9),
B459)))))))))))))))))</f>
        <v/>
      </c>
    </row>
    <row r="460" spans="1:8" ht="27" customHeight="1" x14ac:dyDescent="0.25">
      <c r="A460" s="10" t="str">
        <f ca="1">TEXT( INDIRECT( ADDRESS( ROW() + Row_Offset, INDIRECT( "Column_Number_" &amp; A$1), 4,1, tabname) ), "")</f>
        <v/>
      </c>
      <c r="B460" s="10" t="str">
        <f ca="1">TEXT(  IFERROR( VLOOKUP( $D460, CollName_Simplifier_Table[], 2, FALSE),"") &amp;
        INDIRECT( ADDRESS( ROW() + Row_Offset, INDIRECT( "Column_Number_" &amp; $B$1), 4,1, tabname) ), "")</f>
        <v/>
      </c>
      <c r="C460" s="10" t="str">
        <f ca="1">TEXT( INDIRECT( ADDRESS( ROW() + Row_Offset, INDIRECT( "Column_Number_" &amp; C$1), 4,1, tabname) ), "")</f>
        <v/>
      </c>
      <c r="D460" s="10" t="str">
        <f ca="1">TEXT( INDIRECT( ADDRESS( ROW() + Row_Offset, INDIRECT( "Column_Number_" &amp; D$1), 4,1, tabname) ), "")</f>
        <v/>
      </c>
      <c r="E460" s="10" t="str">
        <f ca="1">TEXT( INDIRECT( ADDRESS( ROW() + Row_Offset, INDIRECT( "Column_Number_" &amp; E$1), 4,1, tabname) ), "####")</f>
        <v/>
      </c>
      <c r="F460" s="15"/>
      <c r="G460" s="21" t="str">
        <f ca="1">IFERROR(INDEX(Rank_Table[],MATCH($D460&amp;$A460,Table4[Join],0)),"")</f>
        <v/>
      </c>
      <c r="H460" s="11" t="str">
        <f ca="1">IF(AND(D460="Juvenile Audiobook",LEFT(B460,8)="J CD BIO"),RIGHT(B460,LEN(B460)-9),
IF(AND(D460="Juvenile Audiobook",LEFT(B460,8)="J CD FIC"),B460,
IF(D460="Juvenile Audiobook",RIGHT(B460,LEN(B460)-5),
IF(AND(D460="Teen Audiobook",LEFT(B460,11)="TEEN CD BIO"),RIGHT(B460,LEN(B460)-12),
IF(AND(D460="Teen Audiobook",LEFT(B460,11)="TEEN CD FIC"),B460,
IF(D460="Juvenile Audiobook",RIGHT(B460,LEN(B460)-8),
IF(D460="Juvenile Nonfiction",RIGHT(B460,LEN(B460)-2),
IF(D460="Teen Nonfiction",RIGHT(B460,LEN(B460)-5),
IF(AND(D460="Audiobook",
              NOT(OR(Contains($B460,"CD BIO"),Contains($B460,"CD FIC")))),RIGHT(B460,LEN(B460)-3),
IF(D460="Juvenile Biography",RIGHT(B460,LEN(B460)-2),
IF(D460="Teen Biography",RIGHT(B460,LEN(B460)-5),
IF(AND(D460="Audiobook",
              IFERROR(FIND("BIO",$B460)&gt;0,FALSE)),RIGHT(B460,LEN(B460)-3),
IF(D460="Juvenile Large Type","J "&amp;RIGHT(B460,LEN(B460)-11),
IF(D460="Teen Large Type","TEEN "&amp;RIGHT(B460,LEN(B460)-14),
IF(D460="Reference",RIGHT(B460,LEN(B460)-4),
IF(D460="DVD Educational",RIGHT(B460,LEN(B460)-7),
IF(D460="Juvenile DVD Educational",RIGHT(B460,LEN(B460)-9),
B460)))))))))))))))))</f>
        <v/>
      </c>
    </row>
    <row r="461" spans="1:8" ht="27" customHeight="1" x14ac:dyDescent="0.25">
      <c r="A461" s="10" t="str">
        <f ca="1">TEXT( INDIRECT( ADDRESS( ROW() + Row_Offset, INDIRECT( "Column_Number_" &amp; A$1), 4,1, tabname) ), "")</f>
        <v/>
      </c>
      <c r="B461" s="10" t="str">
        <f ca="1">TEXT(  IFERROR( VLOOKUP( $D461, CollName_Simplifier_Table[], 2, FALSE),"") &amp;
        INDIRECT( ADDRESS( ROW() + Row_Offset, INDIRECT( "Column_Number_" &amp; $B$1), 4,1, tabname) ), "")</f>
        <v/>
      </c>
      <c r="C461" s="10" t="str">
        <f ca="1">TEXT( INDIRECT( ADDRESS( ROW() + Row_Offset, INDIRECT( "Column_Number_" &amp; C$1), 4,1, tabname) ), "")</f>
        <v/>
      </c>
      <c r="D461" s="10" t="str">
        <f ca="1">TEXT( INDIRECT( ADDRESS( ROW() + Row_Offset, INDIRECT( "Column_Number_" &amp; D$1), 4,1, tabname) ), "")</f>
        <v/>
      </c>
      <c r="E461" s="10" t="str">
        <f ca="1">TEXT( INDIRECT( ADDRESS( ROW() + Row_Offset, INDIRECT( "Column_Number_" &amp; E$1), 4,1, tabname) ), "####")</f>
        <v/>
      </c>
      <c r="F461" s="15"/>
      <c r="G461" s="21" t="str">
        <f ca="1">IFERROR(INDEX(Rank_Table[],MATCH($D461&amp;$A461,Table4[Join],0)),"")</f>
        <v/>
      </c>
      <c r="H461" s="11" t="str">
        <f ca="1">IF(AND(D461="Juvenile Audiobook",LEFT(B461,8)="J CD BIO"),RIGHT(B461,LEN(B461)-9),
IF(AND(D461="Juvenile Audiobook",LEFT(B461,8)="J CD FIC"),B461,
IF(D461="Juvenile Audiobook",RIGHT(B461,LEN(B461)-5),
IF(AND(D461="Teen Audiobook",LEFT(B461,11)="TEEN CD BIO"),RIGHT(B461,LEN(B461)-12),
IF(AND(D461="Teen Audiobook",LEFT(B461,11)="TEEN CD FIC"),B461,
IF(D461="Juvenile Audiobook",RIGHT(B461,LEN(B461)-8),
IF(D461="Juvenile Nonfiction",RIGHT(B461,LEN(B461)-2),
IF(D461="Teen Nonfiction",RIGHT(B461,LEN(B461)-5),
IF(AND(D461="Audiobook",
              NOT(OR(Contains($B461,"CD BIO"),Contains($B461,"CD FIC")))),RIGHT(B461,LEN(B461)-3),
IF(D461="Juvenile Biography",RIGHT(B461,LEN(B461)-2),
IF(D461="Teen Biography",RIGHT(B461,LEN(B461)-5),
IF(AND(D461="Audiobook",
              IFERROR(FIND("BIO",$B461)&gt;0,FALSE)),RIGHT(B461,LEN(B461)-3),
IF(D461="Juvenile Large Type","J "&amp;RIGHT(B461,LEN(B461)-11),
IF(D461="Teen Large Type","TEEN "&amp;RIGHT(B461,LEN(B461)-14),
IF(D461="Reference",RIGHT(B461,LEN(B461)-4),
IF(D461="DVD Educational",RIGHT(B461,LEN(B461)-7),
IF(D461="Juvenile DVD Educational",RIGHT(B461,LEN(B461)-9),
B461)))))))))))))))))</f>
        <v/>
      </c>
    </row>
    <row r="462" spans="1:8" ht="27" customHeight="1" x14ac:dyDescent="0.25">
      <c r="A462" s="10" t="str">
        <f ca="1">TEXT( INDIRECT( ADDRESS( ROW() + Row_Offset, INDIRECT( "Column_Number_" &amp; A$1), 4,1, tabname) ), "")</f>
        <v/>
      </c>
      <c r="B462" s="10" t="str">
        <f ca="1">TEXT(  IFERROR( VLOOKUP( $D462, CollName_Simplifier_Table[], 2, FALSE),"") &amp;
        INDIRECT( ADDRESS( ROW() + Row_Offset, INDIRECT( "Column_Number_" &amp; $B$1), 4,1, tabname) ), "")</f>
        <v/>
      </c>
      <c r="C462" s="10" t="str">
        <f ca="1">TEXT( INDIRECT( ADDRESS( ROW() + Row_Offset, INDIRECT( "Column_Number_" &amp; C$1), 4,1, tabname) ), "")</f>
        <v/>
      </c>
      <c r="D462" s="10" t="str">
        <f ca="1">TEXT( INDIRECT( ADDRESS( ROW() + Row_Offset, INDIRECT( "Column_Number_" &amp; D$1), 4,1, tabname) ), "")</f>
        <v/>
      </c>
      <c r="E462" s="10" t="str">
        <f ca="1">TEXT( INDIRECT( ADDRESS( ROW() + Row_Offset, INDIRECT( "Column_Number_" &amp; E$1), 4,1, tabname) ), "####")</f>
        <v/>
      </c>
      <c r="F462" s="15"/>
      <c r="G462" s="21" t="str">
        <f ca="1">IFERROR(INDEX(Rank_Table[],MATCH($D462&amp;$A462,Table4[Join],0)),"")</f>
        <v/>
      </c>
      <c r="H462" s="11" t="str">
        <f ca="1">IF(AND(D462="Juvenile Audiobook",LEFT(B462,8)="J CD BIO"),RIGHT(B462,LEN(B462)-9),
IF(AND(D462="Juvenile Audiobook",LEFT(B462,8)="J CD FIC"),B462,
IF(D462="Juvenile Audiobook",RIGHT(B462,LEN(B462)-5),
IF(AND(D462="Teen Audiobook",LEFT(B462,11)="TEEN CD BIO"),RIGHT(B462,LEN(B462)-12),
IF(AND(D462="Teen Audiobook",LEFT(B462,11)="TEEN CD FIC"),B462,
IF(D462="Juvenile Audiobook",RIGHT(B462,LEN(B462)-8),
IF(D462="Juvenile Nonfiction",RIGHT(B462,LEN(B462)-2),
IF(D462="Teen Nonfiction",RIGHT(B462,LEN(B462)-5),
IF(AND(D462="Audiobook",
              NOT(OR(Contains($B462,"CD BIO"),Contains($B462,"CD FIC")))),RIGHT(B462,LEN(B462)-3),
IF(D462="Juvenile Biography",RIGHT(B462,LEN(B462)-2),
IF(D462="Teen Biography",RIGHT(B462,LEN(B462)-5),
IF(AND(D462="Audiobook",
              IFERROR(FIND("BIO",$B462)&gt;0,FALSE)),RIGHT(B462,LEN(B462)-3),
IF(D462="Juvenile Large Type","J "&amp;RIGHT(B462,LEN(B462)-11),
IF(D462="Teen Large Type","TEEN "&amp;RIGHT(B462,LEN(B462)-14),
IF(D462="Reference",RIGHT(B462,LEN(B462)-4),
IF(D462="DVD Educational",RIGHT(B462,LEN(B462)-7),
IF(D462="Juvenile DVD Educational",RIGHT(B462,LEN(B462)-9),
B462)))))))))))))))))</f>
        <v/>
      </c>
    </row>
    <row r="463" spans="1:8" ht="27" customHeight="1" x14ac:dyDescent="0.25">
      <c r="A463" s="10" t="str">
        <f ca="1">TEXT( INDIRECT( ADDRESS( ROW() + Row_Offset, INDIRECT( "Column_Number_" &amp; A$1), 4,1, tabname) ), "")</f>
        <v/>
      </c>
      <c r="B463" s="10" t="str">
        <f ca="1">TEXT(  IFERROR( VLOOKUP( $D463, CollName_Simplifier_Table[], 2, FALSE),"") &amp;
        INDIRECT( ADDRESS( ROW() + Row_Offset, INDIRECT( "Column_Number_" &amp; $B$1), 4,1, tabname) ), "")</f>
        <v/>
      </c>
      <c r="C463" s="10" t="str">
        <f ca="1">TEXT( INDIRECT( ADDRESS( ROW() + Row_Offset, INDIRECT( "Column_Number_" &amp; C$1), 4,1, tabname) ), "")</f>
        <v/>
      </c>
      <c r="D463" s="10" t="str">
        <f ca="1">TEXT( INDIRECT( ADDRESS( ROW() + Row_Offset, INDIRECT( "Column_Number_" &amp; D$1), 4,1, tabname) ), "")</f>
        <v/>
      </c>
      <c r="E463" s="10" t="str">
        <f ca="1">TEXT( INDIRECT( ADDRESS( ROW() + Row_Offset, INDIRECT( "Column_Number_" &amp; E$1), 4,1, tabname) ), "####")</f>
        <v/>
      </c>
      <c r="F463" s="15"/>
      <c r="G463" s="21" t="str">
        <f ca="1">IFERROR(INDEX(Rank_Table[],MATCH($D463&amp;$A463,Table4[Join],0)),"")</f>
        <v/>
      </c>
      <c r="H463" s="11" t="str">
        <f ca="1">IF(AND(D463="Juvenile Audiobook",LEFT(B463,8)="J CD BIO"),RIGHT(B463,LEN(B463)-9),
IF(AND(D463="Juvenile Audiobook",LEFT(B463,8)="J CD FIC"),B463,
IF(D463="Juvenile Audiobook",RIGHT(B463,LEN(B463)-5),
IF(AND(D463="Teen Audiobook",LEFT(B463,11)="TEEN CD BIO"),RIGHT(B463,LEN(B463)-12),
IF(AND(D463="Teen Audiobook",LEFT(B463,11)="TEEN CD FIC"),B463,
IF(D463="Juvenile Audiobook",RIGHT(B463,LEN(B463)-8),
IF(D463="Juvenile Nonfiction",RIGHT(B463,LEN(B463)-2),
IF(D463="Teen Nonfiction",RIGHT(B463,LEN(B463)-5),
IF(AND(D463="Audiobook",
              NOT(OR(Contains($B463,"CD BIO"),Contains($B463,"CD FIC")))),RIGHT(B463,LEN(B463)-3),
IF(D463="Juvenile Biography",RIGHT(B463,LEN(B463)-2),
IF(D463="Teen Biography",RIGHT(B463,LEN(B463)-5),
IF(AND(D463="Audiobook",
              IFERROR(FIND("BIO",$B463)&gt;0,FALSE)),RIGHT(B463,LEN(B463)-3),
IF(D463="Juvenile Large Type","J "&amp;RIGHT(B463,LEN(B463)-11),
IF(D463="Teen Large Type","TEEN "&amp;RIGHT(B463,LEN(B463)-14),
IF(D463="Reference",RIGHT(B463,LEN(B463)-4),
IF(D463="DVD Educational",RIGHT(B463,LEN(B463)-7),
IF(D463="Juvenile DVD Educational",RIGHT(B463,LEN(B463)-9),
B463)))))))))))))))))</f>
        <v/>
      </c>
    </row>
    <row r="464" spans="1:8" ht="27" customHeight="1" x14ac:dyDescent="0.25">
      <c r="A464" s="10" t="str">
        <f ca="1">TEXT( INDIRECT( ADDRESS( ROW() + Row_Offset, INDIRECT( "Column_Number_" &amp; A$1), 4,1, tabname) ), "")</f>
        <v/>
      </c>
      <c r="B464" s="10" t="str">
        <f ca="1">TEXT(  IFERROR( VLOOKUP( $D464, CollName_Simplifier_Table[], 2, FALSE),"") &amp;
        INDIRECT( ADDRESS( ROW() + Row_Offset, INDIRECT( "Column_Number_" &amp; $B$1), 4,1, tabname) ), "")</f>
        <v/>
      </c>
      <c r="C464" s="10" t="str">
        <f ca="1">TEXT( INDIRECT( ADDRESS( ROW() + Row_Offset, INDIRECT( "Column_Number_" &amp; C$1), 4,1, tabname) ), "")</f>
        <v/>
      </c>
      <c r="D464" s="10" t="str">
        <f ca="1">TEXT( INDIRECT( ADDRESS( ROW() + Row_Offset, INDIRECT( "Column_Number_" &amp; D$1), 4,1, tabname) ), "")</f>
        <v/>
      </c>
      <c r="E464" s="10" t="str">
        <f ca="1">TEXT( INDIRECT( ADDRESS( ROW() + Row_Offset, INDIRECT( "Column_Number_" &amp; E$1), 4,1, tabname) ), "####")</f>
        <v/>
      </c>
      <c r="F464" s="15"/>
      <c r="G464" s="21" t="str">
        <f ca="1">IFERROR(INDEX(Rank_Table[],MATCH($D464&amp;$A464,Table4[Join],0)),"")</f>
        <v/>
      </c>
      <c r="H464" s="11" t="str">
        <f ca="1">IF(AND(D464="Juvenile Audiobook",LEFT(B464,8)="J CD BIO"),RIGHT(B464,LEN(B464)-9),
IF(AND(D464="Juvenile Audiobook",LEFT(B464,8)="J CD FIC"),B464,
IF(D464="Juvenile Audiobook",RIGHT(B464,LEN(B464)-5),
IF(AND(D464="Teen Audiobook",LEFT(B464,11)="TEEN CD BIO"),RIGHT(B464,LEN(B464)-12),
IF(AND(D464="Teen Audiobook",LEFT(B464,11)="TEEN CD FIC"),B464,
IF(D464="Juvenile Audiobook",RIGHT(B464,LEN(B464)-8),
IF(D464="Juvenile Nonfiction",RIGHT(B464,LEN(B464)-2),
IF(D464="Teen Nonfiction",RIGHT(B464,LEN(B464)-5),
IF(AND(D464="Audiobook",
              NOT(OR(Contains($B464,"CD BIO"),Contains($B464,"CD FIC")))),RIGHT(B464,LEN(B464)-3),
IF(D464="Juvenile Biography",RIGHT(B464,LEN(B464)-2),
IF(D464="Teen Biography",RIGHT(B464,LEN(B464)-5),
IF(AND(D464="Audiobook",
              IFERROR(FIND("BIO",$B464)&gt;0,FALSE)),RIGHT(B464,LEN(B464)-3),
IF(D464="Juvenile Large Type","J "&amp;RIGHT(B464,LEN(B464)-11),
IF(D464="Teen Large Type","TEEN "&amp;RIGHT(B464,LEN(B464)-14),
IF(D464="Reference",RIGHT(B464,LEN(B464)-4),
IF(D464="DVD Educational",RIGHT(B464,LEN(B464)-7),
IF(D464="Juvenile DVD Educational",RIGHT(B464,LEN(B464)-9),
B464)))))))))))))))))</f>
        <v/>
      </c>
    </row>
    <row r="465" spans="1:8" ht="27" customHeight="1" x14ac:dyDescent="0.25">
      <c r="A465" s="10" t="str">
        <f ca="1">TEXT( INDIRECT( ADDRESS( ROW() + Row_Offset, INDIRECT( "Column_Number_" &amp; A$1), 4,1, tabname) ), "")</f>
        <v/>
      </c>
      <c r="B465" s="10" t="str">
        <f ca="1">TEXT(  IFERROR( VLOOKUP( $D465, CollName_Simplifier_Table[], 2, FALSE),"") &amp;
        INDIRECT( ADDRESS( ROW() + Row_Offset, INDIRECT( "Column_Number_" &amp; $B$1), 4,1, tabname) ), "")</f>
        <v/>
      </c>
      <c r="C465" s="10" t="str">
        <f ca="1">TEXT( INDIRECT( ADDRESS( ROW() + Row_Offset, INDIRECT( "Column_Number_" &amp; C$1), 4,1, tabname) ), "")</f>
        <v/>
      </c>
      <c r="D465" s="10" t="str">
        <f ca="1">TEXT( INDIRECT( ADDRESS( ROW() + Row_Offset, INDIRECT( "Column_Number_" &amp; D$1), 4,1, tabname) ), "")</f>
        <v/>
      </c>
      <c r="E465" s="10" t="str">
        <f ca="1">TEXT( INDIRECT( ADDRESS( ROW() + Row_Offset, INDIRECT( "Column_Number_" &amp; E$1), 4,1, tabname) ), "####")</f>
        <v/>
      </c>
      <c r="F465" s="15"/>
      <c r="G465" s="21" t="str">
        <f ca="1">IFERROR(INDEX(Rank_Table[],MATCH($D465&amp;$A465,Table4[Join],0)),"")</f>
        <v/>
      </c>
      <c r="H465" s="11" t="str">
        <f ca="1">IF(AND(D465="Juvenile Audiobook",LEFT(B465,8)="J CD BIO"),RIGHT(B465,LEN(B465)-9),
IF(AND(D465="Juvenile Audiobook",LEFT(B465,8)="J CD FIC"),B465,
IF(D465="Juvenile Audiobook",RIGHT(B465,LEN(B465)-5),
IF(AND(D465="Teen Audiobook",LEFT(B465,11)="TEEN CD BIO"),RIGHT(B465,LEN(B465)-12),
IF(AND(D465="Teen Audiobook",LEFT(B465,11)="TEEN CD FIC"),B465,
IF(D465="Juvenile Audiobook",RIGHT(B465,LEN(B465)-8),
IF(D465="Juvenile Nonfiction",RIGHT(B465,LEN(B465)-2),
IF(D465="Teen Nonfiction",RIGHT(B465,LEN(B465)-5),
IF(AND(D465="Audiobook",
              NOT(OR(Contains($B465,"CD BIO"),Contains($B465,"CD FIC")))),RIGHT(B465,LEN(B465)-3),
IF(D465="Juvenile Biography",RIGHT(B465,LEN(B465)-2),
IF(D465="Teen Biography",RIGHT(B465,LEN(B465)-5),
IF(AND(D465="Audiobook",
              IFERROR(FIND("BIO",$B465)&gt;0,FALSE)),RIGHT(B465,LEN(B465)-3),
IF(D465="Juvenile Large Type","J "&amp;RIGHT(B465,LEN(B465)-11),
IF(D465="Teen Large Type","TEEN "&amp;RIGHT(B465,LEN(B465)-14),
IF(D465="Reference",RIGHT(B465,LEN(B465)-4),
IF(D465="DVD Educational",RIGHT(B465,LEN(B465)-7),
IF(D465="Juvenile DVD Educational",RIGHT(B465,LEN(B465)-9),
B465)))))))))))))))))</f>
        <v/>
      </c>
    </row>
    <row r="466" spans="1:8" ht="27" customHeight="1" x14ac:dyDescent="0.25">
      <c r="A466" s="10" t="str">
        <f ca="1">TEXT( INDIRECT( ADDRESS( ROW() + Row_Offset, INDIRECT( "Column_Number_" &amp; A$1), 4,1, tabname) ), "")</f>
        <v/>
      </c>
      <c r="B466" s="10" t="str">
        <f ca="1">TEXT(  IFERROR( VLOOKUP( $D466, CollName_Simplifier_Table[], 2, FALSE),"") &amp;
        INDIRECT( ADDRESS( ROW() + Row_Offset, INDIRECT( "Column_Number_" &amp; $B$1), 4,1, tabname) ), "")</f>
        <v/>
      </c>
      <c r="C466" s="10" t="str">
        <f ca="1">TEXT( INDIRECT( ADDRESS( ROW() + Row_Offset, INDIRECT( "Column_Number_" &amp; C$1), 4,1, tabname) ), "")</f>
        <v/>
      </c>
      <c r="D466" s="10" t="str">
        <f ca="1">TEXT( INDIRECT( ADDRESS( ROW() + Row_Offset, INDIRECT( "Column_Number_" &amp; D$1), 4,1, tabname) ), "")</f>
        <v/>
      </c>
      <c r="E466" s="10" t="str">
        <f ca="1">TEXT( INDIRECT( ADDRESS( ROW() + Row_Offset, INDIRECT( "Column_Number_" &amp; E$1), 4,1, tabname) ), "####")</f>
        <v/>
      </c>
      <c r="F466" s="15"/>
      <c r="G466" s="21" t="str">
        <f ca="1">IFERROR(INDEX(Rank_Table[],MATCH($D466&amp;$A466,Table4[Join],0)),"")</f>
        <v/>
      </c>
      <c r="H466" s="11" t="str">
        <f ca="1">IF(AND(D466="Juvenile Audiobook",LEFT(B466,8)="J CD BIO"),RIGHT(B466,LEN(B466)-9),
IF(AND(D466="Juvenile Audiobook",LEFT(B466,8)="J CD FIC"),B466,
IF(D466="Juvenile Audiobook",RIGHT(B466,LEN(B466)-5),
IF(AND(D466="Teen Audiobook",LEFT(B466,11)="TEEN CD BIO"),RIGHT(B466,LEN(B466)-12),
IF(AND(D466="Teen Audiobook",LEFT(B466,11)="TEEN CD FIC"),B466,
IF(D466="Juvenile Audiobook",RIGHT(B466,LEN(B466)-8),
IF(D466="Juvenile Nonfiction",RIGHT(B466,LEN(B466)-2),
IF(D466="Teen Nonfiction",RIGHT(B466,LEN(B466)-5),
IF(AND(D466="Audiobook",
              NOT(OR(Contains($B466,"CD BIO"),Contains($B466,"CD FIC")))),RIGHT(B466,LEN(B466)-3),
IF(D466="Juvenile Biography",RIGHT(B466,LEN(B466)-2),
IF(D466="Teen Biography",RIGHT(B466,LEN(B466)-5),
IF(AND(D466="Audiobook",
              IFERROR(FIND("BIO",$B466)&gt;0,FALSE)),RIGHT(B466,LEN(B466)-3),
IF(D466="Juvenile Large Type","J "&amp;RIGHT(B466,LEN(B466)-11),
IF(D466="Teen Large Type","TEEN "&amp;RIGHT(B466,LEN(B466)-14),
IF(D466="Reference",RIGHT(B466,LEN(B466)-4),
IF(D466="DVD Educational",RIGHT(B466,LEN(B466)-7),
IF(D466="Juvenile DVD Educational",RIGHT(B466,LEN(B466)-9),
B466)))))))))))))))))</f>
        <v/>
      </c>
    </row>
    <row r="467" spans="1:8" ht="27" customHeight="1" x14ac:dyDescent="0.25">
      <c r="A467" s="10" t="str">
        <f ca="1">TEXT( INDIRECT( ADDRESS( ROW() + Row_Offset, INDIRECT( "Column_Number_" &amp; A$1), 4,1, tabname) ), "")</f>
        <v/>
      </c>
      <c r="B467" s="10" t="str">
        <f ca="1">TEXT(  IFERROR( VLOOKUP( $D467, CollName_Simplifier_Table[], 2, FALSE),"") &amp;
        INDIRECT( ADDRESS( ROW() + Row_Offset, INDIRECT( "Column_Number_" &amp; $B$1), 4,1, tabname) ), "")</f>
        <v/>
      </c>
      <c r="C467" s="10" t="str">
        <f ca="1">TEXT( INDIRECT( ADDRESS( ROW() + Row_Offset, INDIRECT( "Column_Number_" &amp; C$1), 4,1, tabname) ), "")</f>
        <v/>
      </c>
      <c r="D467" s="10" t="str">
        <f ca="1">TEXT( INDIRECT( ADDRESS( ROW() + Row_Offset, INDIRECT( "Column_Number_" &amp; D$1), 4,1, tabname) ), "")</f>
        <v/>
      </c>
      <c r="E467" s="10" t="str">
        <f ca="1">TEXT( INDIRECT( ADDRESS( ROW() + Row_Offset, INDIRECT( "Column_Number_" &amp; E$1), 4,1, tabname) ), "####")</f>
        <v/>
      </c>
      <c r="F467" s="15"/>
      <c r="G467" s="21" t="str">
        <f ca="1">IFERROR(INDEX(Rank_Table[],MATCH($D467&amp;$A467,Table4[Join],0)),"")</f>
        <v/>
      </c>
      <c r="H467" s="11" t="str">
        <f ca="1">IF(AND(D467="Juvenile Audiobook",LEFT(B467,8)="J CD BIO"),RIGHT(B467,LEN(B467)-9),
IF(AND(D467="Juvenile Audiobook",LEFT(B467,8)="J CD FIC"),B467,
IF(D467="Juvenile Audiobook",RIGHT(B467,LEN(B467)-5),
IF(AND(D467="Teen Audiobook",LEFT(B467,11)="TEEN CD BIO"),RIGHT(B467,LEN(B467)-12),
IF(AND(D467="Teen Audiobook",LEFT(B467,11)="TEEN CD FIC"),B467,
IF(D467="Juvenile Audiobook",RIGHT(B467,LEN(B467)-8),
IF(D467="Juvenile Nonfiction",RIGHT(B467,LEN(B467)-2),
IF(D467="Teen Nonfiction",RIGHT(B467,LEN(B467)-5),
IF(AND(D467="Audiobook",
              NOT(OR(Contains($B467,"CD BIO"),Contains($B467,"CD FIC")))),RIGHT(B467,LEN(B467)-3),
IF(D467="Juvenile Biography",RIGHT(B467,LEN(B467)-2),
IF(D467="Teen Biography",RIGHT(B467,LEN(B467)-5),
IF(AND(D467="Audiobook",
              IFERROR(FIND("BIO",$B467)&gt;0,FALSE)),RIGHT(B467,LEN(B467)-3),
IF(D467="Juvenile Large Type","J "&amp;RIGHT(B467,LEN(B467)-11),
IF(D467="Teen Large Type","TEEN "&amp;RIGHT(B467,LEN(B467)-14),
IF(D467="Reference",RIGHT(B467,LEN(B467)-4),
IF(D467="DVD Educational",RIGHT(B467,LEN(B467)-7),
IF(D467="Juvenile DVD Educational",RIGHT(B467,LEN(B467)-9),
B467)))))))))))))))))</f>
        <v/>
      </c>
    </row>
    <row r="468" spans="1:8" ht="27" customHeight="1" x14ac:dyDescent="0.25">
      <c r="A468" s="10" t="str">
        <f ca="1">TEXT( INDIRECT( ADDRESS( ROW() + Row_Offset, INDIRECT( "Column_Number_" &amp; A$1), 4,1, tabname) ), "")</f>
        <v/>
      </c>
      <c r="B468" s="10" t="str">
        <f ca="1">TEXT(  IFERROR( VLOOKUP( $D468, CollName_Simplifier_Table[], 2, FALSE),"") &amp;
        INDIRECT( ADDRESS( ROW() + Row_Offset, INDIRECT( "Column_Number_" &amp; $B$1), 4,1, tabname) ), "")</f>
        <v/>
      </c>
      <c r="C468" s="10" t="str">
        <f ca="1">TEXT( INDIRECT( ADDRESS( ROW() + Row_Offset, INDIRECT( "Column_Number_" &amp; C$1), 4,1, tabname) ), "")</f>
        <v/>
      </c>
      <c r="D468" s="10" t="str">
        <f ca="1">TEXT( INDIRECT( ADDRESS( ROW() + Row_Offset, INDIRECT( "Column_Number_" &amp; D$1), 4,1, tabname) ), "")</f>
        <v/>
      </c>
      <c r="E468" s="10" t="str">
        <f ca="1">TEXT( INDIRECT( ADDRESS( ROW() + Row_Offset, INDIRECT( "Column_Number_" &amp; E$1), 4,1, tabname) ), "####")</f>
        <v/>
      </c>
      <c r="F468" s="15"/>
      <c r="G468" s="21" t="str">
        <f ca="1">IFERROR(INDEX(Rank_Table[],MATCH($D468&amp;$A468,Table4[Join],0)),"")</f>
        <v/>
      </c>
      <c r="H468" s="11" t="str">
        <f ca="1">IF(AND(D468="Juvenile Audiobook",LEFT(B468,8)="J CD BIO"),RIGHT(B468,LEN(B468)-9),
IF(AND(D468="Juvenile Audiobook",LEFT(B468,8)="J CD FIC"),B468,
IF(D468="Juvenile Audiobook",RIGHT(B468,LEN(B468)-5),
IF(AND(D468="Teen Audiobook",LEFT(B468,11)="TEEN CD BIO"),RIGHT(B468,LEN(B468)-12),
IF(AND(D468="Teen Audiobook",LEFT(B468,11)="TEEN CD FIC"),B468,
IF(D468="Juvenile Audiobook",RIGHT(B468,LEN(B468)-8),
IF(D468="Juvenile Nonfiction",RIGHT(B468,LEN(B468)-2),
IF(D468="Teen Nonfiction",RIGHT(B468,LEN(B468)-5),
IF(AND(D468="Audiobook",
              NOT(OR(Contains($B468,"CD BIO"),Contains($B468,"CD FIC")))),RIGHT(B468,LEN(B468)-3),
IF(D468="Juvenile Biography",RIGHT(B468,LEN(B468)-2),
IF(D468="Teen Biography",RIGHT(B468,LEN(B468)-5),
IF(AND(D468="Audiobook",
              IFERROR(FIND("BIO",$B468)&gt;0,FALSE)),RIGHT(B468,LEN(B468)-3),
IF(D468="Juvenile Large Type","J "&amp;RIGHT(B468,LEN(B468)-11),
IF(D468="Teen Large Type","TEEN "&amp;RIGHT(B468,LEN(B468)-14),
IF(D468="Reference",RIGHT(B468,LEN(B468)-4),
IF(D468="DVD Educational",RIGHT(B468,LEN(B468)-7),
IF(D468="Juvenile DVD Educational",RIGHT(B468,LEN(B468)-9),
B468)))))))))))))))))</f>
        <v/>
      </c>
    </row>
    <row r="469" spans="1:8" ht="27" customHeight="1" x14ac:dyDescent="0.25">
      <c r="A469" s="10" t="str">
        <f ca="1">TEXT( INDIRECT( ADDRESS( ROW() + Row_Offset, INDIRECT( "Column_Number_" &amp; A$1), 4,1, tabname) ), "")</f>
        <v/>
      </c>
      <c r="B469" s="10" t="str">
        <f ca="1">TEXT(  IFERROR( VLOOKUP( $D469, CollName_Simplifier_Table[], 2, FALSE),"") &amp;
        INDIRECT( ADDRESS( ROW() + Row_Offset, INDIRECT( "Column_Number_" &amp; $B$1), 4,1, tabname) ), "")</f>
        <v/>
      </c>
      <c r="C469" s="10" t="str">
        <f ca="1">TEXT( INDIRECT( ADDRESS( ROW() + Row_Offset, INDIRECT( "Column_Number_" &amp; C$1), 4,1, tabname) ), "")</f>
        <v/>
      </c>
      <c r="D469" s="10" t="str">
        <f ca="1">TEXT( INDIRECT( ADDRESS( ROW() + Row_Offset, INDIRECT( "Column_Number_" &amp; D$1), 4,1, tabname) ), "")</f>
        <v/>
      </c>
      <c r="E469" s="10" t="str">
        <f ca="1">TEXT( INDIRECT( ADDRESS( ROW() + Row_Offset, INDIRECT( "Column_Number_" &amp; E$1), 4,1, tabname) ), "####")</f>
        <v/>
      </c>
      <c r="F469" s="15"/>
      <c r="G469" s="21" t="str">
        <f ca="1">IFERROR(INDEX(Rank_Table[],MATCH($D469&amp;$A469,Table4[Join],0)),"")</f>
        <v/>
      </c>
      <c r="H469" s="11" t="str">
        <f ca="1">IF(AND(D469="Juvenile Audiobook",LEFT(B469,8)="J CD BIO"),RIGHT(B469,LEN(B469)-9),
IF(AND(D469="Juvenile Audiobook",LEFT(B469,8)="J CD FIC"),B469,
IF(D469="Juvenile Audiobook",RIGHT(B469,LEN(B469)-5),
IF(AND(D469="Teen Audiobook",LEFT(B469,11)="TEEN CD BIO"),RIGHT(B469,LEN(B469)-12),
IF(AND(D469="Teen Audiobook",LEFT(B469,11)="TEEN CD FIC"),B469,
IF(D469="Juvenile Audiobook",RIGHT(B469,LEN(B469)-8),
IF(D469="Juvenile Nonfiction",RIGHT(B469,LEN(B469)-2),
IF(D469="Teen Nonfiction",RIGHT(B469,LEN(B469)-5),
IF(AND(D469="Audiobook",
              NOT(OR(Contains($B469,"CD BIO"),Contains($B469,"CD FIC")))),RIGHT(B469,LEN(B469)-3),
IF(D469="Juvenile Biography",RIGHT(B469,LEN(B469)-2),
IF(D469="Teen Biography",RIGHT(B469,LEN(B469)-5),
IF(AND(D469="Audiobook",
              IFERROR(FIND("BIO",$B469)&gt;0,FALSE)),RIGHT(B469,LEN(B469)-3),
IF(D469="Juvenile Large Type","J "&amp;RIGHT(B469,LEN(B469)-11),
IF(D469="Teen Large Type","TEEN "&amp;RIGHT(B469,LEN(B469)-14),
IF(D469="Reference",RIGHT(B469,LEN(B469)-4),
IF(D469="DVD Educational",RIGHT(B469,LEN(B469)-7),
IF(D469="Juvenile DVD Educational",RIGHT(B469,LEN(B469)-9),
B469)))))))))))))))))</f>
        <v/>
      </c>
    </row>
    <row r="470" spans="1:8" ht="27" customHeight="1" x14ac:dyDescent="0.25">
      <c r="A470" s="10" t="str">
        <f ca="1">TEXT( INDIRECT( ADDRESS( ROW() + Row_Offset, INDIRECT( "Column_Number_" &amp; A$1), 4,1, tabname) ), "")</f>
        <v/>
      </c>
      <c r="B470" s="10" t="str">
        <f ca="1">TEXT(  IFERROR( VLOOKUP( $D470, CollName_Simplifier_Table[], 2, FALSE),"") &amp;
        INDIRECT( ADDRESS( ROW() + Row_Offset, INDIRECT( "Column_Number_" &amp; $B$1), 4,1, tabname) ), "")</f>
        <v/>
      </c>
      <c r="C470" s="10" t="str">
        <f ca="1">TEXT( INDIRECT( ADDRESS( ROW() + Row_Offset, INDIRECT( "Column_Number_" &amp; C$1), 4,1, tabname) ), "")</f>
        <v/>
      </c>
      <c r="D470" s="10" t="str">
        <f ca="1">TEXT( INDIRECT( ADDRESS( ROW() + Row_Offset, INDIRECT( "Column_Number_" &amp; D$1), 4,1, tabname) ), "")</f>
        <v/>
      </c>
      <c r="E470" s="10" t="str">
        <f ca="1">TEXT( INDIRECT( ADDRESS( ROW() + Row_Offset, INDIRECT( "Column_Number_" &amp; E$1), 4,1, tabname) ), "####")</f>
        <v/>
      </c>
      <c r="F470" s="15"/>
      <c r="G470" s="21" t="str">
        <f ca="1">IFERROR(INDEX(Rank_Table[],MATCH($D470&amp;$A470,Table4[Join],0)),"")</f>
        <v/>
      </c>
      <c r="H470" s="11" t="str">
        <f ca="1">IF(AND(D470="Juvenile Audiobook",LEFT(B470,8)="J CD BIO"),RIGHT(B470,LEN(B470)-9),
IF(AND(D470="Juvenile Audiobook",LEFT(B470,8)="J CD FIC"),B470,
IF(D470="Juvenile Audiobook",RIGHT(B470,LEN(B470)-5),
IF(AND(D470="Teen Audiobook",LEFT(B470,11)="TEEN CD BIO"),RIGHT(B470,LEN(B470)-12),
IF(AND(D470="Teen Audiobook",LEFT(B470,11)="TEEN CD FIC"),B470,
IF(D470="Juvenile Audiobook",RIGHT(B470,LEN(B470)-8),
IF(D470="Juvenile Nonfiction",RIGHT(B470,LEN(B470)-2),
IF(D470="Teen Nonfiction",RIGHT(B470,LEN(B470)-5),
IF(AND(D470="Audiobook",
              NOT(OR(Contains($B470,"CD BIO"),Contains($B470,"CD FIC")))),RIGHT(B470,LEN(B470)-3),
IF(D470="Juvenile Biography",RIGHT(B470,LEN(B470)-2),
IF(D470="Teen Biography",RIGHT(B470,LEN(B470)-5),
IF(AND(D470="Audiobook",
              IFERROR(FIND("BIO",$B470)&gt;0,FALSE)),RIGHT(B470,LEN(B470)-3),
IF(D470="Juvenile Large Type","J "&amp;RIGHT(B470,LEN(B470)-11),
IF(D470="Teen Large Type","TEEN "&amp;RIGHT(B470,LEN(B470)-14),
IF(D470="Reference",RIGHT(B470,LEN(B470)-4),
IF(D470="DVD Educational",RIGHT(B470,LEN(B470)-7),
IF(D470="Juvenile DVD Educational",RIGHT(B470,LEN(B470)-9),
B470)))))))))))))))))</f>
        <v/>
      </c>
    </row>
    <row r="471" spans="1:8" ht="27" customHeight="1" x14ac:dyDescent="0.25">
      <c r="A471" s="10" t="str">
        <f ca="1">TEXT( INDIRECT( ADDRESS( ROW() + Row_Offset, INDIRECT( "Column_Number_" &amp; A$1), 4,1, tabname) ), "")</f>
        <v/>
      </c>
      <c r="B471" s="10" t="str">
        <f ca="1">TEXT(  IFERROR( VLOOKUP( $D471, CollName_Simplifier_Table[], 2, FALSE),"") &amp;
        INDIRECT( ADDRESS( ROW() + Row_Offset, INDIRECT( "Column_Number_" &amp; $B$1), 4,1, tabname) ), "")</f>
        <v/>
      </c>
      <c r="C471" s="10" t="str">
        <f ca="1">TEXT( INDIRECT( ADDRESS( ROW() + Row_Offset, INDIRECT( "Column_Number_" &amp; C$1), 4,1, tabname) ), "")</f>
        <v/>
      </c>
      <c r="D471" s="10" t="str">
        <f ca="1">TEXT( INDIRECT( ADDRESS( ROW() + Row_Offset, INDIRECT( "Column_Number_" &amp; D$1), 4,1, tabname) ), "")</f>
        <v/>
      </c>
      <c r="E471" s="10" t="str">
        <f ca="1">TEXT( INDIRECT( ADDRESS( ROW() + Row_Offset, INDIRECT( "Column_Number_" &amp; E$1), 4,1, tabname) ), "####")</f>
        <v/>
      </c>
      <c r="F471" s="15"/>
      <c r="G471" s="21" t="str">
        <f ca="1">IFERROR(INDEX(Rank_Table[],MATCH($D471&amp;$A471,Table4[Join],0)),"")</f>
        <v/>
      </c>
      <c r="H471" s="11" t="str">
        <f ca="1">IF(AND(D471="Juvenile Audiobook",LEFT(B471,8)="J CD BIO"),RIGHT(B471,LEN(B471)-9),
IF(AND(D471="Juvenile Audiobook",LEFT(B471,8)="J CD FIC"),B471,
IF(D471="Juvenile Audiobook",RIGHT(B471,LEN(B471)-5),
IF(AND(D471="Teen Audiobook",LEFT(B471,11)="TEEN CD BIO"),RIGHT(B471,LEN(B471)-12),
IF(AND(D471="Teen Audiobook",LEFT(B471,11)="TEEN CD FIC"),B471,
IF(D471="Juvenile Audiobook",RIGHT(B471,LEN(B471)-8),
IF(D471="Juvenile Nonfiction",RIGHT(B471,LEN(B471)-2),
IF(D471="Teen Nonfiction",RIGHT(B471,LEN(B471)-5),
IF(AND(D471="Audiobook",
              NOT(OR(Contains($B471,"CD BIO"),Contains($B471,"CD FIC")))),RIGHT(B471,LEN(B471)-3),
IF(D471="Juvenile Biography",RIGHT(B471,LEN(B471)-2),
IF(D471="Teen Biography",RIGHT(B471,LEN(B471)-5),
IF(AND(D471="Audiobook",
              IFERROR(FIND("BIO",$B471)&gt;0,FALSE)),RIGHT(B471,LEN(B471)-3),
IF(D471="Juvenile Large Type","J "&amp;RIGHT(B471,LEN(B471)-11),
IF(D471="Teen Large Type","TEEN "&amp;RIGHT(B471,LEN(B471)-14),
IF(D471="Reference",RIGHT(B471,LEN(B471)-4),
IF(D471="DVD Educational",RIGHT(B471,LEN(B471)-7),
IF(D471="Juvenile DVD Educational",RIGHT(B471,LEN(B471)-9),
B471)))))))))))))))))</f>
        <v/>
      </c>
    </row>
    <row r="472" spans="1:8" ht="27" customHeight="1" x14ac:dyDescent="0.25">
      <c r="A472" s="10" t="str">
        <f ca="1">TEXT( INDIRECT( ADDRESS( ROW() + Row_Offset, INDIRECT( "Column_Number_" &amp; A$1), 4,1, tabname) ), "")</f>
        <v/>
      </c>
      <c r="B472" s="10" t="str">
        <f ca="1">TEXT(  IFERROR( VLOOKUP( $D472, CollName_Simplifier_Table[], 2, FALSE),"") &amp;
        INDIRECT( ADDRESS( ROW() + Row_Offset, INDIRECT( "Column_Number_" &amp; $B$1), 4,1, tabname) ), "")</f>
        <v/>
      </c>
      <c r="C472" s="10" t="str">
        <f ca="1">TEXT( INDIRECT( ADDRESS( ROW() + Row_Offset, INDIRECT( "Column_Number_" &amp; C$1), 4,1, tabname) ), "")</f>
        <v/>
      </c>
      <c r="D472" s="10" t="str">
        <f ca="1">TEXT( INDIRECT( ADDRESS( ROW() + Row_Offset, INDIRECT( "Column_Number_" &amp; D$1), 4,1, tabname) ), "")</f>
        <v/>
      </c>
      <c r="E472" s="10" t="str">
        <f ca="1">TEXT( INDIRECT( ADDRESS( ROW() + Row_Offset, INDIRECT( "Column_Number_" &amp; E$1), 4,1, tabname) ), "####")</f>
        <v/>
      </c>
      <c r="F472" s="15"/>
      <c r="G472" s="21" t="str">
        <f ca="1">IFERROR(INDEX(Rank_Table[],MATCH($D472&amp;$A472,Table4[Join],0)),"")</f>
        <v/>
      </c>
      <c r="H472" s="11" t="str">
        <f ca="1">IF(AND(D472="Juvenile Audiobook",LEFT(B472,8)="J CD BIO"),RIGHT(B472,LEN(B472)-9),
IF(AND(D472="Juvenile Audiobook",LEFT(B472,8)="J CD FIC"),B472,
IF(D472="Juvenile Audiobook",RIGHT(B472,LEN(B472)-5),
IF(AND(D472="Teen Audiobook",LEFT(B472,11)="TEEN CD BIO"),RIGHT(B472,LEN(B472)-12),
IF(AND(D472="Teen Audiobook",LEFT(B472,11)="TEEN CD FIC"),B472,
IF(D472="Juvenile Audiobook",RIGHT(B472,LEN(B472)-8),
IF(D472="Juvenile Nonfiction",RIGHT(B472,LEN(B472)-2),
IF(D472="Teen Nonfiction",RIGHT(B472,LEN(B472)-5),
IF(AND(D472="Audiobook",
              NOT(OR(Contains($B472,"CD BIO"),Contains($B472,"CD FIC")))),RIGHT(B472,LEN(B472)-3),
IF(D472="Juvenile Biography",RIGHT(B472,LEN(B472)-2),
IF(D472="Teen Biography",RIGHT(B472,LEN(B472)-5),
IF(AND(D472="Audiobook",
              IFERROR(FIND("BIO",$B472)&gt;0,FALSE)),RIGHT(B472,LEN(B472)-3),
IF(D472="Juvenile Large Type","J "&amp;RIGHT(B472,LEN(B472)-11),
IF(D472="Teen Large Type","TEEN "&amp;RIGHT(B472,LEN(B472)-14),
IF(D472="Reference",RIGHT(B472,LEN(B472)-4),
IF(D472="DVD Educational",RIGHT(B472,LEN(B472)-7),
IF(D472="Juvenile DVD Educational",RIGHT(B472,LEN(B472)-9),
B472)))))))))))))))))</f>
        <v/>
      </c>
    </row>
    <row r="473" spans="1:8" ht="27" customHeight="1" x14ac:dyDescent="0.25">
      <c r="A473" s="10" t="str">
        <f ca="1">TEXT( INDIRECT( ADDRESS( ROW() + Row_Offset, INDIRECT( "Column_Number_" &amp; A$1), 4,1, tabname) ), "")</f>
        <v/>
      </c>
      <c r="B473" s="10" t="str">
        <f ca="1">TEXT(  IFERROR( VLOOKUP( $D473, CollName_Simplifier_Table[], 2, FALSE),"") &amp;
        INDIRECT( ADDRESS( ROW() + Row_Offset, INDIRECT( "Column_Number_" &amp; $B$1), 4,1, tabname) ), "")</f>
        <v/>
      </c>
      <c r="C473" s="10" t="str">
        <f ca="1">TEXT( INDIRECT( ADDRESS( ROW() + Row_Offset, INDIRECT( "Column_Number_" &amp; C$1), 4,1, tabname) ), "")</f>
        <v/>
      </c>
      <c r="D473" s="10" t="str">
        <f ca="1">TEXT( INDIRECT( ADDRESS( ROW() + Row_Offset, INDIRECT( "Column_Number_" &amp; D$1), 4,1, tabname) ), "")</f>
        <v/>
      </c>
      <c r="E473" s="10" t="str">
        <f ca="1">TEXT( INDIRECT( ADDRESS( ROW() + Row_Offset, INDIRECT( "Column_Number_" &amp; E$1), 4,1, tabname) ), "####")</f>
        <v/>
      </c>
      <c r="F473" s="15"/>
      <c r="G473" s="21" t="str">
        <f ca="1">IFERROR(INDEX(Rank_Table[],MATCH($D473&amp;$A473,Table4[Join],0)),"")</f>
        <v/>
      </c>
      <c r="H473" s="11" t="str">
        <f ca="1">IF(AND(D473="Juvenile Audiobook",LEFT(B473,8)="J CD BIO"),RIGHT(B473,LEN(B473)-9),
IF(AND(D473="Juvenile Audiobook",LEFT(B473,8)="J CD FIC"),B473,
IF(D473="Juvenile Audiobook",RIGHT(B473,LEN(B473)-5),
IF(AND(D473="Teen Audiobook",LEFT(B473,11)="TEEN CD BIO"),RIGHT(B473,LEN(B473)-12),
IF(AND(D473="Teen Audiobook",LEFT(B473,11)="TEEN CD FIC"),B473,
IF(D473="Juvenile Audiobook",RIGHT(B473,LEN(B473)-8),
IF(D473="Juvenile Nonfiction",RIGHT(B473,LEN(B473)-2),
IF(D473="Teen Nonfiction",RIGHT(B473,LEN(B473)-5),
IF(AND(D473="Audiobook",
              NOT(OR(Contains($B473,"CD BIO"),Contains($B473,"CD FIC")))),RIGHT(B473,LEN(B473)-3),
IF(D473="Juvenile Biography",RIGHT(B473,LEN(B473)-2),
IF(D473="Teen Biography",RIGHT(B473,LEN(B473)-5),
IF(AND(D473="Audiobook",
              IFERROR(FIND("BIO",$B473)&gt;0,FALSE)),RIGHT(B473,LEN(B473)-3),
IF(D473="Juvenile Large Type","J "&amp;RIGHT(B473,LEN(B473)-11),
IF(D473="Teen Large Type","TEEN "&amp;RIGHT(B473,LEN(B473)-14),
IF(D473="Reference",RIGHT(B473,LEN(B473)-4),
IF(D473="DVD Educational",RIGHT(B473,LEN(B473)-7),
IF(D473="Juvenile DVD Educational",RIGHT(B473,LEN(B473)-9),
B473)))))))))))))))))</f>
        <v/>
      </c>
    </row>
    <row r="474" spans="1:8" ht="27" customHeight="1" x14ac:dyDescent="0.25">
      <c r="A474" s="10" t="str">
        <f ca="1">TEXT( INDIRECT( ADDRESS( ROW() + Row_Offset, INDIRECT( "Column_Number_" &amp; A$1), 4,1, tabname) ), "")</f>
        <v/>
      </c>
      <c r="B474" s="10" t="str">
        <f ca="1">TEXT(  IFERROR( VLOOKUP( $D474, CollName_Simplifier_Table[], 2, FALSE),"") &amp;
        INDIRECT( ADDRESS( ROW() + Row_Offset, INDIRECT( "Column_Number_" &amp; $B$1), 4,1, tabname) ), "")</f>
        <v/>
      </c>
      <c r="C474" s="10" t="str">
        <f ca="1">TEXT( INDIRECT( ADDRESS( ROW() + Row_Offset, INDIRECT( "Column_Number_" &amp; C$1), 4,1, tabname) ), "")</f>
        <v/>
      </c>
      <c r="D474" s="10" t="str">
        <f ca="1">TEXT( INDIRECT( ADDRESS( ROW() + Row_Offset, INDIRECT( "Column_Number_" &amp; D$1), 4,1, tabname) ), "")</f>
        <v/>
      </c>
      <c r="E474" s="10" t="str">
        <f ca="1">TEXT( INDIRECT( ADDRESS( ROW() + Row_Offset, INDIRECT( "Column_Number_" &amp; E$1), 4,1, tabname) ), "####")</f>
        <v/>
      </c>
      <c r="F474" s="15"/>
      <c r="G474" s="21" t="str">
        <f ca="1">IFERROR(INDEX(Rank_Table[],MATCH($D474&amp;$A474,Table4[Join],0)),"")</f>
        <v/>
      </c>
      <c r="H474" s="11" t="str">
        <f ca="1">IF(AND(D474="Juvenile Audiobook",LEFT(B474,8)="J CD BIO"),RIGHT(B474,LEN(B474)-9),
IF(AND(D474="Juvenile Audiobook",LEFT(B474,8)="J CD FIC"),B474,
IF(D474="Juvenile Audiobook",RIGHT(B474,LEN(B474)-5),
IF(AND(D474="Teen Audiobook",LEFT(B474,11)="TEEN CD BIO"),RIGHT(B474,LEN(B474)-12),
IF(AND(D474="Teen Audiobook",LEFT(B474,11)="TEEN CD FIC"),B474,
IF(D474="Juvenile Audiobook",RIGHT(B474,LEN(B474)-8),
IF(D474="Juvenile Nonfiction",RIGHT(B474,LEN(B474)-2),
IF(D474="Teen Nonfiction",RIGHT(B474,LEN(B474)-5),
IF(AND(D474="Audiobook",
              NOT(OR(Contains($B474,"CD BIO"),Contains($B474,"CD FIC")))),RIGHT(B474,LEN(B474)-3),
IF(D474="Juvenile Biography",RIGHT(B474,LEN(B474)-2),
IF(D474="Teen Biography",RIGHT(B474,LEN(B474)-5),
IF(AND(D474="Audiobook",
              IFERROR(FIND("BIO",$B474)&gt;0,FALSE)),RIGHT(B474,LEN(B474)-3),
IF(D474="Juvenile Large Type","J "&amp;RIGHT(B474,LEN(B474)-11),
IF(D474="Teen Large Type","TEEN "&amp;RIGHT(B474,LEN(B474)-14),
IF(D474="Reference",RIGHT(B474,LEN(B474)-4),
IF(D474="DVD Educational",RIGHT(B474,LEN(B474)-7),
IF(D474="Juvenile DVD Educational",RIGHT(B474,LEN(B474)-9),
B474)))))))))))))))))</f>
        <v/>
      </c>
    </row>
    <row r="475" spans="1:8" ht="27" customHeight="1" x14ac:dyDescent="0.25">
      <c r="A475" s="10" t="str">
        <f ca="1">TEXT( INDIRECT( ADDRESS( ROW() + Row_Offset, INDIRECT( "Column_Number_" &amp; A$1), 4,1, tabname) ), "")</f>
        <v/>
      </c>
      <c r="B475" s="10" t="str">
        <f ca="1">TEXT(  IFERROR( VLOOKUP( $D475, CollName_Simplifier_Table[], 2, FALSE),"") &amp;
        INDIRECT( ADDRESS( ROW() + Row_Offset, INDIRECT( "Column_Number_" &amp; $B$1), 4,1, tabname) ), "")</f>
        <v/>
      </c>
      <c r="C475" s="10" t="str">
        <f ca="1">TEXT( INDIRECT( ADDRESS( ROW() + Row_Offset, INDIRECT( "Column_Number_" &amp; C$1), 4,1, tabname) ), "")</f>
        <v/>
      </c>
      <c r="D475" s="10" t="str">
        <f ca="1">TEXT( INDIRECT( ADDRESS( ROW() + Row_Offset, INDIRECT( "Column_Number_" &amp; D$1), 4,1, tabname) ), "")</f>
        <v/>
      </c>
      <c r="E475" s="10" t="str">
        <f ca="1">TEXT( INDIRECT( ADDRESS( ROW() + Row_Offset, INDIRECT( "Column_Number_" &amp; E$1), 4,1, tabname) ), "####")</f>
        <v/>
      </c>
      <c r="F475" s="15"/>
      <c r="G475" s="21" t="str">
        <f ca="1">IFERROR(INDEX(Rank_Table[],MATCH($D475&amp;$A475,Table4[Join],0)),"")</f>
        <v/>
      </c>
      <c r="H475" s="11" t="str">
        <f ca="1">IF(AND(D475="Juvenile Audiobook",LEFT(B475,8)="J CD BIO"),RIGHT(B475,LEN(B475)-9),
IF(AND(D475="Juvenile Audiobook",LEFT(B475,8)="J CD FIC"),B475,
IF(D475="Juvenile Audiobook",RIGHT(B475,LEN(B475)-5),
IF(AND(D475="Teen Audiobook",LEFT(B475,11)="TEEN CD BIO"),RIGHT(B475,LEN(B475)-12),
IF(AND(D475="Teen Audiobook",LEFT(B475,11)="TEEN CD FIC"),B475,
IF(D475="Juvenile Audiobook",RIGHT(B475,LEN(B475)-8),
IF(D475="Juvenile Nonfiction",RIGHT(B475,LEN(B475)-2),
IF(D475="Teen Nonfiction",RIGHT(B475,LEN(B475)-5),
IF(AND(D475="Audiobook",
              NOT(OR(Contains($B475,"CD BIO"),Contains($B475,"CD FIC")))),RIGHT(B475,LEN(B475)-3),
IF(D475="Juvenile Biography",RIGHT(B475,LEN(B475)-2),
IF(D475="Teen Biography",RIGHT(B475,LEN(B475)-5),
IF(AND(D475="Audiobook",
              IFERROR(FIND("BIO",$B475)&gt;0,FALSE)),RIGHT(B475,LEN(B475)-3),
IF(D475="Juvenile Large Type","J "&amp;RIGHT(B475,LEN(B475)-11),
IF(D475="Teen Large Type","TEEN "&amp;RIGHT(B475,LEN(B475)-14),
IF(D475="Reference",RIGHT(B475,LEN(B475)-4),
IF(D475="DVD Educational",RIGHT(B475,LEN(B475)-7),
IF(D475="Juvenile DVD Educational",RIGHT(B475,LEN(B475)-9),
B475)))))))))))))))))</f>
        <v/>
      </c>
    </row>
    <row r="476" spans="1:8" ht="27" customHeight="1" x14ac:dyDescent="0.25">
      <c r="A476" s="10" t="str">
        <f ca="1">TEXT( INDIRECT( ADDRESS( ROW() + Row_Offset, INDIRECT( "Column_Number_" &amp; A$1), 4,1, tabname) ), "")</f>
        <v/>
      </c>
      <c r="B476" s="10" t="str">
        <f ca="1">TEXT(  IFERROR( VLOOKUP( $D476, CollName_Simplifier_Table[], 2, FALSE),"") &amp;
        INDIRECT( ADDRESS( ROW() + Row_Offset, INDIRECT( "Column_Number_" &amp; $B$1), 4,1, tabname) ), "")</f>
        <v/>
      </c>
      <c r="C476" s="10" t="str">
        <f ca="1">TEXT( INDIRECT( ADDRESS( ROW() + Row_Offset, INDIRECT( "Column_Number_" &amp; C$1), 4,1, tabname) ), "")</f>
        <v/>
      </c>
      <c r="D476" s="10" t="str">
        <f ca="1">TEXT( INDIRECT( ADDRESS( ROW() + Row_Offset, INDIRECT( "Column_Number_" &amp; D$1), 4,1, tabname) ), "")</f>
        <v/>
      </c>
      <c r="E476" s="10" t="str">
        <f ca="1">TEXT( INDIRECT( ADDRESS( ROW() + Row_Offset, INDIRECT( "Column_Number_" &amp; E$1), 4,1, tabname) ), "####")</f>
        <v/>
      </c>
      <c r="F476" s="15"/>
      <c r="G476" s="21" t="str">
        <f ca="1">IFERROR(INDEX(Rank_Table[],MATCH($D476&amp;$A476,Table4[Join],0)),"")</f>
        <v/>
      </c>
      <c r="H476" s="11" t="str">
        <f ca="1">IF(AND(D476="Juvenile Audiobook",LEFT(B476,8)="J CD BIO"),RIGHT(B476,LEN(B476)-9),
IF(AND(D476="Juvenile Audiobook",LEFT(B476,8)="J CD FIC"),B476,
IF(D476="Juvenile Audiobook",RIGHT(B476,LEN(B476)-5),
IF(AND(D476="Teen Audiobook",LEFT(B476,11)="TEEN CD BIO"),RIGHT(B476,LEN(B476)-12),
IF(AND(D476="Teen Audiobook",LEFT(B476,11)="TEEN CD FIC"),B476,
IF(D476="Juvenile Audiobook",RIGHT(B476,LEN(B476)-8),
IF(D476="Juvenile Nonfiction",RIGHT(B476,LEN(B476)-2),
IF(D476="Teen Nonfiction",RIGHT(B476,LEN(B476)-5),
IF(AND(D476="Audiobook",
              NOT(OR(Contains($B476,"CD BIO"),Contains($B476,"CD FIC")))),RIGHT(B476,LEN(B476)-3),
IF(D476="Juvenile Biography",RIGHT(B476,LEN(B476)-2),
IF(D476="Teen Biography",RIGHT(B476,LEN(B476)-5),
IF(AND(D476="Audiobook",
              IFERROR(FIND("BIO",$B476)&gt;0,FALSE)),RIGHT(B476,LEN(B476)-3),
IF(D476="Juvenile Large Type","J "&amp;RIGHT(B476,LEN(B476)-11),
IF(D476="Teen Large Type","TEEN "&amp;RIGHT(B476,LEN(B476)-14),
IF(D476="Reference",RIGHT(B476,LEN(B476)-4),
IF(D476="DVD Educational",RIGHT(B476,LEN(B476)-7),
IF(D476="Juvenile DVD Educational",RIGHT(B476,LEN(B476)-9),
B476)))))))))))))))))</f>
        <v/>
      </c>
    </row>
    <row r="477" spans="1:8" ht="27" customHeight="1" x14ac:dyDescent="0.25">
      <c r="A477" s="10" t="str">
        <f ca="1">TEXT( INDIRECT( ADDRESS( ROW() + Row_Offset, INDIRECT( "Column_Number_" &amp; A$1), 4,1, tabname) ), "")</f>
        <v/>
      </c>
      <c r="B477" s="10" t="str">
        <f ca="1">TEXT(  IFERROR( VLOOKUP( $D477, CollName_Simplifier_Table[], 2, FALSE),"") &amp;
        INDIRECT( ADDRESS( ROW() + Row_Offset, INDIRECT( "Column_Number_" &amp; $B$1), 4,1, tabname) ), "")</f>
        <v/>
      </c>
      <c r="C477" s="10" t="str">
        <f ca="1">TEXT( INDIRECT( ADDRESS( ROW() + Row_Offset, INDIRECT( "Column_Number_" &amp; C$1), 4,1, tabname) ), "")</f>
        <v/>
      </c>
      <c r="D477" s="10" t="str">
        <f ca="1">TEXT( INDIRECT( ADDRESS( ROW() + Row_Offset, INDIRECT( "Column_Number_" &amp; D$1), 4,1, tabname) ), "")</f>
        <v/>
      </c>
      <c r="E477" s="10" t="str">
        <f ca="1">TEXT( INDIRECT( ADDRESS( ROW() + Row_Offset, INDIRECT( "Column_Number_" &amp; E$1), 4,1, tabname) ), "####")</f>
        <v/>
      </c>
      <c r="F477" s="15"/>
      <c r="G477" s="21" t="str">
        <f ca="1">IFERROR(INDEX(Rank_Table[],MATCH($D477&amp;$A477,Table4[Join],0)),"")</f>
        <v/>
      </c>
      <c r="H477" s="11" t="str">
        <f ca="1">IF(AND(D477="Juvenile Audiobook",LEFT(B477,8)="J CD BIO"),RIGHT(B477,LEN(B477)-9),
IF(AND(D477="Juvenile Audiobook",LEFT(B477,8)="J CD FIC"),B477,
IF(D477="Juvenile Audiobook",RIGHT(B477,LEN(B477)-5),
IF(AND(D477="Teen Audiobook",LEFT(B477,11)="TEEN CD BIO"),RIGHT(B477,LEN(B477)-12),
IF(AND(D477="Teen Audiobook",LEFT(B477,11)="TEEN CD FIC"),B477,
IF(D477="Juvenile Audiobook",RIGHT(B477,LEN(B477)-8),
IF(D477="Juvenile Nonfiction",RIGHT(B477,LEN(B477)-2),
IF(D477="Teen Nonfiction",RIGHT(B477,LEN(B477)-5),
IF(AND(D477="Audiobook",
              NOT(OR(Contains($B477,"CD BIO"),Contains($B477,"CD FIC")))),RIGHT(B477,LEN(B477)-3),
IF(D477="Juvenile Biography",RIGHT(B477,LEN(B477)-2),
IF(D477="Teen Biography",RIGHT(B477,LEN(B477)-5),
IF(AND(D477="Audiobook",
              IFERROR(FIND("BIO",$B477)&gt;0,FALSE)),RIGHT(B477,LEN(B477)-3),
IF(D477="Juvenile Large Type","J "&amp;RIGHT(B477,LEN(B477)-11),
IF(D477="Teen Large Type","TEEN "&amp;RIGHT(B477,LEN(B477)-14),
IF(D477="Reference",RIGHT(B477,LEN(B477)-4),
IF(D477="DVD Educational",RIGHT(B477,LEN(B477)-7),
IF(D477="Juvenile DVD Educational",RIGHT(B477,LEN(B477)-9),
B477)))))))))))))))))</f>
        <v/>
      </c>
    </row>
    <row r="478" spans="1:8" ht="27" customHeight="1" x14ac:dyDescent="0.25">
      <c r="A478" s="10" t="str">
        <f ca="1">TEXT( INDIRECT( ADDRESS( ROW() + Row_Offset, INDIRECT( "Column_Number_" &amp; A$1), 4,1, tabname) ), "")</f>
        <v/>
      </c>
      <c r="B478" s="10" t="str">
        <f ca="1">TEXT(  IFERROR( VLOOKUP( $D478, CollName_Simplifier_Table[], 2, FALSE),"") &amp;
        INDIRECT( ADDRESS( ROW() + Row_Offset, INDIRECT( "Column_Number_" &amp; $B$1), 4,1, tabname) ), "")</f>
        <v/>
      </c>
      <c r="C478" s="10" t="str">
        <f ca="1">TEXT( INDIRECT( ADDRESS( ROW() + Row_Offset, INDIRECT( "Column_Number_" &amp; C$1), 4,1, tabname) ), "")</f>
        <v/>
      </c>
      <c r="D478" s="10" t="str">
        <f ca="1">TEXT( INDIRECT( ADDRESS( ROW() + Row_Offset, INDIRECT( "Column_Number_" &amp; D$1), 4,1, tabname) ), "")</f>
        <v/>
      </c>
      <c r="E478" s="10" t="str">
        <f ca="1">TEXT( INDIRECT( ADDRESS( ROW() + Row_Offset, INDIRECT( "Column_Number_" &amp; E$1), 4,1, tabname) ), "####")</f>
        <v/>
      </c>
      <c r="F478" s="15"/>
      <c r="G478" s="21" t="str">
        <f ca="1">IFERROR(INDEX(Rank_Table[],MATCH($D478&amp;$A478,Table4[Join],0)),"")</f>
        <v/>
      </c>
      <c r="H478" s="11" t="str">
        <f ca="1">IF(AND(D478="Juvenile Audiobook",LEFT(B478,8)="J CD BIO"),RIGHT(B478,LEN(B478)-9),
IF(AND(D478="Juvenile Audiobook",LEFT(B478,8)="J CD FIC"),B478,
IF(D478="Juvenile Audiobook",RIGHT(B478,LEN(B478)-5),
IF(AND(D478="Teen Audiobook",LEFT(B478,11)="TEEN CD BIO"),RIGHT(B478,LEN(B478)-12),
IF(AND(D478="Teen Audiobook",LEFT(B478,11)="TEEN CD FIC"),B478,
IF(D478="Juvenile Audiobook",RIGHT(B478,LEN(B478)-8),
IF(D478="Juvenile Nonfiction",RIGHT(B478,LEN(B478)-2),
IF(D478="Teen Nonfiction",RIGHT(B478,LEN(B478)-5),
IF(AND(D478="Audiobook",
              NOT(OR(Contains($B478,"CD BIO"),Contains($B478,"CD FIC")))),RIGHT(B478,LEN(B478)-3),
IF(D478="Juvenile Biography",RIGHT(B478,LEN(B478)-2),
IF(D478="Teen Biography",RIGHT(B478,LEN(B478)-5),
IF(AND(D478="Audiobook",
              IFERROR(FIND("BIO",$B478)&gt;0,FALSE)),RIGHT(B478,LEN(B478)-3),
IF(D478="Juvenile Large Type","J "&amp;RIGHT(B478,LEN(B478)-11),
IF(D478="Teen Large Type","TEEN "&amp;RIGHT(B478,LEN(B478)-14),
IF(D478="Reference",RIGHT(B478,LEN(B478)-4),
IF(D478="DVD Educational",RIGHT(B478,LEN(B478)-7),
IF(D478="Juvenile DVD Educational",RIGHT(B478,LEN(B478)-9),
B478)))))))))))))))))</f>
        <v/>
      </c>
    </row>
    <row r="479" spans="1:8" ht="27" customHeight="1" x14ac:dyDescent="0.25">
      <c r="A479" s="10" t="str">
        <f ca="1">TEXT( INDIRECT( ADDRESS( ROW() + Row_Offset, INDIRECT( "Column_Number_" &amp; A$1), 4,1, tabname) ), "")</f>
        <v/>
      </c>
      <c r="B479" s="10" t="str">
        <f ca="1">TEXT(  IFERROR( VLOOKUP( $D479, CollName_Simplifier_Table[], 2, FALSE),"") &amp;
        INDIRECT( ADDRESS( ROW() + Row_Offset, INDIRECT( "Column_Number_" &amp; $B$1), 4,1, tabname) ), "")</f>
        <v/>
      </c>
      <c r="C479" s="10" t="str">
        <f ca="1">TEXT( INDIRECT( ADDRESS( ROW() + Row_Offset, INDIRECT( "Column_Number_" &amp; C$1), 4,1, tabname) ), "")</f>
        <v/>
      </c>
      <c r="D479" s="10" t="str">
        <f ca="1">TEXT( INDIRECT( ADDRESS( ROW() + Row_Offset, INDIRECT( "Column_Number_" &amp; D$1), 4,1, tabname) ), "")</f>
        <v/>
      </c>
      <c r="E479" s="10" t="str">
        <f ca="1">TEXT( INDIRECT( ADDRESS( ROW() + Row_Offset, INDIRECT( "Column_Number_" &amp; E$1), 4,1, tabname) ), "####")</f>
        <v/>
      </c>
      <c r="F479" s="15"/>
      <c r="G479" s="21" t="str">
        <f ca="1">IFERROR(INDEX(Rank_Table[],MATCH($D479&amp;$A479,Table4[Join],0)),"")</f>
        <v/>
      </c>
      <c r="H479" s="11" t="str">
        <f ca="1">IF(AND(D479="Juvenile Audiobook",LEFT(B479,8)="J CD BIO"),RIGHT(B479,LEN(B479)-9),
IF(AND(D479="Juvenile Audiobook",LEFT(B479,8)="J CD FIC"),B479,
IF(D479="Juvenile Audiobook",RIGHT(B479,LEN(B479)-5),
IF(AND(D479="Teen Audiobook",LEFT(B479,11)="TEEN CD BIO"),RIGHT(B479,LEN(B479)-12),
IF(AND(D479="Teen Audiobook",LEFT(B479,11)="TEEN CD FIC"),B479,
IF(D479="Juvenile Audiobook",RIGHT(B479,LEN(B479)-8),
IF(D479="Juvenile Nonfiction",RIGHT(B479,LEN(B479)-2),
IF(D479="Teen Nonfiction",RIGHT(B479,LEN(B479)-5),
IF(AND(D479="Audiobook",
              NOT(OR(Contains($B479,"CD BIO"),Contains($B479,"CD FIC")))),RIGHT(B479,LEN(B479)-3),
IF(D479="Juvenile Biography",RIGHT(B479,LEN(B479)-2),
IF(D479="Teen Biography",RIGHT(B479,LEN(B479)-5),
IF(AND(D479="Audiobook",
              IFERROR(FIND("BIO",$B479)&gt;0,FALSE)),RIGHT(B479,LEN(B479)-3),
IF(D479="Juvenile Large Type","J "&amp;RIGHT(B479,LEN(B479)-11),
IF(D479="Teen Large Type","TEEN "&amp;RIGHT(B479,LEN(B479)-14),
IF(D479="Reference",RIGHT(B479,LEN(B479)-4),
IF(D479="DVD Educational",RIGHT(B479,LEN(B479)-7),
IF(D479="Juvenile DVD Educational",RIGHT(B479,LEN(B479)-9),
B479)))))))))))))))))</f>
        <v/>
      </c>
    </row>
    <row r="480" spans="1:8" ht="27" customHeight="1" x14ac:dyDescent="0.25">
      <c r="A480" s="10" t="str">
        <f ca="1">TEXT( INDIRECT( ADDRESS( ROW() + Row_Offset, INDIRECT( "Column_Number_" &amp; A$1), 4,1, tabname) ), "")</f>
        <v/>
      </c>
      <c r="B480" s="10" t="str">
        <f ca="1">TEXT(  IFERROR( VLOOKUP( $D480, CollName_Simplifier_Table[], 2, FALSE),"") &amp;
        INDIRECT( ADDRESS( ROW() + Row_Offset, INDIRECT( "Column_Number_" &amp; $B$1), 4,1, tabname) ), "")</f>
        <v/>
      </c>
      <c r="C480" s="10" t="str">
        <f ca="1">TEXT( INDIRECT( ADDRESS( ROW() + Row_Offset, INDIRECT( "Column_Number_" &amp; C$1), 4,1, tabname) ), "")</f>
        <v/>
      </c>
      <c r="D480" s="10" t="str">
        <f ca="1">TEXT( INDIRECT( ADDRESS( ROW() + Row_Offset, INDIRECT( "Column_Number_" &amp; D$1), 4,1, tabname) ), "")</f>
        <v/>
      </c>
      <c r="E480" s="10" t="str">
        <f ca="1">TEXT( INDIRECT( ADDRESS( ROW() + Row_Offset, INDIRECT( "Column_Number_" &amp; E$1), 4,1, tabname) ), "####")</f>
        <v/>
      </c>
      <c r="F480" s="15"/>
      <c r="G480" s="21" t="str">
        <f ca="1">IFERROR(INDEX(Rank_Table[],MATCH($D480&amp;$A480,Table4[Join],0)),"")</f>
        <v/>
      </c>
      <c r="H480" s="11" t="str">
        <f ca="1">IF(AND(D480="Juvenile Audiobook",LEFT(B480,8)="J CD BIO"),RIGHT(B480,LEN(B480)-9),
IF(AND(D480="Juvenile Audiobook",LEFT(B480,8)="J CD FIC"),B480,
IF(D480="Juvenile Audiobook",RIGHT(B480,LEN(B480)-5),
IF(AND(D480="Teen Audiobook",LEFT(B480,11)="TEEN CD BIO"),RIGHT(B480,LEN(B480)-12),
IF(AND(D480="Teen Audiobook",LEFT(B480,11)="TEEN CD FIC"),B480,
IF(D480="Juvenile Audiobook",RIGHT(B480,LEN(B480)-8),
IF(D480="Juvenile Nonfiction",RIGHT(B480,LEN(B480)-2),
IF(D480="Teen Nonfiction",RIGHT(B480,LEN(B480)-5),
IF(AND(D480="Audiobook",
              NOT(OR(Contains($B480,"CD BIO"),Contains($B480,"CD FIC")))),RIGHT(B480,LEN(B480)-3),
IF(D480="Juvenile Biography",RIGHT(B480,LEN(B480)-2),
IF(D480="Teen Biography",RIGHT(B480,LEN(B480)-5),
IF(AND(D480="Audiobook",
              IFERROR(FIND("BIO",$B480)&gt;0,FALSE)),RIGHT(B480,LEN(B480)-3),
IF(D480="Juvenile Large Type","J "&amp;RIGHT(B480,LEN(B480)-11),
IF(D480="Teen Large Type","TEEN "&amp;RIGHT(B480,LEN(B480)-14),
IF(D480="Reference",RIGHT(B480,LEN(B480)-4),
IF(D480="DVD Educational",RIGHT(B480,LEN(B480)-7),
IF(D480="Juvenile DVD Educational",RIGHT(B480,LEN(B480)-9),
B480)))))))))))))))))</f>
        <v/>
      </c>
    </row>
    <row r="481" spans="1:8" ht="27" customHeight="1" x14ac:dyDescent="0.25">
      <c r="A481" s="10" t="str">
        <f ca="1">TEXT( INDIRECT( ADDRESS( ROW() + Row_Offset, INDIRECT( "Column_Number_" &amp; A$1), 4,1, tabname) ), "")</f>
        <v/>
      </c>
      <c r="B481" s="10" t="str">
        <f ca="1">TEXT(  IFERROR( VLOOKUP( $D481, CollName_Simplifier_Table[], 2, FALSE),"") &amp;
        INDIRECT( ADDRESS( ROW() + Row_Offset, INDIRECT( "Column_Number_" &amp; $B$1), 4,1, tabname) ), "")</f>
        <v/>
      </c>
      <c r="C481" s="10" t="str">
        <f ca="1">TEXT( INDIRECT( ADDRESS( ROW() + Row_Offset, INDIRECT( "Column_Number_" &amp; C$1), 4,1, tabname) ), "")</f>
        <v/>
      </c>
      <c r="D481" s="10" t="str">
        <f ca="1">TEXT( INDIRECT( ADDRESS( ROW() + Row_Offset, INDIRECT( "Column_Number_" &amp; D$1), 4,1, tabname) ), "")</f>
        <v/>
      </c>
      <c r="E481" s="10" t="str">
        <f ca="1">TEXT( INDIRECT( ADDRESS( ROW() + Row_Offset, INDIRECT( "Column_Number_" &amp; E$1), 4,1, tabname) ), "####")</f>
        <v/>
      </c>
      <c r="F481" s="15"/>
      <c r="G481" s="21" t="str">
        <f ca="1">IFERROR(INDEX(Rank_Table[],MATCH($D481&amp;$A481,Table4[Join],0)),"")</f>
        <v/>
      </c>
      <c r="H481" s="11" t="str">
        <f ca="1">IF(AND(D481="Juvenile Audiobook",LEFT(B481,8)="J CD BIO"),RIGHT(B481,LEN(B481)-9),
IF(AND(D481="Juvenile Audiobook",LEFT(B481,8)="J CD FIC"),B481,
IF(D481="Juvenile Audiobook",RIGHT(B481,LEN(B481)-5),
IF(AND(D481="Teen Audiobook",LEFT(B481,11)="TEEN CD BIO"),RIGHT(B481,LEN(B481)-12),
IF(AND(D481="Teen Audiobook",LEFT(B481,11)="TEEN CD FIC"),B481,
IF(D481="Juvenile Audiobook",RIGHT(B481,LEN(B481)-8),
IF(D481="Juvenile Nonfiction",RIGHT(B481,LEN(B481)-2),
IF(D481="Teen Nonfiction",RIGHT(B481,LEN(B481)-5),
IF(AND(D481="Audiobook",
              NOT(OR(Contains($B481,"CD BIO"),Contains($B481,"CD FIC")))),RIGHT(B481,LEN(B481)-3),
IF(D481="Juvenile Biography",RIGHT(B481,LEN(B481)-2),
IF(D481="Teen Biography",RIGHT(B481,LEN(B481)-5),
IF(AND(D481="Audiobook",
              IFERROR(FIND("BIO",$B481)&gt;0,FALSE)),RIGHT(B481,LEN(B481)-3),
IF(D481="Juvenile Large Type","J "&amp;RIGHT(B481,LEN(B481)-11),
IF(D481="Teen Large Type","TEEN "&amp;RIGHT(B481,LEN(B481)-14),
IF(D481="Reference",RIGHT(B481,LEN(B481)-4),
IF(D481="DVD Educational",RIGHT(B481,LEN(B481)-7),
IF(D481="Juvenile DVD Educational",RIGHT(B481,LEN(B481)-9),
B481)))))))))))))))))</f>
        <v/>
      </c>
    </row>
    <row r="482" spans="1:8" ht="27" customHeight="1" x14ac:dyDescent="0.25">
      <c r="A482" s="10" t="str">
        <f ca="1">TEXT( INDIRECT( ADDRESS( ROW() + Row_Offset, INDIRECT( "Column_Number_" &amp; A$1), 4,1, tabname) ), "")</f>
        <v/>
      </c>
      <c r="B482" s="10" t="str">
        <f ca="1">TEXT(  IFERROR( VLOOKUP( $D482, CollName_Simplifier_Table[], 2, FALSE),"") &amp;
        INDIRECT( ADDRESS( ROW() + Row_Offset, INDIRECT( "Column_Number_" &amp; $B$1), 4,1, tabname) ), "")</f>
        <v/>
      </c>
      <c r="C482" s="10" t="str">
        <f ca="1">TEXT( INDIRECT( ADDRESS( ROW() + Row_Offset, INDIRECT( "Column_Number_" &amp; C$1), 4,1, tabname) ), "")</f>
        <v/>
      </c>
      <c r="D482" s="10" t="str">
        <f ca="1">TEXT( INDIRECT( ADDRESS( ROW() + Row_Offset, INDIRECT( "Column_Number_" &amp; D$1), 4,1, tabname) ), "")</f>
        <v/>
      </c>
      <c r="E482" s="10" t="str">
        <f ca="1">TEXT( INDIRECT( ADDRESS( ROW() + Row_Offset, INDIRECT( "Column_Number_" &amp; E$1), 4,1, tabname) ), "####")</f>
        <v/>
      </c>
      <c r="F482" s="15"/>
      <c r="G482" s="21" t="str">
        <f ca="1">IFERROR(INDEX(Rank_Table[],MATCH($D482&amp;$A482,Table4[Join],0)),"")</f>
        <v/>
      </c>
      <c r="H482" s="11" t="str">
        <f ca="1">IF(AND(D482="Juvenile Audiobook",LEFT(B482,8)="J CD BIO"),RIGHT(B482,LEN(B482)-9),
IF(AND(D482="Juvenile Audiobook",LEFT(B482,8)="J CD FIC"),B482,
IF(D482="Juvenile Audiobook",RIGHT(B482,LEN(B482)-5),
IF(AND(D482="Teen Audiobook",LEFT(B482,11)="TEEN CD BIO"),RIGHT(B482,LEN(B482)-12),
IF(AND(D482="Teen Audiobook",LEFT(B482,11)="TEEN CD FIC"),B482,
IF(D482="Juvenile Audiobook",RIGHT(B482,LEN(B482)-8),
IF(D482="Juvenile Nonfiction",RIGHT(B482,LEN(B482)-2),
IF(D482="Teen Nonfiction",RIGHT(B482,LEN(B482)-5),
IF(AND(D482="Audiobook",
              NOT(OR(Contains($B482,"CD BIO"),Contains($B482,"CD FIC")))),RIGHT(B482,LEN(B482)-3),
IF(D482="Juvenile Biography",RIGHT(B482,LEN(B482)-2),
IF(D482="Teen Biography",RIGHT(B482,LEN(B482)-5),
IF(AND(D482="Audiobook",
              IFERROR(FIND("BIO",$B482)&gt;0,FALSE)),RIGHT(B482,LEN(B482)-3),
IF(D482="Juvenile Large Type","J "&amp;RIGHT(B482,LEN(B482)-11),
IF(D482="Teen Large Type","TEEN "&amp;RIGHT(B482,LEN(B482)-14),
IF(D482="Reference",RIGHT(B482,LEN(B482)-4),
IF(D482="DVD Educational",RIGHT(B482,LEN(B482)-7),
IF(D482="Juvenile DVD Educational",RIGHT(B482,LEN(B482)-9),
B482)))))))))))))))))</f>
        <v/>
      </c>
    </row>
    <row r="483" spans="1:8" ht="27" customHeight="1" x14ac:dyDescent="0.25">
      <c r="A483" s="10" t="str">
        <f ca="1">TEXT( INDIRECT( ADDRESS( ROW() + Row_Offset, INDIRECT( "Column_Number_" &amp; A$1), 4,1, tabname) ), "")</f>
        <v/>
      </c>
      <c r="B483" s="10" t="str">
        <f ca="1">TEXT(  IFERROR( VLOOKUP( $D483, CollName_Simplifier_Table[], 2, FALSE),"") &amp;
        INDIRECT( ADDRESS( ROW() + Row_Offset, INDIRECT( "Column_Number_" &amp; $B$1), 4,1, tabname) ), "")</f>
        <v/>
      </c>
      <c r="C483" s="10" t="str">
        <f ca="1">TEXT( INDIRECT( ADDRESS( ROW() + Row_Offset, INDIRECT( "Column_Number_" &amp; C$1), 4,1, tabname) ), "")</f>
        <v/>
      </c>
      <c r="D483" s="10" t="str">
        <f ca="1">TEXT( INDIRECT( ADDRESS( ROW() + Row_Offset, INDIRECT( "Column_Number_" &amp; D$1), 4,1, tabname) ), "")</f>
        <v/>
      </c>
      <c r="E483" s="10" t="str">
        <f ca="1">TEXT( INDIRECT( ADDRESS( ROW() + Row_Offset, INDIRECT( "Column_Number_" &amp; E$1), 4,1, tabname) ), "####")</f>
        <v/>
      </c>
      <c r="F483" s="15"/>
      <c r="G483" s="21" t="str">
        <f ca="1">IFERROR(INDEX(Rank_Table[],MATCH($D483&amp;$A483,Table4[Join],0)),"")</f>
        <v/>
      </c>
      <c r="H483" s="11" t="str">
        <f ca="1">IF(AND(D483="Juvenile Audiobook",LEFT(B483,8)="J CD BIO"),RIGHT(B483,LEN(B483)-9),
IF(AND(D483="Juvenile Audiobook",LEFT(B483,8)="J CD FIC"),B483,
IF(D483="Juvenile Audiobook",RIGHT(B483,LEN(B483)-5),
IF(AND(D483="Teen Audiobook",LEFT(B483,11)="TEEN CD BIO"),RIGHT(B483,LEN(B483)-12),
IF(AND(D483="Teen Audiobook",LEFT(B483,11)="TEEN CD FIC"),B483,
IF(D483="Juvenile Audiobook",RIGHT(B483,LEN(B483)-8),
IF(D483="Juvenile Nonfiction",RIGHT(B483,LEN(B483)-2),
IF(D483="Teen Nonfiction",RIGHT(B483,LEN(B483)-5),
IF(AND(D483="Audiobook",
              NOT(OR(Contains($B483,"CD BIO"),Contains($B483,"CD FIC")))),RIGHT(B483,LEN(B483)-3),
IF(D483="Juvenile Biography",RIGHT(B483,LEN(B483)-2),
IF(D483="Teen Biography",RIGHT(B483,LEN(B483)-5),
IF(AND(D483="Audiobook",
              IFERROR(FIND("BIO",$B483)&gt;0,FALSE)),RIGHT(B483,LEN(B483)-3),
IF(D483="Juvenile Large Type","J "&amp;RIGHT(B483,LEN(B483)-11),
IF(D483="Teen Large Type","TEEN "&amp;RIGHT(B483,LEN(B483)-14),
IF(D483="Reference",RIGHT(B483,LEN(B483)-4),
IF(D483="DVD Educational",RIGHT(B483,LEN(B483)-7),
IF(D483="Juvenile DVD Educational",RIGHT(B483,LEN(B483)-9),
B483)))))))))))))))))</f>
        <v/>
      </c>
    </row>
    <row r="484" spans="1:8" ht="27" customHeight="1" x14ac:dyDescent="0.25">
      <c r="A484" s="10" t="str">
        <f ca="1">TEXT( INDIRECT( ADDRESS( ROW() + Row_Offset, INDIRECT( "Column_Number_" &amp; A$1), 4,1, tabname) ), "")</f>
        <v/>
      </c>
      <c r="B484" s="10" t="str">
        <f ca="1">TEXT(  IFERROR( VLOOKUP( $D484, CollName_Simplifier_Table[], 2, FALSE),"") &amp;
        INDIRECT( ADDRESS( ROW() + Row_Offset, INDIRECT( "Column_Number_" &amp; $B$1), 4,1, tabname) ), "")</f>
        <v/>
      </c>
      <c r="C484" s="10" t="str">
        <f ca="1">TEXT( INDIRECT( ADDRESS( ROW() + Row_Offset, INDIRECT( "Column_Number_" &amp; C$1), 4,1, tabname) ), "")</f>
        <v/>
      </c>
      <c r="D484" s="10" t="str">
        <f ca="1">TEXT( INDIRECT( ADDRESS( ROW() + Row_Offset, INDIRECT( "Column_Number_" &amp; D$1), 4,1, tabname) ), "")</f>
        <v/>
      </c>
      <c r="E484" s="10" t="str">
        <f ca="1">TEXT( INDIRECT( ADDRESS( ROW() + Row_Offset, INDIRECT( "Column_Number_" &amp; E$1), 4,1, tabname) ), "####")</f>
        <v/>
      </c>
      <c r="F484" s="15"/>
      <c r="G484" s="21" t="str">
        <f ca="1">IFERROR(INDEX(Rank_Table[],MATCH($D484&amp;$A484,Table4[Join],0)),"")</f>
        <v/>
      </c>
      <c r="H484" s="11" t="str">
        <f ca="1">IF(AND(D484="Juvenile Audiobook",LEFT(B484,8)="J CD BIO"),RIGHT(B484,LEN(B484)-9),
IF(AND(D484="Juvenile Audiobook",LEFT(B484,8)="J CD FIC"),B484,
IF(D484="Juvenile Audiobook",RIGHT(B484,LEN(B484)-5),
IF(AND(D484="Teen Audiobook",LEFT(B484,11)="TEEN CD BIO"),RIGHT(B484,LEN(B484)-12),
IF(AND(D484="Teen Audiobook",LEFT(B484,11)="TEEN CD FIC"),B484,
IF(D484="Juvenile Audiobook",RIGHT(B484,LEN(B484)-8),
IF(D484="Juvenile Nonfiction",RIGHT(B484,LEN(B484)-2),
IF(D484="Teen Nonfiction",RIGHT(B484,LEN(B484)-5),
IF(AND(D484="Audiobook",
              NOT(OR(Contains($B484,"CD BIO"),Contains($B484,"CD FIC")))),RIGHT(B484,LEN(B484)-3),
IF(D484="Juvenile Biography",RIGHT(B484,LEN(B484)-2),
IF(D484="Teen Biography",RIGHT(B484,LEN(B484)-5),
IF(AND(D484="Audiobook",
              IFERROR(FIND("BIO",$B484)&gt;0,FALSE)),RIGHT(B484,LEN(B484)-3),
IF(D484="Juvenile Large Type","J "&amp;RIGHT(B484,LEN(B484)-11),
IF(D484="Teen Large Type","TEEN "&amp;RIGHT(B484,LEN(B484)-14),
IF(D484="Reference",RIGHT(B484,LEN(B484)-4),
IF(D484="DVD Educational",RIGHT(B484,LEN(B484)-7),
IF(D484="Juvenile DVD Educational",RIGHT(B484,LEN(B484)-9),
B484)))))))))))))))))</f>
        <v/>
      </c>
    </row>
    <row r="485" spans="1:8" ht="27" customHeight="1" x14ac:dyDescent="0.25">
      <c r="A485" s="10" t="str">
        <f ca="1">TEXT( INDIRECT( ADDRESS( ROW() + Row_Offset, INDIRECT( "Column_Number_" &amp; A$1), 4,1, tabname) ), "")</f>
        <v/>
      </c>
      <c r="B485" s="10" t="str">
        <f ca="1">TEXT(  IFERROR( VLOOKUP( $D485, CollName_Simplifier_Table[], 2, FALSE),"") &amp;
        INDIRECT( ADDRESS( ROW() + Row_Offset, INDIRECT( "Column_Number_" &amp; $B$1), 4,1, tabname) ), "")</f>
        <v/>
      </c>
      <c r="C485" s="10" t="str">
        <f ca="1">TEXT( INDIRECT( ADDRESS( ROW() + Row_Offset, INDIRECT( "Column_Number_" &amp; C$1), 4,1, tabname) ), "")</f>
        <v/>
      </c>
      <c r="D485" s="10" t="str">
        <f ca="1">TEXT( INDIRECT( ADDRESS( ROW() + Row_Offset, INDIRECT( "Column_Number_" &amp; D$1), 4,1, tabname) ), "")</f>
        <v/>
      </c>
      <c r="E485" s="10" t="str">
        <f ca="1">TEXT( INDIRECT( ADDRESS( ROW() + Row_Offset, INDIRECT( "Column_Number_" &amp; E$1), 4,1, tabname) ), "####")</f>
        <v/>
      </c>
      <c r="F485" s="15"/>
      <c r="G485" s="21" t="str">
        <f ca="1">IFERROR(INDEX(Rank_Table[],MATCH($D485&amp;$A485,Table4[Join],0)),"")</f>
        <v/>
      </c>
      <c r="H485" s="11" t="str">
        <f ca="1">IF(AND(D485="Juvenile Audiobook",LEFT(B485,8)="J CD BIO"),RIGHT(B485,LEN(B485)-9),
IF(AND(D485="Juvenile Audiobook",LEFT(B485,8)="J CD FIC"),B485,
IF(D485="Juvenile Audiobook",RIGHT(B485,LEN(B485)-5),
IF(AND(D485="Teen Audiobook",LEFT(B485,11)="TEEN CD BIO"),RIGHT(B485,LEN(B485)-12),
IF(AND(D485="Teen Audiobook",LEFT(B485,11)="TEEN CD FIC"),B485,
IF(D485="Juvenile Audiobook",RIGHT(B485,LEN(B485)-8),
IF(D485="Juvenile Nonfiction",RIGHT(B485,LEN(B485)-2),
IF(D485="Teen Nonfiction",RIGHT(B485,LEN(B485)-5),
IF(AND(D485="Audiobook",
              NOT(OR(Contains($B485,"CD BIO"),Contains($B485,"CD FIC")))),RIGHT(B485,LEN(B485)-3),
IF(D485="Juvenile Biography",RIGHT(B485,LEN(B485)-2),
IF(D485="Teen Biography",RIGHT(B485,LEN(B485)-5),
IF(AND(D485="Audiobook",
              IFERROR(FIND("BIO",$B485)&gt;0,FALSE)),RIGHT(B485,LEN(B485)-3),
IF(D485="Juvenile Large Type","J "&amp;RIGHT(B485,LEN(B485)-11),
IF(D485="Teen Large Type","TEEN "&amp;RIGHT(B485,LEN(B485)-14),
IF(D485="Reference",RIGHT(B485,LEN(B485)-4),
IF(D485="DVD Educational",RIGHT(B485,LEN(B485)-7),
IF(D485="Juvenile DVD Educational",RIGHT(B485,LEN(B485)-9),
B485)))))))))))))))))</f>
        <v/>
      </c>
    </row>
    <row r="486" spans="1:8" ht="27" customHeight="1" x14ac:dyDescent="0.25">
      <c r="A486" s="10" t="str">
        <f ca="1">TEXT( INDIRECT( ADDRESS( ROW() + Row_Offset, INDIRECT( "Column_Number_" &amp; A$1), 4,1, tabname) ), "")</f>
        <v/>
      </c>
      <c r="B486" s="10" t="str">
        <f ca="1">TEXT(  IFERROR( VLOOKUP( $D486, CollName_Simplifier_Table[], 2, FALSE),"") &amp;
        INDIRECT( ADDRESS( ROW() + Row_Offset, INDIRECT( "Column_Number_" &amp; $B$1), 4,1, tabname) ), "")</f>
        <v/>
      </c>
      <c r="C486" s="10" t="str">
        <f ca="1">TEXT( INDIRECT( ADDRESS( ROW() + Row_Offset, INDIRECT( "Column_Number_" &amp; C$1), 4,1, tabname) ), "")</f>
        <v/>
      </c>
      <c r="D486" s="10" t="str">
        <f ca="1">TEXT( INDIRECT( ADDRESS( ROW() + Row_Offset, INDIRECT( "Column_Number_" &amp; D$1), 4,1, tabname) ), "")</f>
        <v/>
      </c>
      <c r="E486" s="10" t="str">
        <f ca="1">TEXT( INDIRECT( ADDRESS( ROW() + Row_Offset, INDIRECT( "Column_Number_" &amp; E$1), 4,1, tabname) ), "####")</f>
        <v/>
      </c>
      <c r="F486" s="15"/>
      <c r="G486" s="21" t="str">
        <f ca="1">IFERROR(INDEX(Rank_Table[],MATCH($D486&amp;$A486,Table4[Join],0)),"")</f>
        <v/>
      </c>
      <c r="H486" s="11" t="str">
        <f ca="1">IF(AND(D486="Juvenile Audiobook",LEFT(B486,8)="J CD BIO"),RIGHT(B486,LEN(B486)-9),
IF(AND(D486="Juvenile Audiobook",LEFT(B486,8)="J CD FIC"),B486,
IF(D486="Juvenile Audiobook",RIGHT(B486,LEN(B486)-5),
IF(AND(D486="Teen Audiobook",LEFT(B486,11)="TEEN CD BIO"),RIGHT(B486,LEN(B486)-12),
IF(AND(D486="Teen Audiobook",LEFT(B486,11)="TEEN CD FIC"),B486,
IF(D486="Juvenile Audiobook",RIGHT(B486,LEN(B486)-8),
IF(D486="Juvenile Nonfiction",RIGHT(B486,LEN(B486)-2),
IF(D486="Teen Nonfiction",RIGHT(B486,LEN(B486)-5),
IF(AND(D486="Audiobook",
              NOT(OR(Contains($B486,"CD BIO"),Contains($B486,"CD FIC")))),RIGHT(B486,LEN(B486)-3),
IF(D486="Juvenile Biography",RIGHT(B486,LEN(B486)-2),
IF(D486="Teen Biography",RIGHT(B486,LEN(B486)-5),
IF(AND(D486="Audiobook",
              IFERROR(FIND("BIO",$B486)&gt;0,FALSE)),RIGHT(B486,LEN(B486)-3),
IF(D486="Juvenile Large Type","J "&amp;RIGHT(B486,LEN(B486)-11),
IF(D486="Teen Large Type","TEEN "&amp;RIGHT(B486,LEN(B486)-14),
IF(D486="Reference",RIGHT(B486,LEN(B486)-4),
IF(D486="DVD Educational",RIGHT(B486,LEN(B486)-7),
IF(D486="Juvenile DVD Educational",RIGHT(B486,LEN(B486)-9),
B486)))))))))))))))))</f>
        <v/>
      </c>
    </row>
    <row r="487" spans="1:8" ht="27" customHeight="1" x14ac:dyDescent="0.25">
      <c r="A487" s="10" t="str">
        <f ca="1">TEXT( INDIRECT( ADDRESS( ROW() + Row_Offset, INDIRECT( "Column_Number_" &amp; A$1), 4,1, tabname) ), "")</f>
        <v/>
      </c>
      <c r="B487" s="10" t="str">
        <f ca="1">TEXT(  IFERROR( VLOOKUP( $D487, CollName_Simplifier_Table[], 2, FALSE),"") &amp;
        INDIRECT( ADDRESS( ROW() + Row_Offset, INDIRECT( "Column_Number_" &amp; $B$1), 4,1, tabname) ), "")</f>
        <v/>
      </c>
      <c r="C487" s="10" t="str">
        <f ca="1">TEXT( INDIRECT( ADDRESS( ROW() + Row_Offset, INDIRECT( "Column_Number_" &amp; C$1), 4,1, tabname) ), "")</f>
        <v/>
      </c>
      <c r="D487" s="10" t="str">
        <f ca="1">TEXT( INDIRECT( ADDRESS( ROW() + Row_Offset, INDIRECT( "Column_Number_" &amp; D$1), 4,1, tabname) ), "")</f>
        <v/>
      </c>
      <c r="E487" s="10" t="str">
        <f ca="1">TEXT( INDIRECT( ADDRESS( ROW() + Row_Offset, INDIRECT( "Column_Number_" &amp; E$1), 4,1, tabname) ), "####")</f>
        <v/>
      </c>
      <c r="F487" s="15"/>
      <c r="G487" s="21" t="str">
        <f ca="1">IFERROR(INDEX(Rank_Table[],MATCH($D487&amp;$A487,Table4[Join],0)),"")</f>
        <v/>
      </c>
      <c r="H487" s="11" t="str">
        <f ca="1">IF(AND(D487="Juvenile Audiobook",LEFT(B487,8)="J CD BIO"),RIGHT(B487,LEN(B487)-9),
IF(AND(D487="Juvenile Audiobook",LEFT(B487,8)="J CD FIC"),B487,
IF(D487="Juvenile Audiobook",RIGHT(B487,LEN(B487)-5),
IF(AND(D487="Teen Audiobook",LEFT(B487,11)="TEEN CD BIO"),RIGHT(B487,LEN(B487)-12),
IF(AND(D487="Teen Audiobook",LEFT(B487,11)="TEEN CD FIC"),B487,
IF(D487="Juvenile Audiobook",RIGHT(B487,LEN(B487)-8),
IF(D487="Juvenile Nonfiction",RIGHT(B487,LEN(B487)-2),
IF(D487="Teen Nonfiction",RIGHT(B487,LEN(B487)-5),
IF(AND(D487="Audiobook",
              NOT(OR(Contains($B487,"CD BIO"),Contains($B487,"CD FIC")))),RIGHT(B487,LEN(B487)-3),
IF(D487="Juvenile Biography",RIGHT(B487,LEN(B487)-2),
IF(D487="Teen Biography",RIGHT(B487,LEN(B487)-5),
IF(AND(D487="Audiobook",
              IFERROR(FIND("BIO",$B487)&gt;0,FALSE)),RIGHT(B487,LEN(B487)-3),
IF(D487="Juvenile Large Type","J "&amp;RIGHT(B487,LEN(B487)-11),
IF(D487="Teen Large Type","TEEN "&amp;RIGHT(B487,LEN(B487)-14),
IF(D487="Reference",RIGHT(B487,LEN(B487)-4),
IF(D487="DVD Educational",RIGHT(B487,LEN(B487)-7),
IF(D487="Juvenile DVD Educational",RIGHT(B487,LEN(B487)-9),
B487)))))))))))))))))</f>
        <v/>
      </c>
    </row>
    <row r="488" spans="1:8" ht="27" customHeight="1" x14ac:dyDescent="0.25">
      <c r="A488" s="10" t="str">
        <f ca="1">TEXT( INDIRECT( ADDRESS( ROW() + Row_Offset, INDIRECT( "Column_Number_" &amp; A$1), 4,1, tabname) ), "")</f>
        <v/>
      </c>
      <c r="B488" s="10" t="str">
        <f ca="1">TEXT(  IFERROR( VLOOKUP( $D488, CollName_Simplifier_Table[], 2, FALSE),"") &amp;
        INDIRECT( ADDRESS( ROW() + Row_Offset, INDIRECT( "Column_Number_" &amp; $B$1), 4,1, tabname) ), "")</f>
        <v/>
      </c>
      <c r="C488" s="10" t="str">
        <f ca="1">TEXT( INDIRECT( ADDRESS( ROW() + Row_Offset, INDIRECT( "Column_Number_" &amp; C$1), 4,1, tabname) ), "")</f>
        <v/>
      </c>
      <c r="D488" s="10" t="str">
        <f ca="1">TEXT( INDIRECT( ADDRESS( ROW() + Row_Offset, INDIRECT( "Column_Number_" &amp; D$1), 4,1, tabname) ), "")</f>
        <v/>
      </c>
      <c r="E488" s="10" t="str">
        <f ca="1">TEXT( INDIRECT( ADDRESS( ROW() + Row_Offset, INDIRECT( "Column_Number_" &amp; E$1), 4,1, tabname) ), "####")</f>
        <v/>
      </c>
      <c r="F488" s="15"/>
      <c r="G488" s="21" t="str">
        <f ca="1">IFERROR(INDEX(Rank_Table[],MATCH($D488&amp;$A488,Table4[Join],0)),"")</f>
        <v/>
      </c>
      <c r="H488" s="11" t="str">
        <f ca="1">IF(AND(D488="Juvenile Audiobook",LEFT(B488,8)="J CD BIO"),RIGHT(B488,LEN(B488)-9),
IF(AND(D488="Juvenile Audiobook",LEFT(B488,8)="J CD FIC"),B488,
IF(D488="Juvenile Audiobook",RIGHT(B488,LEN(B488)-5),
IF(AND(D488="Teen Audiobook",LEFT(B488,11)="TEEN CD BIO"),RIGHT(B488,LEN(B488)-12),
IF(AND(D488="Teen Audiobook",LEFT(B488,11)="TEEN CD FIC"),B488,
IF(D488="Juvenile Audiobook",RIGHT(B488,LEN(B488)-8),
IF(D488="Juvenile Nonfiction",RIGHT(B488,LEN(B488)-2),
IF(D488="Teen Nonfiction",RIGHT(B488,LEN(B488)-5),
IF(AND(D488="Audiobook",
              NOT(OR(Contains($B488,"CD BIO"),Contains($B488,"CD FIC")))),RIGHT(B488,LEN(B488)-3),
IF(D488="Juvenile Biography",RIGHT(B488,LEN(B488)-2),
IF(D488="Teen Biography",RIGHT(B488,LEN(B488)-5),
IF(AND(D488="Audiobook",
              IFERROR(FIND("BIO",$B488)&gt;0,FALSE)),RIGHT(B488,LEN(B488)-3),
IF(D488="Juvenile Large Type","J "&amp;RIGHT(B488,LEN(B488)-11),
IF(D488="Teen Large Type","TEEN "&amp;RIGHT(B488,LEN(B488)-14),
IF(D488="Reference",RIGHT(B488,LEN(B488)-4),
IF(D488="DVD Educational",RIGHT(B488,LEN(B488)-7),
IF(D488="Juvenile DVD Educational",RIGHT(B488,LEN(B488)-9),
B488)))))))))))))))))</f>
        <v/>
      </c>
    </row>
    <row r="489" spans="1:8" ht="27" customHeight="1" x14ac:dyDescent="0.25">
      <c r="A489" s="10" t="str">
        <f ca="1">TEXT( INDIRECT( ADDRESS( ROW() + Row_Offset, INDIRECT( "Column_Number_" &amp; A$1), 4,1, tabname) ), "")</f>
        <v/>
      </c>
      <c r="B489" s="10" t="str">
        <f ca="1">TEXT(  IFERROR( VLOOKUP( $D489, CollName_Simplifier_Table[], 2, FALSE),"") &amp;
        INDIRECT( ADDRESS( ROW() + Row_Offset, INDIRECT( "Column_Number_" &amp; $B$1), 4,1, tabname) ), "")</f>
        <v/>
      </c>
      <c r="C489" s="10" t="str">
        <f ca="1">TEXT( INDIRECT( ADDRESS( ROW() + Row_Offset, INDIRECT( "Column_Number_" &amp; C$1), 4,1, tabname) ), "")</f>
        <v/>
      </c>
      <c r="D489" s="10" t="str">
        <f ca="1">TEXT( INDIRECT( ADDRESS( ROW() + Row_Offset, INDIRECT( "Column_Number_" &amp; D$1), 4,1, tabname) ), "")</f>
        <v/>
      </c>
      <c r="E489" s="10" t="str">
        <f ca="1">TEXT( INDIRECT( ADDRESS( ROW() + Row_Offset, INDIRECT( "Column_Number_" &amp; E$1), 4,1, tabname) ), "####")</f>
        <v/>
      </c>
      <c r="F489" s="15"/>
      <c r="G489" s="21" t="str">
        <f ca="1">IFERROR(INDEX(Rank_Table[],MATCH($D489&amp;$A489,Table4[Join],0)),"")</f>
        <v/>
      </c>
      <c r="H489" s="11" t="str">
        <f ca="1">IF(AND(D489="Juvenile Audiobook",LEFT(B489,8)="J CD BIO"),RIGHT(B489,LEN(B489)-9),
IF(AND(D489="Juvenile Audiobook",LEFT(B489,8)="J CD FIC"),B489,
IF(D489="Juvenile Audiobook",RIGHT(B489,LEN(B489)-5),
IF(AND(D489="Teen Audiobook",LEFT(B489,11)="TEEN CD BIO"),RIGHT(B489,LEN(B489)-12),
IF(AND(D489="Teen Audiobook",LEFT(B489,11)="TEEN CD FIC"),B489,
IF(D489="Juvenile Audiobook",RIGHT(B489,LEN(B489)-8),
IF(D489="Juvenile Nonfiction",RIGHT(B489,LEN(B489)-2),
IF(D489="Teen Nonfiction",RIGHT(B489,LEN(B489)-5),
IF(AND(D489="Audiobook",
              NOT(OR(Contains($B489,"CD BIO"),Contains($B489,"CD FIC")))),RIGHT(B489,LEN(B489)-3),
IF(D489="Juvenile Biography",RIGHT(B489,LEN(B489)-2),
IF(D489="Teen Biography",RIGHT(B489,LEN(B489)-5),
IF(AND(D489="Audiobook",
              IFERROR(FIND("BIO",$B489)&gt;0,FALSE)),RIGHT(B489,LEN(B489)-3),
IF(D489="Juvenile Large Type","J "&amp;RIGHT(B489,LEN(B489)-11),
IF(D489="Teen Large Type","TEEN "&amp;RIGHT(B489,LEN(B489)-14),
IF(D489="Reference",RIGHT(B489,LEN(B489)-4),
IF(D489="DVD Educational",RIGHT(B489,LEN(B489)-7),
IF(D489="Juvenile DVD Educational",RIGHT(B489,LEN(B489)-9),
B489)))))))))))))))))</f>
        <v/>
      </c>
    </row>
    <row r="490" spans="1:8" ht="27" customHeight="1" x14ac:dyDescent="0.25">
      <c r="A490" s="10" t="str">
        <f ca="1">TEXT( INDIRECT( ADDRESS( ROW() + Row_Offset, INDIRECT( "Column_Number_" &amp; A$1), 4,1, tabname) ), "")</f>
        <v/>
      </c>
      <c r="B490" s="10" t="str">
        <f ca="1">TEXT(  IFERROR( VLOOKUP( $D490, CollName_Simplifier_Table[], 2, FALSE),"") &amp;
        INDIRECT( ADDRESS( ROW() + Row_Offset, INDIRECT( "Column_Number_" &amp; $B$1), 4,1, tabname) ), "")</f>
        <v/>
      </c>
      <c r="C490" s="10" t="str">
        <f ca="1">TEXT( INDIRECT( ADDRESS( ROW() + Row_Offset, INDIRECT( "Column_Number_" &amp; C$1), 4,1, tabname) ), "")</f>
        <v/>
      </c>
      <c r="D490" s="10" t="str">
        <f ca="1">TEXT( INDIRECT( ADDRESS( ROW() + Row_Offset, INDIRECT( "Column_Number_" &amp; D$1), 4,1, tabname) ), "")</f>
        <v/>
      </c>
      <c r="E490" s="10" t="str">
        <f ca="1">TEXT( INDIRECT( ADDRESS( ROW() + Row_Offset, INDIRECT( "Column_Number_" &amp; E$1), 4,1, tabname) ), "####")</f>
        <v/>
      </c>
      <c r="F490" s="15"/>
      <c r="G490" s="21" t="str">
        <f ca="1">IFERROR(INDEX(Rank_Table[],MATCH($D490&amp;$A490,Table4[Join],0)),"")</f>
        <v/>
      </c>
      <c r="H490" s="11" t="str">
        <f ca="1">IF(AND(D490="Juvenile Audiobook",LEFT(B490,8)="J CD BIO"),RIGHT(B490,LEN(B490)-9),
IF(AND(D490="Juvenile Audiobook",LEFT(B490,8)="J CD FIC"),B490,
IF(D490="Juvenile Audiobook",RIGHT(B490,LEN(B490)-5),
IF(AND(D490="Teen Audiobook",LEFT(B490,11)="TEEN CD BIO"),RIGHT(B490,LEN(B490)-12),
IF(AND(D490="Teen Audiobook",LEFT(B490,11)="TEEN CD FIC"),B490,
IF(D490="Juvenile Audiobook",RIGHT(B490,LEN(B490)-8),
IF(D490="Juvenile Nonfiction",RIGHT(B490,LEN(B490)-2),
IF(D490="Teen Nonfiction",RIGHT(B490,LEN(B490)-5),
IF(AND(D490="Audiobook",
              NOT(OR(Contains($B490,"CD BIO"),Contains($B490,"CD FIC")))),RIGHT(B490,LEN(B490)-3),
IF(D490="Juvenile Biography",RIGHT(B490,LEN(B490)-2),
IF(D490="Teen Biography",RIGHT(B490,LEN(B490)-5),
IF(AND(D490="Audiobook",
              IFERROR(FIND("BIO",$B490)&gt;0,FALSE)),RIGHT(B490,LEN(B490)-3),
IF(D490="Juvenile Large Type","J "&amp;RIGHT(B490,LEN(B490)-11),
IF(D490="Teen Large Type","TEEN "&amp;RIGHT(B490,LEN(B490)-14),
IF(D490="Reference",RIGHT(B490,LEN(B490)-4),
IF(D490="DVD Educational",RIGHT(B490,LEN(B490)-7),
IF(D490="Juvenile DVD Educational",RIGHT(B490,LEN(B490)-9),
B490)))))))))))))))))</f>
        <v/>
      </c>
    </row>
    <row r="491" spans="1:8" ht="27" customHeight="1" x14ac:dyDescent="0.25">
      <c r="A491" s="10" t="str">
        <f ca="1">TEXT( INDIRECT( ADDRESS( ROW() + Row_Offset, INDIRECT( "Column_Number_" &amp; A$1), 4,1, tabname) ), "")</f>
        <v/>
      </c>
      <c r="B491" s="10" t="str">
        <f ca="1">TEXT(  IFERROR( VLOOKUP( $D491, CollName_Simplifier_Table[], 2, FALSE),"") &amp;
        INDIRECT( ADDRESS( ROW() + Row_Offset, INDIRECT( "Column_Number_" &amp; $B$1), 4,1, tabname) ), "")</f>
        <v/>
      </c>
      <c r="C491" s="10" t="str">
        <f ca="1">TEXT( INDIRECT( ADDRESS( ROW() + Row_Offset, INDIRECT( "Column_Number_" &amp; C$1), 4,1, tabname) ), "")</f>
        <v/>
      </c>
      <c r="D491" s="10" t="str">
        <f ca="1">TEXT( INDIRECT( ADDRESS( ROW() + Row_Offset, INDIRECT( "Column_Number_" &amp; D$1), 4,1, tabname) ), "")</f>
        <v/>
      </c>
      <c r="E491" s="10" t="str">
        <f ca="1">TEXT( INDIRECT( ADDRESS( ROW() + Row_Offset, INDIRECT( "Column_Number_" &amp; E$1), 4,1, tabname) ), "####")</f>
        <v/>
      </c>
      <c r="F491" s="15"/>
      <c r="G491" s="21" t="str">
        <f ca="1">IFERROR(INDEX(Rank_Table[],MATCH($D491&amp;$A491,Table4[Join],0)),"")</f>
        <v/>
      </c>
      <c r="H491" s="11" t="str">
        <f ca="1">IF(AND(D491="Juvenile Audiobook",LEFT(B491,8)="J CD BIO"),RIGHT(B491,LEN(B491)-9),
IF(AND(D491="Juvenile Audiobook",LEFT(B491,8)="J CD FIC"),B491,
IF(D491="Juvenile Audiobook",RIGHT(B491,LEN(B491)-5),
IF(AND(D491="Teen Audiobook",LEFT(B491,11)="TEEN CD BIO"),RIGHT(B491,LEN(B491)-12),
IF(AND(D491="Teen Audiobook",LEFT(B491,11)="TEEN CD FIC"),B491,
IF(D491="Juvenile Audiobook",RIGHT(B491,LEN(B491)-8),
IF(D491="Juvenile Nonfiction",RIGHT(B491,LEN(B491)-2),
IF(D491="Teen Nonfiction",RIGHT(B491,LEN(B491)-5),
IF(AND(D491="Audiobook",
              NOT(OR(Contains($B491,"CD BIO"),Contains($B491,"CD FIC")))),RIGHT(B491,LEN(B491)-3),
IF(D491="Juvenile Biography",RIGHT(B491,LEN(B491)-2),
IF(D491="Teen Biography",RIGHT(B491,LEN(B491)-5),
IF(AND(D491="Audiobook",
              IFERROR(FIND("BIO",$B491)&gt;0,FALSE)),RIGHT(B491,LEN(B491)-3),
IF(D491="Juvenile Large Type","J "&amp;RIGHT(B491,LEN(B491)-11),
IF(D491="Teen Large Type","TEEN "&amp;RIGHT(B491,LEN(B491)-14),
IF(D491="Reference",RIGHT(B491,LEN(B491)-4),
IF(D491="DVD Educational",RIGHT(B491,LEN(B491)-7),
IF(D491="Juvenile DVD Educational",RIGHT(B491,LEN(B491)-9),
B491)))))))))))))))))</f>
        <v/>
      </c>
    </row>
    <row r="492" spans="1:8" ht="27" customHeight="1" x14ac:dyDescent="0.25">
      <c r="A492" s="10" t="str">
        <f ca="1">TEXT( INDIRECT( ADDRESS( ROW() + Row_Offset, INDIRECT( "Column_Number_" &amp; A$1), 4,1, tabname) ), "")</f>
        <v/>
      </c>
      <c r="B492" s="10" t="str">
        <f ca="1">TEXT(  IFERROR( VLOOKUP( $D492, CollName_Simplifier_Table[], 2, FALSE),"") &amp;
        INDIRECT( ADDRESS( ROW() + Row_Offset, INDIRECT( "Column_Number_" &amp; $B$1), 4,1, tabname) ), "")</f>
        <v/>
      </c>
      <c r="C492" s="10" t="str">
        <f ca="1">TEXT( INDIRECT( ADDRESS( ROW() + Row_Offset, INDIRECT( "Column_Number_" &amp; C$1), 4,1, tabname) ), "")</f>
        <v/>
      </c>
      <c r="D492" s="10" t="str">
        <f ca="1">TEXT( INDIRECT( ADDRESS( ROW() + Row_Offset, INDIRECT( "Column_Number_" &amp; D$1), 4,1, tabname) ), "")</f>
        <v/>
      </c>
      <c r="E492" s="10" t="str">
        <f ca="1">TEXT( INDIRECT( ADDRESS( ROW() + Row_Offset, INDIRECT( "Column_Number_" &amp; E$1), 4,1, tabname) ), "####")</f>
        <v/>
      </c>
      <c r="F492" s="15"/>
      <c r="G492" s="21" t="str">
        <f ca="1">IFERROR(INDEX(Rank_Table[],MATCH($D492&amp;$A492,Table4[Join],0)),"")</f>
        <v/>
      </c>
      <c r="H492" s="11" t="str">
        <f ca="1">IF(AND(D492="Juvenile Audiobook",LEFT(B492,8)="J CD BIO"),RIGHT(B492,LEN(B492)-9),
IF(AND(D492="Juvenile Audiobook",LEFT(B492,8)="J CD FIC"),B492,
IF(D492="Juvenile Audiobook",RIGHT(B492,LEN(B492)-5),
IF(AND(D492="Teen Audiobook",LEFT(B492,11)="TEEN CD BIO"),RIGHT(B492,LEN(B492)-12),
IF(AND(D492="Teen Audiobook",LEFT(B492,11)="TEEN CD FIC"),B492,
IF(D492="Juvenile Audiobook",RIGHT(B492,LEN(B492)-8),
IF(D492="Juvenile Nonfiction",RIGHT(B492,LEN(B492)-2),
IF(D492="Teen Nonfiction",RIGHT(B492,LEN(B492)-5),
IF(AND(D492="Audiobook",
              NOT(OR(Contains($B492,"CD BIO"),Contains($B492,"CD FIC")))),RIGHT(B492,LEN(B492)-3),
IF(D492="Juvenile Biography",RIGHT(B492,LEN(B492)-2),
IF(D492="Teen Biography",RIGHT(B492,LEN(B492)-5),
IF(AND(D492="Audiobook",
              IFERROR(FIND("BIO",$B492)&gt;0,FALSE)),RIGHT(B492,LEN(B492)-3),
IF(D492="Juvenile Large Type","J "&amp;RIGHT(B492,LEN(B492)-11),
IF(D492="Teen Large Type","TEEN "&amp;RIGHT(B492,LEN(B492)-14),
IF(D492="Reference",RIGHT(B492,LEN(B492)-4),
IF(D492="DVD Educational",RIGHT(B492,LEN(B492)-7),
IF(D492="Juvenile DVD Educational",RIGHT(B492,LEN(B492)-9),
B492)))))))))))))))))</f>
        <v/>
      </c>
    </row>
    <row r="493" spans="1:8" ht="27" customHeight="1" x14ac:dyDescent="0.25">
      <c r="A493" s="10" t="str">
        <f ca="1">TEXT( INDIRECT( ADDRESS( ROW() + Row_Offset, INDIRECT( "Column_Number_" &amp; A$1), 4,1, tabname) ), "")</f>
        <v/>
      </c>
      <c r="B493" s="10" t="str">
        <f ca="1">TEXT(  IFERROR( VLOOKUP( $D493, CollName_Simplifier_Table[], 2, FALSE),"") &amp;
        INDIRECT( ADDRESS( ROW() + Row_Offset, INDIRECT( "Column_Number_" &amp; $B$1), 4,1, tabname) ), "")</f>
        <v/>
      </c>
      <c r="C493" s="10" t="str">
        <f ca="1">TEXT( INDIRECT( ADDRESS( ROW() + Row_Offset, INDIRECT( "Column_Number_" &amp; C$1), 4,1, tabname) ), "")</f>
        <v/>
      </c>
      <c r="D493" s="10" t="str">
        <f ca="1">TEXT( INDIRECT( ADDRESS( ROW() + Row_Offset, INDIRECT( "Column_Number_" &amp; D$1), 4,1, tabname) ), "")</f>
        <v/>
      </c>
      <c r="E493" s="10" t="str">
        <f ca="1">TEXT( INDIRECT( ADDRESS( ROW() + Row_Offset, INDIRECT( "Column_Number_" &amp; E$1), 4,1, tabname) ), "####")</f>
        <v/>
      </c>
      <c r="F493" s="15"/>
      <c r="G493" s="21" t="str">
        <f ca="1">IFERROR(INDEX(Rank_Table[],MATCH($D493&amp;$A493,Table4[Join],0)),"")</f>
        <v/>
      </c>
      <c r="H493" s="11" t="str">
        <f ca="1">IF(AND(D493="Juvenile Audiobook",LEFT(B493,8)="J CD BIO"),RIGHT(B493,LEN(B493)-9),
IF(AND(D493="Juvenile Audiobook",LEFT(B493,8)="J CD FIC"),B493,
IF(D493="Juvenile Audiobook",RIGHT(B493,LEN(B493)-5),
IF(AND(D493="Teen Audiobook",LEFT(B493,11)="TEEN CD BIO"),RIGHT(B493,LEN(B493)-12),
IF(AND(D493="Teen Audiobook",LEFT(B493,11)="TEEN CD FIC"),B493,
IF(D493="Juvenile Audiobook",RIGHT(B493,LEN(B493)-8),
IF(D493="Juvenile Nonfiction",RIGHT(B493,LEN(B493)-2),
IF(D493="Teen Nonfiction",RIGHT(B493,LEN(B493)-5),
IF(AND(D493="Audiobook",
              NOT(OR(Contains($B493,"CD BIO"),Contains($B493,"CD FIC")))),RIGHT(B493,LEN(B493)-3),
IF(D493="Juvenile Biography",RIGHT(B493,LEN(B493)-2),
IF(D493="Teen Biography",RIGHT(B493,LEN(B493)-5),
IF(AND(D493="Audiobook",
              IFERROR(FIND("BIO",$B493)&gt;0,FALSE)),RIGHT(B493,LEN(B493)-3),
IF(D493="Juvenile Large Type","J "&amp;RIGHT(B493,LEN(B493)-11),
IF(D493="Teen Large Type","TEEN "&amp;RIGHT(B493,LEN(B493)-14),
IF(D493="Reference",RIGHT(B493,LEN(B493)-4),
IF(D493="DVD Educational",RIGHT(B493,LEN(B493)-7),
IF(D493="Juvenile DVD Educational",RIGHT(B493,LEN(B493)-9),
B493)))))))))))))))))</f>
        <v/>
      </c>
    </row>
    <row r="494" spans="1:8" ht="27" customHeight="1" x14ac:dyDescent="0.25">
      <c r="A494" s="10" t="str">
        <f ca="1">TEXT( INDIRECT( ADDRESS( ROW() + Row_Offset, INDIRECT( "Column_Number_" &amp; A$1), 4,1, tabname) ), "")</f>
        <v/>
      </c>
      <c r="B494" s="10" t="str">
        <f ca="1">TEXT(  IFERROR( VLOOKUP( $D494, CollName_Simplifier_Table[], 2, FALSE),"") &amp;
        INDIRECT( ADDRESS( ROW() + Row_Offset, INDIRECT( "Column_Number_" &amp; $B$1), 4,1, tabname) ), "")</f>
        <v/>
      </c>
      <c r="C494" s="10" t="str">
        <f ca="1">TEXT( INDIRECT( ADDRESS( ROW() + Row_Offset, INDIRECT( "Column_Number_" &amp; C$1), 4,1, tabname) ), "")</f>
        <v/>
      </c>
      <c r="D494" s="10" t="str">
        <f ca="1">TEXT( INDIRECT( ADDRESS( ROW() + Row_Offset, INDIRECT( "Column_Number_" &amp; D$1), 4,1, tabname) ), "")</f>
        <v/>
      </c>
      <c r="E494" s="10" t="str">
        <f ca="1">TEXT( INDIRECT( ADDRESS( ROW() + Row_Offset, INDIRECT( "Column_Number_" &amp; E$1), 4,1, tabname) ), "####")</f>
        <v/>
      </c>
      <c r="F494" s="15"/>
      <c r="G494" s="21" t="str">
        <f ca="1">IFERROR(INDEX(Rank_Table[],MATCH($D494&amp;$A494,Table4[Join],0)),"")</f>
        <v/>
      </c>
      <c r="H494" s="11" t="str">
        <f ca="1">IF(AND(D494="Juvenile Audiobook",LEFT(B494,8)="J CD BIO"),RIGHT(B494,LEN(B494)-9),
IF(AND(D494="Juvenile Audiobook",LEFT(B494,8)="J CD FIC"),B494,
IF(D494="Juvenile Audiobook",RIGHT(B494,LEN(B494)-5),
IF(AND(D494="Teen Audiobook",LEFT(B494,11)="TEEN CD BIO"),RIGHT(B494,LEN(B494)-12),
IF(AND(D494="Teen Audiobook",LEFT(B494,11)="TEEN CD FIC"),B494,
IF(D494="Juvenile Audiobook",RIGHT(B494,LEN(B494)-8),
IF(D494="Juvenile Nonfiction",RIGHT(B494,LEN(B494)-2),
IF(D494="Teen Nonfiction",RIGHT(B494,LEN(B494)-5),
IF(AND(D494="Audiobook",
              NOT(OR(Contains($B494,"CD BIO"),Contains($B494,"CD FIC")))),RIGHT(B494,LEN(B494)-3),
IF(D494="Juvenile Biography",RIGHT(B494,LEN(B494)-2),
IF(D494="Teen Biography",RIGHT(B494,LEN(B494)-5),
IF(AND(D494="Audiobook",
              IFERROR(FIND("BIO",$B494)&gt;0,FALSE)),RIGHT(B494,LEN(B494)-3),
IF(D494="Juvenile Large Type","J "&amp;RIGHT(B494,LEN(B494)-11),
IF(D494="Teen Large Type","TEEN "&amp;RIGHT(B494,LEN(B494)-14),
IF(D494="Reference",RIGHT(B494,LEN(B494)-4),
IF(D494="DVD Educational",RIGHT(B494,LEN(B494)-7),
IF(D494="Juvenile DVD Educational",RIGHT(B494,LEN(B494)-9),
B494)))))))))))))))))</f>
        <v/>
      </c>
    </row>
    <row r="495" spans="1:8" ht="27" customHeight="1" x14ac:dyDescent="0.25">
      <c r="A495" s="10" t="str">
        <f ca="1">TEXT( INDIRECT( ADDRESS( ROW() + Row_Offset, INDIRECT( "Column_Number_" &amp; A$1), 4,1, tabname) ), "")</f>
        <v/>
      </c>
      <c r="B495" s="10" t="str">
        <f ca="1">TEXT(  IFERROR( VLOOKUP( $D495, CollName_Simplifier_Table[], 2, FALSE),"") &amp;
        INDIRECT( ADDRESS( ROW() + Row_Offset, INDIRECT( "Column_Number_" &amp; $B$1), 4,1, tabname) ), "")</f>
        <v/>
      </c>
      <c r="C495" s="10" t="str">
        <f ca="1">TEXT( INDIRECT( ADDRESS( ROW() + Row_Offset, INDIRECT( "Column_Number_" &amp; C$1), 4,1, tabname) ), "")</f>
        <v/>
      </c>
      <c r="D495" s="10" t="str">
        <f ca="1">TEXT( INDIRECT( ADDRESS( ROW() + Row_Offset, INDIRECT( "Column_Number_" &amp; D$1), 4,1, tabname) ), "")</f>
        <v/>
      </c>
      <c r="E495" s="10" t="str">
        <f ca="1">TEXT( INDIRECT( ADDRESS( ROW() + Row_Offset, INDIRECT( "Column_Number_" &amp; E$1), 4,1, tabname) ), "####")</f>
        <v/>
      </c>
      <c r="F495" s="15"/>
      <c r="G495" s="21" t="str">
        <f ca="1">IFERROR(INDEX(Rank_Table[],MATCH($D495&amp;$A495,Table4[Join],0)),"")</f>
        <v/>
      </c>
      <c r="H495" s="11" t="str">
        <f ca="1">IF(AND(D495="Juvenile Audiobook",LEFT(B495,8)="J CD BIO"),RIGHT(B495,LEN(B495)-9),
IF(AND(D495="Juvenile Audiobook",LEFT(B495,8)="J CD FIC"),B495,
IF(D495="Juvenile Audiobook",RIGHT(B495,LEN(B495)-5),
IF(AND(D495="Teen Audiobook",LEFT(B495,11)="TEEN CD BIO"),RIGHT(B495,LEN(B495)-12),
IF(AND(D495="Teen Audiobook",LEFT(B495,11)="TEEN CD FIC"),B495,
IF(D495="Juvenile Audiobook",RIGHT(B495,LEN(B495)-8),
IF(D495="Juvenile Nonfiction",RIGHT(B495,LEN(B495)-2),
IF(D495="Teen Nonfiction",RIGHT(B495,LEN(B495)-5),
IF(AND(D495="Audiobook",
              NOT(OR(Contains($B495,"CD BIO"),Contains($B495,"CD FIC")))),RIGHT(B495,LEN(B495)-3),
IF(D495="Juvenile Biography",RIGHT(B495,LEN(B495)-2),
IF(D495="Teen Biography",RIGHT(B495,LEN(B495)-5),
IF(AND(D495="Audiobook",
              IFERROR(FIND("BIO",$B495)&gt;0,FALSE)),RIGHT(B495,LEN(B495)-3),
IF(D495="Juvenile Large Type","J "&amp;RIGHT(B495,LEN(B495)-11),
IF(D495="Teen Large Type","TEEN "&amp;RIGHT(B495,LEN(B495)-14),
IF(D495="Reference",RIGHT(B495,LEN(B495)-4),
IF(D495="DVD Educational",RIGHT(B495,LEN(B495)-7),
IF(D495="Juvenile DVD Educational",RIGHT(B495,LEN(B495)-9),
B495)))))))))))))))))</f>
        <v/>
      </c>
    </row>
    <row r="496" spans="1:8" ht="27" customHeight="1" x14ac:dyDescent="0.25">
      <c r="A496" s="10" t="str">
        <f ca="1">TEXT( INDIRECT( ADDRESS( ROW() + Row_Offset, INDIRECT( "Column_Number_" &amp; A$1), 4,1, tabname) ), "")</f>
        <v/>
      </c>
      <c r="B496" s="10" t="str">
        <f ca="1">TEXT(  IFERROR( VLOOKUP( $D496, CollName_Simplifier_Table[], 2, FALSE),"") &amp;
        INDIRECT( ADDRESS( ROW() + Row_Offset, INDIRECT( "Column_Number_" &amp; $B$1), 4,1, tabname) ), "")</f>
        <v/>
      </c>
      <c r="C496" s="10" t="str">
        <f ca="1">TEXT( INDIRECT( ADDRESS( ROW() + Row_Offset, INDIRECT( "Column_Number_" &amp; C$1), 4,1, tabname) ), "")</f>
        <v/>
      </c>
      <c r="D496" s="10" t="str">
        <f ca="1">TEXT( INDIRECT( ADDRESS( ROW() + Row_Offset, INDIRECT( "Column_Number_" &amp; D$1), 4,1, tabname) ), "")</f>
        <v/>
      </c>
      <c r="E496" s="10" t="str">
        <f ca="1">TEXT( INDIRECT( ADDRESS( ROW() + Row_Offset, INDIRECT( "Column_Number_" &amp; E$1), 4,1, tabname) ), "####")</f>
        <v/>
      </c>
      <c r="F496" s="15"/>
      <c r="G496" s="21" t="str">
        <f ca="1">IFERROR(INDEX(Rank_Table[],MATCH($D496&amp;$A496,Table4[Join],0)),"")</f>
        <v/>
      </c>
      <c r="H496" s="11" t="str">
        <f ca="1">IF(AND(D496="Juvenile Audiobook",LEFT(B496,8)="J CD BIO"),RIGHT(B496,LEN(B496)-9),
IF(AND(D496="Juvenile Audiobook",LEFT(B496,8)="J CD FIC"),B496,
IF(D496="Juvenile Audiobook",RIGHT(B496,LEN(B496)-5),
IF(AND(D496="Teen Audiobook",LEFT(B496,11)="TEEN CD BIO"),RIGHT(B496,LEN(B496)-12),
IF(AND(D496="Teen Audiobook",LEFT(B496,11)="TEEN CD FIC"),B496,
IF(D496="Juvenile Audiobook",RIGHT(B496,LEN(B496)-8),
IF(D496="Juvenile Nonfiction",RIGHT(B496,LEN(B496)-2),
IF(D496="Teen Nonfiction",RIGHT(B496,LEN(B496)-5),
IF(AND(D496="Audiobook",
              NOT(OR(Contains($B496,"CD BIO"),Contains($B496,"CD FIC")))),RIGHT(B496,LEN(B496)-3),
IF(D496="Juvenile Biography",RIGHT(B496,LEN(B496)-2),
IF(D496="Teen Biography",RIGHT(B496,LEN(B496)-5),
IF(AND(D496="Audiobook",
              IFERROR(FIND("BIO",$B496)&gt;0,FALSE)),RIGHT(B496,LEN(B496)-3),
IF(D496="Juvenile Large Type","J "&amp;RIGHT(B496,LEN(B496)-11),
IF(D496="Teen Large Type","TEEN "&amp;RIGHT(B496,LEN(B496)-14),
IF(D496="Reference",RIGHT(B496,LEN(B496)-4),
IF(D496="DVD Educational",RIGHT(B496,LEN(B496)-7),
IF(D496="Juvenile DVD Educational",RIGHT(B496,LEN(B496)-9),
B496)))))))))))))))))</f>
        <v/>
      </c>
    </row>
    <row r="497" spans="1:8" ht="27" customHeight="1" x14ac:dyDescent="0.25">
      <c r="A497" s="10" t="str">
        <f ca="1">TEXT( INDIRECT( ADDRESS( ROW() + Row_Offset, INDIRECT( "Column_Number_" &amp; A$1), 4,1, tabname) ), "")</f>
        <v/>
      </c>
      <c r="B497" s="10" t="str">
        <f ca="1">TEXT(  IFERROR( VLOOKUP( $D497, CollName_Simplifier_Table[], 2, FALSE),"") &amp;
        INDIRECT( ADDRESS( ROW() + Row_Offset, INDIRECT( "Column_Number_" &amp; $B$1), 4,1, tabname) ), "")</f>
        <v/>
      </c>
      <c r="C497" s="10" t="str">
        <f ca="1">TEXT( INDIRECT( ADDRESS( ROW() + Row_Offset, INDIRECT( "Column_Number_" &amp; C$1), 4,1, tabname) ), "")</f>
        <v/>
      </c>
      <c r="D497" s="10" t="str">
        <f ca="1">TEXT( INDIRECT( ADDRESS( ROW() + Row_Offset, INDIRECT( "Column_Number_" &amp; D$1), 4,1, tabname) ), "")</f>
        <v/>
      </c>
      <c r="E497" s="10" t="str">
        <f ca="1">TEXT( INDIRECT( ADDRESS( ROW() + Row_Offset, INDIRECT( "Column_Number_" &amp; E$1), 4,1, tabname) ), "####")</f>
        <v/>
      </c>
      <c r="F497" s="15"/>
      <c r="G497" s="21" t="str">
        <f ca="1">IFERROR(INDEX(Rank_Table[],MATCH($D497&amp;$A497,Table4[Join],0)),"")</f>
        <v/>
      </c>
      <c r="H497" s="11" t="str">
        <f ca="1">IF(AND(D497="Juvenile Audiobook",LEFT(B497,8)="J CD BIO"),RIGHT(B497,LEN(B497)-9),
IF(AND(D497="Juvenile Audiobook",LEFT(B497,8)="J CD FIC"),B497,
IF(D497="Juvenile Audiobook",RIGHT(B497,LEN(B497)-5),
IF(AND(D497="Teen Audiobook",LEFT(B497,11)="TEEN CD BIO"),RIGHT(B497,LEN(B497)-12),
IF(AND(D497="Teen Audiobook",LEFT(B497,11)="TEEN CD FIC"),B497,
IF(D497="Juvenile Audiobook",RIGHT(B497,LEN(B497)-8),
IF(D497="Juvenile Nonfiction",RIGHT(B497,LEN(B497)-2),
IF(D497="Teen Nonfiction",RIGHT(B497,LEN(B497)-5),
IF(AND(D497="Audiobook",
              NOT(OR(Contains($B497,"CD BIO"),Contains($B497,"CD FIC")))),RIGHT(B497,LEN(B497)-3),
IF(D497="Juvenile Biography",RIGHT(B497,LEN(B497)-2),
IF(D497="Teen Biography",RIGHT(B497,LEN(B497)-5),
IF(AND(D497="Audiobook",
              IFERROR(FIND("BIO",$B497)&gt;0,FALSE)),RIGHT(B497,LEN(B497)-3),
IF(D497="Juvenile Large Type","J "&amp;RIGHT(B497,LEN(B497)-11),
IF(D497="Teen Large Type","TEEN "&amp;RIGHT(B497,LEN(B497)-14),
IF(D497="Reference",RIGHT(B497,LEN(B497)-4),
IF(D497="DVD Educational",RIGHT(B497,LEN(B497)-7),
IF(D497="Juvenile DVD Educational",RIGHT(B497,LEN(B497)-9),
B497)))))))))))))))))</f>
        <v/>
      </c>
    </row>
    <row r="498" spans="1:8" ht="27" customHeight="1" x14ac:dyDescent="0.25">
      <c r="A498" s="10" t="str">
        <f ca="1">TEXT( INDIRECT( ADDRESS( ROW() + Row_Offset, INDIRECT( "Column_Number_" &amp; A$1), 4,1, tabname) ), "")</f>
        <v/>
      </c>
      <c r="B498" s="10" t="str">
        <f ca="1">TEXT(  IFERROR( VLOOKUP( $D498, CollName_Simplifier_Table[], 2, FALSE),"") &amp;
        INDIRECT( ADDRESS( ROW() + Row_Offset, INDIRECT( "Column_Number_" &amp; $B$1), 4,1, tabname) ), "")</f>
        <v/>
      </c>
      <c r="C498" s="10" t="str">
        <f ca="1">TEXT( INDIRECT( ADDRESS( ROW() + Row_Offset, INDIRECT( "Column_Number_" &amp; C$1), 4,1, tabname) ), "")</f>
        <v/>
      </c>
      <c r="D498" s="10" t="str">
        <f ca="1">TEXT( INDIRECT( ADDRESS( ROW() + Row_Offset, INDIRECT( "Column_Number_" &amp; D$1), 4,1, tabname) ), "")</f>
        <v/>
      </c>
      <c r="E498" s="10" t="str">
        <f ca="1">TEXT( INDIRECT( ADDRESS( ROW() + Row_Offset, INDIRECT( "Column_Number_" &amp; E$1), 4,1, tabname) ), "####")</f>
        <v/>
      </c>
      <c r="F498" s="15"/>
      <c r="G498" s="21" t="str">
        <f ca="1">IFERROR(INDEX(Rank_Table[],MATCH($D498&amp;$A498,Table4[Join],0)),"")</f>
        <v/>
      </c>
      <c r="H498" s="11" t="str">
        <f ca="1">IF(AND(D498="Juvenile Audiobook",LEFT(B498,8)="J CD BIO"),RIGHT(B498,LEN(B498)-9),
IF(AND(D498="Juvenile Audiobook",LEFT(B498,8)="J CD FIC"),B498,
IF(D498="Juvenile Audiobook",RIGHT(B498,LEN(B498)-5),
IF(AND(D498="Teen Audiobook",LEFT(B498,11)="TEEN CD BIO"),RIGHT(B498,LEN(B498)-12),
IF(AND(D498="Teen Audiobook",LEFT(B498,11)="TEEN CD FIC"),B498,
IF(D498="Juvenile Audiobook",RIGHT(B498,LEN(B498)-8),
IF(D498="Juvenile Nonfiction",RIGHT(B498,LEN(B498)-2),
IF(D498="Teen Nonfiction",RIGHT(B498,LEN(B498)-5),
IF(AND(D498="Audiobook",
              NOT(OR(Contains($B498,"CD BIO"),Contains($B498,"CD FIC")))),RIGHT(B498,LEN(B498)-3),
IF(D498="Juvenile Biography",RIGHT(B498,LEN(B498)-2),
IF(D498="Teen Biography",RIGHT(B498,LEN(B498)-5),
IF(AND(D498="Audiobook",
              IFERROR(FIND("BIO",$B498)&gt;0,FALSE)),RIGHT(B498,LEN(B498)-3),
IF(D498="Juvenile Large Type","J "&amp;RIGHT(B498,LEN(B498)-11),
IF(D498="Teen Large Type","TEEN "&amp;RIGHT(B498,LEN(B498)-14),
IF(D498="Reference",RIGHT(B498,LEN(B498)-4),
IF(D498="DVD Educational",RIGHT(B498,LEN(B498)-7),
IF(D498="Juvenile DVD Educational",RIGHT(B498,LEN(B498)-9),
B498)))))))))))))))))</f>
        <v/>
      </c>
    </row>
    <row r="499" spans="1:8" ht="27" customHeight="1" x14ac:dyDescent="0.25">
      <c r="A499" s="10" t="str">
        <f ca="1">TEXT( INDIRECT( ADDRESS( ROW() + Row_Offset, INDIRECT( "Column_Number_" &amp; A$1), 4,1, tabname) ), "")</f>
        <v/>
      </c>
      <c r="B499" s="10" t="str">
        <f ca="1">TEXT(  IFERROR( VLOOKUP( $D499, CollName_Simplifier_Table[], 2, FALSE),"") &amp;
        INDIRECT( ADDRESS( ROW() + Row_Offset, INDIRECT( "Column_Number_" &amp; $B$1), 4,1, tabname) ), "")</f>
        <v/>
      </c>
      <c r="C499" s="10" t="str">
        <f ca="1">TEXT( INDIRECT( ADDRESS( ROW() + Row_Offset, INDIRECT( "Column_Number_" &amp; C$1), 4,1, tabname) ), "")</f>
        <v/>
      </c>
      <c r="D499" s="10" t="str">
        <f ca="1">TEXT( INDIRECT( ADDRESS( ROW() + Row_Offset, INDIRECT( "Column_Number_" &amp; D$1), 4,1, tabname) ), "")</f>
        <v/>
      </c>
      <c r="E499" s="10" t="str">
        <f ca="1">TEXT( INDIRECT( ADDRESS( ROW() + Row_Offset, INDIRECT( "Column_Number_" &amp; E$1), 4,1, tabname) ), "####")</f>
        <v/>
      </c>
      <c r="F499" s="15"/>
      <c r="G499" s="21" t="str">
        <f ca="1">IFERROR(INDEX(Rank_Table[],MATCH($D499&amp;$A499,Table4[Join],0)),"")</f>
        <v/>
      </c>
      <c r="H499" s="11" t="str">
        <f ca="1">IF(AND(D499="Juvenile Audiobook",LEFT(B499,8)="J CD BIO"),RIGHT(B499,LEN(B499)-9),
IF(AND(D499="Juvenile Audiobook",LEFT(B499,8)="J CD FIC"),B499,
IF(D499="Juvenile Audiobook",RIGHT(B499,LEN(B499)-5),
IF(AND(D499="Teen Audiobook",LEFT(B499,11)="TEEN CD BIO"),RIGHT(B499,LEN(B499)-12),
IF(AND(D499="Teen Audiobook",LEFT(B499,11)="TEEN CD FIC"),B499,
IF(D499="Juvenile Audiobook",RIGHT(B499,LEN(B499)-8),
IF(D499="Juvenile Nonfiction",RIGHT(B499,LEN(B499)-2),
IF(D499="Teen Nonfiction",RIGHT(B499,LEN(B499)-5),
IF(AND(D499="Audiobook",
              NOT(OR(Contains($B499,"CD BIO"),Contains($B499,"CD FIC")))),RIGHT(B499,LEN(B499)-3),
IF(D499="Juvenile Biography",RIGHT(B499,LEN(B499)-2),
IF(D499="Teen Biography",RIGHT(B499,LEN(B499)-5),
IF(AND(D499="Audiobook",
              IFERROR(FIND("BIO",$B499)&gt;0,FALSE)),RIGHT(B499,LEN(B499)-3),
IF(D499="Juvenile Large Type","J "&amp;RIGHT(B499,LEN(B499)-11),
IF(D499="Teen Large Type","TEEN "&amp;RIGHT(B499,LEN(B499)-14),
IF(D499="Reference",RIGHT(B499,LEN(B499)-4),
IF(D499="DVD Educational",RIGHT(B499,LEN(B499)-7),
IF(D499="Juvenile DVD Educational",RIGHT(B499,LEN(B499)-9),
B499)))))))))))))))))</f>
        <v/>
      </c>
    </row>
    <row r="500" spans="1:8" ht="27" customHeight="1" x14ac:dyDescent="0.25">
      <c r="A500" s="10" t="str">
        <f ca="1">TEXT( INDIRECT( ADDRESS( ROW() + Row_Offset, INDIRECT( "Column_Number_" &amp; A$1), 4,1, tabname) ), "")</f>
        <v/>
      </c>
      <c r="B500" s="10" t="str">
        <f ca="1">TEXT(  IFERROR( VLOOKUP( $D500, CollName_Simplifier_Table[], 2, FALSE),"") &amp;
        INDIRECT( ADDRESS( ROW() + Row_Offset, INDIRECT( "Column_Number_" &amp; $B$1), 4,1, tabname) ), "")</f>
        <v/>
      </c>
      <c r="C500" s="10" t="str">
        <f ca="1">TEXT( INDIRECT( ADDRESS( ROW() + Row_Offset, INDIRECT( "Column_Number_" &amp; C$1), 4,1, tabname) ), "")</f>
        <v/>
      </c>
      <c r="D500" s="10" t="str">
        <f ca="1">TEXT( INDIRECT( ADDRESS( ROW() + Row_Offset, INDIRECT( "Column_Number_" &amp; D$1), 4,1, tabname) ), "")</f>
        <v/>
      </c>
      <c r="E500" s="10" t="str">
        <f ca="1">TEXT( INDIRECT( ADDRESS( ROW() + Row_Offset, INDIRECT( "Column_Number_" &amp; E$1), 4,1, tabname) ), "####")</f>
        <v/>
      </c>
      <c r="F500" s="15"/>
      <c r="G500" s="21" t="str">
        <f ca="1">IFERROR(INDEX(Rank_Table[],MATCH($D500&amp;$A500,Table4[Join],0)),"")</f>
        <v/>
      </c>
      <c r="H500" s="11" t="str">
        <f ca="1">IF(AND(D500="Juvenile Audiobook",LEFT(B500,8)="J CD BIO"),RIGHT(B500,LEN(B500)-9),
IF(AND(D500="Juvenile Audiobook",LEFT(B500,8)="J CD FIC"),B500,
IF(D500="Juvenile Audiobook",RIGHT(B500,LEN(B500)-5),
IF(AND(D500="Teen Audiobook",LEFT(B500,11)="TEEN CD BIO"),RIGHT(B500,LEN(B500)-12),
IF(AND(D500="Teen Audiobook",LEFT(B500,11)="TEEN CD FIC"),B500,
IF(D500="Juvenile Audiobook",RIGHT(B500,LEN(B500)-8),
IF(D500="Juvenile Nonfiction",RIGHT(B500,LEN(B500)-2),
IF(D500="Teen Nonfiction",RIGHT(B500,LEN(B500)-5),
IF(AND(D500="Audiobook",
              NOT(OR(Contains($B500,"CD BIO"),Contains($B500,"CD FIC")))),RIGHT(B500,LEN(B500)-3),
IF(D500="Juvenile Biography",RIGHT(B500,LEN(B500)-2),
IF(D500="Teen Biography",RIGHT(B500,LEN(B500)-5),
IF(AND(D500="Audiobook",
              IFERROR(FIND("BIO",$B500)&gt;0,FALSE)),RIGHT(B500,LEN(B500)-3),
IF(D500="Juvenile Large Type","J "&amp;RIGHT(B500,LEN(B500)-11),
IF(D500="Teen Large Type","TEEN "&amp;RIGHT(B500,LEN(B500)-14),
IF(D500="Reference",RIGHT(B500,LEN(B500)-4),
IF(D500="DVD Educational",RIGHT(B500,LEN(B500)-7),
IF(D500="Juvenile DVD Educational",RIGHT(B500,LEN(B500)-9),
B500)))))))))))))))))</f>
        <v/>
      </c>
    </row>
  </sheetData>
  <phoneticPr fontId="0" type="noConversion"/>
  <pageMargins left="0.25" right="0.25" top="0.25" bottom="0.65" header="0.25" footer="0.25"/>
  <pageSetup scale="85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8</xdr:col>
                    <xdr:colOff>45720</xdr:colOff>
                    <xdr:row>1</xdr:row>
                    <xdr:rowOff>38100</xdr:rowOff>
                  </from>
                  <to>
                    <xdr:col>10</xdr:col>
                    <xdr:colOff>289560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8</xdr:col>
                    <xdr:colOff>68580</xdr:colOff>
                    <xdr:row>6</xdr:row>
                    <xdr:rowOff>182880</xdr:rowOff>
                  </from>
                  <to>
                    <xdr:col>10</xdr:col>
                    <xdr:colOff>53340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35"/>
  <sheetViews>
    <sheetView workbookViewId="0"/>
  </sheetViews>
  <sheetFormatPr defaultRowHeight="13.2" x14ac:dyDescent="0.25"/>
  <cols>
    <col min="1" max="1" width="8.109375" bestFit="1" customWidth="1"/>
    <col min="2" max="2" width="28" customWidth="1"/>
    <col min="3" max="3" width="12.6640625" customWidth="1"/>
    <col min="6" max="6" width="19.5546875" bestFit="1" customWidth="1"/>
    <col min="7" max="7" width="10.109375" bestFit="1" customWidth="1"/>
  </cols>
  <sheetData>
    <row r="1" spans="2:3" ht="15.6" thickBot="1" x14ac:dyDescent="0.3">
      <c r="B1" s="5" t="s">
        <v>3</v>
      </c>
      <c r="C1" s="13" t="s">
        <v>14</v>
      </c>
    </row>
    <row r="2" spans="2:3" ht="13.8" thickBot="1" x14ac:dyDescent="0.3"/>
    <row r="3" spans="2:3" ht="13.8" thickBot="1" x14ac:dyDescent="0.3">
      <c r="B3" s="28" t="s">
        <v>4</v>
      </c>
      <c r="C3" s="29"/>
    </row>
    <row r="4" spans="2:3" ht="27" thickBot="1" x14ac:dyDescent="0.3">
      <c r="B4" s="6" t="s">
        <v>5</v>
      </c>
      <c r="C4" s="14">
        <v>4</v>
      </c>
    </row>
    <row r="5" spans="2:3" x14ac:dyDescent="0.25">
      <c r="B5" s="1" t="s">
        <v>6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</row>
    <row r="6" spans="2:3" x14ac:dyDescent="0.25">
      <c r="B6" s="1" t="s">
        <v>7</v>
      </c>
      <c r="C6" s="2">
        <f t="shared" ca="1" si="0"/>
        <v>3</v>
      </c>
    </row>
    <row r="7" spans="2:3" x14ac:dyDescent="0.25">
      <c r="B7" s="1" t="s">
        <v>8</v>
      </c>
      <c r="C7" s="2">
        <f t="shared" ca="1" si="0"/>
        <v>4</v>
      </c>
    </row>
    <row r="8" spans="2:3" x14ac:dyDescent="0.25">
      <c r="B8" s="1" t="s">
        <v>9</v>
      </c>
      <c r="C8" s="2">
        <f t="shared" ca="1" si="0"/>
        <v>6</v>
      </c>
    </row>
    <row r="9" spans="2:3" x14ac:dyDescent="0.25">
      <c r="B9" s="1" t="s">
        <v>10</v>
      </c>
      <c r="C9" s="2">
        <f ca="1">MATCH("*" &amp; SUBSTITUTE($B9,"Column Number ","") &amp; "*",
OFFSET(INDIRECT( ADDRESS( 1, 1,,, tabname ) &amp; ":" &amp; ADDRESS( 1, 10 )), Row_Offset, 0),0)</f>
        <v>1</v>
      </c>
    </row>
    <row r="10" spans="2:3" x14ac:dyDescent="0.25">
      <c r="B10" s="1" t="s">
        <v>11</v>
      </c>
      <c r="C10" s="2">
        <f t="shared" ca="1" si="0"/>
        <v>7</v>
      </c>
    </row>
    <row r="11" spans="2:3" x14ac:dyDescent="0.25">
      <c r="B11" s="1" t="s">
        <v>12</v>
      </c>
      <c r="C11" s="2">
        <f t="shared" ca="1" si="0"/>
        <v>5</v>
      </c>
    </row>
    <row r="12" spans="2:3" ht="13.8" thickBot="1" x14ac:dyDescent="0.3">
      <c r="B12" s="3" t="s">
        <v>13</v>
      </c>
      <c r="C12" s="4">
        <f t="shared" ca="1" si="0"/>
        <v>7</v>
      </c>
    </row>
    <row r="15" spans="2:3" ht="13.8" thickBot="1" x14ac:dyDescent="0.3">
      <c r="B15" s="17" t="s">
        <v>0</v>
      </c>
      <c r="C15" s="17" t="s">
        <v>15</v>
      </c>
    </row>
    <row r="16" spans="2:3" x14ac:dyDescent="0.25">
      <c r="B16" s="16" t="s">
        <v>16</v>
      </c>
      <c r="C16" s="16" t="s">
        <v>17</v>
      </c>
    </row>
    <row r="17" spans="2:3" x14ac:dyDescent="0.25">
      <c r="B17" s="16" t="s">
        <v>18</v>
      </c>
      <c r="C17" s="16" t="s">
        <v>19</v>
      </c>
    </row>
    <row r="18" spans="2:3" x14ac:dyDescent="0.25">
      <c r="B18" s="16" t="s">
        <v>20</v>
      </c>
      <c r="C18" s="16" t="s">
        <v>21</v>
      </c>
    </row>
    <row r="19" spans="2:3" x14ac:dyDescent="0.25">
      <c r="B19" s="16" t="s">
        <v>22</v>
      </c>
      <c r="C19" s="16" t="s">
        <v>23</v>
      </c>
    </row>
    <row r="20" spans="2:3" x14ac:dyDescent="0.25">
      <c r="B20" s="16" t="s">
        <v>24</v>
      </c>
      <c r="C20" s="16" t="s">
        <v>25</v>
      </c>
    </row>
    <row r="21" spans="2:3" x14ac:dyDescent="0.25">
      <c r="B21" s="16" t="s">
        <v>26</v>
      </c>
      <c r="C21" s="16" t="s">
        <v>27</v>
      </c>
    </row>
    <row r="22" spans="2:3" x14ac:dyDescent="0.25">
      <c r="B22" s="16" t="s">
        <v>28</v>
      </c>
      <c r="C22" s="16" t="s">
        <v>29</v>
      </c>
    </row>
    <row r="23" spans="2:3" x14ac:dyDescent="0.25">
      <c r="B23" s="16" t="s">
        <v>30</v>
      </c>
      <c r="C23" s="16" t="s">
        <v>31</v>
      </c>
    </row>
    <row r="24" spans="2:3" x14ac:dyDescent="0.25">
      <c r="B24" s="16" t="s">
        <v>32</v>
      </c>
      <c r="C24" s="16" t="s">
        <v>33</v>
      </c>
    </row>
    <row r="25" spans="2:3" x14ac:dyDescent="0.25">
      <c r="B25" s="16" t="s">
        <v>34</v>
      </c>
      <c r="C25" s="16" t="s">
        <v>35</v>
      </c>
    </row>
    <row r="26" spans="2:3" x14ac:dyDescent="0.25">
      <c r="B26" s="16" t="s">
        <v>36</v>
      </c>
      <c r="C26" s="16" t="s">
        <v>37</v>
      </c>
    </row>
    <row r="27" spans="2:3" x14ac:dyDescent="0.25">
      <c r="B27" s="16" t="s">
        <v>38</v>
      </c>
      <c r="C27" s="16" t="s">
        <v>23</v>
      </c>
    </row>
    <row r="28" spans="2:3" x14ac:dyDescent="0.25">
      <c r="B28" s="16" t="s">
        <v>39</v>
      </c>
      <c r="C28" s="16" t="s">
        <v>40</v>
      </c>
    </row>
    <row r="29" spans="2:3" x14ac:dyDescent="0.25">
      <c r="B29" s="16" t="s">
        <v>41</v>
      </c>
      <c r="C29" s="16" t="s">
        <v>42</v>
      </c>
    </row>
    <row r="30" spans="2:3" x14ac:dyDescent="0.25">
      <c r="B30" s="16" t="s">
        <v>43</v>
      </c>
      <c r="C30" s="16" t="s">
        <v>19</v>
      </c>
    </row>
    <row r="31" spans="2:3" x14ac:dyDescent="0.25">
      <c r="B31" s="16" t="s">
        <v>44</v>
      </c>
      <c r="C31" s="16" t="s">
        <v>27</v>
      </c>
    </row>
    <row r="32" spans="2:3" x14ac:dyDescent="0.25">
      <c r="B32" s="16" t="s">
        <v>45</v>
      </c>
      <c r="C32" s="16" t="s">
        <v>46</v>
      </c>
    </row>
    <row r="33" spans="2:3" x14ac:dyDescent="0.25">
      <c r="B33" s="16" t="s">
        <v>47</v>
      </c>
      <c r="C33" s="16" t="s">
        <v>48</v>
      </c>
    </row>
    <row r="34" spans="2:3" x14ac:dyDescent="0.25">
      <c r="B34" s="16" t="s">
        <v>49</v>
      </c>
      <c r="C34" s="16" t="s">
        <v>50</v>
      </c>
    </row>
    <row r="35" spans="2:3" x14ac:dyDescent="0.25">
      <c r="B35" s="16" t="s">
        <v>51</v>
      </c>
      <c r="C35" s="16" t="s">
        <v>52</v>
      </c>
    </row>
  </sheetData>
  <mergeCells count="1">
    <mergeCell ref="B3:C3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41"/>
  <sheetViews>
    <sheetView topLeftCell="M102" zoomScale="85" zoomScaleNormal="85" workbookViewId="0">
      <selection activeCell="P102" sqref="P1:P1048576"/>
    </sheetView>
  </sheetViews>
  <sheetFormatPr defaultRowHeight="14.4" x14ac:dyDescent="0.3"/>
  <cols>
    <col min="3" max="3" width="26.77734375" bestFit="1" customWidth="1"/>
    <col min="4" max="4" width="26.77734375" style="19" hidden="1" customWidth="1"/>
    <col min="5" max="5" width="18.77734375" style="19" hidden="1" customWidth="1"/>
    <col min="6" max="6" width="43" style="27" customWidth="1"/>
    <col min="7" max="7" width="43" style="16" customWidth="1"/>
    <col min="8" max="8" width="16.88671875" style="19" bestFit="1" customWidth="1"/>
    <col min="9" max="10" width="16.88671875" style="19" customWidth="1"/>
    <col min="12" max="12" width="21.109375" bestFit="1" customWidth="1"/>
    <col min="13" max="13" width="7.33203125" customWidth="1"/>
    <col min="16" max="16" width="18.6640625" style="34" bestFit="1" customWidth="1"/>
  </cols>
  <sheetData>
    <row r="1" spans="1:14" s="23" customFormat="1" ht="26.4" x14ac:dyDescent="0.25">
      <c r="A1" s="22" t="s">
        <v>83</v>
      </c>
      <c r="B1" s="22"/>
      <c r="C1" s="24" t="s">
        <v>0</v>
      </c>
      <c r="D1" s="22" t="s">
        <v>106</v>
      </c>
      <c r="E1" s="22" t="s">
        <v>107</v>
      </c>
      <c r="F1" s="22" t="s">
        <v>105</v>
      </c>
      <c r="G1" s="22" t="s">
        <v>164</v>
      </c>
      <c r="H1" s="24" t="s">
        <v>53</v>
      </c>
      <c r="L1" s="33" t="s">
        <v>164</v>
      </c>
      <c r="M1" s="33" t="s">
        <v>83</v>
      </c>
      <c r="N1" s="33"/>
    </row>
    <row r="2" spans="1:14" x14ac:dyDescent="0.3">
      <c r="A2">
        <v>1</v>
      </c>
      <c r="C2" s="26" t="s">
        <v>102</v>
      </c>
      <c r="D2" s="19" t="s">
        <v>145</v>
      </c>
      <c r="E2" s="19" t="s">
        <v>144</v>
      </c>
      <c r="F2" s="19" t="str">
        <f>Table4[[#This Row],[CollectionName]]&amp;Table4[[#This Row],[Location]]</f>
        <v>Teen Nonfiction</v>
      </c>
      <c r="G2" s="31" t="s">
        <v>55</v>
      </c>
      <c r="H2" s="26" t="s">
        <v>104</v>
      </c>
      <c r="I2"/>
      <c r="L2" t="s">
        <v>55</v>
      </c>
      <c r="M2">
        <v>1</v>
      </c>
    </row>
    <row r="3" spans="1:14" x14ac:dyDescent="0.3">
      <c r="A3">
        <v>2</v>
      </c>
      <c r="C3" s="26" t="s">
        <v>100</v>
      </c>
      <c r="D3" s="19" t="s">
        <v>145</v>
      </c>
      <c r="E3" s="19" t="s">
        <v>147</v>
      </c>
      <c r="F3" s="19" t="str">
        <f>Table4[[#This Row],[CollectionName]]&amp;Table4[[#This Row],[Location]]</f>
        <v>Teen Explore</v>
      </c>
      <c r="G3" s="31" t="s">
        <v>55</v>
      </c>
      <c r="H3" s="26" t="s">
        <v>104</v>
      </c>
      <c r="I3"/>
      <c r="L3" t="s">
        <v>56</v>
      </c>
      <c r="M3">
        <v>2</v>
      </c>
    </row>
    <row r="4" spans="1:14" x14ac:dyDescent="0.3">
      <c r="A4">
        <v>3</v>
      </c>
      <c r="C4" s="26" t="s">
        <v>55</v>
      </c>
      <c r="D4" s="19" t="s">
        <v>55</v>
      </c>
      <c r="E4" s="19" t="s">
        <v>104</v>
      </c>
      <c r="F4" s="19" t="str">
        <f>Table4[[#This Row],[CollectionName]]&amp;Table4[[#This Row],[Location]]</f>
        <v>Nonfiction</v>
      </c>
      <c r="G4" s="31" t="s">
        <v>55</v>
      </c>
      <c r="H4" s="26" t="s">
        <v>104</v>
      </c>
      <c r="I4"/>
      <c r="L4" t="s">
        <v>57</v>
      </c>
      <c r="M4">
        <v>3</v>
      </c>
    </row>
    <row r="5" spans="1:14" x14ac:dyDescent="0.3">
      <c r="A5">
        <v>4</v>
      </c>
      <c r="C5" s="26" t="s">
        <v>95</v>
      </c>
      <c r="D5" s="19" t="s">
        <v>136</v>
      </c>
      <c r="E5" s="19" t="s">
        <v>144</v>
      </c>
      <c r="F5" s="19" t="str">
        <f>Table4[[#This Row],[CollectionName]]&amp;Table4[[#This Row],[Location]]</f>
        <v>Juvenile Nonfiction</v>
      </c>
      <c r="G5" s="31" t="s">
        <v>55</v>
      </c>
      <c r="H5" s="26" t="s">
        <v>104</v>
      </c>
      <c r="I5"/>
      <c r="L5" t="s">
        <v>58</v>
      </c>
      <c r="M5">
        <v>4</v>
      </c>
    </row>
    <row r="6" spans="1:14" x14ac:dyDescent="0.3">
      <c r="A6">
        <v>5</v>
      </c>
      <c r="C6" s="26" t="s">
        <v>88</v>
      </c>
      <c r="D6" s="19" t="s">
        <v>108</v>
      </c>
      <c r="E6" s="19" t="s">
        <v>112</v>
      </c>
      <c r="F6" s="19" t="str">
        <f>Table4[[#This Row],[CollectionName]]&amp;Table4[[#This Row],[Location]]</f>
        <v>DVD Educational</v>
      </c>
      <c r="G6" s="20" t="s">
        <v>55</v>
      </c>
      <c r="H6" s="26" t="s">
        <v>104</v>
      </c>
      <c r="I6"/>
      <c r="L6" t="s">
        <v>24</v>
      </c>
      <c r="M6">
        <v>5</v>
      </c>
    </row>
    <row r="7" spans="1:14" x14ac:dyDescent="0.3">
      <c r="A7">
        <v>6</v>
      </c>
      <c r="C7" s="26" t="s">
        <v>98</v>
      </c>
      <c r="D7" s="19" t="s">
        <v>145</v>
      </c>
      <c r="E7" s="19" t="s">
        <v>137</v>
      </c>
      <c r="F7" s="19" t="str">
        <f>Table4[[#This Row],[CollectionName]]&amp;Table4[[#This Row],[Location]]</f>
        <v>Teen Biography</v>
      </c>
      <c r="G7" s="31" t="s">
        <v>56</v>
      </c>
      <c r="H7" s="26" t="s">
        <v>104</v>
      </c>
      <c r="I7"/>
      <c r="L7" t="s">
        <v>59</v>
      </c>
      <c r="M7">
        <v>6</v>
      </c>
    </row>
    <row r="8" spans="1:14" x14ac:dyDescent="0.3">
      <c r="A8">
        <v>7</v>
      </c>
      <c r="C8" s="26" t="s">
        <v>91</v>
      </c>
      <c r="D8" s="19" t="s">
        <v>136</v>
      </c>
      <c r="E8" s="19" t="s">
        <v>137</v>
      </c>
      <c r="F8" s="19" t="str">
        <f>Table4[[#This Row],[CollectionName]]&amp;Table4[[#This Row],[Location]]</f>
        <v>Juvenile Biography</v>
      </c>
      <c r="G8" s="31" t="s">
        <v>56</v>
      </c>
      <c r="H8" s="26" t="s">
        <v>104</v>
      </c>
      <c r="I8"/>
      <c r="L8" t="s">
        <v>60</v>
      </c>
      <c r="M8">
        <v>7</v>
      </c>
    </row>
    <row r="9" spans="1:14" x14ac:dyDescent="0.3">
      <c r="A9">
        <v>8</v>
      </c>
      <c r="C9" s="26" t="s">
        <v>56</v>
      </c>
      <c r="D9" s="19" t="s">
        <v>56</v>
      </c>
      <c r="E9" s="19" t="s">
        <v>104</v>
      </c>
      <c r="F9" s="19" t="str">
        <f>Table4[[#This Row],[CollectionName]]&amp;Table4[[#This Row],[Location]]</f>
        <v>Biography</v>
      </c>
      <c r="G9" s="20" t="s">
        <v>56</v>
      </c>
      <c r="H9" s="26" t="s">
        <v>104</v>
      </c>
      <c r="I9"/>
      <c r="L9" t="s">
        <v>26</v>
      </c>
      <c r="M9">
        <v>8</v>
      </c>
    </row>
    <row r="10" spans="1:14" x14ac:dyDescent="0.3">
      <c r="A10">
        <v>9</v>
      </c>
      <c r="C10" s="26" t="s">
        <v>57</v>
      </c>
      <c r="D10" s="19" t="s">
        <v>145</v>
      </c>
      <c r="E10" s="19" t="s">
        <v>124</v>
      </c>
      <c r="F10" s="19" t="str">
        <f>Table4[[#This Row],[CollectionName]]&amp;Table4[[#This Row],[Location]]</f>
        <v>Teen Audiobook</v>
      </c>
      <c r="G10" s="31" t="s">
        <v>57</v>
      </c>
      <c r="H10" s="26" t="s">
        <v>104</v>
      </c>
      <c r="I10"/>
      <c r="L10" t="s">
        <v>22</v>
      </c>
      <c r="M10">
        <v>9</v>
      </c>
    </row>
    <row r="11" spans="1:14" x14ac:dyDescent="0.3">
      <c r="A11">
        <v>10</v>
      </c>
      <c r="C11" s="26" t="s">
        <v>103</v>
      </c>
      <c r="D11" s="19" t="s">
        <v>145</v>
      </c>
      <c r="E11" s="19" t="s">
        <v>149</v>
      </c>
      <c r="F11" s="19" t="str">
        <f>Table4[[#This Row],[CollectionName]]&amp;Table4[[#This Row],[Location]]</f>
        <v>Teen Paperbacks</v>
      </c>
      <c r="G11" s="31" t="s">
        <v>58</v>
      </c>
      <c r="H11" s="26" t="s">
        <v>104</v>
      </c>
      <c r="I11"/>
      <c r="L11" t="s">
        <v>18</v>
      </c>
      <c r="M11">
        <v>10</v>
      </c>
    </row>
    <row r="12" spans="1:14" x14ac:dyDescent="0.3">
      <c r="A12">
        <v>11</v>
      </c>
      <c r="C12" s="26" t="s">
        <v>58</v>
      </c>
      <c r="D12" s="19" t="s">
        <v>145</v>
      </c>
      <c r="E12" s="19" t="s">
        <v>141</v>
      </c>
      <c r="F12" s="19" t="str">
        <f>Table4[[#This Row],[CollectionName]]&amp;Table4[[#This Row],[Location]]</f>
        <v>Teen Fiction</v>
      </c>
      <c r="G12" s="31" t="s">
        <v>58</v>
      </c>
      <c r="H12" s="26" t="s">
        <v>104</v>
      </c>
      <c r="I12"/>
      <c r="L12" t="s">
        <v>61</v>
      </c>
      <c r="M12">
        <v>11</v>
      </c>
    </row>
    <row r="13" spans="1:14" x14ac:dyDescent="0.3">
      <c r="A13">
        <v>12</v>
      </c>
      <c r="C13" s="26" t="s">
        <v>58</v>
      </c>
      <c r="D13" s="19" t="s">
        <v>145</v>
      </c>
      <c r="E13" s="19" t="s">
        <v>141</v>
      </c>
      <c r="F13" s="19" t="str">
        <f>Table4[[#This Row],[CollectionName]]&amp;Table4[[#This Row],[Location]]</f>
        <v>Teen FictionNew Books</v>
      </c>
      <c r="G13" s="31" t="s">
        <v>58</v>
      </c>
      <c r="H13" s="26" t="s">
        <v>81</v>
      </c>
      <c r="I13"/>
      <c r="L13" t="s">
        <v>62</v>
      </c>
      <c r="M13">
        <v>12</v>
      </c>
    </row>
    <row r="14" spans="1:14" x14ac:dyDescent="0.3">
      <c r="A14">
        <v>13</v>
      </c>
      <c r="C14" s="26" t="s">
        <v>99</v>
      </c>
      <c r="D14" s="19" t="s">
        <v>145</v>
      </c>
      <c r="E14" s="19" t="s">
        <v>146</v>
      </c>
      <c r="F14" s="19" t="str">
        <f>Table4[[#This Row],[CollectionName]]&amp;Table4[[#This Row],[Location]]</f>
        <v>Teen Classics Paperbacks</v>
      </c>
      <c r="G14" s="31" t="s">
        <v>58</v>
      </c>
      <c r="H14" s="26" t="s">
        <v>104</v>
      </c>
      <c r="I14"/>
      <c r="L14" t="s">
        <v>79</v>
      </c>
      <c r="M14">
        <v>13</v>
      </c>
    </row>
    <row r="15" spans="1:14" x14ac:dyDescent="0.3">
      <c r="A15">
        <v>14</v>
      </c>
      <c r="C15" s="26" t="s">
        <v>24</v>
      </c>
      <c r="D15" s="19" t="s">
        <v>24</v>
      </c>
      <c r="E15" s="19" t="s">
        <v>104</v>
      </c>
      <c r="F15" s="19" t="str">
        <f>Table4[[#This Row],[CollectionName]]&amp;Table4[[#This Row],[Location]]</f>
        <v>Graphic Novel</v>
      </c>
      <c r="G15" s="20" t="s">
        <v>24</v>
      </c>
      <c r="H15" s="26" t="s">
        <v>104</v>
      </c>
      <c r="I15"/>
      <c r="L15" t="s">
        <v>63</v>
      </c>
      <c r="M15">
        <v>14</v>
      </c>
    </row>
    <row r="16" spans="1:14" x14ac:dyDescent="0.3">
      <c r="A16">
        <v>15</v>
      </c>
      <c r="C16" s="26" t="s">
        <v>101</v>
      </c>
      <c r="D16" s="19" t="s">
        <v>145</v>
      </c>
      <c r="E16" s="19" t="s">
        <v>142</v>
      </c>
      <c r="F16" s="19" t="str">
        <f>Table4[[#This Row],[CollectionName]]&amp;Table4[[#This Row],[Location]]</f>
        <v>Teen Large Type</v>
      </c>
      <c r="G16" s="31" t="s">
        <v>59</v>
      </c>
      <c r="H16" s="26" t="s">
        <v>104</v>
      </c>
      <c r="I16"/>
      <c r="L16" t="s">
        <v>64</v>
      </c>
      <c r="M16">
        <v>15</v>
      </c>
    </row>
    <row r="17" spans="1:13" x14ac:dyDescent="0.3">
      <c r="A17">
        <v>16</v>
      </c>
      <c r="C17" s="26" t="s">
        <v>59</v>
      </c>
      <c r="D17" s="19" t="s">
        <v>59</v>
      </c>
      <c r="E17" s="19" t="s">
        <v>104</v>
      </c>
      <c r="F17" s="19" t="str">
        <f>Table4[[#This Row],[CollectionName]]&amp;Table4[[#This Row],[Location]]</f>
        <v>Large Type</v>
      </c>
      <c r="G17" s="31" t="s">
        <v>59</v>
      </c>
      <c r="H17" s="26" t="s">
        <v>104</v>
      </c>
      <c r="I17"/>
      <c r="L17" t="s">
        <v>65</v>
      </c>
      <c r="M17">
        <v>16</v>
      </c>
    </row>
    <row r="18" spans="1:13" x14ac:dyDescent="0.3">
      <c r="A18">
        <v>17</v>
      </c>
      <c r="C18" s="26" t="s">
        <v>93</v>
      </c>
      <c r="D18" s="19" t="s">
        <v>136</v>
      </c>
      <c r="E18" s="19" t="s">
        <v>142</v>
      </c>
      <c r="F18" s="19" t="str">
        <f>Table4[[#This Row],[CollectionName]]&amp;Table4[[#This Row],[Location]]</f>
        <v>Juvenile Large Type</v>
      </c>
      <c r="G18" s="31" t="s">
        <v>59</v>
      </c>
      <c r="H18" s="26" t="s">
        <v>104</v>
      </c>
      <c r="I18"/>
      <c r="L18" t="s">
        <v>66</v>
      </c>
      <c r="M18">
        <v>17</v>
      </c>
    </row>
    <row r="19" spans="1:13" x14ac:dyDescent="0.3">
      <c r="A19">
        <v>18</v>
      </c>
      <c r="C19" s="26" t="s">
        <v>60</v>
      </c>
      <c r="D19" s="19" t="s">
        <v>60</v>
      </c>
      <c r="E19" s="19" t="s">
        <v>104</v>
      </c>
      <c r="F19" s="19" t="str">
        <f>Table4[[#This Row],[CollectionName]]&amp;Table4[[#This Row],[Location]]</f>
        <v>Fiction</v>
      </c>
      <c r="G19" s="20" t="s">
        <v>60</v>
      </c>
      <c r="H19" s="26" t="s">
        <v>104</v>
      </c>
      <c r="I19"/>
      <c r="L19" t="s">
        <v>67</v>
      </c>
      <c r="M19">
        <v>18</v>
      </c>
    </row>
    <row r="20" spans="1:13" x14ac:dyDescent="0.3">
      <c r="A20">
        <v>19</v>
      </c>
      <c r="C20" s="26" t="s">
        <v>26</v>
      </c>
      <c r="D20" s="19" t="s">
        <v>60</v>
      </c>
      <c r="E20" s="19" t="s">
        <v>127</v>
      </c>
      <c r="F20" s="19" t="str">
        <f>Table4[[#This Row],[CollectionName]]&amp;Table4[[#This Row],[Location]]</f>
        <v>Fiction Sci Fi</v>
      </c>
      <c r="G20" s="20" t="s">
        <v>26</v>
      </c>
      <c r="H20" s="26" t="s">
        <v>104</v>
      </c>
      <c r="I20"/>
      <c r="L20" t="s">
        <v>16</v>
      </c>
      <c r="M20">
        <v>19</v>
      </c>
    </row>
    <row r="21" spans="1:13" x14ac:dyDescent="0.3">
      <c r="A21">
        <v>20</v>
      </c>
      <c r="C21" s="26" t="s">
        <v>22</v>
      </c>
      <c r="D21" s="19" t="s">
        <v>60</v>
      </c>
      <c r="E21" s="19" t="s">
        <v>114</v>
      </c>
      <c r="F21" s="19" t="str">
        <f>Table4[[#This Row],[CollectionName]]&amp;Table4[[#This Row],[Location]]</f>
        <v>Fiction Fantasy</v>
      </c>
      <c r="G21" s="20" t="s">
        <v>22</v>
      </c>
      <c r="H21" s="26" t="s">
        <v>104</v>
      </c>
      <c r="I21"/>
      <c r="L21" t="s">
        <v>68</v>
      </c>
      <c r="M21">
        <v>20</v>
      </c>
    </row>
    <row r="22" spans="1:13" x14ac:dyDescent="0.3">
      <c r="A22">
        <v>21</v>
      </c>
      <c r="C22" s="26" t="s">
        <v>18</v>
      </c>
      <c r="D22" s="19" t="s">
        <v>60</v>
      </c>
      <c r="E22" s="19" t="s">
        <v>118</v>
      </c>
      <c r="F22" s="19" t="str">
        <f>Table4[[#This Row],[CollectionName]]&amp;Table4[[#This Row],[Location]]</f>
        <v>Fiction Mystery</v>
      </c>
      <c r="G22" s="20" t="s">
        <v>18</v>
      </c>
      <c r="H22" s="26" t="s">
        <v>104</v>
      </c>
      <c r="I22"/>
      <c r="L22" t="s">
        <v>69</v>
      </c>
      <c r="M22">
        <v>21</v>
      </c>
    </row>
    <row r="23" spans="1:13" x14ac:dyDescent="0.3">
      <c r="A23">
        <v>22</v>
      </c>
      <c r="C23" s="25" t="s">
        <v>84</v>
      </c>
      <c r="D23" s="19" t="s">
        <v>84</v>
      </c>
      <c r="E23" s="20" t="s">
        <v>104</v>
      </c>
      <c r="F23" s="20" t="str">
        <f>Table4[[#This Row],[CollectionName]]&amp;Table4[[#This Row],[Location]]</f>
        <v>Audiobook</v>
      </c>
      <c r="G23" s="20" t="s">
        <v>61</v>
      </c>
      <c r="H23" s="25" t="s">
        <v>104</v>
      </c>
      <c r="I23"/>
      <c r="L23" t="s">
        <v>70</v>
      </c>
      <c r="M23">
        <v>22</v>
      </c>
    </row>
    <row r="24" spans="1:13" x14ac:dyDescent="0.3">
      <c r="A24">
        <v>23</v>
      </c>
      <c r="C24" s="26" t="s">
        <v>62</v>
      </c>
      <c r="D24" s="19" t="s">
        <v>136</v>
      </c>
      <c r="E24" s="19" t="s">
        <v>141</v>
      </c>
      <c r="F24" s="19" t="str">
        <f>Table4[[#This Row],[CollectionName]]&amp;Table4[[#This Row],[Location]]</f>
        <v>Juvenile Fiction</v>
      </c>
      <c r="G24" s="31" t="s">
        <v>62</v>
      </c>
      <c r="H24" s="26" t="s">
        <v>104</v>
      </c>
      <c r="I24"/>
      <c r="L24" t="s">
        <v>71</v>
      </c>
      <c r="M24">
        <v>23</v>
      </c>
    </row>
    <row r="25" spans="1:13" x14ac:dyDescent="0.3">
      <c r="A25">
        <v>24</v>
      </c>
      <c r="C25" s="26" t="s">
        <v>79</v>
      </c>
      <c r="D25" s="19" t="s">
        <v>136</v>
      </c>
      <c r="E25" s="19" t="s">
        <v>124</v>
      </c>
      <c r="F25" s="19" t="str">
        <f>Table4[[#This Row],[CollectionName]]&amp;Table4[[#This Row],[Location]]</f>
        <v>Juvenile Audiobook</v>
      </c>
      <c r="G25" s="30" t="str">
        <f>Table4[[#This Row],[CollectionName]]&amp;Table4[[#This Row],[Location]]</f>
        <v>Juvenile Audiobook</v>
      </c>
      <c r="H25" s="26" t="s">
        <v>104</v>
      </c>
      <c r="I25"/>
      <c r="L25" t="s">
        <v>80</v>
      </c>
      <c r="M25">
        <v>24</v>
      </c>
    </row>
    <row r="26" spans="1:13" x14ac:dyDescent="0.3">
      <c r="A26">
        <v>25</v>
      </c>
      <c r="C26" s="26" t="s">
        <v>92</v>
      </c>
      <c r="D26" s="19" t="s">
        <v>136</v>
      </c>
      <c r="E26" s="19" t="s">
        <v>140</v>
      </c>
      <c r="F26" s="19" t="str">
        <f>Table4[[#This Row],[CollectionName]]&amp;Table4[[#This Row],[Location]]</f>
        <v>Juvenile DVD Educational</v>
      </c>
      <c r="G26" s="31" t="s">
        <v>63</v>
      </c>
      <c r="H26" s="26" t="s">
        <v>104</v>
      </c>
      <c r="I26"/>
      <c r="L26" t="s">
        <v>72</v>
      </c>
      <c r="M26">
        <v>25</v>
      </c>
    </row>
    <row r="27" spans="1:13" x14ac:dyDescent="0.3">
      <c r="A27">
        <v>26</v>
      </c>
      <c r="C27" s="26" t="s">
        <v>63</v>
      </c>
      <c r="D27" s="19" t="s">
        <v>136</v>
      </c>
      <c r="E27" s="19" t="s">
        <v>139</v>
      </c>
      <c r="F27" s="19" t="str">
        <f>Table4[[#This Row],[CollectionName]]&amp;Table4[[#This Row],[Location]]</f>
        <v>Juvenile DVD</v>
      </c>
      <c r="G27" s="31" t="s">
        <v>63</v>
      </c>
      <c r="H27" s="26" t="s">
        <v>104</v>
      </c>
      <c r="I27"/>
      <c r="L27" t="s">
        <v>73</v>
      </c>
      <c r="M27">
        <v>26</v>
      </c>
    </row>
    <row r="28" spans="1:13" x14ac:dyDescent="0.3">
      <c r="A28">
        <v>27</v>
      </c>
      <c r="C28" s="26" t="s">
        <v>64</v>
      </c>
      <c r="D28" s="19" t="s">
        <v>136</v>
      </c>
      <c r="E28" s="19" t="s">
        <v>138</v>
      </c>
      <c r="F28" s="19" t="str">
        <f>Table4[[#This Row],[CollectionName]]&amp;Table4[[#This Row],[Location]]</f>
        <v>Juvenile Compact Disc</v>
      </c>
      <c r="G28" s="30" t="str">
        <f>Table4[[#This Row],[CollectionName]]&amp;Table4[[#This Row],[Location]]</f>
        <v>Juvenile Compact Disc</v>
      </c>
      <c r="H28" s="26" t="s">
        <v>104</v>
      </c>
      <c r="I28"/>
      <c r="L28" t="s">
        <v>74</v>
      </c>
      <c r="M28">
        <v>27</v>
      </c>
    </row>
    <row r="29" spans="1:13" x14ac:dyDescent="0.3">
      <c r="A29">
        <v>28</v>
      </c>
      <c r="C29" s="26" t="s">
        <v>65</v>
      </c>
      <c r="D29" s="19" t="s">
        <v>66</v>
      </c>
      <c r="E29" s="19" t="s">
        <v>125</v>
      </c>
      <c r="F29" s="19" t="str">
        <f>Table4[[#This Row],[CollectionName]]&amp;Table4[[#This Row],[Location]]</f>
        <v>Easy Countdown</v>
      </c>
      <c r="G29" s="19" t="str">
        <f>Table4[[#This Row],[CollectionName]]&amp;Table4[[#This Row],[Location]]</f>
        <v>Easy Countdown</v>
      </c>
      <c r="H29" s="26" t="s">
        <v>104</v>
      </c>
      <c r="I29"/>
      <c r="L29" t="s">
        <v>161</v>
      </c>
      <c r="M29">
        <v>28</v>
      </c>
    </row>
    <row r="30" spans="1:13" x14ac:dyDescent="0.3">
      <c r="A30">
        <v>29</v>
      </c>
      <c r="C30" s="26" t="s">
        <v>66</v>
      </c>
      <c r="D30" s="19" t="s">
        <v>66</v>
      </c>
      <c r="E30" s="19" t="s">
        <v>104</v>
      </c>
      <c r="F30" s="19" t="str">
        <f>Table4[[#This Row],[CollectionName]]&amp;Table4[[#This Row],[Location]]</f>
        <v>Easy</v>
      </c>
      <c r="G30" s="19" t="str">
        <f>Table4[[#This Row],[CollectionName]]&amp;Table4[[#This Row],[Location]]</f>
        <v>Easy</v>
      </c>
      <c r="H30" s="26" t="s">
        <v>104</v>
      </c>
      <c r="I30"/>
      <c r="L30" t="s">
        <v>162</v>
      </c>
      <c r="M30">
        <v>29</v>
      </c>
    </row>
    <row r="31" spans="1:13" x14ac:dyDescent="0.3">
      <c r="A31">
        <v>30</v>
      </c>
      <c r="C31" s="26" t="s">
        <v>89</v>
      </c>
      <c r="D31" s="19" t="s">
        <v>66</v>
      </c>
      <c r="E31" s="19" t="s">
        <v>126</v>
      </c>
      <c r="F31" s="19" t="str">
        <f>Table4[[#This Row],[CollectionName]]&amp;Table4[[#This Row],[Location]]</f>
        <v>Easy Non-Fiction</v>
      </c>
      <c r="G31" s="19" t="str">
        <f>Table4[[#This Row],[CollectionName]]&amp;Table4[[#This Row],[Location]]</f>
        <v>Easy Non-Fiction</v>
      </c>
      <c r="H31" s="26" t="s">
        <v>104</v>
      </c>
      <c r="I31"/>
      <c r="L31" t="s">
        <v>163</v>
      </c>
      <c r="M31">
        <v>30</v>
      </c>
    </row>
    <row r="32" spans="1:13" x14ac:dyDescent="0.3">
      <c r="A32">
        <v>31</v>
      </c>
      <c r="C32" s="26" t="s">
        <v>16</v>
      </c>
      <c r="D32" s="19" t="s">
        <v>16</v>
      </c>
      <c r="E32" s="19" t="s">
        <v>104</v>
      </c>
      <c r="F32" s="19" t="str">
        <f>Table4[[#This Row],[CollectionName]]&amp;Table4[[#This Row],[Location]]</f>
        <v>Readers</v>
      </c>
      <c r="G32" s="30" t="str">
        <f>Table4[[#This Row],[CollectionName]]&amp;Table4[[#This Row],[Location]]</f>
        <v>Readers</v>
      </c>
      <c r="H32" s="26" t="s">
        <v>104</v>
      </c>
      <c r="I32"/>
      <c r="L32" t="s">
        <v>28</v>
      </c>
      <c r="M32">
        <v>31</v>
      </c>
    </row>
    <row r="33" spans="1:13" x14ac:dyDescent="0.3">
      <c r="A33">
        <v>32</v>
      </c>
      <c r="C33" s="26" t="s">
        <v>68</v>
      </c>
      <c r="D33" s="19" t="s">
        <v>66</v>
      </c>
      <c r="E33" s="19" t="s">
        <v>124</v>
      </c>
      <c r="F33" s="19" t="str">
        <f>Table4[[#This Row],[CollectionName]]&amp;Table4[[#This Row],[Location]]</f>
        <v>Easy Audiobook</v>
      </c>
      <c r="G33" s="19" t="str">
        <f>Table4[[#This Row],[CollectionName]]&amp;Table4[[#This Row],[Location]]</f>
        <v>Easy Audiobook</v>
      </c>
      <c r="H33" s="26" t="s">
        <v>104</v>
      </c>
      <c r="I33"/>
      <c r="L33" t="s">
        <v>30</v>
      </c>
      <c r="M33">
        <v>32</v>
      </c>
    </row>
    <row r="34" spans="1:13" x14ac:dyDescent="0.3">
      <c r="A34">
        <v>33</v>
      </c>
      <c r="C34" s="26" t="s">
        <v>69</v>
      </c>
      <c r="D34" s="19" t="s">
        <v>128</v>
      </c>
      <c r="E34" s="19" t="s">
        <v>129</v>
      </c>
      <c r="F34" s="19" t="str">
        <f>Table4[[#This Row],[CollectionName]]&amp;Table4[[#This Row],[Location]]</f>
        <v>International Chinese</v>
      </c>
      <c r="G34" s="19" t="str">
        <f>Table4[[#This Row],[CollectionName]]&amp;Table4[[#This Row],[Location]]</f>
        <v>International Chinese</v>
      </c>
      <c r="H34" s="26" t="s">
        <v>104</v>
      </c>
      <c r="I34"/>
      <c r="L34" t="s">
        <v>34</v>
      </c>
      <c r="M34">
        <v>33</v>
      </c>
    </row>
    <row r="35" spans="1:13" x14ac:dyDescent="0.3">
      <c r="A35">
        <v>34</v>
      </c>
      <c r="C35" s="26" t="s">
        <v>70</v>
      </c>
      <c r="D35" s="19" t="s">
        <v>128</v>
      </c>
      <c r="E35" s="19" t="s">
        <v>131</v>
      </c>
      <c r="F35" s="19" t="str">
        <f>Table4[[#This Row],[CollectionName]]&amp;Table4[[#This Row],[Location]]</f>
        <v>International Korean</v>
      </c>
      <c r="G35" s="19" t="str">
        <f>Table4[[#This Row],[CollectionName]]&amp;Table4[[#This Row],[Location]]</f>
        <v>International Korean</v>
      </c>
      <c r="H35" s="26" t="s">
        <v>104</v>
      </c>
      <c r="I35"/>
      <c r="L35" t="s">
        <v>36</v>
      </c>
      <c r="M35">
        <v>34</v>
      </c>
    </row>
    <row r="36" spans="1:13" x14ac:dyDescent="0.3">
      <c r="A36">
        <v>35</v>
      </c>
      <c r="C36" s="26" t="s">
        <v>71</v>
      </c>
      <c r="D36" s="19" t="s">
        <v>128</v>
      </c>
      <c r="E36" s="19" t="s">
        <v>130</v>
      </c>
      <c r="F36" s="19" t="str">
        <f>Table4[[#This Row],[CollectionName]]&amp;Table4[[#This Row],[Location]]</f>
        <v>International Japanese</v>
      </c>
      <c r="G36" s="19" t="str">
        <f>Table4[[#This Row],[CollectionName]]&amp;Table4[[#This Row],[Location]]</f>
        <v>International Japanese</v>
      </c>
      <c r="H36" s="26" t="s">
        <v>104</v>
      </c>
      <c r="I36"/>
      <c r="L36" t="s">
        <v>38</v>
      </c>
      <c r="M36">
        <v>35</v>
      </c>
    </row>
    <row r="37" spans="1:13" x14ac:dyDescent="0.3">
      <c r="A37">
        <v>36</v>
      </c>
      <c r="C37" s="26" t="s">
        <v>80</v>
      </c>
      <c r="D37" s="19" t="s">
        <v>128</v>
      </c>
      <c r="E37" s="19" t="s">
        <v>132</v>
      </c>
      <c r="F37" s="19" t="str">
        <f>Table4[[#This Row],[CollectionName]]&amp;Table4[[#This Row],[Location]]</f>
        <v>International Russian</v>
      </c>
      <c r="G37" s="19" t="str">
        <f>Table4[[#This Row],[CollectionName]]&amp;Table4[[#This Row],[Location]]</f>
        <v>International Russian</v>
      </c>
      <c r="H37" s="26" t="s">
        <v>104</v>
      </c>
      <c r="I37"/>
      <c r="L37" t="s">
        <v>39</v>
      </c>
      <c r="M37">
        <v>36</v>
      </c>
    </row>
    <row r="38" spans="1:13" x14ac:dyDescent="0.3">
      <c r="A38">
        <v>37</v>
      </c>
      <c r="C38" s="26" t="s">
        <v>72</v>
      </c>
      <c r="D38" s="19" t="s">
        <v>128</v>
      </c>
      <c r="E38" s="19" t="s">
        <v>133</v>
      </c>
      <c r="F38" s="19" t="str">
        <f>Table4[[#This Row],[CollectionName]]&amp;Table4[[#This Row],[Location]]</f>
        <v>International Spanish</v>
      </c>
      <c r="G38" s="19" t="str">
        <f>Table4[[#This Row],[CollectionName]]&amp;Table4[[#This Row],[Location]]</f>
        <v>International Spanish</v>
      </c>
      <c r="H38" s="26" t="s">
        <v>104</v>
      </c>
      <c r="I38"/>
      <c r="L38" t="s">
        <v>41</v>
      </c>
      <c r="M38">
        <v>37</v>
      </c>
    </row>
    <row r="39" spans="1:13" x14ac:dyDescent="0.3">
      <c r="A39">
        <v>38</v>
      </c>
      <c r="C39" s="26" t="s">
        <v>73</v>
      </c>
      <c r="D39" s="19" t="s">
        <v>128</v>
      </c>
      <c r="E39" s="19" t="s">
        <v>134</v>
      </c>
      <c r="F39" s="19" t="str">
        <f>Table4[[#This Row],[CollectionName]]&amp;Table4[[#This Row],[Location]]</f>
        <v>International Tagalog</v>
      </c>
      <c r="G39" s="19" t="str">
        <f>Table4[[#This Row],[CollectionName]]&amp;Table4[[#This Row],[Location]]</f>
        <v>International Tagalog</v>
      </c>
      <c r="H39" s="26" t="s">
        <v>104</v>
      </c>
      <c r="I39"/>
      <c r="L39" t="s">
        <v>32</v>
      </c>
      <c r="M39">
        <v>38</v>
      </c>
    </row>
    <row r="40" spans="1:13" x14ac:dyDescent="0.3">
      <c r="A40">
        <v>39</v>
      </c>
      <c r="C40" s="26" t="s">
        <v>74</v>
      </c>
      <c r="D40" s="19" t="s">
        <v>128</v>
      </c>
      <c r="E40" s="19" t="s">
        <v>135</v>
      </c>
      <c r="F40" s="19" t="str">
        <f>Table4[[#This Row],[CollectionName]]&amp;Table4[[#This Row],[Location]]</f>
        <v>International Vietnamese</v>
      </c>
      <c r="G40" s="19" t="str">
        <f>Table4[[#This Row],[CollectionName]]&amp;Table4[[#This Row],[Location]]</f>
        <v>International Vietnamese</v>
      </c>
      <c r="H40" s="26" t="s">
        <v>104</v>
      </c>
      <c r="I40"/>
      <c r="L40" t="s">
        <v>43</v>
      </c>
      <c r="M40">
        <v>39</v>
      </c>
    </row>
    <row r="41" spans="1:13" x14ac:dyDescent="0.3">
      <c r="A41">
        <v>40</v>
      </c>
      <c r="C41" s="26" t="s">
        <v>102</v>
      </c>
      <c r="D41" s="19" t="s">
        <v>145</v>
      </c>
      <c r="E41" s="19" t="s">
        <v>144</v>
      </c>
      <c r="F41" s="19" t="str">
        <f>Table4[[#This Row],[CollectionName]]&amp;Table4[[#This Row],[Location]]</f>
        <v>Teen NonfictionNew Books</v>
      </c>
      <c r="G41" s="31" t="s">
        <v>55</v>
      </c>
      <c r="H41" s="26" t="s">
        <v>81</v>
      </c>
      <c r="I41"/>
      <c r="L41" t="s">
        <v>44</v>
      </c>
      <c r="M41">
        <v>40</v>
      </c>
    </row>
    <row r="42" spans="1:13" x14ac:dyDescent="0.3">
      <c r="A42">
        <v>41</v>
      </c>
      <c r="C42" s="26" t="s">
        <v>55</v>
      </c>
      <c r="D42" s="19" t="s">
        <v>55</v>
      </c>
      <c r="E42" s="19" t="s">
        <v>104</v>
      </c>
      <c r="F42" s="19" t="str">
        <f>Table4[[#This Row],[CollectionName]]&amp;Table4[[#This Row],[Location]]</f>
        <v>NonfictionNew Books</v>
      </c>
      <c r="G42" s="31" t="s">
        <v>55</v>
      </c>
      <c r="H42" s="26" t="s">
        <v>81</v>
      </c>
      <c r="I42"/>
      <c r="L42" t="s">
        <v>45</v>
      </c>
      <c r="M42">
        <v>41</v>
      </c>
    </row>
    <row r="43" spans="1:13" x14ac:dyDescent="0.3">
      <c r="A43">
        <v>42</v>
      </c>
      <c r="C43" s="26" t="s">
        <v>95</v>
      </c>
      <c r="D43" s="19" t="s">
        <v>136</v>
      </c>
      <c r="E43" s="19" t="s">
        <v>144</v>
      </c>
      <c r="F43" s="19" t="str">
        <f>Table4[[#This Row],[CollectionName]]&amp;Table4[[#This Row],[Location]]</f>
        <v>Juvenile NonfictionNew Books</v>
      </c>
      <c r="G43" s="31" t="s">
        <v>55</v>
      </c>
      <c r="H43" s="26" t="s">
        <v>81</v>
      </c>
      <c r="I43"/>
      <c r="L43" t="s">
        <v>47</v>
      </c>
      <c r="M43">
        <v>42</v>
      </c>
    </row>
    <row r="44" spans="1:13" x14ac:dyDescent="0.3">
      <c r="A44">
        <v>43</v>
      </c>
      <c r="C44" s="26" t="s">
        <v>98</v>
      </c>
      <c r="D44" s="19" t="s">
        <v>145</v>
      </c>
      <c r="E44" s="19" t="s">
        <v>137</v>
      </c>
      <c r="F44" s="19" t="str">
        <f>Table4[[#This Row],[CollectionName]]&amp;Table4[[#This Row],[Location]]</f>
        <v>Teen BiographyNew Books</v>
      </c>
      <c r="G44" s="31" t="s">
        <v>56</v>
      </c>
      <c r="H44" s="26" t="s">
        <v>81</v>
      </c>
      <c r="I44"/>
      <c r="L44" t="s">
        <v>49</v>
      </c>
      <c r="M44">
        <v>43</v>
      </c>
    </row>
    <row r="45" spans="1:13" x14ac:dyDescent="0.3">
      <c r="A45">
        <v>44</v>
      </c>
      <c r="C45" s="26" t="s">
        <v>91</v>
      </c>
      <c r="D45" s="19" t="s">
        <v>136</v>
      </c>
      <c r="E45" s="19" t="s">
        <v>137</v>
      </c>
      <c r="F45" s="19" t="str">
        <f>Table4[[#This Row],[CollectionName]]&amp;Table4[[#This Row],[Location]]</f>
        <v>Juvenile BiographyNew Books</v>
      </c>
      <c r="G45" s="31" t="s">
        <v>56</v>
      </c>
      <c r="H45" s="26" t="s">
        <v>81</v>
      </c>
      <c r="I45"/>
      <c r="L45" t="s">
        <v>51</v>
      </c>
      <c r="M45">
        <v>44</v>
      </c>
    </row>
    <row r="46" spans="1:13" x14ac:dyDescent="0.3">
      <c r="A46">
        <v>45</v>
      </c>
      <c r="C46" s="26" t="s">
        <v>56</v>
      </c>
      <c r="D46" s="19" t="s">
        <v>56</v>
      </c>
      <c r="E46" s="19" t="s">
        <v>104</v>
      </c>
      <c r="F46" s="19" t="str">
        <f>Table4[[#This Row],[CollectionName]]&amp;Table4[[#This Row],[Location]]</f>
        <v>BiographyNew Books</v>
      </c>
      <c r="G46" s="20" t="s">
        <v>56</v>
      </c>
      <c r="H46" s="26" t="s">
        <v>81</v>
      </c>
      <c r="I46"/>
      <c r="L46" t="s">
        <v>75</v>
      </c>
      <c r="M46">
        <v>45</v>
      </c>
    </row>
    <row r="47" spans="1:13" x14ac:dyDescent="0.3">
      <c r="A47">
        <v>46</v>
      </c>
      <c r="C47" s="26" t="s">
        <v>24</v>
      </c>
      <c r="D47" s="19" t="s">
        <v>24</v>
      </c>
      <c r="E47" s="19" t="s">
        <v>104</v>
      </c>
      <c r="F47" s="19" t="str">
        <f>Table4[[#This Row],[CollectionName]]&amp;Table4[[#This Row],[Location]]</f>
        <v>Graphic NovelNew Books</v>
      </c>
      <c r="G47" s="20" t="s">
        <v>24</v>
      </c>
      <c r="H47" s="26" t="s">
        <v>81</v>
      </c>
      <c r="I47"/>
      <c r="L47" t="s">
        <v>78</v>
      </c>
      <c r="M47">
        <v>46</v>
      </c>
    </row>
    <row r="48" spans="1:13" x14ac:dyDescent="0.3">
      <c r="A48">
        <v>47</v>
      </c>
      <c r="C48" s="26" t="s">
        <v>59</v>
      </c>
      <c r="D48" s="19" t="s">
        <v>59</v>
      </c>
      <c r="E48" s="19" t="s">
        <v>104</v>
      </c>
      <c r="F48" s="19" t="str">
        <f>Table4[[#This Row],[CollectionName]]&amp;Table4[[#This Row],[Location]]</f>
        <v>Large TypeNew Books</v>
      </c>
      <c r="G48" s="31" t="s">
        <v>59</v>
      </c>
      <c r="H48" s="26" t="s">
        <v>81</v>
      </c>
      <c r="I48"/>
      <c r="L48" s="18" t="s">
        <v>94</v>
      </c>
      <c r="M48">
        <v>47</v>
      </c>
    </row>
    <row r="49" spans="1:13" x14ac:dyDescent="0.3">
      <c r="A49">
        <v>48</v>
      </c>
      <c r="C49" s="26" t="s">
        <v>60</v>
      </c>
      <c r="D49" s="19" t="s">
        <v>60</v>
      </c>
      <c r="E49" s="19" t="s">
        <v>104</v>
      </c>
      <c r="F49" s="19" t="str">
        <f>Table4[[#This Row],[CollectionName]]&amp;Table4[[#This Row],[Location]]</f>
        <v>FictionNew Books</v>
      </c>
      <c r="G49" s="20" t="s">
        <v>60</v>
      </c>
      <c r="H49" s="26" t="s">
        <v>81</v>
      </c>
      <c r="I49"/>
      <c r="L49" t="s">
        <v>77</v>
      </c>
      <c r="M49">
        <v>48</v>
      </c>
    </row>
    <row r="50" spans="1:13" x14ac:dyDescent="0.3">
      <c r="A50">
        <v>49</v>
      </c>
      <c r="C50" s="26" t="s">
        <v>26</v>
      </c>
      <c r="D50" s="19" t="s">
        <v>60</v>
      </c>
      <c r="E50" s="19" t="s">
        <v>127</v>
      </c>
      <c r="F50" s="19" t="str">
        <f>Table4[[#This Row],[CollectionName]]&amp;Table4[[#This Row],[Location]]</f>
        <v>Fiction Sci FiNew Books</v>
      </c>
      <c r="G50" s="30" t="s">
        <v>26</v>
      </c>
      <c r="H50" s="26" t="s">
        <v>81</v>
      </c>
      <c r="I50"/>
    </row>
    <row r="51" spans="1:13" x14ac:dyDescent="0.3">
      <c r="A51">
        <v>50</v>
      </c>
      <c r="C51" s="26" t="s">
        <v>22</v>
      </c>
      <c r="D51" s="19" t="s">
        <v>60</v>
      </c>
      <c r="E51" s="19" t="s">
        <v>114</v>
      </c>
      <c r="F51" s="19" t="str">
        <f>Table4[[#This Row],[CollectionName]]&amp;Table4[[#This Row],[Location]]</f>
        <v>Fiction FantasyNew Books</v>
      </c>
      <c r="G51" s="30" t="s">
        <v>22</v>
      </c>
      <c r="H51" s="26" t="s">
        <v>81</v>
      </c>
      <c r="I51"/>
    </row>
    <row r="52" spans="1:13" x14ac:dyDescent="0.3">
      <c r="A52">
        <v>51</v>
      </c>
      <c r="C52" s="26" t="s">
        <v>18</v>
      </c>
      <c r="D52" s="19" t="s">
        <v>60</v>
      </c>
      <c r="E52" s="19" t="s">
        <v>118</v>
      </c>
      <c r="F52" s="19" t="str">
        <f>Table4[[#This Row],[CollectionName]]&amp;Table4[[#This Row],[Location]]</f>
        <v>Fiction MysteryNew Books</v>
      </c>
      <c r="G52" s="30" t="s">
        <v>18</v>
      </c>
      <c r="H52" s="26" t="s">
        <v>81</v>
      </c>
      <c r="I52"/>
    </row>
    <row r="53" spans="1:13" x14ac:dyDescent="0.3">
      <c r="A53">
        <v>52</v>
      </c>
      <c r="C53" s="25" t="s">
        <v>84</v>
      </c>
      <c r="D53" s="19" t="s">
        <v>84</v>
      </c>
      <c r="E53" s="20" t="s">
        <v>104</v>
      </c>
      <c r="F53" s="20" t="str">
        <f>Table4[[#This Row],[CollectionName]]&amp;Table4[[#This Row],[Location]]</f>
        <v>AudiobookNew Books</v>
      </c>
      <c r="G53" s="31" t="s">
        <v>84</v>
      </c>
      <c r="H53" s="25" t="s">
        <v>81</v>
      </c>
      <c r="I53"/>
    </row>
    <row r="54" spans="1:13" x14ac:dyDescent="0.3">
      <c r="A54">
        <v>53</v>
      </c>
      <c r="C54" s="26" t="s">
        <v>62</v>
      </c>
      <c r="D54" s="19" t="s">
        <v>136</v>
      </c>
      <c r="E54" s="19" t="s">
        <v>141</v>
      </c>
      <c r="F54" s="19" t="str">
        <f>Table4[[#This Row],[CollectionName]]&amp;Table4[[#This Row],[Location]]</f>
        <v>Juvenile FictionNew Books</v>
      </c>
      <c r="G54" s="30" t="s">
        <v>62</v>
      </c>
      <c r="H54" s="26" t="s">
        <v>81</v>
      </c>
      <c r="I54"/>
    </row>
    <row r="55" spans="1:13" x14ac:dyDescent="0.3">
      <c r="A55">
        <v>54</v>
      </c>
      <c r="C55" s="26" t="s">
        <v>79</v>
      </c>
      <c r="D55" s="19" t="s">
        <v>136</v>
      </c>
      <c r="E55" s="19" t="s">
        <v>124</v>
      </c>
      <c r="F55" s="19" t="str">
        <f>Table4[[#This Row],[CollectionName]]&amp;Table4[[#This Row],[Location]]</f>
        <v>Juvenile AudiobookNew Books</v>
      </c>
      <c r="G55" s="30" t="s">
        <v>79</v>
      </c>
      <c r="H55" s="26" t="s">
        <v>81</v>
      </c>
      <c r="I55"/>
    </row>
    <row r="56" spans="1:13" x14ac:dyDescent="0.3">
      <c r="A56">
        <v>55</v>
      </c>
      <c r="C56" s="26" t="s">
        <v>65</v>
      </c>
      <c r="D56" s="19" t="s">
        <v>66</v>
      </c>
      <c r="E56" s="19" t="s">
        <v>125</v>
      </c>
      <c r="F56" s="19" t="str">
        <f>Table4[[#This Row],[CollectionName]]&amp;Table4[[#This Row],[Location]]</f>
        <v>Easy CountdownNew Books</v>
      </c>
      <c r="G56" s="30" t="s">
        <v>65</v>
      </c>
      <c r="H56" s="26" t="s">
        <v>81</v>
      </c>
      <c r="I56"/>
    </row>
    <row r="57" spans="1:13" x14ac:dyDescent="0.3">
      <c r="A57">
        <v>56</v>
      </c>
      <c r="C57" s="26" t="s">
        <v>66</v>
      </c>
      <c r="D57" s="19" t="s">
        <v>66</v>
      </c>
      <c r="E57" s="19" t="s">
        <v>104</v>
      </c>
      <c r="F57" s="19" t="str">
        <f>Table4[[#This Row],[CollectionName]]&amp;Table4[[#This Row],[Location]]</f>
        <v>EasyNew Books</v>
      </c>
      <c r="G57" s="26" t="s">
        <v>66</v>
      </c>
      <c r="H57" s="26" t="s">
        <v>81</v>
      </c>
      <c r="I57"/>
    </row>
    <row r="58" spans="1:13" x14ac:dyDescent="0.3">
      <c r="A58">
        <v>57</v>
      </c>
      <c r="C58" s="26" t="s">
        <v>89</v>
      </c>
      <c r="D58" s="19" t="s">
        <v>66</v>
      </c>
      <c r="E58" s="19" t="s">
        <v>126</v>
      </c>
      <c r="F58" s="19" t="str">
        <f>Table4[[#This Row],[CollectionName]]&amp;Table4[[#This Row],[Location]]</f>
        <v>Easy Non-FictionNew Books</v>
      </c>
      <c r="G58" s="26" t="s">
        <v>89</v>
      </c>
      <c r="H58" s="26" t="s">
        <v>81</v>
      </c>
      <c r="I58"/>
    </row>
    <row r="59" spans="1:13" x14ac:dyDescent="0.3">
      <c r="A59">
        <v>58</v>
      </c>
      <c r="C59" s="26" t="s">
        <v>16</v>
      </c>
      <c r="D59" s="19" t="s">
        <v>16</v>
      </c>
      <c r="E59" s="19" t="s">
        <v>104</v>
      </c>
      <c r="F59" s="19" t="str">
        <f>Table4[[#This Row],[CollectionName]]&amp;Table4[[#This Row],[Location]]</f>
        <v>ReadersNew Books</v>
      </c>
      <c r="G59" s="26" t="s">
        <v>16</v>
      </c>
      <c r="H59" s="26" t="s">
        <v>81</v>
      </c>
      <c r="I59"/>
    </row>
    <row r="60" spans="1:13" x14ac:dyDescent="0.3">
      <c r="A60">
        <v>59</v>
      </c>
      <c r="C60" s="26" t="s">
        <v>68</v>
      </c>
      <c r="D60" s="19" t="s">
        <v>66</v>
      </c>
      <c r="E60" s="19" t="s">
        <v>124</v>
      </c>
      <c r="F60" s="19" t="str">
        <f>Table4[[#This Row],[CollectionName]]&amp;Table4[[#This Row],[Location]]</f>
        <v>Easy AudiobookNew Books</v>
      </c>
      <c r="G60" s="26" t="s">
        <v>68</v>
      </c>
      <c r="H60" s="26" t="s">
        <v>81</v>
      </c>
      <c r="I60"/>
    </row>
    <row r="61" spans="1:13" x14ac:dyDescent="0.3">
      <c r="A61">
        <v>60</v>
      </c>
      <c r="C61" s="26" t="s">
        <v>28</v>
      </c>
      <c r="D61" s="19" t="s">
        <v>108</v>
      </c>
      <c r="E61" s="19" t="s">
        <v>109</v>
      </c>
      <c r="F61" s="19" t="str">
        <f>Table4[[#This Row],[CollectionName]]&amp;Table4[[#This Row],[Location]]</f>
        <v>DVD Action</v>
      </c>
      <c r="G61" s="26" t="s">
        <v>28</v>
      </c>
      <c r="H61" s="26" t="s">
        <v>104</v>
      </c>
      <c r="I61"/>
    </row>
    <row r="62" spans="1:13" x14ac:dyDescent="0.3">
      <c r="A62">
        <v>61</v>
      </c>
      <c r="C62" s="26" t="s">
        <v>30</v>
      </c>
      <c r="D62" s="19" t="s">
        <v>108</v>
      </c>
      <c r="E62" s="19" t="s">
        <v>110</v>
      </c>
      <c r="F62" s="19" t="str">
        <f>Table4[[#This Row],[CollectionName]]&amp;Table4[[#This Row],[Location]]</f>
        <v>DVD Comedy</v>
      </c>
      <c r="G62" s="26" t="s">
        <v>30</v>
      </c>
      <c r="H62" s="26" t="s">
        <v>104</v>
      </c>
      <c r="I62"/>
    </row>
    <row r="63" spans="1:13" x14ac:dyDescent="0.3">
      <c r="A63">
        <v>62</v>
      </c>
      <c r="C63" s="26" t="s">
        <v>34</v>
      </c>
      <c r="D63" s="19" t="s">
        <v>108</v>
      </c>
      <c r="E63" s="19" t="s">
        <v>111</v>
      </c>
      <c r="F63" s="19" t="str">
        <f>Table4[[#This Row],[CollectionName]]&amp;Table4[[#This Row],[Location]]</f>
        <v>DVD Drama</v>
      </c>
      <c r="G63" s="26" t="s">
        <v>34</v>
      </c>
      <c r="H63" s="26" t="s">
        <v>104</v>
      </c>
      <c r="I63"/>
    </row>
    <row r="64" spans="1:13" x14ac:dyDescent="0.3">
      <c r="A64">
        <v>63</v>
      </c>
      <c r="C64" s="26" t="s">
        <v>36</v>
      </c>
      <c r="D64" s="19" t="s">
        <v>108</v>
      </c>
      <c r="E64" s="19" t="s">
        <v>113</v>
      </c>
      <c r="F64" s="19" t="str">
        <f>Table4[[#This Row],[CollectionName]]&amp;Table4[[#This Row],[Location]]</f>
        <v>DVD Family</v>
      </c>
      <c r="G64" s="26" t="s">
        <v>36</v>
      </c>
      <c r="H64" s="26" t="s">
        <v>104</v>
      </c>
      <c r="I64"/>
    </row>
    <row r="65" spans="1:9" x14ac:dyDescent="0.3">
      <c r="A65">
        <v>64</v>
      </c>
      <c r="C65" s="26" t="s">
        <v>38</v>
      </c>
      <c r="D65" s="19" t="s">
        <v>108</v>
      </c>
      <c r="E65" s="19" t="s">
        <v>114</v>
      </c>
      <c r="F65" s="19" t="str">
        <f>Table4[[#This Row],[CollectionName]]&amp;Table4[[#This Row],[Location]]</f>
        <v>DVD Fantasy</v>
      </c>
      <c r="G65" s="26" t="s">
        <v>38</v>
      </c>
      <c r="H65" s="26" t="s">
        <v>104</v>
      </c>
      <c r="I65"/>
    </row>
    <row r="66" spans="1:9" x14ac:dyDescent="0.3">
      <c r="A66">
        <v>65</v>
      </c>
      <c r="C66" s="26" t="s">
        <v>39</v>
      </c>
      <c r="D66" s="19" t="s">
        <v>108</v>
      </c>
      <c r="E66" s="19" t="s">
        <v>115</v>
      </c>
      <c r="F66" s="19" t="str">
        <f>Table4[[#This Row],[CollectionName]]&amp;Table4[[#This Row],[Location]]</f>
        <v>DVD Foreign</v>
      </c>
      <c r="G66" s="26" t="s">
        <v>39</v>
      </c>
      <c r="H66" s="26" t="s">
        <v>104</v>
      </c>
      <c r="I66"/>
    </row>
    <row r="67" spans="1:9" x14ac:dyDescent="0.3">
      <c r="A67">
        <v>66</v>
      </c>
      <c r="C67" s="26" t="s">
        <v>41</v>
      </c>
      <c r="D67" s="19" t="s">
        <v>108</v>
      </c>
      <c r="E67" s="19" t="s">
        <v>116</v>
      </c>
      <c r="F67" s="19" t="str">
        <f>Table4[[#This Row],[CollectionName]]&amp;Table4[[#This Row],[Location]]</f>
        <v>DVD Horror</v>
      </c>
      <c r="G67" s="26" t="s">
        <v>41</v>
      </c>
      <c r="H67" s="26" t="s">
        <v>104</v>
      </c>
      <c r="I67"/>
    </row>
    <row r="68" spans="1:9" x14ac:dyDescent="0.3">
      <c r="A68">
        <v>67</v>
      </c>
      <c r="C68" s="26" t="s">
        <v>32</v>
      </c>
      <c r="D68" s="19" t="s">
        <v>108</v>
      </c>
      <c r="E68" s="19" t="s">
        <v>117</v>
      </c>
      <c r="F68" s="19" t="str">
        <f>Table4[[#This Row],[CollectionName]]&amp;Table4[[#This Row],[Location]]</f>
        <v>DVD Musical</v>
      </c>
      <c r="G68" s="26" t="s">
        <v>32</v>
      </c>
      <c r="H68" s="26" t="s">
        <v>104</v>
      </c>
      <c r="I68"/>
    </row>
    <row r="69" spans="1:9" x14ac:dyDescent="0.3">
      <c r="A69">
        <v>68</v>
      </c>
      <c r="C69" s="26" t="s">
        <v>43</v>
      </c>
      <c r="D69" s="19" t="s">
        <v>108</v>
      </c>
      <c r="E69" s="19" t="s">
        <v>118</v>
      </c>
      <c r="F69" s="19" t="str">
        <f>Table4[[#This Row],[CollectionName]]&amp;Table4[[#This Row],[Location]]</f>
        <v>DVD Mystery</v>
      </c>
      <c r="G69" s="26" t="s">
        <v>43</v>
      </c>
      <c r="H69" s="26" t="s">
        <v>104</v>
      </c>
      <c r="I69"/>
    </row>
    <row r="70" spans="1:9" x14ac:dyDescent="0.3">
      <c r="A70">
        <v>69</v>
      </c>
      <c r="C70" s="26" t="s">
        <v>44</v>
      </c>
      <c r="D70" s="19" t="s">
        <v>108</v>
      </c>
      <c r="E70" s="19" t="s">
        <v>119</v>
      </c>
      <c r="F70" s="19" t="str">
        <f>Table4[[#This Row],[CollectionName]]&amp;Table4[[#This Row],[Location]]</f>
        <v>DVD Science Fiction</v>
      </c>
      <c r="G70" s="26" t="s">
        <v>44</v>
      </c>
      <c r="H70" s="26" t="s">
        <v>104</v>
      </c>
      <c r="I70"/>
    </row>
    <row r="71" spans="1:9" x14ac:dyDescent="0.3">
      <c r="A71">
        <v>70</v>
      </c>
      <c r="C71" s="26" t="s">
        <v>45</v>
      </c>
      <c r="D71" s="19" t="s">
        <v>108</v>
      </c>
      <c r="E71" s="19" t="s">
        <v>120</v>
      </c>
      <c r="F71" s="19" t="str">
        <f>Table4[[#This Row],[CollectionName]]&amp;Table4[[#This Row],[Location]]</f>
        <v>DVD Suspense</v>
      </c>
      <c r="G71" s="26" t="s">
        <v>45</v>
      </c>
      <c r="H71" s="26" t="s">
        <v>104</v>
      </c>
      <c r="I71"/>
    </row>
    <row r="72" spans="1:9" x14ac:dyDescent="0.3">
      <c r="A72">
        <v>71</v>
      </c>
      <c r="C72" s="26" t="s">
        <v>47</v>
      </c>
      <c r="D72" s="19" t="s">
        <v>108</v>
      </c>
      <c r="E72" s="19" t="s">
        <v>121</v>
      </c>
      <c r="F72" s="19" t="str">
        <f>Table4[[#This Row],[CollectionName]]&amp;Table4[[#This Row],[Location]]</f>
        <v>DVD Television Series</v>
      </c>
      <c r="G72" s="26" t="s">
        <v>47</v>
      </c>
      <c r="H72" s="26" t="s">
        <v>104</v>
      </c>
      <c r="I72"/>
    </row>
    <row r="73" spans="1:9" x14ac:dyDescent="0.3">
      <c r="A73">
        <v>72</v>
      </c>
      <c r="C73" s="26" t="s">
        <v>49</v>
      </c>
      <c r="D73" s="19" t="s">
        <v>108</v>
      </c>
      <c r="E73" s="19" t="s">
        <v>122</v>
      </c>
      <c r="F73" s="19" t="str">
        <f>Table4[[#This Row],[CollectionName]]&amp;Table4[[#This Row],[Location]]</f>
        <v>DVD War</v>
      </c>
      <c r="G73" s="26" t="s">
        <v>49</v>
      </c>
      <c r="H73" s="26" t="s">
        <v>104</v>
      </c>
      <c r="I73"/>
    </row>
    <row r="74" spans="1:9" x14ac:dyDescent="0.3">
      <c r="A74">
        <v>73</v>
      </c>
      <c r="C74" s="26" t="s">
        <v>51</v>
      </c>
      <c r="D74" s="19" t="s">
        <v>108</v>
      </c>
      <c r="E74" s="19" t="s">
        <v>123</v>
      </c>
      <c r="F74" s="19" t="str">
        <f>Table4[[#This Row],[CollectionName]]&amp;Table4[[#This Row],[Location]]</f>
        <v>DVD Western</v>
      </c>
      <c r="G74" s="26" t="s">
        <v>51</v>
      </c>
      <c r="H74" s="26" t="s">
        <v>104</v>
      </c>
      <c r="I74"/>
    </row>
    <row r="75" spans="1:9" x14ac:dyDescent="0.3">
      <c r="A75">
        <v>74</v>
      </c>
      <c r="C75" s="26" t="s">
        <v>75</v>
      </c>
      <c r="D75" s="19" t="s">
        <v>75</v>
      </c>
      <c r="E75" s="19" t="s">
        <v>104</v>
      </c>
      <c r="F75" s="19" t="str">
        <f>Table4[[#This Row],[CollectionName]]&amp;Table4[[#This Row],[Location]]</f>
        <v>Compact Disc</v>
      </c>
      <c r="G75" s="26" t="s">
        <v>75</v>
      </c>
      <c r="H75" s="26" t="s">
        <v>104</v>
      </c>
      <c r="I75"/>
    </row>
    <row r="76" spans="1:9" x14ac:dyDescent="0.3">
      <c r="A76">
        <v>75</v>
      </c>
      <c r="C76" s="26" t="s">
        <v>78</v>
      </c>
      <c r="D76" s="19" t="s">
        <v>145</v>
      </c>
      <c r="E76" s="19" t="s">
        <v>148</v>
      </c>
      <c r="F76" s="19" t="str">
        <f>Table4[[#This Row],[CollectionName]]&amp;Table4[[#This Row],[Location]]</f>
        <v>Teen Magazines</v>
      </c>
      <c r="G76" s="26" t="s">
        <v>78</v>
      </c>
      <c r="H76" s="26" t="s">
        <v>104</v>
      </c>
      <c r="I76"/>
    </row>
    <row r="77" spans="1:9" x14ac:dyDescent="0.3">
      <c r="A77">
        <v>76</v>
      </c>
      <c r="C77" s="26" t="s">
        <v>94</v>
      </c>
      <c r="D77" s="19" t="s">
        <v>136</v>
      </c>
      <c r="E77" s="19" t="s">
        <v>143</v>
      </c>
      <c r="F77" s="19" t="str">
        <f>Table4[[#This Row],[CollectionName]]&amp;Table4[[#This Row],[Location]]</f>
        <v>Juvenile Magazine</v>
      </c>
      <c r="G77" s="25" t="s">
        <v>94</v>
      </c>
      <c r="H77" s="26" t="s">
        <v>104</v>
      </c>
      <c r="I77"/>
    </row>
    <row r="78" spans="1:9" x14ac:dyDescent="0.3">
      <c r="A78">
        <v>77</v>
      </c>
      <c r="C78" s="26" t="s">
        <v>77</v>
      </c>
      <c r="D78" s="19" t="s">
        <v>77</v>
      </c>
      <c r="E78" s="19" t="s">
        <v>104</v>
      </c>
      <c r="F78" s="19" t="str">
        <f>Table4[[#This Row],[CollectionName]]&amp;Table4[[#This Row],[Location]]</f>
        <v>Magazine</v>
      </c>
      <c r="G78" s="26" t="s">
        <v>77</v>
      </c>
      <c r="H78" s="26" t="s">
        <v>104</v>
      </c>
      <c r="I78"/>
    </row>
    <row r="79" spans="1:9" x14ac:dyDescent="0.3">
      <c r="A79">
        <v>78</v>
      </c>
      <c r="C79" s="26" t="s">
        <v>97</v>
      </c>
      <c r="D79" s="19" t="s">
        <v>97</v>
      </c>
      <c r="E79" s="19" t="s">
        <v>104</v>
      </c>
      <c r="F79" s="19" t="str">
        <f>Table4[[#This Row],[CollectionName]]&amp;Table4[[#This Row],[Location]]</f>
        <v>Spanish Language Paperbacks</v>
      </c>
      <c r="G79" s="26"/>
      <c r="H79" s="26" t="s">
        <v>104</v>
      </c>
      <c r="I79"/>
    </row>
    <row r="80" spans="1:9" x14ac:dyDescent="0.3">
      <c r="A80">
        <v>79</v>
      </c>
      <c r="C80" s="26" t="s">
        <v>96</v>
      </c>
      <c r="D80" s="19" t="s">
        <v>96</v>
      </c>
      <c r="E80" s="19" t="s">
        <v>104</v>
      </c>
      <c r="F80" s="19" t="str">
        <f>Table4[[#This Row],[CollectionName]]&amp;Table4[[#This Row],[Location]]</f>
        <v>Reference</v>
      </c>
      <c r="G80" s="26"/>
      <c r="H80" s="26" t="s">
        <v>104</v>
      </c>
      <c r="I80"/>
    </row>
    <row r="81" spans="1:9" x14ac:dyDescent="0.3">
      <c r="A81">
        <v>80</v>
      </c>
      <c r="C81" s="26" t="s">
        <v>90</v>
      </c>
      <c r="D81" s="19" t="s">
        <v>90</v>
      </c>
      <c r="E81" s="19" t="s">
        <v>104</v>
      </c>
      <c r="F81" s="19" t="str">
        <f>Table4[[#This Row],[CollectionName]]&amp;Table4[[#This Row],[Location]]</f>
        <v>English as a second language</v>
      </c>
      <c r="G81" s="26"/>
      <c r="H81" s="26" t="s">
        <v>104</v>
      </c>
      <c r="I81"/>
    </row>
    <row r="82" spans="1:9" x14ac:dyDescent="0.3">
      <c r="A82">
        <v>81</v>
      </c>
      <c r="C82" s="26" t="s">
        <v>87</v>
      </c>
      <c r="D82" s="19" t="s">
        <v>87</v>
      </c>
      <c r="E82" s="19" t="s">
        <v>104</v>
      </c>
      <c r="F82" s="19" t="str">
        <f>Table4[[#This Row],[CollectionName]]&amp;Table4[[#This Row],[Location]]</f>
        <v>Children's Paperbacks</v>
      </c>
      <c r="G82" s="26"/>
      <c r="H82" s="26" t="s">
        <v>104</v>
      </c>
      <c r="I82"/>
    </row>
    <row r="83" spans="1:9" x14ac:dyDescent="0.3">
      <c r="A83">
        <v>82</v>
      </c>
      <c r="C83" s="26" t="s">
        <v>86</v>
      </c>
      <c r="D83" s="19" t="s">
        <v>86</v>
      </c>
      <c r="E83" s="19" t="s">
        <v>104</v>
      </c>
      <c r="F83" s="19" t="str">
        <f>Table4[[#This Row],[CollectionName]]&amp;Table4[[#This Row],[Location]]</f>
        <v xml:space="preserve">Childcare </v>
      </c>
      <c r="G83" s="26"/>
      <c r="H83" s="26" t="s">
        <v>104</v>
      </c>
      <c r="I83"/>
    </row>
    <row r="84" spans="1:9" x14ac:dyDescent="0.3">
      <c r="A84">
        <v>83</v>
      </c>
      <c r="C84" s="26" t="s">
        <v>86</v>
      </c>
      <c r="D84" s="19" t="s">
        <v>86</v>
      </c>
      <c r="E84" s="19" t="s">
        <v>104</v>
      </c>
      <c r="F84" s="19" t="str">
        <f>Table4[[#This Row],[CollectionName]]&amp;Table4[[#This Row],[Location]]</f>
        <v>Childcare New Books</v>
      </c>
      <c r="G84" s="26"/>
      <c r="H84" s="26" t="s">
        <v>81</v>
      </c>
      <c r="I84"/>
    </row>
    <row r="85" spans="1:9" x14ac:dyDescent="0.3">
      <c r="A85">
        <v>84</v>
      </c>
      <c r="C85" s="26" t="s">
        <v>85</v>
      </c>
      <c r="D85" s="19" t="s">
        <v>85</v>
      </c>
      <c r="E85" s="19" t="s">
        <v>104</v>
      </c>
      <c r="F85" s="19" t="str">
        <f>Table4[[#This Row],[CollectionName]]&amp;Table4[[#This Row],[Location]]</f>
        <v>Board Books</v>
      </c>
      <c r="G85" s="26"/>
      <c r="H85" s="26" t="s">
        <v>104</v>
      </c>
      <c r="I85"/>
    </row>
    <row r="86" spans="1:9" x14ac:dyDescent="0.3">
      <c r="A86">
        <v>85</v>
      </c>
      <c r="C86" s="26" t="s">
        <v>55</v>
      </c>
      <c r="D86" s="19" t="s">
        <v>55</v>
      </c>
      <c r="E86" s="19" t="s">
        <v>104</v>
      </c>
      <c r="F86" s="19" t="str">
        <f>Table4[[#This Row],[CollectionName]]&amp;Table4[[#This Row],[Location]]</f>
        <v>NonfictionIn Library Use Only</v>
      </c>
      <c r="G86" s="25" t="s">
        <v>55</v>
      </c>
      <c r="H86" s="26" t="s">
        <v>82</v>
      </c>
      <c r="I86"/>
    </row>
    <row r="87" spans="1:9" x14ac:dyDescent="0.3">
      <c r="A87">
        <v>86</v>
      </c>
      <c r="C87" s="26" t="s">
        <v>95</v>
      </c>
      <c r="D87" s="19" t="s">
        <v>136</v>
      </c>
      <c r="E87" s="19" t="s">
        <v>144</v>
      </c>
      <c r="F87" s="19" t="str">
        <f>Table4[[#This Row],[CollectionName]]&amp;Table4[[#This Row],[Location]]</f>
        <v>Juvenile NonfictionIn Library Use Only</v>
      </c>
      <c r="G87" s="25" t="s">
        <v>55</v>
      </c>
      <c r="H87" s="26" t="s">
        <v>82</v>
      </c>
      <c r="I87"/>
    </row>
    <row r="88" spans="1:9" x14ac:dyDescent="0.3">
      <c r="A88">
        <v>87</v>
      </c>
      <c r="C88" s="26" t="s">
        <v>69</v>
      </c>
      <c r="D88" s="19" t="s">
        <v>128</v>
      </c>
      <c r="E88" s="19" t="s">
        <v>129</v>
      </c>
      <c r="F88" s="19" t="str">
        <f>Table4[[#This Row],[CollectionName]]&amp;Table4[[#This Row],[Location]]</f>
        <v>International ChineseIn Library Use Only</v>
      </c>
      <c r="G88" s="26" t="s">
        <v>69</v>
      </c>
      <c r="H88" s="26" t="s">
        <v>82</v>
      </c>
      <c r="I88"/>
    </row>
    <row r="89" spans="1:9" x14ac:dyDescent="0.3">
      <c r="A89">
        <v>88</v>
      </c>
      <c r="C89" s="26" t="s">
        <v>70</v>
      </c>
      <c r="D89" s="19" t="s">
        <v>128</v>
      </c>
      <c r="E89" s="19" t="s">
        <v>131</v>
      </c>
      <c r="F89" s="19" t="str">
        <f>Table4[[#This Row],[CollectionName]]&amp;Table4[[#This Row],[Location]]</f>
        <v>International KoreanIn Library Use Only</v>
      </c>
      <c r="G89" s="26" t="s">
        <v>70</v>
      </c>
      <c r="H89" s="26" t="s">
        <v>82</v>
      </c>
      <c r="I89"/>
    </row>
    <row r="90" spans="1:9" x14ac:dyDescent="0.3">
      <c r="A90">
        <v>89</v>
      </c>
      <c r="C90" s="26" t="s">
        <v>71</v>
      </c>
      <c r="D90" s="19" t="s">
        <v>128</v>
      </c>
      <c r="E90" s="19" t="s">
        <v>130</v>
      </c>
      <c r="F90" s="19" t="str">
        <f>Table4[[#This Row],[CollectionName]]&amp;Table4[[#This Row],[Location]]</f>
        <v>International JapaneseIn Library Use Only</v>
      </c>
      <c r="G90" s="26" t="s">
        <v>71</v>
      </c>
      <c r="H90" s="26" t="s">
        <v>82</v>
      </c>
      <c r="I90"/>
    </row>
    <row r="91" spans="1:9" x14ac:dyDescent="0.3">
      <c r="A91">
        <v>90</v>
      </c>
      <c r="C91" s="26" t="s">
        <v>80</v>
      </c>
      <c r="D91" s="19" t="s">
        <v>128</v>
      </c>
      <c r="E91" s="19" t="s">
        <v>132</v>
      </c>
      <c r="F91" s="19" t="str">
        <f>Table4[[#This Row],[CollectionName]]&amp;Table4[[#This Row],[Location]]</f>
        <v>International RussianIn Library Use Only</v>
      </c>
      <c r="G91" s="26" t="s">
        <v>80</v>
      </c>
      <c r="H91" s="26" t="s">
        <v>82</v>
      </c>
      <c r="I91"/>
    </row>
    <row r="92" spans="1:9" x14ac:dyDescent="0.3">
      <c r="A92">
        <v>91</v>
      </c>
      <c r="C92" s="26" t="s">
        <v>72</v>
      </c>
      <c r="D92" s="19" t="s">
        <v>128</v>
      </c>
      <c r="E92" s="19" t="s">
        <v>133</v>
      </c>
      <c r="F92" s="19" t="str">
        <f>Table4[[#This Row],[CollectionName]]&amp;Table4[[#This Row],[Location]]</f>
        <v>International SpanishIn Library Use Only</v>
      </c>
      <c r="G92" s="26" t="s">
        <v>72</v>
      </c>
      <c r="H92" s="26" t="s">
        <v>82</v>
      </c>
      <c r="I92"/>
    </row>
    <row r="93" spans="1:9" x14ac:dyDescent="0.3">
      <c r="A93">
        <v>92</v>
      </c>
      <c r="C93" s="26" t="s">
        <v>74</v>
      </c>
      <c r="D93" s="19" t="s">
        <v>128</v>
      </c>
      <c r="E93" s="19" t="s">
        <v>135</v>
      </c>
      <c r="F93" s="19" t="str">
        <f>Table4[[#This Row],[CollectionName]]&amp;Table4[[#This Row],[Location]]</f>
        <v>International VietnameseIn Library Use Only</v>
      </c>
      <c r="G93" s="26" t="s">
        <v>74</v>
      </c>
      <c r="H93" s="26" t="s">
        <v>82</v>
      </c>
      <c r="I93"/>
    </row>
    <row r="94" spans="1:9" x14ac:dyDescent="0.3">
      <c r="A94">
        <v>93</v>
      </c>
      <c r="C94" s="26" t="s">
        <v>78</v>
      </c>
      <c r="D94" s="19" t="s">
        <v>145</v>
      </c>
      <c r="E94" s="19" t="s">
        <v>148</v>
      </c>
      <c r="F94" s="19" t="str">
        <f>Table4[[#This Row],[CollectionName]]&amp;Table4[[#This Row],[Location]]</f>
        <v>Teen MagazinesIn Library Use Only</v>
      </c>
      <c r="G94" s="26" t="s">
        <v>78</v>
      </c>
      <c r="H94" s="26" t="s">
        <v>82</v>
      </c>
      <c r="I94"/>
    </row>
    <row r="95" spans="1:9" x14ac:dyDescent="0.3">
      <c r="A95">
        <v>94</v>
      </c>
      <c r="C95" s="26" t="s">
        <v>94</v>
      </c>
      <c r="D95" s="19" t="s">
        <v>136</v>
      </c>
      <c r="E95" s="19" t="s">
        <v>143</v>
      </c>
      <c r="F95" s="19" t="str">
        <f>Table4[[#This Row],[CollectionName]]&amp;Table4[[#This Row],[Location]]</f>
        <v>Juvenile MagazineIn Library Use Only</v>
      </c>
      <c r="G95" s="25" t="s">
        <v>76</v>
      </c>
      <c r="H95" s="26" t="s">
        <v>82</v>
      </c>
      <c r="I95"/>
    </row>
    <row r="96" spans="1:9" x14ac:dyDescent="0.3">
      <c r="A96">
        <v>95</v>
      </c>
      <c r="C96" s="26" t="s">
        <v>77</v>
      </c>
      <c r="D96" s="19" t="s">
        <v>77</v>
      </c>
      <c r="E96" s="19" t="s">
        <v>104</v>
      </c>
      <c r="F96" s="19" t="str">
        <f>Table4[[#This Row],[CollectionName]]&amp;Table4[[#This Row],[Location]]</f>
        <v>MagazineIn Library Use Only</v>
      </c>
      <c r="G96" s="26" t="s">
        <v>77</v>
      </c>
      <c r="H96" s="26" t="s">
        <v>82</v>
      </c>
      <c r="I96"/>
    </row>
    <row r="97" spans="1:10" x14ac:dyDescent="0.3">
      <c r="A97">
        <v>96</v>
      </c>
      <c r="C97" s="26" t="s">
        <v>96</v>
      </c>
      <c r="D97" s="19" t="s">
        <v>96</v>
      </c>
      <c r="E97" s="19" t="s">
        <v>104</v>
      </c>
      <c r="F97" s="19" t="str">
        <f>Table4[[#This Row],[CollectionName]]&amp;Table4[[#This Row],[Location]]</f>
        <v>ReferenceIn Library Use Only</v>
      </c>
      <c r="G97" s="26"/>
      <c r="H97" s="26" t="s">
        <v>82</v>
      </c>
      <c r="I97"/>
    </row>
    <row r="98" spans="1:10" x14ac:dyDescent="0.3">
      <c r="C98" s="26"/>
      <c r="D98" s="19" t="s">
        <v>108</v>
      </c>
      <c r="E98" s="19" t="s">
        <v>120</v>
      </c>
      <c r="F98" s="19"/>
      <c r="G98" s="26"/>
      <c r="H98" s="26"/>
      <c r="I98" s="32"/>
      <c r="J98"/>
    </row>
    <row r="99" spans="1:10" x14ac:dyDescent="0.3">
      <c r="C99" s="26"/>
      <c r="D99" s="19" t="s">
        <v>108</v>
      </c>
      <c r="E99" s="19" t="s">
        <v>121</v>
      </c>
      <c r="F99" s="19"/>
      <c r="G99" s="26"/>
      <c r="H99" s="26"/>
      <c r="I99" s="32"/>
      <c r="J99"/>
    </row>
    <row r="100" spans="1:10" x14ac:dyDescent="0.3">
      <c r="C100" s="26"/>
      <c r="D100" s="19" t="s">
        <v>108</v>
      </c>
      <c r="E100" s="19" t="s">
        <v>122</v>
      </c>
      <c r="F100" s="19"/>
      <c r="G100" s="26"/>
      <c r="H100" s="26"/>
      <c r="I100" s="32"/>
      <c r="J100"/>
    </row>
    <row r="101" spans="1:10" x14ac:dyDescent="0.3">
      <c r="C101" s="26"/>
      <c r="D101" s="19" t="s">
        <v>108</v>
      </c>
      <c r="E101" s="19" t="s">
        <v>123</v>
      </c>
      <c r="F101" s="19"/>
      <c r="G101" s="26"/>
      <c r="H101" s="26"/>
      <c r="I101" s="32"/>
      <c r="J101"/>
    </row>
    <row r="102" spans="1:10" x14ac:dyDescent="0.3">
      <c r="C102" s="26"/>
      <c r="D102" s="19" t="s">
        <v>75</v>
      </c>
      <c r="E102" s="19" t="s">
        <v>104</v>
      </c>
      <c r="F102" s="19"/>
      <c r="G102" s="30"/>
      <c r="H102" s="26"/>
      <c r="I102" s="32"/>
      <c r="J102"/>
    </row>
    <row r="103" spans="1:10" x14ac:dyDescent="0.3">
      <c r="C103" s="26"/>
      <c r="D103" s="19" t="s">
        <v>97</v>
      </c>
      <c r="E103" s="19" t="s">
        <v>104</v>
      </c>
      <c r="F103" s="19"/>
      <c r="G103" s="19"/>
      <c r="H103" s="26"/>
      <c r="I103" s="32"/>
      <c r="J103"/>
    </row>
    <row r="104" spans="1:10" x14ac:dyDescent="0.3">
      <c r="C104" s="26"/>
      <c r="D104" s="19" t="s">
        <v>90</v>
      </c>
      <c r="E104" s="19" t="s">
        <v>104</v>
      </c>
      <c r="F104" s="19"/>
      <c r="G104" s="19"/>
      <c r="H104" s="26"/>
      <c r="I104" s="32"/>
      <c r="J104"/>
    </row>
    <row r="105" spans="1:10" x14ac:dyDescent="0.3">
      <c r="C105" s="26"/>
      <c r="D105" s="19" t="s">
        <v>87</v>
      </c>
      <c r="E105" s="19" t="s">
        <v>104</v>
      </c>
      <c r="F105" s="19"/>
      <c r="G105" s="19"/>
      <c r="H105" s="26"/>
      <c r="I105" s="32"/>
      <c r="J105"/>
    </row>
    <row r="106" spans="1:10" x14ac:dyDescent="0.3">
      <c r="C106" s="26"/>
      <c r="D106" s="19" t="s">
        <v>86</v>
      </c>
      <c r="E106" s="19" t="s">
        <v>104</v>
      </c>
      <c r="F106" s="19"/>
      <c r="G106" s="19"/>
      <c r="H106" s="26"/>
      <c r="I106" s="32"/>
      <c r="J106"/>
    </row>
    <row r="107" spans="1:10" x14ac:dyDescent="0.3">
      <c r="C107" s="26"/>
      <c r="D107" s="19" t="s">
        <v>85</v>
      </c>
      <c r="E107" s="19" t="s">
        <v>104</v>
      </c>
      <c r="F107" s="19"/>
      <c r="G107" s="19"/>
      <c r="H107" s="26"/>
      <c r="I107" s="32"/>
      <c r="J107"/>
    </row>
    <row r="108" spans="1:10" x14ac:dyDescent="0.3">
      <c r="J108"/>
    </row>
    <row r="109" spans="1:10" x14ac:dyDescent="0.3">
      <c r="J109"/>
    </row>
    <row r="110" spans="1:10" x14ac:dyDescent="0.3">
      <c r="J110"/>
    </row>
    <row r="111" spans="1:10" x14ac:dyDescent="0.3">
      <c r="J111"/>
    </row>
    <row r="112" spans="1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6" ht="13.2" x14ac:dyDescent="0.25">
      <c r="J129"/>
      <c r="P129"/>
    </row>
    <row r="130" spans="10:16" ht="13.2" x14ac:dyDescent="0.25">
      <c r="J130"/>
      <c r="P130"/>
    </row>
    <row r="131" spans="10:16" ht="13.2" x14ac:dyDescent="0.25">
      <c r="J131"/>
      <c r="P131"/>
    </row>
    <row r="132" spans="10:16" ht="13.2" x14ac:dyDescent="0.25">
      <c r="J132"/>
      <c r="P132"/>
    </row>
    <row r="133" spans="10:16" ht="13.2" x14ac:dyDescent="0.25">
      <c r="J133"/>
      <c r="P133"/>
    </row>
    <row r="134" spans="10:16" ht="13.2" x14ac:dyDescent="0.25">
      <c r="J134"/>
      <c r="P134"/>
    </row>
    <row r="135" spans="10:16" ht="13.2" x14ac:dyDescent="0.25">
      <c r="J135"/>
      <c r="P135"/>
    </row>
    <row r="136" spans="10:16" ht="13.2" x14ac:dyDescent="0.25">
      <c r="J136"/>
      <c r="P136"/>
    </row>
    <row r="137" spans="10:16" ht="13.2" x14ac:dyDescent="0.25">
      <c r="J137"/>
      <c r="P137"/>
    </row>
    <row r="138" spans="10:16" ht="13.2" x14ac:dyDescent="0.25">
      <c r="J138"/>
      <c r="P138"/>
    </row>
    <row r="139" spans="10:16" ht="13.2" x14ac:dyDescent="0.25">
      <c r="J139"/>
      <c r="P139"/>
    </row>
    <row r="140" spans="10:16" ht="13.2" x14ac:dyDescent="0.25">
      <c r="J140"/>
      <c r="P140"/>
    </row>
    <row r="141" spans="10:16" ht="13.2" x14ac:dyDescent="0.25">
      <c r="J141"/>
      <c r="P141"/>
    </row>
    <row r="142" spans="10:16" ht="13.2" x14ac:dyDescent="0.25">
      <c r="J142"/>
      <c r="P142"/>
    </row>
    <row r="143" spans="10:16" ht="13.2" x14ac:dyDescent="0.25">
      <c r="J143"/>
      <c r="P143"/>
    </row>
    <row r="144" spans="10:16" ht="13.2" x14ac:dyDescent="0.25">
      <c r="J144"/>
      <c r="P144"/>
    </row>
    <row r="145" spans="10:16" ht="13.2" x14ac:dyDescent="0.25">
      <c r="J145"/>
      <c r="P145"/>
    </row>
    <row r="146" spans="10:16" ht="13.2" x14ac:dyDescent="0.25">
      <c r="J146"/>
      <c r="P146"/>
    </row>
    <row r="147" spans="10:16" ht="13.2" x14ac:dyDescent="0.25">
      <c r="J147"/>
      <c r="P147"/>
    </row>
    <row r="148" spans="10:16" ht="13.2" x14ac:dyDescent="0.25">
      <c r="J148"/>
      <c r="P148"/>
    </row>
    <row r="149" spans="10:16" ht="13.2" x14ac:dyDescent="0.25">
      <c r="J149"/>
      <c r="P149"/>
    </row>
    <row r="150" spans="10:16" ht="13.2" x14ac:dyDescent="0.25">
      <c r="J150"/>
      <c r="P150"/>
    </row>
    <row r="151" spans="10:16" ht="13.2" x14ac:dyDescent="0.25">
      <c r="J151"/>
      <c r="P151"/>
    </row>
    <row r="152" spans="10:16" ht="13.2" x14ac:dyDescent="0.25">
      <c r="J152"/>
      <c r="P152"/>
    </row>
    <row r="153" spans="10:16" ht="13.2" x14ac:dyDescent="0.25">
      <c r="J153"/>
      <c r="P153"/>
    </row>
    <row r="154" spans="10:16" ht="13.2" x14ac:dyDescent="0.25">
      <c r="J154"/>
      <c r="P154"/>
    </row>
    <row r="155" spans="10:16" ht="13.2" x14ac:dyDescent="0.25">
      <c r="J155"/>
      <c r="P155"/>
    </row>
    <row r="156" spans="10:16" ht="13.2" x14ac:dyDescent="0.25">
      <c r="J156"/>
      <c r="P156"/>
    </row>
    <row r="157" spans="10:16" x14ac:dyDescent="0.3">
      <c r="J157"/>
    </row>
    <row r="158" spans="10:16" x14ac:dyDescent="0.3">
      <c r="J158"/>
    </row>
    <row r="159" spans="10:16" x14ac:dyDescent="0.3">
      <c r="J159"/>
    </row>
    <row r="160" spans="10:16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:10" x14ac:dyDescent="0.3">
      <c r="J177"/>
    </row>
    <row r="178" spans="1:10" x14ac:dyDescent="0.3">
      <c r="J178"/>
    </row>
    <row r="179" spans="1:10" x14ac:dyDescent="0.3">
      <c r="J179"/>
    </row>
    <row r="180" spans="1:10" x14ac:dyDescent="0.3">
      <c r="J180"/>
    </row>
    <row r="181" spans="1:10" x14ac:dyDescent="0.3">
      <c r="J181"/>
    </row>
    <row r="182" spans="1:10" x14ac:dyDescent="0.3">
      <c r="J182"/>
    </row>
    <row r="183" spans="1:10" x14ac:dyDescent="0.3">
      <c r="J183"/>
    </row>
    <row r="184" spans="1:10" x14ac:dyDescent="0.3">
      <c r="J184"/>
    </row>
    <row r="185" spans="1:10" x14ac:dyDescent="0.3">
      <c r="J185"/>
    </row>
    <row r="186" spans="1:10" x14ac:dyDescent="0.3">
      <c r="J186"/>
    </row>
    <row r="187" spans="1:10" x14ac:dyDescent="0.3">
      <c r="A187" s="35"/>
    </row>
    <row r="188" spans="1:10" x14ac:dyDescent="0.3">
      <c r="A188" s="34"/>
    </row>
    <row r="189" spans="1:10" x14ac:dyDescent="0.3">
      <c r="A189" s="34"/>
    </row>
    <row r="190" spans="1:10" x14ac:dyDescent="0.3">
      <c r="A190" s="34"/>
    </row>
    <row r="191" spans="1:10" x14ac:dyDescent="0.3">
      <c r="A191" s="36"/>
    </row>
    <row r="192" spans="1:10" x14ac:dyDescent="0.3">
      <c r="A192" s="36"/>
    </row>
    <row r="193" spans="1:1" x14ac:dyDescent="0.3">
      <c r="A193" s="36"/>
    </row>
    <row r="194" spans="1:1" x14ac:dyDescent="0.3">
      <c r="A194" s="36"/>
    </row>
    <row r="195" spans="1:1" x14ac:dyDescent="0.3">
      <c r="A195" s="36"/>
    </row>
    <row r="196" spans="1:1" x14ac:dyDescent="0.3">
      <c r="A196" s="36"/>
    </row>
    <row r="197" spans="1:1" x14ac:dyDescent="0.3">
      <c r="A197" s="36"/>
    </row>
    <row r="198" spans="1:1" x14ac:dyDescent="0.3">
      <c r="A198" s="36"/>
    </row>
    <row r="199" spans="1:1" x14ac:dyDescent="0.3">
      <c r="A199" s="36"/>
    </row>
    <row r="200" spans="1:1" x14ac:dyDescent="0.3">
      <c r="A200" s="36"/>
    </row>
    <row r="201" spans="1:1" x14ac:dyDescent="0.3">
      <c r="A201" s="36"/>
    </row>
    <row r="202" spans="1:1" x14ac:dyDescent="0.3">
      <c r="A202" s="36"/>
    </row>
    <row r="203" spans="1:1" x14ac:dyDescent="0.3">
      <c r="A203" s="36"/>
    </row>
    <row r="204" spans="1:1" x14ac:dyDescent="0.3">
      <c r="A204" s="36"/>
    </row>
    <row r="205" spans="1:1" x14ac:dyDescent="0.3">
      <c r="A205" s="36"/>
    </row>
    <row r="206" spans="1:1" x14ac:dyDescent="0.3">
      <c r="A206" s="36"/>
    </row>
    <row r="207" spans="1:1" x14ac:dyDescent="0.3">
      <c r="A207" s="36"/>
    </row>
    <row r="208" spans="1:1" x14ac:dyDescent="0.3">
      <c r="A208" s="36"/>
    </row>
    <row r="209" spans="1:1" x14ac:dyDescent="0.3">
      <c r="A209" s="36"/>
    </row>
    <row r="210" spans="1:1" x14ac:dyDescent="0.3">
      <c r="A210" s="36"/>
    </row>
    <row r="211" spans="1:1" x14ac:dyDescent="0.3">
      <c r="A211" s="36"/>
    </row>
    <row r="212" spans="1:1" x14ac:dyDescent="0.3">
      <c r="A212" s="36"/>
    </row>
    <row r="213" spans="1:1" x14ac:dyDescent="0.3">
      <c r="A213" s="36"/>
    </row>
    <row r="214" spans="1:1" x14ac:dyDescent="0.3">
      <c r="A214" s="36"/>
    </row>
    <row r="215" spans="1:1" x14ac:dyDescent="0.3">
      <c r="A215" s="36"/>
    </row>
    <row r="216" spans="1:1" x14ac:dyDescent="0.3">
      <c r="A216" s="36"/>
    </row>
    <row r="217" spans="1:1" x14ac:dyDescent="0.3">
      <c r="A217" s="36"/>
    </row>
    <row r="218" spans="1:1" x14ac:dyDescent="0.3">
      <c r="A218" s="36"/>
    </row>
    <row r="219" spans="1:1" x14ac:dyDescent="0.3">
      <c r="A219" s="36"/>
    </row>
    <row r="220" spans="1:1" x14ac:dyDescent="0.3">
      <c r="A220" s="36"/>
    </row>
    <row r="221" spans="1:1" x14ac:dyDescent="0.3">
      <c r="A221" s="36"/>
    </row>
    <row r="222" spans="1:1" x14ac:dyDescent="0.3">
      <c r="A222" s="36"/>
    </row>
    <row r="223" spans="1:1" x14ac:dyDescent="0.3">
      <c r="A223" s="36"/>
    </row>
    <row r="224" spans="1:1" x14ac:dyDescent="0.3">
      <c r="A224" s="36"/>
    </row>
    <row r="225" spans="1:1" x14ac:dyDescent="0.3">
      <c r="A225" s="36"/>
    </row>
    <row r="226" spans="1:1" x14ac:dyDescent="0.3">
      <c r="A226" s="36"/>
    </row>
    <row r="227" spans="1:1" x14ac:dyDescent="0.3">
      <c r="A227" s="36"/>
    </row>
    <row r="228" spans="1:1" x14ac:dyDescent="0.3">
      <c r="A228" s="36"/>
    </row>
    <row r="229" spans="1:1" x14ac:dyDescent="0.3">
      <c r="A229" s="36"/>
    </row>
    <row r="230" spans="1:1" x14ac:dyDescent="0.3">
      <c r="A230" s="36"/>
    </row>
    <row r="231" spans="1:1" x14ac:dyDescent="0.3">
      <c r="A231" s="36"/>
    </row>
    <row r="232" spans="1:1" x14ac:dyDescent="0.3">
      <c r="A232" s="36"/>
    </row>
    <row r="233" spans="1:1" x14ac:dyDescent="0.3">
      <c r="A233" s="36"/>
    </row>
    <row r="234" spans="1:1" x14ac:dyDescent="0.3">
      <c r="A234" s="36"/>
    </row>
    <row r="235" spans="1:1" x14ac:dyDescent="0.3">
      <c r="A235" s="36"/>
    </row>
    <row r="236" spans="1:1" x14ac:dyDescent="0.3">
      <c r="A236" s="36"/>
    </row>
    <row r="237" spans="1:1" x14ac:dyDescent="0.3">
      <c r="A237" s="36"/>
    </row>
    <row r="238" spans="1:1" x14ac:dyDescent="0.3">
      <c r="A238" s="36"/>
    </row>
    <row r="239" spans="1:1" x14ac:dyDescent="0.3">
      <c r="A239" s="37"/>
    </row>
    <row r="240" spans="1:1" x14ac:dyDescent="0.3">
      <c r="A240" s="36"/>
    </row>
    <row r="241" spans="1:1" x14ac:dyDescent="0.3">
      <c r="A241" s="36"/>
    </row>
    <row r="242" spans="1:1" x14ac:dyDescent="0.3">
      <c r="A242" s="36"/>
    </row>
    <row r="243" spans="1:1" x14ac:dyDescent="0.3">
      <c r="A243" s="36"/>
    </row>
    <row r="244" spans="1:1" x14ac:dyDescent="0.3">
      <c r="A244" s="36"/>
    </row>
    <row r="245" spans="1:1" x14ac:dyDescent="0.3">
      <c r="A245" s="36"/>
    </row>
    <row r="246" spans="1:1" x14ac:dyDescent="0.3">
      <c r="A246" s="36"/>
    </row>
    <row r="247" spans="1:1" x14ac:dyDescent="0.3">
      <c r="A247" s="36"/>
    </row>
    <row r="248" spans="1:1" x14ac:dyDescent="0.3">
      <c r="A248" s="36"/>
    </row>
    <row r="249" spans="1:1" x14ac:dyDescent="0.3">
      <c r="A249" s="36"/>
    </row>
    <row r="250" spans="1:1" x14ac:dyDescent="0.3">
      <c r="A250" s="36"/>
    </row>
    <row r="251" spans="1:1" x14ac:dyDescent="0.3">
      <c r="A251" s="36"/>
    </row>
    <row r="252" spans="1:1" x14ac:dyDescent="0.3">
      <c r="A252" s="36"/>
    </row>
    <row r="253" spans="1:1" x14ac:dyDescent="0.3">
      <c r="A253" s="36"/>
    </row>
    <row r="254" spans="1:1" x14ac:dyDescent="0.3">
      <c r="A254" s="36"/>
    </row>
    <row r="255" spans="1:1" x14ac:dyDescent="0.3">
      <c r="A255" s="36"/>
    </row>
    <row r="256" spans="1:1" x14ac:dyDescent="0.3">
      <c r="A256" s="36"/>
    </row>
    <row r="257" spans="1:1" x14ac:dyDescent="0.3">
      <c r="A257" s="36"/>
    </row>
    <row r="258" spans="1:1" x14ac:dyDescent="0.3">
      <c r="A258" s="36"/>
    </row>
    <row r="259" spans="1:1" x14ac:dyDescent="0.3">
      <c r="A259" s="36"/>
    </row>
    <row r="260" spans="1:1" x14ac:dyDescent="0.3">
      <c r="A260" s="36"/>
    </row>
    <row r="261" spans="1:1" x14ac:dyDescent="0.3">
      <c r="A261" s="36"/>
    </row>
    <row r="262" spans="1:1" x14ac:dyDescent="0.3">
      <c r="A262" s="36"/>
    </row>
    <row r="263" spans="1:1" x14ac:dyDescent="0.3">
      <c r="A263" s="36"/>
    </row>
    <row r="264" spans="1:1" x14ac:dyDescent="0.3">
      <c r="A264" s="36"/>
    </row>
    <row r="265" spans="1:1" x14ac:dyDescent="0.3">
      <c r="A265" s="36"/>
    </row>
    <row r="266" spans="1:1" x14ac:dyDescent="0.3">
      <c r="A266" s="36"/>
    </row>
    <row r="267" spans="1:1" x14ac:dyDescent="0.3">
      <c r="A267" s="36"/>
    </row>
    <row r="268" spans="1:1" x14ac:dyDescent="0.3">
      <c r="A268" s="36"/>
    </row>
    <row r="269" spans="1:1" x14ac:dyDescent="0.3">
      <c r="A269" s="36"/>
    </row>
    <row r="270" spans="1:1" x14ac:dyDescent="0.3">
      <c r="A270" s="36"/>
    </row>
    <row r="271" spans="1:1" x14ac:dyDescent="0.3">
      <c r="A271" s="36"/>
    </row>
    <row r="272" spans="1:1" x14ac:dyDescent="0.3">
      <c r="A272" s="36"/>
    </row>
    <row r="273" spans="1:1" x14ac:dyDescent="0.3">
      <c r="A273" s="36"/>
    </row>
    <row r="274" spans="1:1" x14ac:dyDescent="0.3">
      <c r="A274" s="36"/>
    </row>
    <row r="275" spans="1:1" x14ac:dyDescent="0.3">
      <c r="A275" s="36"/>
    </row>
    <row r="276" spans="1:1" x14ac:dyDescent="0.3">
      <c r="A276" s="36"/>
    </row>
    <row r="277" spans="1:1" x14ac:dyDescent="0.3">
      <c r="A277" s="36"/>
    </row>
    <row r="278" spans="1:1" x14ac:dyDescent="0.3">
      <c r="A278" s="36"/>
    </row>
    <row r="279" spans="1:1" x14ac:dyDescent="0.3">
      <c r="A279" s="37"/>
    </row>
    <row r="280" spans="1:1" x14ac:dyDescent="0.3">
      <c r="A280" s="36"/>
    </row>
    <row r="281" spans="1:1" x14ac:dyDescent="0.3">
      <c r="A281" s="36"/>
    </row>
    <row r="282" spans="1:1" x14ac:dyDescent="0.3">
      <c r="A282" s="36"/>
    </row>
    <row r="283" spans="1:1" x14ac:dyDescent="0.3">
      <c r="A283" s="36"/>
    </row>
    <row r="284" spans="1:1" x14ac:dyDescent="0.3">
      <c r="A284" s="36"/>
    </row>
    <row r="285" spans="1:1" x14ac:dyDescent="0.3">
      <c r="A285" s="36"/>
    </row>
    <row r="286" spans="1:1" x14ac:dyDescent="0.3">
      <c r="A286" s="36"/>
    </row>
    <row r="287" spans="1:1" x14ac:dyDescent="0.3">
      <c r="A287" s="36"/>
    </row>
    <row r="288" spans="1:1" x14ac:dyDescent="0.3">
      <c r="A288" s="36"/>
    </row>
    <row r="289" spans="1:1" x14ac:dyDescent="0.3">
      <c r="A289" s="36"/>
    </row>
    <row r="290" spans="1:1" x14ac:dyDescent="0.3">
      <c r="A290" s="36"/>
    </row>
    <row r="291" spans="1:1" x14ac:dyDescent="0.3">
      <c r="A291" s="36"/>
    </row>
    <row r="292" spans="1:1" x14ac:dyDescent="0.3">
      <c r="A292" s="36"/>
    </row>
    <row r="293" spans="1:1" x14ac:dyDescent="0.3">
      <c r="A293" s="36"/>
    </row>
    <row r="294" spans="1:1" x14ac:dyDescent="0.3">
      <c r="A294" s="36"/>
    </row>
    <row r="295" spans="1:1" x14ac:dyDescent="0.3">
      <c r="A295" s="36"/>
    </row>
    <row r="296" spans="1:1" x14ac:dyDescent="0.3">
      <c r="A296" s="36"/>
    </row>
    <row r="297" spans="1:1" x14ac:dyDescent="0.3">
      <c r="A297" s="36"/>
    </row>
    <row r="298" spans="1:1" x14ac:dyDescent="0.3">
      <c r="A298" s="36"/>
    </row>
    <row r="299" spans="1:1" x14ac:dyDescent="0.3">
      <c r="A299" s="36"/>
    </row>
    <row r="300" spans="1:1" x14ac:dyDescent="0.3">
      <c r="A300" s="36"/>
    </row>
    <row r="301" spans="1:1" x14ac:dyDescent="0.3">
      <c r="A301" s="36"/>
    </row>
    <row r="302" spans="1:1" x14ac:dyDescent="0.3">
      <c r="A302" s="36"/>
    </row>
    <row r="303" spans="1:1" x14ac:dyDescent="0.3">
      <c r="A303" s="36"/>
    </row>
    <row r="304" spans="1:1" x14ac:dyDescent="0.3">
      <c r="A304" s="36"/>
    </row>
    <row r="305" spans="1:1" x14ac:dyDescent="0.3">
      <c r="A305" s="36"/>
    </row>
    <row r="306" spans="1:1" x14ac:dyDescent="0.3">
      <c r="A306" s="36"/>
    </row>
    <row r="307" spans="1:1" x14ac:dyDescent="0.3">
      <c r="A307" s="36"/>
    </row>
    <row r="308" spans="1:1" x14ac:dyDescent="0.3">
      <c r="A308" s="37"/>
    </row>
    <row r="309" spans="1:1" x14ac:dyDescent="0.3">
      <c r="A309" s="36"/>
    </row>
    <row r="310" spans="1:1" x14ac:dyDescent="0.3">
      <c r="A310" s="36"/>
    </row>
    <row r="311" spans="1:1" x14ac:dyDescent="0.3">
      <c r="A311" s="36"/>
    </row>
    <row r="312" spans="1:1" x14ac:dyDescent="0.3">
      <c r="A312" s="36"/>
    </row>
    <row r="313" spans="1:1" x14ac:dyDescent="0.3">
      <c r="A313" s="36"/>
    </row>
    <row r="314" spans="1:1" x14ac:dyDescent="0.3">
      <c r="A314" s="36"/>
    </row>
    <row r="315" spans="1:1" x14ac:dyDescent="0.3">
      <c r="A315" s="36"/>
    </row>
    <row r="316" spans="1:1" x14ac:dyDescent="0.3">
      <c r="A316" s="36"/>
    </row>
    <row r="317" spans="1:1" x14ac:dyDescent="0.3">
      <c r="A317" s="36"/>
    </row>
    <row r="318" spans="1:1" x14ac:dyDescent="0.3">
      <c r="A318" s="36"/>
    </row>
    <row r="319" spans="1:1" x14ac:dyDescent="0.3">
      <c r="A319" s="36"/>
    </row>
    <row r="320" spans="1:1" x14ac:dyDescent="0.3">
      <c r="A320" s="36"/>
    </row>
    <row r="321" spans="1:1" x14ac:dyDescent="0.3">
      <c r="A321" s="36"/>
    </row>
    <row r="322" spans="1:1" x14ac:dyDescent="0.3">
      <c r="A322" s="36"/>
    </row>
    <row r="323" spans="1:1" x14ac:dyDescent="0.3">
      <c r="A323" s="36"/>
    </row>
    <row r="324" spans="1:1" x14ac:dyDescent="0.3">
      <c r="A324" s="36"/>
    </row>
    <row r="325" spans="1:1" x14ac:dyDescent="0.3">
      <c r="A325" s="36"/>
    </row>
    <row r="326" spans="1:1" x14ac:dyDescent="0.3">
      <c r="A326" s="36"/>
    </row>
    <row r="327" spans="1:1" x14ac:dyDescent="0.3">
      <c r="A327" s="36"/>
    </row>
    <row r="328" spans="1:1" x14ac:dyDescent="0.3">
      <c r="A328" s="36"/>
    </row>
    <row r="329" spans="1:1" x14ac:dyDescent="0.3">
      <c r="A329" s="36"/>
    </row>
    <row r="330" spans="1:1" x14ac:dyDescent="0.3">
      <c r="A330" s="36"/>
    </row>
    <row r="331" spans="1:1" x14ac:dyDescent="0.3">
      <c r="A331" s="36"/>
    </row>
    <row r="332" spans="1:1" x14ac:dyDescent="0.3">
      <c r="A332" s="36"/>
    </row>
    <row r="333" spans="1:1" x14ac:dyDescent="0.3">
      <c r="A333" s="36"/>
    </row>
    <row r="334" spans="1:1" x14ac:dyDescent="0.3">
      <c r="A334" s="36"/>
    </row>
    <row r="335" spans="1:1" x14ac:dyDescent="0.3">
      <c r="A335" s="36"/>
    </row>
    <row r="336" spans="1:1" x14ac:dyDescent="0.3">
      <c r="A336" s="36"/>
    </row>
    <row r="337" spans="1:1" x14ac:dyDescent="0.3">
      <c r="A337" s="36"/>
    </row>
    <row r="338" spans="1:1" x14ac:dyDescent="0.3">
      <c r="A338" s="34"/>
    </row>
    <row r="339" spans="1:1" x14ac:dyDescent="0.3">
      <c r="A339" s="34"/>
    </row>
    <row r="340" spans="1:1" x14ac:dyDescent="0.3">
      <c r="A340" s="34"/>
    </row>
    <row r="341" spans="1:1" x14ac:dyDescent="0.3">
      <c r="A341" s="34"/>
    </row>
  </sheetData>
  <conditionalFormatting sqref="P2:P128">
    <cfRule type="duplicateValues" dxfId="0" priority="1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64"/>
  <sheetViews>
    <sheetView workbookViewId="0">
      <selection activeCell="F2" sqref="F2"/>
    </sheetView>
  </sheetViews>
  <sheetFormatPr defaultRowHeight="13.2" x14ac:dyDescent="0.25"/>
  <cols>
    <col min="1" max="1" width="26.77734375" bestFit="1" customWidth="1"/>
    <col min="2" max="2" width="14.77734375" bestFit="1" customWidth="1"/>
    <col min="3" max="3" width="16.109375" bestFit="1" customWidth="1"/>
  </cols>
  <sheetData>
    <row r="1" spans="1:12" x14ac:dyDescent="0.25">
      <c r="A1" s="18" t="s">
        <v>0</v>
      </c>
      <c r="B1" s="18" t="s">
        <v>53</v>
      </c>
      <c r="C1" s="18" t="s">
        <v>153</v>
      </c>
      <c r="D1" s="18"/>
      <c r="F1" s="18" t="s">
        <v>155</v>
      </c>
      <c r="G1" s="18" t="s">
        <v>154</v>
      </c>
      <c r="H1" s="18" t="s">
        <v>156</v>
      </c>
      <c r="I1" s="18" t="s">
        <v>157</v>
      </c>
      <c r="J1" s="18" t="s">
        <v>158</v>
      </c>
      <c r="K1" s="18" t="s">
        <v>159</v>
      </c>
      <c r="L1" s="18" t="s">
        <v>160</v>
      </c>
    </row>
    <row r="2" spans="1:12" x14ac:dyDescent="0.25">
      <c r="A2" t="s">
        <v>102</v>
      </c>
      <c r="B2" s="18" t="s">
        <v>81</v>
      </c>
      <c r="C2" s="18" t="s">
        <v>155</v>
      </c>
      <c r="E2" s="18" t="s">
        <v>0</v>
      </c>
    </row>
    <row r="3" spans="1:12" x14ac:dyDescent="0.25">
      <c r="A3" t="s">
        <v>100</v>
      </c>
      <c r="B3" s="18" t="s">
        <v>152</v>
      </c>
      <c r="C3" s="18" t="s">
        <v>154</v>
      </c>
      <c r="E3" t="s">
        <v>102</v>
      </c>
      <c r="F3" s="18">
        <v>1</v>
      </c>
      <c r="G3">
        <v>0</v>
      </c>
      <c r="H3">
        <v>1</v>
      </c>
      <c r="I3">
        <v>0</v>
      </c>
    </row>
    <row r="4" spans="1:12" x14ac:dyDescent="0.25">
      <c r="A4" t="s">
        <v>55</v>
      </c>
      <c r="C4" s="18" t="s">
        <v>156</v>
      </c>
      <c r="E4" t="s">
        <v>100</v>
      </c>
    </row>
    <row r="5" spans="1:12" x14ac:dyDescent="0.25">
      <c r="A5" t="s">
        <v>95</v>
      </c>
      <c r="C5" s="18" t="s">
        <v>157</v>
      </c>
      <c r="E5" t="s">
        <v>55</v>
      </c>
    </row>
    <row r="6" spans="1:12" x14ac:dyDescent="0.25">
      <c r="A6" t="s">
        <v>88</v>
      </c>
      <c r="C6" s="18" t="s">
        <v>158</v>
      </c>
      <c r="E6" t="s">
        <v>95</v>
      </c>
    </row>
    <row r="7" spans="1:12" x14ac:dyDescent="0.25">
      <c r="A7" t="s">
        <v>98</v>
      </c>
      <c r="C7" s="18" t="s">
        <v>159</v>
      </c>
      <c r="D7" s="18"/>
      <c r="E7" t="s">
        <v>88</v>
      </c>
    </row>
    <row r="8" spans="1:12" x14ac:dyDescent="0.25">
      <c r="A8" t="s">
        <v>91</v>
      </c>
      <c r="C8" s="18" t="s">
        <v>160</v>
      </c>
      <c r="D8" s="18"/>
      <c r="E8" t="s">
        <v>98</v>
      </c>
    </row>
    <row r="9" spans="1:12" x14ac:dyDescent="0.25">
      <c r="A9" t="s">
        <v>56</v>
      </c>
      <c r="C9" s="18"/>
      <c r="E9" t="s">
        <v>91</v>
      </c>
    </row>
    <row r="10" spans="1:12" x14ac:dyDescent="0.25">
      <c r="A10" t="s">
        <v>57</v>
      </c>
      <c r="E10" t="s">
        <v>56</v>
      </c>
    </row>
    <row r="11" spans="1:12" x14ac:dyDescent="0.25">
      <c r="A11" t="s">
        <v>103</v>
      </c>
      <c r="E11" t="s">
        <v>57</v>
      </c>
    </row>
    <row r="12" spans="1:12" x14ac:dyDescent="0.25">
      <c r="A12" t="s">
        <v>58</v>
      </c>
      <c r="E12" t="s">
        <v>103</v>
      </c>
    </row>
    <row r="13" spans="1:12" x14ac:dyDescent="0.25">
      <c r="A13" t="s">
        <v>99</v>
      </c>
      <c r="E13" t="s">
        <v>58</v>
      </c>
    </row>
    <row r="14" spans="1:12" x14ac:dyDescent="0.25">
      <c r="A14" t="s">
        <v>24</v>
      </c>
      <c r="E14" t="s">
        <v>99</v>
      </c>
    </row>
    <row r="15" spans="1:12" x14ac:dyDescent="0.25">
      <c r="A15" t="s">
        <v>101</v>
      </c>
      <c r="E15" t="s">
        <v>24</v>
      </c>
    </row>
    <row r="16" spans="1:12" x14ac:dyDescent="0.25">
      <c r="A16" t="s">
        <v>59</v>
      </c>
      <c r="E16" t="s">
        <v>101</v>
      </c>
    </row>
    <row r="17" spans="1:5" x14ac:dyDescent="0.25">
      <c r="A17" t="s">
        <v>93</v>
      </c>
      <c r="E17" t="s">
        <v>59</v>
      </c>
    </row>
    <row r="18" spans="1:5" x14ac:dyDescent="0.25">
      <c r="A18" t="s">
        <v>60</v>
      </c>
      <c r="E18" t="s">
        <v>93</v>
      </c>
    </row>
    <row r="19" spans="1:5" x14ac:dyDescent="0.25">
      <c r="A19" t="s">
        <v>26</v>
      </c>
      <c r="E19" t="s">
        <v>60</v>
      </c>
    </row>
    <row r="20" spans="1:5" x14ac:dyDescent="0.25">
      <c r="A20" t="s">
        <v>22</v>
      </c>
      <c r="E20" t="s">
        <v>26</v>
      </c>
    </row>
    <row r="21" spans="1:5" x14ac:dyDescent="0.25">
      <c r="A21" t="s">
        <v>18</v>
      </c>
      <c r="E21" t="s">
        <v>22</v>
      </c>
    </row>
    <row r="22" spans="1:5" x14ac:dyDescent="0.25">
      <c r="A22" t="s">
        <v>84</v>
      </c>
      <c r="E22" t="s">
        <v>18</v>
      </c>
    </row>
    <row r="23" spans="1:5" x14ac:dyDescent="0.25">
      <c r="A23" t="s">
        <v>62</v>
      </c>
      <c r="E23" t="s">
        <v>84</v>
      </c>
    </row>
    <row r="24" spans="1:5" x14ac:dyDescent="0.25">
      <c r="A24" t="s">
        <v>79</v>
      </c>
      <c r="E24" t="s">
        <v>62</v>
      </c>
    </row>
    <row r="25" spans="1:5" x14ac:dyDescent="0.25">
      <c r="A25" t="s">
        <v>92</v>
      </c>
      <c r="E25" t="s">
        <v>79</v>
      </c>
    </row>
    <row r="26" spans="1:5" x14ac:dyDescent="0.25">
      <c r="A26" t="s">
        <v>63</v>
      </c>
      <c r="E26" t="s">
        <v>92</v>
      </c>
    </row>
    <row r="27" spans="1:5" x14ac:dyDescent="0.25">
      <c r="A27" t="s">
        <v>64</v>
      </c>
      <c r="E27" t="s">
        <v>63</v>
      </c>
    </row>
    <row r="28" spans="1:5" x14ac:dyDescent="0.25">
      <c r="A28" t="s">
        <v>65</v>
      </c>
      <c r="E28" t="s">
        <v>64</v>
      </c>
    </row>
    <row r="29" spans="1:5" x14ac:dyDescent="0.25">
      <c r="A29" t="s">
        <v>66</v>
      </c>
      <c r="E29" t="s">
        <v>65</v>
      </c>
    </row>
    <row r="30" spans="1:5" x14ac:dyDescent="0.25">
      <c r="A30" t="s">
        <v>89</v>
      </c>
      <c r="E30" t="s">
        <v>66</v>
      </c>
    </row>
    <row r="31" spans="1:5" x14ac:dyDescent="0.25">
      <c r="A31" t="s">
        <v>16</v>
      </c>
      <c r="E31" t="s">
        <v>89</v>
      </c>
    </row>
    <row r="32" spans="1:5" x14ac:dyDescent="0.25">
      <c r="A32" t="s">
        <v>68</v>
      </c>
      <c r="E32" t="s">
        <v>16</v>
      </c>
    </row>
    <row r="33" spans="1:5" x14ac:dyDescent="0.25">
      <c r="A33" t="s">
        <v>69</v>
      </c>
      <c r="E33" t="s">
        <v>68</v>
      </c>
    </row>
    <row r="34" spans="1:5" x14ac:dyDescent="0.25">
      <c r="A34" t="s">
        <v>70</v>
      </c>
      <c r="E34" t="s">
        <v>69</v>
      </c>
    </row>
    <row r="35" spans="1:5" x14ac:dyDescent="0.25">
      <c r="A35" t="s">
        <v>71</v>
      </c>
      <c r="E35" t="s">
        <v>70</v>
      </c>
    </row>
    <row r="36" spans="1:5" x14ac:dyDescent="0.25">
      <c r="A36" t="s">
        <v>80</v>
      </c>
      <c r="E36" t="s">
        <v>71</v>
      </c>
    </row>
    <row r="37" spans="1:5" x14ac:dyDescent="0.25">
      <c r="A37" t="s">
        <v>72</v>
      </c>
      <c r="E37" t="s">
        <v>80</v>
      </c>
    </row>
    <row r="38" spans="1:5" x14ac:dyDescent="0.25">
      <c r="A38" t="s">
        <v>73</v>
      </c>
      <c r="E38" t="s">
        <v>72</v>
      </c>
    </row>
    <row r="39" spans="1:5" x14ac:dyDescent="0.25">
      <c r="A39" t="s">
        <v>74</v>
      </c>
      <c r="E39" t="s">
        <v>73</v>
      </c>
    </row>
    <row r="40" spans="1:5" x14ac:dyDescent="0.25">
      <c r="A40" t="s">
        <v>28</v>
      </c>
      <c r="E40" t="s">
        <v>74</v>
      </c>
    </row>
    <row r="41" spans="1:5" x14ac:dyDescent="0.25">
      <c r="A41" t="s">
        <v>30</v>
      </c>
      <c r="E41" t="s">
        <v>28</v>
      </c>
    </row>
    <row r="42" spans="1:5" x14ac:dyDescent="0.25">
      <c r="A42" t="s">
        <v>34</v>
      </c>
      <c r="E42" t="s">
        <v>30</v>
      </c>
    </row>
    <row r="43" spans="1:5" x14ac:dyDescent="0.25">
      <c r="A43" t="s">
        <v>36</v>
      </c>
      <c r="E43" t="s">
        <v>34</v>
      </c>
    </row>
    <row r="44" spans="1:5" x14ac:dyDescent="0.25">
      <c r="A44" t="s">
        <v>38</v>
      </c>
      <c r="E44" t="s">
        <v>36</v>
      </c>
    </row>
    <row r="45" spans="1:5" x14ac:dyDescent="0.25">
      <c r="A45" t="s">
        <v>39</v>
      </c>
      <c r="E45" t="s">
        <v>38</v>
      </c>
    </row>
    <row r="46" spans="1:5" x14ac:dyDescent="0.25">
      <c r="A46" t="s">
        <v>41</v>
      </c>
      <c r="E46" t="s">
        <v>39</v>
      </c>
    </row>
    <row r="47" spans="1:5" x14ac:dyDescent="0.25">
      <c r="A47" t="s">
        <v>32</v>
      </c>
      <c r="E47" t="s">
        <v>41</v>
      </c>
    </row>
    <row r="48" spans="1:5" x14ac:dyDescent="0.25">
      <c r="A48" t="s">
        <v>43</v>
      </c>
      <c r="E48" t="s">
        <v>32</v>
      </c>
    </row>
    <row r="49" spans="1:5" x14ac:dyDescent="0.25">
      <c r="A49" t="s">
        <v>44</v>
      </c>
      <c r="E49" t="s">
        <v>43</v>
      </c>
    </row>
    <row r="50" spans="1:5" x14ac:dyDescent="0.25">
      <c r="A50" t="s">
        <v>45</v>
      </c>
      <c r="E50" t="s">
        <v>44</v>
      </c>
    </row>
    <row r="51" spans="1:5" x14ac:dyDescent="0.25">
      <c r="A51" t="s">
        <v>47</v>
      </c>
      <c r="E51" t="s">
        <v>45</v>
      </c>
    </row>
    <row r="52" spans="1:5" x14ac:dyDescent="0.25">
      <c r="A52" t="s">
        <v>49</v>
      </c>
      <c r="E52" t="s">
        <v>47</v>
      </c>
    </row>
    <row r="53" spans="1:5" x14ac:dyDescent="0.25">
      <c r="A53" t="s">
        <v>51</v>
      </c>
      <c r="E53" t="s">
        <v>49</v>
      </c>
    </row>
    <row r="54" spans="1:5" x14ac:dyDescent="0.25">
      <c r="A54" t="s">
        <v>75</v>
      </c>
      <c r="E54" t="s">
        <v>51</v>
      </c>
    </row>
    <row r="55" spans="1:5" x14ac:dyDescent="0.25">
      <c r="A55" t="s">
        <v>78</v>
      </c>
      <c r="E55" t="s">
        <v>75</v>
      </c>
    </row>
    <row r="56" spans="1:5" x14ac:dyDescent="0.25">
      <c r="A56" t="s">
        <v>94</v>
      </c>
      <c r="E56" t="s">
        <v>78</v>
      </c>
    </row>
    <row r="57" spans="1:5" x14ac:dyDescent="0.25">
      <c r="A57" t="s">
        <v>77</v>
      </c>
      <c r="E57" t="s">
        <v>94</v>
      </c>
    </row>
    <row r="58" spans="1:5" x14ac:dyDescent="0.25">
      <c r="A58" t="s">
        <v>97</v>
      </c>
      <c r="E58" t="s">
        <v>77</v>
      </c>
    </row>
    <row r="59" spans="1:5" x14ac:dyDescent="0.25">
      <c r="A59" t="s">
        <v>96</v>
      </c>
      <c r="E59" t="s">
        <v>97</v>
      </c>
    </row>
    <row r="60" spans="1:5" x14ac:dyDescent="0.25">
      <c r="A60" t="s">
        <v>90</v>
      </c>
      <c r="E60" t="s">
        <v>96</v>
      </c>
    </row>
    <row r="61" spans="1:5" x14ac:dyDescent="0.25">
      <c r="A61" t="s">
        <v>87</v>
      </c>
      <c r="E61" t="s">
        <v>90</v>
      </c>
    </row>
    <row r="62" spans="1:5" x14ac:dyDescent="0.25">
      <c r="A62" t="s">
        <v>86</v>
      </c>
      <c r="E62" t="s">
        <v>87</v>
      </c>
    </row>
    <row r="63" spans="1:5" x14ac:dyDescent="0.25">
      <c r="A63" t="s">
        <v>85</v>
      </c>
      <c r="E63" t="s">
        <v>86</v>
      </c>
    </row>
    <row r="64" spans="1:5" x14ac:dyDescent="0.25">
      <c r="E64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workbookViewId="0"/>
  </sheetViews>
  <sheetFormatPr defaultRowHeight="13.2" x14ac:dyDescent="0.25"/>
  <cols>
    <col min="1" max="1" width="19.6640625" bestFit="1" customWidth="1"/>
    <col min="2" max="2" width="11.88671875" bestFit="1" customWidth="1"/>
    <col min="3" max="3" width="16.88671875" bestFit="1" customWidth="1"/>
    <col min="4" max="4" width="23.6640625" bestFit="1" customWidth="1"/>
    <col min="5" max="5" width="40.109375" bestFit="1" customWidth="1"/>
    <col min="6" max="6" width="80.33203125" bestFit="1" customWidth="1"/>
    <col min="7" max="7" width="13.8867187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Sheet1</vt:lpstr>
      <vt:lpstr>RTF daily report</vt:lpstr>
      <vt:lpstr>variables</vt:lpstr>
      <vt:lpstr>sortLogic</vt:lpstr>
      <vt:lpstr>Sheet8</vt:lpstr>
      <vt:lpstr>link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'RTF daily report'!Print_Area</vt:lpstr>
      <vt:lpstr>'RTF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2014-08-20T21:30:12Z</cp:lastPrinted>
  <dcterms:created xsi:type="dcterms:W3CDTF">2011-03-31T02:09:26Z</dcterms:created>
  <dcterms:modified xsi:type="dcterms:W3CDTF">2014-08-20T23:21:29Z</dcterms:modified>
</cp:coreProperties>
</file>