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erver1\staff\BKiltoff\My Documents\My Reports\"/>
    </mc:Choice>
  </mc:AlternateContent>
  <bookViews>
    <workbookView xWindow="288" yWindow="612" windowWidth="12240" windowHeight="9180"/>
  </bookViews>
  <sheets>
    <sheet name="RTF daily report" sheetId="1" r:id="rId1"/>
    <sheet name="variables" sheetId="3" r:id="rId2"/>
    <sheet name="Sheet1" sheetId="5" r:id="rId3"/>
    <sheet name="link" sheetId="2" r:id="rId4"/>
  </sheets>
  <functionGroups builtInGroupCount="18"/>
  <externalReferences>
    <externalReference r:id="rId5"/>
  </externalReferences>
  <definedNames>
    <definedName name="_xlnm._FilterDatabase" localSheetId="3" hidden="1">link!$A$1:$I$1000</definedName>
    <definedName name="_xlnm._FilterDatabase" localSheetId="0" hidden="1">'RTF daily report'!$A$1:$H$500</definedName>
    <definedName name="Column_Number_Author" comment="must match labels in [SNO RTF daily report]$A$1:$F$10">variables!$C$11</definedName>
    <definedName name="Column_Number_CallNumber" comment="must match labels in [SNO RTF daily report]$A$1:$F$10">variables!$C$7</definedName>
    <definedName name="Column_Number_CollectionName" comment="must match labels in [SNO RTF daily report]$A$1:$F$10">variables!$C$9</definedName>
    <definedName name="Column_Number_Location" comment="must match labels in [SNO RTF daily report]$A$1:$F$10">variables!$C$6</definedName>
    <definedName name="Column_Number_Publisher" comment="must match labels in [SNO RTF daily report]$A$1:$F$10">variables!$C$12</definedName>
    <definedName name="Column_Number_Title">variables!$C$8</definedName>
    <definedName name="Column_Number_Year">variables!$C$10</definedName>
    <definedName name="loc_to_rank">#REF!</definedName>
    <definedName name="_xlnm.Print_Area" localSheetId="0">'RTF daily report'!$A:$E</definedName>
    <definedName name="_xlnm.Print_Titles" localSheetId="0">'RTF daily report'!$1:$1</definedName>
    <definedName name="Row_Offset">variables!$C$4</definedName>
    <definedName name="tabname">variables!$C$1</definedName>
  </definedNames>
  <calcPr calcId="152511" calcMode="manual"/>
  <fileRecoveryPr autoRecover="0"/>
</workbook>
</file>

<file path=xl/calcChain.xml><?xml version="1.0" encoding="utf-8"?>
<calcChain xmlns="http://schemas.openxmlformats.org/spreadsheetml/2006/main">
  <c r="E16" i="5" l="1"/>
  <c r="E88" i="5"/>
  <c r="E17" i="5"/>
  <c r="E185" i="5"/>
  <c r="E186" i="5"/>
  <c r="E187" i="5"/>
  <c r="E182" i="5"/>
  <c r="E183" i="5"/>
  <c r="E184" i="5"/>
  <c r="E179" i="5"/>
  <c r="E180" i="5"/>
  <c r="E181" i="5"/>
  <c r="E162" i="5"/>
  <c r="E130" i="5"/>
  <c r="E163" i="5"/>
  <c r="E134" i="5"/>
  <c r="E116" i="5"/>
  <c r="E135" i="5"/>
  <c r="E136" i="5"/>
  <c r="E117" i="5"/>
  <c r="E137" i="5"/>
  <c r="E138" i="5"/>
  <c r="E118" i="5"/>
  <c r="E139" i="5"/>
  <c r="E10" i="5"/>
  <c r="E85" i="5"/>
  <c r="E11" i="5"/>
  <c r="E140" i="5"/>
  <c r="E119" i="5"/>
  <c r="E141" i="5"/>
  <c r="E142" i="5"/>
  <c r="E120" i="5"/>
  <c r="E143" i="5"/>
  <c r="E144" i="5"/>
  <c r="E121" i="5"/>
  <c r="E145" i="5"/>
  <c r="E146" i="5"/>
  <c r="E122" i="5"/>
  <c r="E147" i="5"/>
  <c r="E148" i="5"/>
  <c r="E123" i="5"/>
  <c r="E149" i="5"/>
  <c r="E150" i="5"/>
  <c r="E124" i="5"/>
  <c r="E151" i="5"/>
  <c r="E152" i="5"/>
  <c r="E125" i="5"/>
  <c r="E153" i="5"/>
  <c r="E154" i="5"/>
  <c r="E126" i="5"/>
  <c r="E155" i="5"/>
  <c r="E156" i="5"/>
  <c r="E127" i="5"/>
  <c r="E157" i="5"/>
  <c r="E158" i="5"/>
  <c r="E128" i="5"/>
  <c r="E159" i="5"/>
  <c r="E160" i="5"/>
  <c r="E129" i="5"/>
  <c r="E161" i="5"/>
  <c r="E59" i="5"/>
  <c r="E105" i="5"/>
  <c r="E60" i="5"/>
  <c r="E65" i="5"/>
  <c r="E108" i="5"/>
  <c r="E66" i="5"/>
  <c r="E57" i="5"/>
  <c r="E104" i="5"/>
  <c r="E58" i="5"/>
  <c r="E61" i="5"/>
  <c r="E106" i="5"/>
  <c r="E62" i="5"/>
  <c r="E176" i="5"/>
  <c r="E177" i="5"/>
  <c r="E178" i="5"/>
  <c r="E37" i="5"/>
  <c r="E94" i="5"/>
  <c r="E38" i="5"/>
  <c r="E41" i="5"/>
  <c r="E96" i="5"/>
  <c r="E42" i="5"/>
  <c r="E43" i="5"/>
  <c r="E97" i="5"/>
  <c r="E44" i="5"/>
  <c r="E39" i="5"/>
  <c r="E95" i="5"/>
  <c r="E40" i="5"/>
  <c r="E29" i="5"/>
  <c r="E90" i="5"/>
  <c r="E30" i="5"/>
  <c r="E67" i="5"/>
  <c r="E109" i="5"/>
  <c r="E68" i="5"/>
  <c r="E71" i="5"/>
  <c r="E111" i="5"/>
  <c r="E72" i="5"/>
  <c r="E69" i="5"/>
  <c r="E110" i="5"/>
  <c r="E70" i="5"/>
  <c r="E73" i="5"/>
  <c r="E112" i="5"/>
  <c r="E74" i="5"/>
  <c r="E75" i="5"/>
  <c r="E113" i="5"/>
  <c r="E76" i="5"/>
  <c r="E77" i="5"/>
  <c r="E114" i="5"/>
  <c r="E78" i="5"/>
  <c r="E79" i="5"/>
  <c r="E115" i="5"/>
  <c r="E80" i="5"/>
  <c r="E49" i="5"/>
  <c r="E100" i="5"/>
  <c r="E50" i="5"/>
  <c r="E14" i="5"/>
  <c r="E87" i="5"/>
  <c r="E15" i="5"/>
  <c r="E55" i="5"/>
  <c r="E103" i="5"/>
  <c r="E56" i="5"/>
  <c r="E53" i="5"/>
  <c r="E102" i="5"/>
  <c r="E54" i="5"/>
  <c r="E51" i="5"/>
  <c r="E101" i="5"/>
  <c r="E52" i="5"/>
  <c r="E47" i="5"/>
  <c r="E99" i="5"/>
  <c r="E48" i="5"/>
  <c r="E35" i="5"/>
  <c r="E93" i="5"/>
  <c r="E36" i="5"/>
  <c r="E166" i="5"/>
  <c r="E132" i="5"/>
  <c r="E167" i="5"/>
  <c r="E8" i="5"/>
  <c r="E84" i="5"/>
  <c r="E9" i="5"/>
  <c r="E33" i="5"/>
  <c r="E92" i="5"/>
  <c r="E34" i="5"/>
  <c r="E168" i="5"/>
  <c r="E133" i="5"/>
  <c r="E169" i="5"/>
  <c r="E6" i="5"/>
  <c r="E83" i="5"/>
  <c r="E7" i="5"/>
  <c r="E63" i="5"/>
  <c r="E107" i="5"/>
  <c r="E64" i="5"/>
  <c r="E173" i="5"/>
  <c r="E174" i="5"/>
  <c r="E175" i="5"/>
  <c r="E170" i="5"/>
  <c r="E171" i="5"/>
  <c r="E172" i="5"/>
  <c r="E18" i="5"/>
  <c r="E89" i="5"/>
  <c r="E19" i="5"/>
  <c r="E12" i="5"/>
  <c r="E86" i="5"/>
  <c r="E13" i="5"/>
  <c r="E26" i="5"/>
  <c r="E27" i="5"/>
  <c r="E28" i="5"/>
  <c r="E4" i="5"/>
  <c r="E82" i="5"/>
  <c r="E5" i="5"/>
  <c r="E23" i="5"/>
  <c r="E24" i="5"/>
  <c r="E25" i="5"/>
  <c r="E31" i="5"/>
  <c r="E91" i="5"/>
  <c r="E32" i="5"/>
  <c r="E164" i="5"/>
  <c r="E131" i="5"/>
  <c r="E165" i="5"/>
  <c r="E2" i="5"/>
  <c r="E81" i="5"/>
  <c r="E3" i="5"/>
  <c r="E20" i="5"/>
  <c r="E21" i="5"/>
  <c r="E22" i="5"/>
  <c r="E45" i="5"/>
  <c r="E98" i="5"/>
  <c r="E46" i="5"/>
  <c r="B1" i="2" l="1"/>
  <c r="C1" i="2"/>
  <c r="D1" i="2"/>
  <c r="E1" i="2"/>
  <c r="F1" i="2"/>
  <c r="G1" i="2"/>
  <c r="H1" i="2"/>
  <c r="I1" i="2"/>
  <c r="B2" i="2"/>
  <c r="C2" i="2"/>
  <c r="D2" i="2"/>
  <c r="E2" i="2"/>
  <c r="F2" i="2"/>
  <c r="G2" i="2"/>
  <c r="H2" i="2"/>
  <c r="I2" i="2"/>
  <c r="B3" i="2"/>
  <c r="C3" i="2"/>
  <c r="D3" i="2"/>
  <c r="E3" i="2"/>
  <c r="F3" i="2"/>
  <c r="G3" i="2"/>
  <c r="H3" i="2"/>
  <c r="I3" i="2"/>
  <c r="B4" i="2"/>
  <c r="C4" i="2"/>
  <c r="D4" i="2"/>
  <c r="E4" i="2"/>
  <c r="F4" i="2"/>
  <c r="G4" i="2"/>
  <c r="H4" i="2"/>
  <c r="I4" i="2"/>
  <c r="B5" i="2"/>
  <c r="C5" i="2"/>
  <c r="D5" i="2"/>
  <c r="E5" i="2"/>
  <c r="F5" i="2"/>
  <c r="G5" i="2"/>
  <c r="H5" i="2"/>
  <c r="I5" i="2"/>
  <c r="B6" i="2"/>
  <c r="C6" i="2"/>
  <c r="D6" i="2"/>
  <c r="E6" i="2"/>
  <c r="F6" i="2"/>
  <c r="G6" i="2"/>
  <c r="H6" i="2"/>
  <c r="I6" i="2"/>
  <c r="B7" i="2"/>
  <c r="C7" i="2"/>
  <c r="D7" i="2"/>
  <c r="E7" i="2"/>
  <c r="F7" i="2"/>
  <c r="G7" i="2"/>
  <c r="H7" i="2"/>
  <c r="I7" i="2"/>
  <c r="B8" i="2"/>
  <c r="C8" i="2"/>
  <c r="D8" i="2"/>
  <c r="E8" i="2"/>
  <c r="F8" i="2"/>
  <c r="G8" i="2"/>
  <c r="H8" i="2"/>
  <c r="I8" i="2"/>
  <c r="B9" i="2"/>
  <c r="C9" i="2"/>
  <c r="D9" i="2"/>
  <c r="E9" i="2"/>
  <c r="F9" i="2"/>
  <c r="G9" i="2"/>
  <c r="H9" i="2"/>
  <c r="I9" i="2"/>
  <c r="B10" i="2"/>
  <c r="C10" i="2"/>
  <c r="D10" i="2"/>
  <c r="E10" i="2"/>
  <c r="F10" i="2"/>
  <c r="G10" i="2"/>
  <c r="H10" i="2"/>
  <c r="I10" i="2"/>
  <c r="B11" i="2"/>
  <c r="C11" i="2"/>
  <c r="D11" i="2"/>
  <c r="E11" i="2"/>
  <c r="F11" i="2"/>
  <c r="G11" i="2"/>
  <c r="H11" i="2"/>
  <c r="I11" i="2"/>
  <c r="B12" i="2"/>
  <c r="C12" i="2"/>
  <c r="D12" i="2"/>
  <c r="E12" i="2"/>
  <c r="F12" i="2"/>
  <c r="G12" i="2"/>
  <c r="H12" i="2"/>
  <c r="I12" i="2"/>
  <c r="B13" i="2"/>
  <c r="C13" i="2"/>
  <c r="D13" i="2"/>
  <c r="E13" i="2"/>
  <c r="F13" i="2"/>
  <c r="G13" i="2"/>
  <c r="H13" i="2"/>
  <c r="I13" i="2"/>
  <c r="B14" i="2"/>
  <c r="C14" i="2"/>
  <c r="D14" i="2"/>
  <c r="E14" i="2"/>
  <c r="F14" i="2"/>
  <c r="G14" i="2"/>
  <c r="H14" i="2"/>
  <c r="I14" i="2"/>
  <c r="B15" i="2"/>
  <c r="C15" i="2"/>
  <c r="D15" i="2"/>
  <c r="E15" i="2"/>
  <c r="F15" i="2"/>
  <c r="G15" i="2"/>
  <c r="H15" i="2"/>
  <c r="I15" i="2"/>
  <c r="B16" i="2"/>
  <c r="C16" i="2"/>
  <c r="D16" i="2"/>
  <c r="E16" i="2"/>
  <c r="F16" i="2"/>
  <c r="G16" i="2"/>
  <c r="H16" i="2"/>
  <c r="I16" i="2"/>
  <c r="B17" i="2"/>
  <c r="C17" i="2"/>
  <c r="D17" i="2"/>
  <c r="E17" i="2"/>
  <c r="F17" i="2"/>
  <c r="G17" i="2"/>
  <c r="H17" i="2"/>
  <c r="I17" i="2"/>
  <c r="B18" i="2"/>
  <c r="C18" i="2"/>
  <c r="D18" i="2"/>
  <c r="E18" i="2"/>
  <c r="F18" i="2"/>
  <c r="G18" i="2"/>
  <c r="H18" i="2"/>
  <c r="I18" i="2"/>
  <c r="B19" i="2"/>
  <c r="C19" i="2"/>
  <c r="D19" i="2"/>
  <c r="E19" i="2"/>
  <c r="F19" i="2"/>
  <c r="G19" i="2"/>
  <c r="H19" i="2"/>
  <c r="I19" i="2"/>
  <c r="B20" i="2"/>
  <c r="C20" i="2"/>
  <c r="D20" i="2"/>
  <c r="E20" i="2"/>
  <c r="F20" i="2"/>
  <c r="G20" i="2"/>
  <c r="H20" i="2"/>
  <c r="I20" i="2"/>
  <c r="B21" i="2"/>
  <c r="C21" i="2"/>
  <c r="D21" i="2"/>
  <c r="E21" i="2"/>
  <c r="F21" i="2"/>
  <c r="G21" i="2"/>
  <c r="H21" i="2"/>
  <c r="I21" i="2"/>
  <c r="B22" i="2"/>
  <c r="C22" i="2"/>
  <c r="D22" i="2"/>
  <c r="E22" i="2"/>
  <c r="F22" i="2"/>
  <c r="G22" i="2"/>
  <c r="H22" i="2"/>
  <c r="I22" i="2"/>
  <c r="B23" i="2"/>
  <c r="C23" i="2"/>
  <c r="D23" i="2"/>
  <c r="E23" i="2"/>
  <c r="F23" i="2"/>
  <c r="G23" i="2"/>
  <c r="H23" i="2"/>
  <c r="I23" i="2"/>
  <c r="B24" i="2"/>
  <c r="C24" i="2"/>
  <c r="D24" i="2"/>
  <c r="E24" i="2"/>
  <c r="F24" i="2"/>
  <c r="G24" i="2"/>
  <c r="H24" i="2"/>
  <c r="I24" i="2"/>
  <c r="B25" i="2"/>
  <c r="C25" i="2"/>
  <c r="D25" i="2"/>
  <c r="E25" i="2"/>
  <c r="F25" i="2"/>
  <c r="G25" i="2"/>
  <c r="H25" i="2"/>
  <c r="I25" i="2"/>
  <c r="B26" i="2"/>
  <c r="C26" i="2"/>
  <c r="D26" i="2"/>
  <c r="E26" i="2"/>
  <c r="F26" i="2"/>
  <c r="G26" i="2"/>
  <c r="H26" i="2"/>
  <c r="I26" i="2"/>
  <c r="B27" i="2"/>
  <c r="C27" i="2"/>
  <c r="D27" i="2"/>
  <c r="E27" i="2"/>
  <c r="F27" i="2"/>
  <c r="G27" i="2"/>
  <c r="H27" i="2"/>
  <c r="I27" i="2"/>
  <c r="B28" i="2"/>
  <c r="C28" i="2"/>
  <c r="D28" i="2"/>
  <c r="E28" i="2"/>
  <c r="F28" i="2"/>
  <c r="G28" i="2"/>
  <c r="H28" i="2"/>
  <c r="I28" i="2"/>
  <c r="B29" i="2"/>
  <c r="C29" i="2"/>
  <c r="D29" i="2"/>
  <c r="E29" i="2"/>
  <c r="F29" i="2"/>
  <c r="G29" i="2"/>
  <c r="H29" i="2"/>
  <c r="I29" i="2"/>
  <c r="B30" i="2"/>
  <c r="C30" i="2"/>
  <c r="D30" i="2"/>
  <c r="E30" i="2"/>
  <c r="F30" i="2"/>
  <c r="G30" i="2"/>
  <c r="H30" i="2"/>
  <c r="I30" i="2"/>
  <c r="B31" i="2"/>
  <c r="C31" i="2"/>
  <c r="D31" i="2"/>
  <c r="E31" i="2"/>
  <c r="F31" i="2"/>
  <c r="G31" i="2"/>
  <c r="H31" i="2"/>
  <c r="I31" i="2"/>
  <c r="B32" i="2"/>
  <c r="C32" i="2"/>
  <c r="D32" i="2"/>
  <c r="E32" i="2"/>
  <c r="F32" i="2"/>
  <c r="G32" i="2"/>
  <c r="H32" i="2"/>
  <c r="I32" i="2"/>
  <c r="B33" i="2"/>
  <c r="C33" i="2"/>
  <c r="D33" i="2"/>
  <c r="E33" i="2"/>
  <c r="F33" i="2"/>
  <c r="G33" i="2"/>
  <c r="H33" i="2"/>
  <c r="I33" i="2"/>
  <c r="B34" i="2"/>
  <c r="C34" i="2"/>
  <c r="D34" i="2"/>
  <c r="E34" i="2"/>
  <c r="F34" i="2"/>
  <c r="G34" i="2"/>
  <c r="H34" i="2"/>
  <c r="I34" i="2"/>
  <c r="B35" i="2"/>
  <c r="C35" i="2"/>
  <c r="D35" i="2"/>
  <c r="E35" i="2"/>
  <c r="F35" i="2"/>
  <c r="G35" i="2"/>
  <c r="H35" i="2"/>
  <c r="I35" i="2"/>
  <c r="B36" i="2"/>
  <c r="C36" i="2"/>
  <c r="D36" i="2"/>
  <c r="E36" i="2"/>
  <c r="F36" i="2"/>
  <c r="G36" i="2"/>
  <c r="H36" i="2"/>
  <c r="I36" i="2"/>
  <c r="B37" i="2"/>
  <c r="C37" i="2"/>
  <c r="D37" i="2"/>
  <c r="E37" i="2"/>
  <c r="F37" i="2"/>
  <c r="G37" i="2"/>
  <c r="H37" i="2"/>
  <c r="I37" i="2"/>
  <c r="B38" i="2"/>
  <c r="C38" i="2"/>
  <c r="D38" i="2"/>
  <c r="E38" i="2"/>
  <c r="F38" i="2"/>
  <c r="G38" i="2"/>
  <c r="H38" i="2"/>
  <c r="I38" i="2"/>
  <c r="B39" i="2"/>
  <c r="C39" i="2"/>
  <c r="D39" i="2"/>
  <c r="E39" i="2"/>
  <c r="F39" i="2"/>
  <c r="G39" i="2"/>
  <c r="H39" i="2"/>
  <c r="I39" i="2"/>
  <c r="B40" i="2"/>
  <c r="C40" i="2"/>
  <c r="D40" i="2"/>
  <c r="E40" i="2"/>
  <c r="F40" i="2"/>
  <c r="G40" i="2"/>
  <c r="H40" i="2"/>
  <c r="I40" i="2"/>
  <c r="B41" i="2"/>
  <c r="C41" i="2"/>
  <c r="D41" i="2"/>
  <c r="E41" i="2"/>
  <c r="F41" i="2"/>
  <c r="G41" i="2"/>
  <c r="H41" i="2"/>
  <c r="I41" i="2"/>
  <c r="B42" i="2"/>
  <c r="C42" i="2"/>
  <c r="D42" i="2"/>
  <c r="E42" i="2"/>
  <c r="F42" i="2"/>
  <c r="G42" i="2"/>
  <c r="H42" i="2"/>
  <c r="I42" i="2"/>
  <c r="B43" i="2"/>
  <c r="C43" i="2"/>
  <c r="D43" i="2"/>
  <c r="E43" i="2"/>
  <c r="F43" i="2"/>
  <c r="G43" i="2"/>
  <c r="H43" i="2"/>
  <c r="I43" i="2"/>
  <c r="B44" i="2"/>
  <c r="C44" i="2"/>
  <c r="D44" i="2"/>
  <c r="E44" i="2"/>
  <c r="F44" i="2"/>
  <c r="G44" i="2"/>
  <c r="H44" i="2"/>
  <c r="I44" i="2"/>
  <c r="B45" i="2"/>
  <c r="C45" i="2"/>
  <c r="D45" i="2"/>
  <c r="E45" i="2"/>
  <c r="F45" i="2"/>
  <c r="G45" i="2"/>
  <c r="H45" i="2"/>
  <c r="I45" i="2"/>
  <c r="B46" i="2"/>
  <c r="C46" i="2"/>
  <c r="D46" i="2"/>
  <c r="E46" i="2"/>
  <c r="F46" i="2"/>
  <c r="G46" i="2"/>
  <c r="H46" i="2"/>
  <c r="I46" i="2"/>
  <c r="B47" i="2"/>
  <c r="C47" i="2"/>
  <c r="D47" i="2"/>
  <c r="E47" i="2"/>
  <c r="F47" i="2"/>
  <c r="G47" i="2"/>
  <c r="H47" i="2"/>
  <c r="I47" i="2"/>
  <c r="B48" i="2"/>
  <c r="C48" i="2"/>
  <c r="D48" i="2"/>
  <c r="E48" i="2"/>
  <c r="F48" i="2"/>
  <c r="G48" i="2"/>
  <c r="H48" i="2"/>
  <c r="I48" i="2"/>
  <c r="B49" i="2"/>
  <c r="C49" i="2"/>
  <c r="D49" i="2"/>
  <c r="E49" i="2"/>
  <c r="F49" i="2"/>
  <c r="G49" i="2"/>
  <c r="H49" i="2"/>
  <c r="I49" i="2"/>
  <c r="B50" i="2"/>
  <c r="C50" i="2"/>
  <c r="D50" i="2"/>
  <c r="E50" i="2"/>
  <c r="F50" i="2"/>
  <c r="G50" i="2"/>
  <c r="H50" i="2"/>
  <c r="I50" i="2"/>
  <c r="B51" i="2"/>
  <c r="C51" i="2"/>
  <c r="D51" i="2"/>
  <c r="E51" i="2"/>
  <c r="F51" i="2"/>
  <c r="G51" i="2"/>
  <c r="H51" i="2"/>
  <c r="I51" i="2"/>
  <c r="B52" i="2"/>
  <c r="C52" i="2"/>
  <c r="D52" i="2"/>
  <c r="E52" i="2"/>
  <c r="F52" i="2"/>
  <c r="G52" i="2"/>
  <c r="H52" i="2"/>
  <c r="I52" i="2"/>
  <c r="B53" i="2"/>
  <c r="C53" i="2"/>
  <c r="D53" i="2"/>
  <c r="E53" i="2"/>
  <c r="F53" i="2"/>
  <c r="G53" i="2"/>
  <c r="H53" i="2"/>
  <c r="I53" i="2"/>
  <c r="B54" i="2"/>
  <c r="C54" i="2"/>
  <c r="D54" i="2"/>
  <c r="E54" i="2"/>
  <c r="F54" i="2"/>
  <c r="G54" i="2"/>
  <c r="H54" i="2"/>
  <c r="I54" i="2"/>
  <c r="B55" i="2"/>
  <c r="C55" i="2"/>
  <c r="D55" i="2"/>
  <c r="E55" i="2"/>
  <c r="F55" i="2"/>
  <c r="G55" i="2"/>
  <c r="H55" i="2"/>
  <c r="I55" i="2"/>
  <c r="B56" i="2"/>
  <c r="C56" i="2"/>
  <c r="D56" i="2"/>
  <c r="E56" i="2"/>
  <c r="F56" i="2"/>
  <c r="G56" i="2"/>
  <c r="H56" i="2"/>
  <c r="I56" i="2"/>
  <c r="B57" i="2"/>
  <c r="C57" i="2"/>
  <c r="D57" i="2"/>
  <c r="E57" i="2"/>
  <c r="F57" i="2"/>
  <c r="G57" i="2"/>
  <c r="H57" i="2"/>
  <c r="I57" i="2"/>
  <c r="B58" i="2"/>
  <c r="C58" i="2"/>
  <c r="D58" i="2"/>
  <c r="E58" i="2"/>
  <c r="F58" i="2"/>
  <c r="G58" i="2"/>
  <c r="H58" i="2"/>
  <c r="I58" i="2"/>
  <c r="B59" i="2"/>
  <c r="C59" i="2"/>
  <c r="D59" i="2"/>
  <c r="E59" i="2"/>
  <c r="F59" i="2"/>
  <c r="G59" i="2"/>
  <c r="H59" i="2"/>
  <c r="I59" i="2"/>
  <c r="B60" i="2"/>
  <c r="C60" i="2"/>
  <c r="D60" i="2"/>
  <c r="E60" i="2"/>
  <c r="F60" i="2"/>
  <c r="G60" i="2"/>
  <c r="H60" i="2"/>
  <c r="I60" i="2"/>
  <c r="B61" i="2"/>
  <c r="C61" i="2"/>
  <c r="D61" i="2"/>
  <c r="E61" i="2"/>
  <c r="F61" i="2"/>
  <c r="G61" i="2"/>
  <c r="H61" i="2"/>
  <c r="I61" i="2"/>
  <c r="B62" i="2"/>
  <c r="C62" i="2"/>
  <c r="D62" i="2"/>
  <c r="E62" i="2"/>
  <c r="F62" i="2"/>
  <c r="G62" i="2"/>
  <c r="H62" i="2"/>
  <c r="I62" i="2"/>
  <c r="B63" i="2"/>
  <c r="C63" i="2"/>
  <c r="D63" i="2"/>
  <c r="E63" i="2"/>
  <c r="F63" i="2"/>
  <c r="G63" i="2"/>
  <c r="H63" i="2"/>
  <c r="I63" i="2"/>
  <c r="B64" i="2"/>
  <c r="C64" i="2"/>
  <c r="D64" i="2"/>
  <c r="E64" i="2"/>
  <c r="F64" i="2"/>
  <c r="G64" i="2"/>
  <c r="H64" i="2"/>
  <c r="I64" i="2"/>
  <c r="B65" i="2"/>
  <c r="C65" i="2"/>
  <c r="D65" i="2"/>
  <c r="E65" i="2"/>
  <c r="F65" i="2"/>
  <c r="G65" i="2"/>
  <c r="H65" i="2"/>
  <c r="I65" i="2"/>
  <c r="B66" i="2"/>
  <c r="C66" i="2"/>
  <c r="D66" i="2"/>
  <c r="E66" i="2"/>
  <c r="F66" i="2"/>
  <c r="G66" i="2"/>
  <c r="H66" i="2"/>
  <c r="I66" i="2"/>
  <c r="B67" i="2"/>
  <c r="C67" i="2"/>
  <c r="D67" i="2"/>
  <c r="E67" i="2"/>
  <c r="F67" i="2"/>
  <c r="G67" i="2"/>
  <c r="H67" i="2"/>
  <c r="I67" i="2"/>
  <c r="B68" i="2"/>
  <c r="C68" i="2"/>
  <c r="D68" i="2"/>
  <c r="E68" i="2"/>
  <c r="F68" i="2"/>
  <c r="G68" i="2"/>
  <c r="H68" i="2"/>
  <c r="I68" i="2"/>
  <c r="B69" i="2"/>
  <c r="C69" i="2"/>
  <c r="D69" i="2"/>
  <c r="E69" i="2"/>
  <c r="F69" i="2"/>
  <c r="G69" i="2"/>
  <c r="H69" i="2"/>
  <c r="I69" i="2"/>
  <c r="B70" i="2"/>
  <c r="C70" i="2"/>
  <c r="D70" i="2"/>
  <c r="E70" i="2"/>
  <c r="F70" i="2"/>
  <c r="G70" i="2"/>
  <c r="H70" i="2"/>
  <c r="I70" i="2"/>
  <c r="B71" i="2"/>
  <c r="C71" i="2"/>
  <c r="D71" i="2"/>
  <c r="E71" i="2"/>
  <c r="F71" i="2"/>
  <c r="G71" i="2"/>
  <c r="H71" i="2"/>
  <c r="I71" i="2"/>
  <c r="B72" i="2"/>
  <c r="C72" i="2"/>
  <c r="D72" i="2"/>
  <c r="E72" i="2"/>
  <c r="F72" i="2"/>
  <c r="G72" i="2"/>
  <c r="H72" i="2"/>
  <c r="I72" i="2"/>
  <c r="B73" i="2"/>
  <c r="C73" i="2"/>
  <c r="D73" i="2"/>
  <c r="E73" i="2"/>
  <c r="F73" i="2"/>
  <c r="G73" i="2"/>
  <c r="H73" i="2"/>
  <c r="I73" i="2"/>
  <c r="B74" i="2"/>
  <c r="C74" i="2"/>
  <c r="D74" i="2"/>
  <c r="E74" i="2"/>
  <c r="F74" i="2"/>
  <c r="G74" i="2"/>
  <c r="H74" i="2"/>
  <c r="I74" i="2"/>
  <c r="B75" i="2"/>
  <c r="C75" i="2"/>
  <c r="D75" i="2"/>
  <c r="E75" i="2"/>
  <c r="F75" i="2"/>
  <c r="G75" i="2"/>
  <c r="H75" i="2"/>
  <c r="I75" i="2"/>
  <c r="B76" i="2"/>
  <c r="C76" i="2"/>
  <c r="D76" i="2"/>
  <c r="E76" i="2"/>
  <c r="F76" i="2"/>
  <c r="G76" i="2"/>
  <c r="H76" i="2"/>
  <c r="I76" i="2"/>
  <c r="B77" i="2"/>
  <c r="C77" i="2"/>
  <c r="D77" i="2"/>
  <c r="E77" i="2"/>
  <c r="F77" i="2"/>
  <c r="G77" i="2"/>
  <c r="H77" i="2"/>
  <c r="I77" i="2"/>
  <c r="B78" i="2"/>
  <c r="C78" i="2"/>
  <c r="D78" i="2"/>
  <c r="E78" i="2"/>
  <c r="F78" i="2"/>
  <c r="G78" i="2"/>
  <c r="H78" i="2"/>
  <c r="I78" i="2"/>
  <c r="B79" i="2"/>
  <c r="C79" i="2"/>
  <c r="D79" i="2"/>
  <c r="E79" i="2"/>
  <c r="F79" i="2"/>
  <c r="G79" i="2"/>
  <c r="H79" i="2"/>
  <c r="I79" i="2"/>
  <c r="B80" i="2"/>
  <c r="C80" i="2"/>
  <c r="D80" i="2"/>
  <c r="E80" i="2"/>
  <c r="F80" i="2"/>
  <c r="G80" i="2"/>
  <c r="H80" i="2"/>
  <c r="I80" i="2"/>
  <c r="B81" i="2"/>
  <c r="C81" i="2"/>
  <c r="D81" i="2"/>
  <c r="E81" i="2"/>
  <c r="F81" i="2"/>
  <c r="G81" i="2"/>
  <c r="H81" i="2"/>
  <c r="I81" i="2"/>
  <c r="B82" i="2"/>
  <c r="C82" i="2"/>
  <c r="D82" i="2"/>
  <c r="E82" i="2"/>
  <c r="F82" i="2"/>
  <c r="G82" i="2"/>
  <c r="H82" i="2"/>
  <c r="I82" i="2"/>
  <c r="B83" i="2"/>
  <c r="C83" i="2"/>
  <c r="D83" i="2"/>
  <c r="E83" i="2"/>
  <c r="F83" i="2"/>
  <c r="G83" i="2"/>
  <c r="H83" i="2"/>
  <c r="I83" i="2"/>
  <c r="B84" i="2"/>
  <c r="C84" i="2"/>
  <c r="D84" i="2"/>
  <c r="E84" i="2"/>
  <c r="F84" i="2"/>
  <c r="G84" i="2"/>
  <c r="H84" i="2"/>
  <c r="I84" i="2"/>
  <c r="B85" i="2"/>
  <c r="C85" i="2"/>
  <c r="D85" i="2"/>
  <c r="E85" i="2"/>
  <c r="F85" i="2"/>
  <c r="G85" i="2"/>
  <c r="H85" i="2"/>
  <c r="I85" i="2"/>
  <c r="B86" i="2"/>
  <c r="C86" i="2"/>
  <c r="D86" i="2"/>
  <c r="E86" i="2"/>
  <c r="F86" i="2"/>
  <c r="G86" i="2"/>
  <c r="H86" i="2"/>
  <c r="I86" i="2"/>
  <c r="B87" i="2"/>
  <c r="C87" i="2"/>
  <c r="D87" i="2"/>
  <c r="E87" i="2"/>
  <c r="F87" i="2"/>
  <c r="G87" i="2"/>
  <c r="H87" i="2"/>
  <c r="I87" i="2"/>
  <c r="B88" i="2"/>
  <c r="C88" i="2"/>
  <c r="D88" i="2"/>
  <c r="E88" i="2"/>
  <c r="F88" i="2"/>
  <c r="G88" i="2"/>
  <c r="H88" i="2"/>
  <c r="I88" i="2"/>
  <c r="B89" i="2"/>
  <c r="C89" i="2"/>
  <c r="D89" i="2"/>
  <c r="E89" i="2"/>
  <c r="F89" i="2"/>
  <c r="G89" i="2"/>
  <c r="H89" i="2"/>
  <c r="I89" i="2"/>
  <c r="B90" i="2"/>
  <c r="C90" i="2"/>
  <c r="D90" i="2"/>
  <c r="E90" i="2"/>
  <c r="F90" i="2"/>
  <c r="G90" i="2"/>
  <c r="H90" i="2"/>
  <c r="I90" i="2"/>
  <c r="B91" i="2"/>
  <c r="C91" i="2"/>
  <c r="D91" i="2"/>
  <c r="E91" i="2"/>
  <c r="F91" i="2"/>
  <c r="G91" i="2"/>
  <c r="H91" i="2"/>
  <c r="I91" i="2"/>
  <c r="B92" i="2"/>
  <c r="C92" i="2"/>
  <c r="D92" i="2"/>
  <c r="E92" i="2"/>
  <c r="F92" i="2"/>
  <c r="G92" i="2"/>
  <c r="H92" i="2"/>
  <c r="I92" i="2"/>
  <c r="B93" i="2"/>
  <c r="C93" i="2"/>
  <c r="D93" i="2"/>
  <c r="E93" i="2"/>
  <c r="F93" i="2"/>
  <c r="G93" i="2"/>
  <c r="H93" i="2"/>
  <c r="I93" i="2"/>
  <c r="B94" i="2"/>
  <c r="C94" i="2"/>
  <c r="D94" i="2"/>
  <c r="E94" i="2"/>
  <c r="F94" i="2"/>
  <c r="G94" i="2"/>
  <c r="H94" i="2"/>
  <c r="I94" i="2"/>
  <c r="B95" i="2"/>
  <c r="C95" i="2"/>
  <c r="D95" i="2"/>
  <c r="E95" i="2"/>
  <c r="F95" i="2"/>
  <c r="G95" i="2"/>
  <c r="H95" i="2"/>
  <c r="I95" i="2"/>
  <c r="B96" i="2"/>
  <c r="C96" i="2"/>
  <c r="D96" i="2"/>
  <c r="E96" i="2"/>
  <c r="F96" i="2"/>
  <c r="G96" i="2"/>
  <c r="H96" i="2"/>
  <c r="I96" i="2"/>
  <c r="B97" i="2"/>
  <c r="C97" i="2"/>
  <c r="D97" i="2"/>
  <c r="E97" i="2"/>
  <c r="F97" i="2"/>
  <c r="G97" i="2"/>
  <c r="H97" i="2"/>
  <c r="I97" i="2"/>
  <c r="B98" i="2"/>
  <c r="C98" i="2"/>
  <c r="D98" i="2"/>
  <c r="E98" i="2"/>
  <c r="F98" i="2"/>
  <c r="G98" i="2"/>
  <c r="H98" i="2"/>
  <c r="I98" i="2"/>
  <c r="B99" i="2"/>
  <c r="C99" i="2"/>
  <c r="D99" i="2"/>
  <c r="E99" i="2"/>
  <c r="F99" i="2"/>
  <c r="G99" i="2"/>
  <c r="H99" i="2"/>
  <c r="I99" i="2"/>
  <c r="B100" i="2"/>
  <c r="C100" i="2"/>
  <c r="D100" i="2"/>
  <c r="E100" i="2"/>
  <c r="F100" i="2"/>
  <c r="G100" i="2"/>
  <c r="H100" i="2"/>
  <c r="I100" i="2"/>
  <c r="B101" i="2"/>
  <c r="C101" i="2"/>
  <c r="D101" i="2"/>
  <c r="E101" i="2"/>
  <c r="F101" i="2"/>
  <c r="G101" i="2"/>
  <c r="H101" i="2"/>
  <c r="I101" i="2"/>
  <c r="B102" i="2"/>
  <c r="C102" i="2"/>
  <c r="D102" i="2"/>
  <c r="E102" i="2"/>
  <c r="F102" i="2"/>
  <c r="G102" i="2"/>
  <c r="H102" i="2"/>
  <c r="I102" i="2"/>
  <c r="B103" i="2"/>
  <c r="C103" i="2"/>
  <c r="D103" i="2"/>
  <c r="E103" i="2"/>
  <c r="F103" i="2"/>
  <c r="G103" i="2"/>
  <c r="H103" i="2"/>
  <c r="I103" i="2"/>
  <c r="B104" i="2"/>
  <c r="C104" i="2"/>
  <c r="D104" i="2"/>
  <c r="E104" i="2"/>
  <c r="F104" i="2"/>
  <c r="G104" i="2"/>
  <c r="H104" i="2"/>
  <c r="I104" i="2"/>
  <c r="B105" i="2"/>
  <c r="C105" i="2"/>
  <c r="D105" i="2"/>
  <c r="E105" i="2"/>
  <c r="F105" i="2"/>
  <c r="G105" i="2"/>
  <c r="H105" i="2"/>
  <c r="I105" i="2"/>
  <c r="B106" i="2"/>
  <c r="C106" i="2"/>
  <c r="D106" i="2"/>
  <c r="E106" i="2"/>
  <c r="F106" i="2"/>
  <c r="G106" i="2"/>
  <c r="H106" i="2"/>
  <c r="I106" i="2"/>
  <c r="B107" i="2"/>
  <c r="C107" i="2"/>
  <c r="D107" i="2"/>
  <c r="E107" i="2"/>
  <c r="F107" i="2"/>
  <c r="G107" i="2"/>
  <c r="H107" i="2"/>
  <c r="I107" i="2"/>
  <c r="B108" i="2"/>
  <c r="C108" i="2"/>
  <c r="D108" i="2"/>
  <c r="E108" i="2"/>
  <c r="F108" i="2"/>
  <c r="G108" i="2"/>
  <c r="H108" i="2"/>
  <c r="I108" i="2"/>
  <c r="B109" i="2"/>
  <c r="C109" i="2"/>
  <c r="D109" i="2"/>
  <c r="E109" i="2"/>
  <c r="F109" i="2"/>
  <c r="G109" i="2"/>
  <c r="H109" i="2"/>
  <c r="I109" i="2"/>
  <c r="B110" i="2"/>
  <c r="C110" i="2"/>
  <c r="D110" i="2"/>
  <c r="E110" i="2"/>
  <c r="F110" i="2"/>
  <c r="G110" i="2"/>
  <c r="H110" i="2"/>
  <c r="I110" i="2"/>
  <c r="B111" i="2"/>
  <c r="C111" i="2"/>
  <c r="D111" i="2"/>
  <c r="E111" i="2"/>
  <c r="F111" i="2"/>
  <c r="G111" i="2"/>
  <c r="H111" i="2"/>
  <c r="I111" i="2"/>
  <c r="B112" i="2"/>
  <c r="C112" i="2"/>
  <c r="D112" i="2"/>
  <c r="E112" i="2"/>
  <c r="F112" i="2"/>
  <c r="G112" i="2"/>
  <c r="H112" i="2"/>
  <c r="I112" i="2"/>
  <c r="B113" i="2"/>
  <c r="C113" i="2"/>
  <c r="D113" i="2"/>
  <c r="E113" i="2"/>
  <c r="F113" i="2"/>
  <c r="G113" i="2"/>
  <c r="H113" i="2"/>
  <c r="I113" i="2"/>
  <c r="B114" i="2"/>
  <c r="C114" i="2"/>
  <c r="D114" i="2"/>
  <c r="E114" i="2"/>
  <c r="F114" i="2"/>
  <c r="G114" i="2"/>
  <c r="H114" i="2"/>
  <c r="I114" i="2"/>
  <c r="B115" i="2"/>
  <c r="C115" i="2"/>
  <c r="D115" i="2"/>
  <c r="E115" i="2"/>
  <c r="F115" i="2"/>
  <c r="G115" i="2"/>
  <c r="H115" i="2"/>
  <c r="I115" i="2"/>
  <c r="B116" i="2"/>
  <c r="C116" i="2"/>
  <c r="D116" i="2"/>
  <c r="E116" i="2"/>
  <c r="F116" i="2"/>
  <c r="G116" i="2"/>
  <c r="H116" i="2"/>
  <c r="I116" i="2"/>
  <c r="B117" i="2"/>
  <c r="C117" i="2"/>
  <c r="D117" i="2"/>
  <c r="E117" i="2"/>
  <c r="F117" i="2"/>
  <c r="G117" i="2"/>
  <c r="H117" i="2"/>
  <c r="I117" i="2"/>
  <c r="B118" i="2"/>
  <c r="C118" i="2"/>
  <c r="D118" i="2"/>
  <c r="E118" i="2"/>
  <c r="F118" i="2"/>
  <c r="G118" i="2"/>
  <c r="H118" i="2"/>
  <c r="I118" i="2"/>
  <c r="B119" i="2"/>
  <c r="C119" i="2"/>
  <c r="D119" i="2"/>
  <c r="E119" i="2"/>
  <c r="F119" i="2"/>
  <c r="G119" i="2"/>
  <c r="H119" i="2"/>
  <c r="I119" i="2"/>
  <c r="B120" i="2"/>
  <c r="C120" i="2"/>
  <c r="D120" i="2"/>
  <c r="E120" i="2"/>
  <c r="F120" i="2"/>
  <c r="G120" i="2"/>
  <c r="H120" i="2"/>
  <c r="I120" i="2"/>
  <c r="B121" i="2"/>
  <c r="C121" i="2"/>
  <c r="D121" i="2"/>
  <c r="E121" i="2"/>
  <c r="F121" i="2"/>
  <c r="G121" i="2"/>
  <c r="H121" i="2"/>
  <c r="I121" i="2"/>
  <c r="B122" i="2"/>
  <c r="C122" i="2"/>
  <c r="D122" i="2"/>
  <c r="E122" i="2"/>
  <c r="F122" i="2"/>
  <c r="G122" i="2"/>
  <c r="H122" i="2"/>
  <c r="I122" i="2"/>
  <c r="B123" i="2"/>
  <c r="C123" i="2"/>
  <c r="D123" i="2"/>
  <c r="E123" i="2"/>
  <c r="F123" i="2"/>
  <c r="G123" i="2"/>
  <c r="H123" i="2"/>
  <c r="I123" i="2"/>
  <c r="B124" i="2"/>
  <c r="C124" i="2"/>
  <c r="D124" i="2"/>
  <c r="E124" i="2"/>
  <c r="F124" i="2"/>
  <c r="G124" i="2"/>
  <c r="H124" i="2"/>
  <c r="I124" i="2"/>
  <c r="B125" i="2"/>
  <c r="C125" i="2"/>
  <c r="D125" i="2"/>
  <c r="E125" i="2"/>
  <c r="F125" i="2"/>
  <c r="G125" i="2"/>
  <c r="H125" i="2"/>
  <c r="I125" i="2"/>
  <c r="B126" i="2"/>
  <c r="C126" i="2"/>
  <c r="D126" i="2"/>
  <c r="E126" i="2"/>
  <c r="F126" i="2"/>
  <c r="G126" i="2"/>
  <c r="H126" i="2"/>
  <c r="I126" i="2"/>
  <c r="B127" i="2"/>
  <c r="C127" i="2"/>
  <c r="D127" i="2"/>
  <c r="E127" i="2"/>
  <c r="F127" i="2"/>
  <c r="G127" i="2"/>
  <c r="H127" i="2"/>
  <c r="I127" i="2"/>
  <c r="B128" i="2"/>
  <c r="C128" i="2"/>
  <c r="D128" i="2"/>
  <c r="E128" i="2"/>
  <c r="F128" i="2"/>
  <c r="G128" i="2"/>
  <c r="H128" i="2"/>
  <c r="I128" i="2"/>
  <c r="B129" i="2"/>
  <c r="C129" i="2"/>
  <c r="D129" i="2"/>
  <c r="E129" i="2"/>
  <c r="F129" i="2"/>
  <c r="G129" i="2"/>
  <c r="H129" i="2"/>
  <c r="I129" i="2"/>
  <c r="B130" i="2"/>
  <c r="C130" i="2"/>
  <c r="D130" i="2"/>
  <c r="E130" i="2"/>
  <c r="F130" i="2"/>
  <c r="G130" i="2"/>
  <c r="H130" i="2"/>
  <c r="I130" i="2"/>
  <c r="B131" i="2"/>
  <c r="C131" i="2"/>
  <c r="D131" i="2"/>
  <c r="E131" i="2"/>
  <c r="F131" i="2"/>
  <c r="G131" i="2"/>
  <c r="H131" i="2"/>
  <c r="I131" i="2"/>
  <c r="B132" i="2"/>
  <c r="C132" i="2"/>
  <c r="D132" i="2"/>
  <c r="E132" i="2"/>
  <c r="F132" i="2"/>
  <c r="G132" i="2"/>
  <c r="H132" i="2"/>
  <c r="I132" i="2"/>
  <c r="B133" i="2"/>
  <c r="C133" i="2"/>
  <c r="D133" i="2"/>
  <c r="E133" i="2"/>
  <c r="F133" i="2"/>
  <c r="G133" i="2"/>
  <c r="H133" i="2"/>
  <c r="I133" i="2"/>
  <c r="B134" i="2"/>
  <c r="C134" i="2"/>
  <c r="D134" i="2"/>
  <c r="E134" i="2"/>
  <c r="F134" i="2"/>
  <c r="G134" i="2"/>
  <c r="H134" i="2"/>
  <c r="I134" i="2"/>
  <c r="B135" i="2"/>
  <c r="C135" i="2"/>
  <c r="D135" i="2"/>
  <c r="E135" i="2"/>
  <c r="F135" i="2"/>
  <c r="G135" i="2"/>
  <c r="H135" i="2"/>
  <c r="I135" i="2"/>
  <c r="B136" i="2"/>
  <c r="C136" i="2"/>
  <c r="D136" i="2"/>
  <c r="E136" i="2"/>
  <c r="F136" i="2"/>
  <c r="G136" i="2"/>
  <c r="H136" i="2"/>
  <c r="I136" i="2"/>
  <c r="B137" i="2"/>
  <c r="C137" i="2"/>
  <c r="D137" i="2"/>
  <c r="E137" i="2"/>
  <c r="F137" i="2"/>
  <c r="G137" i="2"/>
  <c r="H137" i="2"/>
  <c r="I137" i="2"/>
  <c r="B138" i="2"/>
  <c r="C138" i="2"/>
  <c r="D138" i="2"/>
  <c r="E138" i="2"/>
  <c r="F138" i="2"/>
  <c r="G138" i="2"/>
  <c r="H138" i="2"/>
  <c r="I138" i="2"/>
  <c r="B139" i="2"/>
  <c r="C139" i="2"/>
  <c r="D139" i="2"/>
  <c r="E139" i="2"/>
  <c r="F139" i="2"/>
  <c r="G139" i="2"/>
  <c r="H139" i="2"/>
  <c r="I139" i="2"/>
  <c r="B140" i="2"/>
  <c r="C140" i="2"/>
  <c r="D140" i="2"/>
  <c r="E140" i="2"/>
  <c r="F140" i="2"/>
  <c r="G140" i="2"/>
  <c r="H140" i="2"/>
  <c r="I140" i="2"/>
  <c r="B141" i="2"/>
  <c r="C141" i="2"/>
  <c r="D141" i="2"/>
  <c r="E141" i="2"/>
  <c r="F141" i="2"/>
  <c r="G141" i="2"/>
  <c r="H141" i="2"/>
  <c r="I141" i="2"/>
  <c r="B142" i="2"/>
  <c r="C142" i="2"/>
  <c r="D142" i="2"/>
  <c r="E142" i="2"/>
  <c r="F142" i="2"/>
  <c r="G142" i="2"/>
  <c r="H142" i="2"/>
  <c r="I142" i="2"/>
  <c r="B143" i="2"/>
  <c r="C143" i="2"/>
  <c r="D143" i="2"/>
  <c r="E143" i="2"/>
  <c r="F143" i="2"/>
  <c r="G143" i="2"/>
  <c r="H143" i="2"/>
  <c r="I143" i="2"/>
  <c r="B144" i="2"/>
  <c r="C144" i="2"/>
  <c r="D144" i="2"/>
  <c r="E144" i="2"/>
  <c r="F144" i="2"/>
  <c r="G144" i="2"/>
  <c r="H144" i="2"/>
  <c r="I144" i="2"/>
  <c r="B145" i="2"/>
  <c r="C145" i="2"/>
  <c r="D145" i="2"/>
  <c r="E145" i="2"/>
  <c r="F145" i="2"/>
  <c r="G145" i="2"/>
  <c r="H145" i="2"/>
  <c r="I145" i="2"/>
  <c r="B146" i="2"/>
  <c r="C146" i="2"/>
  <c r="D146" i="2"/>
  <c r="E146" i="2"/>
  <c r="F146" i="2"/>
  <c r="G146" i="2"/>
  <c r="H146" i="2"/>
  <c r="I146" i="2"/>
  <c r="B147" i="2"/>
  <c r="C147" i="2"/>
  <c r="D147" i="2"/>
  <c r="E147" i="2"/>
  <c r="F147" i="2"/>
  <c r="G147" i="2"/>
  <c r="H147" i="2"/>
  <c r="I147" i="2"/>
  <c r="B148" i="2"/>
  <c r="C148" i="2"/>
  <c r="D148" i="2"/>
  <c r="E148" i="2"/>
  <c r="F148" i="2"/>
  <c r="G148" i="2"/>
  <c r="H148" i="2"/>
  <c r="I148" i="2"/>
  <c r="B149" i="2"/>
  <c r="C149" i="2"/>
  <c r="D149" i="2"/>
  <c r="E149" i="2"/>
  <c r="F149" i="2"/>
  <c r="G149" i="2"/>
  <c r="H149" i="2"/>
  <c r="I149" i="2"/>
  <c r="B150" i="2"/>
  <c r="C150" i="2"/>
  <c r="D150" i="2"/>
  <c r="E150" i="2"/>
  <c r="F150" i="2"/>
  <c r="G150" i="2"/>
  <c r="H150" i="2"/>
  <c r="I150" i="2"/>
  <c r="B151" i="2"/>
  <c r="C151" i="2"/>
  <c r="D151" i="2"/>
  <c r="E151" i="2"/>
  <c r="F151" i="2"/>
  <c r="G151" i="2"/>
  <c r="H151" i="2"/>
  <c r="I151" i="2"/>
  <c r="B152" i="2"/>
  <c r="C152" i="2"/>
  <c r="D152" i="2"/>
  <c r="E152" i="2"/>
  <c r="F152" i="2"/>
  <c r="G152" i="2"/>
  <c r="H152" i="2"/>
  <c r="I152" i="2"/>
  <c r="B153" i="2"/>
  <c r="C153" i="2"/>
  <c r="D153" i="2"/>
  <c r="E153" i="2"/>
  <c r="F153" i="2"/>
  <c r="G153" i="2"/>
  <c r="H153" i="2"/>
  <c r="I153" i="2"/>
  <c r="B154" i="2"/>
  <c r="C154" i="2"/>
  <c r="D154" i="2"/>
  <c r="E154" i="2"/>
  <c r="F154" i="2"/>
  <c r="G154" i="2"/>
  <c r="H154" i="2"/>
  <c r="I154" i="2"/>
  <c r="B155" i="2"/>
  <c r="C155" i="2"/>
  <c r="D155" i="2"/>
  <c r="E155" i="2"/>
  <c r="F155" i="2"/>
  <c r="G155" i="2"/>
  <c r="H155" i="2"/>
  <c r="I155" i="2"/>
  <c r="B156" i="2"/>
  <c r="C156" i="2"/>
  <c r="D156" i="2"/>
  <c r="E156" i="2"/>
  <c r="F156" i="2"/>
  <c r="G156" i="2"/>
  <c r="H156" i="2"/>
  <c r="I156" i="2"/>
  <c r="B157" i="2"/>
  <c r="C157" i="2"/>
  <c r="D157" i="2"/>
  <c r="E157" i="2"/>
  <c r="F157" i="2"/>
  <c r="G157" i="2"/>
  <c r="H157" i="2"/>
  <c r="I157" i="2"/>
  <c r="B158" i="2"/>
  <c r="C158" i="2"/>
  <c r="D158" i="2"/>
  <c r="E158" i="2"/>
  <c r="F158" i="2"/>
  <c r="G158" i="2"/>
  <c r="H158" i="2"/>
  <c r="I158" i="2"/>
  <c r="B159" i="2"/>
  <c r="C159" i="2"/>
  <c r="D159" i="2"/>
  <c r="E159" i="2"/>
  <c r="F159" i="2"/>
  <c r="G159" i="2"/>
  <c r="H159" i="2"/>
  <c r="I159" i="2"/>
  <c r="B160" i="2"/>
  <c r="C160" i="2"/>
  <c r="D160" i="2"/>
  <c r="E160" i="2"/>
  <c r="F160" i="2"/>
  <c r="G160" i="2"/>
  <c r="H160" i="2"/>
  <c r="I160" i="2"/>
  <c r="B161" i="2"/>
  <c r="C161" i="2"/>
  <c r="D161" i="2"/>
  <c r="E161" i="2"/>
  <c r="F161" i="2"/>
  <c r="G161" i="2"/>
  <c r="H161" i="2"/>
  <c r="I161" i="2"/>
  <c r="B162" i="2"/>
  <c r="C162" i="2"/>
  <c r="D162" i="2"/>
  <c r="E162" i="2"/>
  <c r="F162" i="2"/>
  <c r="G162" i="2"/>
  <c r="H162" i="2"/>
  <c r="I162" i="2"/>
  <c r="B163" i="2"/>
  <c r="C163" i="2"/>
  <c r="D163" i="2"/>
  <c r="E163" i="2"/>
  <c r="F163" i="2"/>
  <c r="G163" i="2"/>
  <c r="H163" i="2"/>
  <c r="I163" i="2"/>
  <c r="B164" i="2"/>
  <c r="C164" i="2"/>
  <c r="D164" i="2"/>
  <c r="E164" i="2"/>
  <c r="F164" i="2"/>
  <c r="G164" i="2"/>
  <c r="H164" i="2"/>
  <c r="I164" i="2"/>
  <c r="B165" i="2"/>
  <c r="C165" i="2"/>
  <c r="D165" i="2"/>
  <c r="E165" i="2"/>
  <c r="F165" i="2"/>
  <c r="G165" i="2"/>
  <c r="H165" i="2"/>
  <c r="I165" i="2"/>
  <c r="B166" i="2"/>
  <c r="C166" i="2"/>
  <c r="D166" i="2"/>
  <c r="E166" i="2"/>
  <c r="F166" i="2"/>
  <c r="G166" i="2"/>
  <c r="H166" i="2"/>
  <c r="I166" i="2"/>
  <c r="B167" i="2"/>
  <c r="C167" i="2"/>
  <c r="D167" i="2"/>
  <c r="E167" i="2"/>
  <c r="F167" i="2"/>
  <c r="G167" i="2"/>
  <c r="H167" i="2"/>
  <c r="I167" i="2"/>
  <c r="B168" i="2"/>
  <c r="C168" i="2"/>
  <c r="D168" i="2"/>
  <c r="E168" i="2"/>
  <c r="F168" i="2"/>
  <c r="G168" i="2"/>
  <c r="H168" i="2"/>
  <c r="I168" i="2"/>
  <c r="B169" i="2"/>
  <c r="C169" i="2"/>
  <c r="D169" i="2"/>
  <c r="E169" i="2"/>
  <c r="F169" i="2"/>
  <c r="G169" i="2"/>
  <c r="H169" i="2"/>
  <c r="I169" i="2"/>
  <c r="B170" i="2"/>
  <c r="C170" i="2"/>
  <c r="D170" i="2"/>
  <c r="E170" i="2"/>
  <c r="F170" i="2"/>
  <c r="G170" i="2"/>
  <c r="H170" i="2"/>
  <c r="I170" i="2"/>
  <c r="B171" i="2"/>
  <c r="C171" i="2"/>
  <c r="D171" i="2"/>
  <c r="E171" i="2"/>
  <c r="F171" i="2"/>
  <c r="G171" i="2"/>
  <c r="H171" i="2"/>
  <c r="I171" i="2"/>
  <c r="B172" i="2"/>
  <c r="C172" i="2"/>
  <c r="D172" i="2"/>
  <c r="E172" i="2"/>
  <c r="F172" i="2"/>
  <c r="G172" i="2"/>
  <c r="H172" i="2"/>
  <c r="I172" i="2"/>
  <c r="B173" i="2"/>
  <c r="C173" i="2"/>
  <c r="D173" i="2"/>
  <c r="E173" i="2"/>
  <c r="F173" i="2"/>
  <c r="G173" i="2"/>
  <c r="H173" i="2"/>
  <c r="I173" i="2"/>
  <c r="B174" i="2"/>
  <c r="C174" i="2"/>
  <c r="D174" i="2"/>
  <c r="E174" i="2"/>
  <c r="F174" i="2"/>
  <c r="G174" i="2"/>
  <c r="H174" i="2"/>
  <c r="I174" i="2"/>
  <c r="B175" i="2"/>
  <c r="C175" i="2"/>
  <c r="D175" i="2"/>
  <c r="E175" i="2"/>
  <c r="F175" i="2"/>
  <c r="G175" i="2"/>
  <c r="H175" i="2"/>
  <c r="I175" i="2"/>
  <c r="B176" i="2"/>
  <c r="C176" i="2"/>
  <c r="D176" i="2"/>
  <c r="E176" i="2"/>
  <c r="F176" i="2"/>
  <c r="G176" i="2"/>
  <c r="H176" i="2"/>
  <c r="I176" i="2"/>
  <c r="B177" i="2"/>
  <c r="C177" i="2"/>
  <c r="D177" i="2"/>
  <c r="E177" i="2"/>
  <c r="F177" i="2"/>
  <c r="G177" i="2"/>
  <c r="H177" i="2"/>
  <c r="I177" i="2"/>
  <c r="B178" i="2"/>
  <c r="C178" i="2"/>
  <c r="D178" i="2"/>
  <c r="E178" i="2"/>
  <c r="F178" i="2"/>
  <c r="G178" i="2"/>
  <c r="H178" i="2"/>
  <c r="I178" i="2"/>
  <c r="B179" i="2"/>
  <c r="C179" i="2"/>
  <c r="D179" i="2"/>
  <c r="E179" i="2"/>
  <c r="F179" i="2"/>
  <c r="G179" i="2"/>
  <c r="H179" i="2"/>
  <c r="I179" i="2"/>
  <c r="B180" i="2"/>
  <c r="C180" i="2"/>
  <c r="D180" i="2"/>
  <c r="E180" i="2"/>
  <c r="F180" i="2"/>
  <c r="G180" i="2"/>
  <c r="H180" i="2"/>
  <c r="I180" i="2"/>
  <c r="B181" i="2"/>
  <c r="C181" i="2"/>
  <c r="D181" i="2"/>
  <c r="E181" i="2"/>
  <c r="F181" i="2"/>
  <c r="G181" i="2"/>
  <c r="H181" i="2"/>
  <c r="I181" i="2"/>
  <c r="B182" i="2"/>
  <c r="C182" i="2"/>
  <c r="D182" i="2"/>
  <c r="E182" i="2"/>
  <c r="F182" i="2"/>
  <c r="G182" i="2"/>
  <c r="H182" i="2"/>
  <c r="I182" i="2"/>
  <c r="B183" i="2"/>
  <c r="C183" i="2"/>
  <c r="D183" i="2"/>
  <c r="E183" i="2"/>
  <c r="F183" i="2"/>
  <c r="G183" i="2"/>
  <c r="H183" i="2"/>
  <c r="I183" i="2"/>
  <c r="B184" i="2"/>
  <c r="C184" i="2"/>
  <c r="D184" i="2"/>
  <c r="E184" i="2"/>
  <c r="F184" i="2"/>
  <c r="G184" i="2"/>
  <c r="H184" i="2"/>
  <c r="I184" i="2"/>
  <c r="B185" i="2"/>
  <c r="C185" i="2"/>
  <c r="D185" i="2"/>
  <c r="E185" i="2"/>
  <c r="F185" i="2"/>
  <c r="G185" i="2"/>
  <c r="H185" i="2"/>
  <c r="I185" i="2"/>
  <c r="B186" i="2"/>
  <c r="C186" i="2"/>
  <c r="D186" i="2"/>
  <c r="E186" i="2"/>
  <c r="F186" i="2"/>
  <c r="G186" i="2"/>
  <c r="H186" i="2"/>
  <c r="I186" i="2"/>
  <c r="B187" i="2"/>
  <c r="C187" i="2"/>
  <c r="D187" i="2"/>
  <c r="E187" i="2"/>
  <c r="F187" i="2"/>
  <c r="G187" i="2"/>
  <c r="H187" i="2"/>
  <c r="I187" i="2"/>
  <c r="B188" i="2"/>
  <c r="C188" i="2"/>
  <c r="D188" i="2"/>
  <c r="E188" i="2"/>
  <c r="F188" i="2"/>
  <c r="G188" i="2"/>
  <c r="H188" i="2"/>
  <c r="I188" i="2"/>
  <c r="B189" i="2"/>
  <c r="C189" i="2"/>
  <c r="D189" i="2"/>
  <c r="E189" i="2"/>
  <c r="F189" i="2"/>
  <c r="G189" i="2"/>
  <c r="H189" i="2"/>
  <c r="I189" i="2"/>
  <c r="B190" i="2"/>
  <c r="C190" i="2"/>
  <c r="D190" i="2"/>
  <c r="E190" i="2"/>
  <c r="F190" i="2"/>
  <c r="G190" i="2"/>
  <c r="H190" i="2"/>
  <c r="I190" i="2"/>
  <c r="B191" i="2"/>
  <c r="C191" i="2"/>
  <c r="D191" i="2"/>
  <c r="E191" i="2"/>
  <c r="F191" i="2"/>
  <c r="G191" i="2"/>
  <c r="H191" i="2"/>
  <c r="I191" i="2"/>
  <c r="B192" i="2"/>
  <c r="C192" i="2"/>
  <c r="D192" i="2"/>
  <c r="E192" i="2"/>
  <c r="F192" i="2"/>
  <c r="G192" i="2"/>
  <c r="H192" i="2"/>
  <c r="I192" i="2"/>
  <c r="B193" i="2"/>
  <c r="C193" i="2"/>
  <c r="D193" i="2"/>
  <c r="E193" i="2"/>
  <c r="F193" i="2"/>
  <c r="G193" i="2"/>
  <c r="H193" i="2"/>
  <c r="I193" i="2"/>
  <c r="B194" i="2"/>
  <c r="C194" i="2"/>
  <c r="D194" i="2"/>
  <c r="E194" i="2"/>
  <c r="F194" i="2"/>
  <c r="G194" i="2"/>
  <c r="H194" i="2"/>
  <c r="I194" i="2"/>
  <c r="B195" i="2"/>
  <c r="C195" i="2"/>
  <c r="D195" i="2"/>
  <c r="E195" i="2"/>
  <c r="F195" i="2"/>
  <c r="G195" i="2"/>
  <c r="H195" i="2"/>
  <c r="I195" i="2"/>
  <c r="B196" i="2"/>
  <c r="C196" i="2"/>
  <c r="D196" i="2"/>
  <c r="E196" i="2"/>
  <c r="F196" i="2"/>
  <c r="G196" i="2"/>
  <c r="H196" i="2"/>
  <c r="I196" i="2"/>
  <c r="B197" i="2"/>
  <c r="C197" i="2"/>
  <c r="D197" i="2"/>
  <c r="E197" i="2"/>
  <c r="F197" i="2"/>
  <c r="G197" i="2"/>
  <c r="H197" i="2"/>
  <c r="I197" i="2"/>
  <c r="B198" i="2"/>
  <c r="C198" i="2"/>
  <c r="D198" i="2"/>
  <c r="E198" i="2"/>
  <c r="F198" i="2"/>
  <c r="G198" i="2"/>
  <c r="H198" i="2"/>
  <c r="I198" i="2"/>
  <c r="B199" i="2"/>
  <c r="C199" i="2"/>
  <c r="D199" i="2"/>
  <c r="E199" i="2"/>
  <c r="F199" i="2"/>
  <c r="G199" i="2"/>
  <c r="H199" i="2"/>
  <c r="I199" i="2"/>
  <c r="B200" i="2"/>
  <c r="C200" i="2"/>
  <c r="D200" i="2"/>
  <c r="E200" i="2"/>
  <c r="F200" i="2"/>
  <c r="G200" i="2"/>
  <c r="H200" i="2"/>
  <c r="I200" i="2"/>
  <c r="B201" i="2"/>
  <c r="C201" i="2"/>
  <c r="D201" i="2"/>
  <c r="E201" i="2"/>
  <c r="F201" i="2"/>
  <c r="G201" i="2"/>
  <c r="H201" i="2"/>
  <c r="I201" i="2"/>
  <c r="B202" i="2"/>
  <c r="C202" i="2"/>
  <c r="D202" i="2"/>
  <c r="E202" i="2"/>
  <c r="F202" i="2"/>
  <c r="G202" i="2"/>
  <c r="H202" i="2"/>
  <c r="I202" i="2"/>
  <c r="B203" i="2"/>
  <c r="C203" i="2"/>
  <c r="D203" i="2"/>
  <c r="E203" i="2"/>
  <c r="F203" i="2"/>
  <c r="G203" i="2"/>
  <c r="H203" i="2"/>
  <c r="I203" i="2"/>
  <c r="B204" i="2"/>
  <c r="C204" i="2"/>
  <c r="D204" i="2"/>
  <c r="E204" i="2"/>
  <c r="F204" i="2"/>
  <c r="G204" i="2"/>
  <c r="H204" i="2"/>
  <c r="I204" i="2"/>
  <c r="B205" i="2"/>
  <c r="C205" i="2"/>
  <c r="D205" i="2"/>
  <c r="E205" i="2"/>
  <c r="F205" i="2"/>
  <c r="G205" i="2"/>
  <c r="H205" i="2"/>
  <c r="I205" i="2"/>
  <c r="B206" i="2"/>
  <c r="C206" i="2"/>
  <c r="D206" i="2"/>
  <c r="E206" i="2"/>
  <c r="F206" i="2"/>
  <c r="G206" i="2"/>
  <c r="H206" i="2"/>
  <c r="I206" i="2"/>
  <c r="B207" i="2"/>
  <c r="C207" i="2"/>
  <c r="D207" i="2"/>
  <c r="E207" i="2"/>
  <c r="F207" i="2"/>
  <c r="G207" i="2"/>
  <c r="H207" i="2"/>
  <c r="I207" i="2"/>
  <c r="B208" i="2"/>
  <c r="C208" i="2"/>
  <c r="D208" i="2"/>
  <c r="E208" i="2"/>
  <c r="F208" i="2"/>
  <c r="G208" i="2"/>
  <c r="H208" i="2"/>
  <c r="I208" i="2"/>
  <c r="B209" i="2"/>
  <c r="C209" i="2"/>
  <c r="D209" i="2"/>
  <c r="E209" i="2"/>
  <c r="F209" i="2"/>
  <c r="G209" i="2"/>
  <c r="H209" i="2"/>
  <c r="I209" i="2"/>
  <c r="B210" i="2"/>
  <c r="C210" i="2"/>
  <c r="D210" i="2"/>
  <c r="E210" i="2"/>
  <c r="F210" i="2"/>
  <c r="G210" i="2"/>
  <c r="H210" i="2"/>
  <c r="I210" i="2"/>
  <c r="B211" i="2"/>
  <c r="C211" i="2"/>
  <c r="D211" i="2"/>
  <c r="E211" i="2"/>
  <c r="F211" i="2"/>
  <c r="G211" i="2"/>
  <c r="H211" i="2"/>
  <c r="I211" i="2"/>
  <c r="B212" i="2"/>
  <c r="C212" i="2"/>
  <c r="D212" i="2"/>
  <c r="E212" i="2"/>
  <c r="F212" i="2"/>
  <c r="G212" i="2"/>
  <c r="H212" i="2"/>
  <c r="I212" i="2"/>
  <c r="B213" i="2"/>
  <c r="C213" i="2"/>
  <c r="D213" i="2"/>
  <c r="E213" i="2"/>
  <c r="F213" i="2"/>
  <c r="G213" i="2"/>
  <c r="H213" i="2"/>
  <c r="I213" i="2"/>
  <c r="B214" i="2"/>
  <c r="C214" i="2"/>
  <c r="D214" i="2"/>
  <c r="E214" i="2"/>
  <c r="F214" i="2"/>
  <c r="G214" i="2"/>
  <c r="H214" i="2"/>
  <c r="I214" i="2"/>
  <c r="B215" i="2"/>
  <c r="C215" i="2"/>
  <c r="D215" i="2"/>
  <c r="E215" i="2"/>
  <c r="F215" i="2"/>
  <c r="G215" i="2"/>
  <c r="H215" i="2"/>
  <c r="I215" i="2"/>
  <c r="B216" i="2"/>
  <c r="C216" i="2"/>
  <c r="D216" i="2"/>
  <c r="E216" i="2"/>
  <c r="F216" i="2"/>
  <c r="G216" i="2"/>
  <c r="H216" i="2"/>
  <c r="I216" i="2"/>
  <c r="B217" i="2"/>
  <c r="C217" i="2"/>
  <c r="D217" i="2"/>
  <c r="E217" i="2"/>
  <c r="F217" i="2"/>
  <c r="G217" i="2"/>
  <c r="H217" i="2"/>
  <c r="I217" i="2"/>
  <c r="B218" i="2"/>
  <c r="C218" i="2"/>
  <c r="D218" i="2"/>
  <c r="E218" i="2"/>
  <c r="F218" i="2"/>
  <c r="G218" i="2"/>
  <c r="H218" i="2"/>
  <c r="I218" i="2"/>
  <c r="B219" i="2"/>
  <c r="C219" i="2"/>
  <c r="D219" i="2"/>
  <c r="E219" i="2"/>
  <c r="F219" i="2"/>
  <c r="G219" i="2"/>
  <c r="H219" i="2"/>
  <c r="I219" i="2"/>
  <c r="B220" i="2"/>
  <c r="C220" i="2"/>
  <c r="D220" i="2"/>
  <c r="E220" i="2"/>
  <c r="F220" i="2"/>
  <c r="G220" i="2"/>
  <c r="H220" i="2"/>
  <c r="I220" i="2"/>
  <c r="B221" i="2"/>
  <c r="C221" i="2"/>
  <c r="D221" i="2"/>
  <c r="E221" i="2"/>
  <c r="F221" i="2"/>
  <c r="G221" i="2"/>
  <c r="H221" i="2"/>
  <c r="I221" i="2"/>
  <c r="B222" i="2"/>
  <c r="C222" i="2"/>
  <c r="D222" i="2"/>
  <c r="E222" i="2"/>
  <c r="F222" i="2"/>
  <c r="G222" i="2"/>
  <c r="H222" i="2"/>
  <c r="I222" i="2"/>
  <c r="B223" i="2"/>
  <c r="C223" i="2"/>
  <c r="D223" i="2"/>
  <c r="E223" i="2"/>
  <c r="F223" i="2"/>
  <c r="G223" i="2"/>
  <c r="H223" i="2"/>
  <c r="I223" i="2"/>
  <c r="B224" i="2"/>
  <c r="C224" i="2"/>
  <c r="D224" i="2"/>
  <c r="E224" i="2"/>
  <c r="F224" i="2"/>
  <c r="G224" i="2"/>
  <c r="H224" i="2"/>
  <c r="I224" i="2"/>
  <c r="B225" i="2"/>
  <c r="C225" i="2"/>
  <c r="D225" i="2"/>
  <c r="E225" i="2"/>
  <c r="F225" i="2"/>
  <c r="G225" i="2"/>
  <c r="H225" i="2"/>
  <c r="I225" i="2"/>
  <c r="B226" i="2"/>
  <c r="C226" i="2"/>
  <c r="D226" i="2"/>
  <c r="E226" i="2"/>
  <c r="F226" i="2"/>
  <c r="G226" i="2"/>
  <c r="H226" i="2"/>
  <c r="I226" i="2"/>
  <c r="B227" i="2"/>
  <c r="C227" i="2"/>
  <c r="D227" i="2"/>
  <c r="E227" i="2"/>
  <c r="F227" i="2"/>
  <c r="G227" i="2"/>
  <c r="H227" i="2"/>
  <c r="I227" i="2"/>
  <c r="B228" i="2"/>
  <c r="C228" i="2"/>
  <c r="D228" i="2"/>
  <c r="E228" i="2"/>
  <c r="F228" i="2"/>
  <c r="G228" i="2"/>
  <c r="H228" i="2"/>
  <c r="I228" i="2"/>
  <c r="B229" i="2"/>
  <c r="C229" i="2"/>
  <c r="D229" i="2"/>
  <c r="E229" i="2"/>
  <c r="F229" i="2"/>
  <c r="G229" i="2"/>
  <c r="H229" i="2"/>
  <c r="I229" i="2"/>
  <c r="B230" i="2"/>
  <c r="C230" i="2"/>
  <c r="D230" i="2"/>
  <c r="E230" i="2"/>
  <c r="F230" i="2"/>
  <c r="G230" i="2"/>
  <c r="H230" i="2"/>
  <c r="I230" i="2"/>
  <c r="B231" i="2"/>
  <c r="C231" i="2"/>
  <c r="D231" i="2"/>
  <c r="E231" i="2"/>
  <c r="F231" i="2"/>
  <c r="G231" i="2"/>
  <c r="H231" i="2"/>
  <c r="I231" i="2"/>
  <c r="B232" i="2"/>
  <c r="C232" i="2"/>
  <c r="D232" i="2"/>
  <c r="E232" i="2"/>
  <c r="F232" i="2"/>
  <c r="G232" i="2"/>
  <c r="H232" i="2"/>
  <c r="I232" i="2"/>
  <c r="B233" i="2"/>
  <c r="C233" i="2"/>
  <c r="D233" i="2"/>
  <c r="E233" i="2"/>
  <c r="F233" i="2"/>
  <c r="G233" i="2"/>
  <c r="H233" i="2"/>
  <c r="I233" i="2"/>
  <c r="B234" i="2"/>
  <c r="C234" i="2"/>
  <c r="D234" i="2"/>
  <c r="E234" i="2"/>
  <c r="F234" i="2"/>
  <c r="G234" i="2"/>
  <c r="H234" i="2"/>
  <c r="I234" i="2"/>
  <c r="B235" i="2"/>
  <c r="C235" i="2"/>
  <c r="D235" i="2"/>
  <c r="E235" i="2"/>
  <c r="F235" i="2"/>
  <c r="G235" i="2"/>
  <c r="H235" i="2"/>
  <c r="I235" i="2"/>
  <c r="B236" i="2"/>
  <c r="C236" i="2"/>
  <c r="D236" i="2"/>
  <c r="E236" i="2"/>
  <c r="F236" i="2"/>
  <c r="G236" i="2"/>
  <c r="H236" i="2"/>
  <c r="I236" i="2"/>
  <c r="B237" i="2"/>
  <c r="C237" i="2"/>
  <c r="D237" i="2"/>
  <c r="E237" i="2"/>
  <c r="F237" i="2"/>
  <c r="G237" i="2"/>
  <c r="H237" i="2"/>
  <c r="I237" i="2"/>
  <c r="B238" i="2"/>
  <c r="C238" i="2"/>
  <c r="D238" i="2"/>
  <c r="E238" i="2"/>
  <c r="F238" i="2"/>
  <c r="G238" i="2"/>
  <c r="H238" i="2"/>
  <c r="I238" i="2"/>
  <c r="B239" i="2"/>
  <c r="C239" i="2"/>
  <c r="D239" i="2"/>
  <c r="E239" i="2"/>
  <c r="F239" i="2"/>
  <c r="G239" i="2"/>
  <c r="H239" i="2"/>
  <c r="I239" i="2"/>
  <c r="B240" i="2"/>
  <c r="C240" i="2"/>
  <c r="D240" i="2"/>
  <c r="E240" i="2"/>
  <c r="F240" i="2"/>
  <c r="G240" i="2"/>
  <c r="H240" i="2"/>
  <c r="I240" i="2"/>
  <c r="B241" i="2"/>
  <c r="C241" i="2"/>
  <c r="D241" i="2"/>
  <c r="E241" i="2"/>
  <c r="F241" i="2"/>
  <c r="G241" i="2"/>
  <c r="H241" i="2"/>
  <c r="I241" i="2"/>
  <c r="B242" i="2"/>
  <c r="C242" i="2"/>
  <c r="D242" i="2"/>
  <c r="E242" i="2"/>
  <c r="F242" i="2"/>
  <c r="G242" i="2"/>
  <c r="H242" i="2"/>
  <c r="I242" i="2"/>
  <c r="B243" i="2"/>
  <c r="C243" i="2"/>
  <c r="D243" i="2"/>
  <c r="E243" i="2"/>
  <c r="F243" i="2"/>
  <c r="G243" i="2"/>
  <c r="H243" i="2"/>
  <c r="I243" i="2"/>
  <c r="B244" i="2"/>
  <c r="C244" i="2"/>
  <c r="D244" i="2"/>
  <c r="E244" i="2"/>
  <c r="F244" i="2"/>
  <c r="G244" i="2"/>
  <c r="H244" i="2"/>
  <c r="I244" i="2"/>
  <c r="B245" i="2"/>
  <c r="C245" i="2"/>
  <c r="D245" i="2"/>
  <c r="E245" i="2"/>
  <c r="F245" i="2"/>
  <c r="G245" i="2"/>
  <c r="H245" i="2"/>
  <c r="I245" i="2"/>
  <c r="B246" i="2"/>
  <c r="C246" i="2"/>
  <c r="D246" i="2"/>
  <c r="E246" i="2"/>
  <c r="F246" i="2"/>
  <c r="G246" i="2"/>
  <c r="H246" i="2"/>
  <c r="I246" i="2"/>
  <c r="B247" i="2"/>
  <c r="C247" i="2"/>
  <c r="D247" i="2"/>
  <c r="E247" i="2"/>
  <c r="F247" i="2"/>
  <c r="G247" i="2"/>
  <c r="H247" i="2"/>
  <c r="I247" i="2"/>
  <c r="B248" i="2"/>
  <c r="C248" i="2"/>
  <c r="D248" i="2"/>
  <c r="E248" i="2"/>
  <c r="F248" i="2"/>
  <c r="G248" i="2"/>
  <c r="H248" i="2"/>
  <c r="I248" i="2"/>
  <c r="B249" i="2"/>
  <c r="C249" i="2"/>
  <c r="D249" i="2"/>
  <c r="E249" i="2"/>
  <c r="F249" i="2"/>
  <c r="G249" i="2"/>
  <c r="H249" i="2"/>
  <c r="I249" i="2"/>
  <c r="B250" i="2"/>
  <c r="C250" i="2"/>
  <c r="D250" i="2"/>
  <c r="E250" i="2"/>
  <c r="F250" i="2"/>
  <c r="G250" i="2"/>
  <c r="H250" i="2"/>
  <c r="I250" i="2"/>
  <c r="B251" i="2"/>
  <c r="C251" i="2"/>
  <c r="D251" i="2"/>
  <c r="E251" i="2"/>
  <c r="F251" i="2"/>
  <c r="G251" i="2"/>
  <c r="H251" i="2"/>
  <c r="I251" i="2"/>
  <c r="B252" i="2"/>
  <c r="C252" i="2"/>
  <c r="D252" i="2"/>
  <c r="E252" i="2"/>
  <c r="F252" i="2"/>
  <c r="G252" i="2"/>
  <c r="H252" i="2"/>
  <c r="I252" i="2"/>
  <c r="B253" i="2"/>
  <c r="C253" i="2"/>
  <c r="D253" i="2"/>
  <c r="E253" i="2"/>
  <c r="F253" i="2"/>
  <c r="G253" i="2"/>
  <c r="H253" i="2"/>
  <c r="I253" i="2"/>
  <c r="B254" i="2"/>
  <c r="C254" i="2"/>
  <c r="D254" i="2"/>
  <c r="E254" i="2"/>
  <c r="F254" i="2"/>
  <c r="G254" i="2"/>
  <c r="H254" i="2"/>
  <c r="I254" i="2"/>
  <c r="B255" i="2"/>
  <c r="C255" i="2"/>
  <c r="D255" i="2"/>
  <c r="E255" i="2"/>
  <c r="F255" i="2"/>
  <c r="G255" i="2"/>
  <c r="H255" i="2"/>
  <c r="I255" i="2"/>
  <c r="B256" i="2"/>
  <c r="C256" i="2"/>
  <c r="D256" i="2"/>
  <c r="E256" i="2"/>
  <c r="F256" i="2"/>
  <c r="G256" i="2"/>
  <c r="H256" i="2"/>
  <c r="I256" i="2"/>
  <c r="B257" i="2"/>
  <c r="C257" i="2"/>
  <c r="D257" i="2"/>
  <c r="E257" i="2"/>
  <c r="F257" i="2"/>
  <c r="G257" i="2"/>
  <c r="H257" i="2"/>
  <c r="I257" i="2"/>
  <c r="B258" i="2"/>
  <c r="C258" i="2"/>
  <c r="D258" i="2"/>
  <c r="E258" i="2"/>
  <c r="F258" i="2"/>
  <c r="G258" i="2"/>
  <c r="H258" i="2"/>
  <c r="I258" i="2"/>
  <c r="B259" i="2"/>
  <c r="C259" i="2"/>
  <c r="D259" i="2"/>
  <c r="E259" i="2"/>
  <c r="F259" i="2"/>
  <c r="G259" i="2"/>
  <c r="H259" i="2"/>
  <c r="I259" i="2"/>
  <c r="B260" i="2"/>
  <c r="C260" i="2"/>
  <c r="D260" i="2"/>
  <c r="E260" i="2"/>
  <c r="F260" i="2"/>
  <c r="G260" i="2"/>
  <c r="H260" i="2"/>
  <c r="I260" i="2"/>
  <c r="B261" i="2"/>
  <c r="C261" i="2"/>
  <c r="D261" i="2"/>
  <c r="E261" i="2"/>
  <c r="F261" i="2"/>
  <c r="G261" i="2"/>
  <c r="H261" i="2"/>
  <c r="I261" i="2"/>
  <c r="B262" i="2"/>
  <c r="C262" i="2"/>
  <c r="D262" i="2"/>
  <c r="E262" i="2"/>
  <c r="F262" i="2"/>
  <c r="G262" i="2"/>
  <c r="H262" i="2"/>
  <c r="I262" i="2"/>
  <c r="B263" i="2"/>
  <c r="C263" i="2"/>
  <c r="D263" i="2"/>
  <c r="E263" i="2"/>
  <c r="F263" i="2"/>
  <c r="G263" i="2"/>
  <c r="H263" i="2"/>
  <c r="I263" i="2"/>
  <c r="B264" i="2"/>
  <c r="C264" i="2"/>
  <c r="D264" i="2"/>
  <c r="E264" i="2"/>
  <c r="F264" i="2"/>
  <c r="G264" i="2"/>
  <c r="H264" i="2"/>
  <c r="I264" i="2"/>
  <c r="B265" i="2"/>
  <c r="C265" i="2"/>
  <c r="D265" i="2"/>
  <c r="E265" i="2"/>
  <c r="F265" i="2"/>
  <c r="G265" i="2"/>
  <c r="H265" i="2"/>
  <c r="I265" i="2"/>
  <c r="B266" i="2"/>
  <c r="C266" i="2"/>
  <c r="D266" i="2"/>
  <c r="E266" i="2"/>
  <c r="F266" i="2"/>
  <c r="G266" i="2"/>
  <c r="H266" i="2"/>
  <c r="I266" i="2"/>
  <c r="B267" i="2"/>
  <c r="C267" i="2"/>
  <c r="D267" i="2"/>
  <c r="E267" i="2"/>
  <c r="F267" i="2"/>
  <c r="G267" i="2"/>
  <c r="H267" i="2"/>
  <c r="I267" i="2"/>
  <c r="B268" i="2"/>
  <c r="C268" i="2"/>
  <c r="D268" i="2"/>
  <c r="E268" i="2"/>
  <c r="F268" i="2"/>
  <c r="G268" i="2"/>
  <c r="H268" i="2"/>
  <c r="I268" i="2"/>
  <c r="B269" i="2"/>
  <c r="C269" i="2"/>
  <c r="D269" i="2"/>
  <c r="E269" i="2"/>
  <c r="F269" i="2"/>
  <c r="G269" i="2"/>
  <c r="H269" i="2"/>
  <c r="I269" i="2"/>
  <c r="B270" i="2"/>
  <c r="C270" i="2"/>
  <c r="D270" i="2"/>
  <c r="E270" i="2"/>
  <c r="F270" i="2"/>
  <c r="G270" i="2"/>
  <c r="H270" i="2"/>
  <c r="I270" i="2"/>
  <c r="B271" i="2"/>
  <c r="C271" i="2"/>
  <c r="D271" i="2"/>
  <c r="E271" i="2"/>
  <c r="F271" i="2"/>
  <c r="G271" i="2"/>
  <c r="H271" i="2"/>
  <c r="I271" i="2"/>
  <c r="B272" i="2"/>
  <c r="C272" i="2"/>
  <c r="D272" i="2"/>
  <c r="E272" i="2"/>
  <c r="F272" i="2"/>
  <c r="G272" i="2"/>
  <c r="H272" i="2"/>
  <c r="I272" i="2"/>
  <c r="B273" i="2"/>
  <c r="C273" i="2"/>
  <c r="D273" i="2"/>
  <c r="E273" i="2"/>
  <c r="F273" i="2"/>
  <c r="G273" i="2"/>
  <c r="H273" i="2"/>
  <c r="I273" i="2"/>
  <c r="B274" i="2"/>
  <c r="C274" i="2"/>
  <c r="D274" i="2"/>
  <c r="E274" i="2"/>
  <c r="F274" i="2"/>
  <c r="G274" i="2"/>
  <c r="H274" i="2"/>
  <c r="I274" i="2"/>
  <c r="B275" i="2"/>
  <c r="C275" i="2"/>
  <c r="D275" i="2"/>
  <c r="E275" i="2"/>
  <c r="F275" i="2"/>
  <c r="G275" i="2"/>
  <c r="H275" i="2"/>
  <c r="I275" i="2"/>
  <c r="B276" i="2"/>
  <c r="C276" i="2"/>
  <c r="D276" i="2"/>
  <c r="E276" i="2"/>
  <c r="F276" i="2"/>
  <c r="G276" i="2"/>
  <c r="H276" i="2"/>
  <c r="I276" i="2"/>
  <c r="B277" i="2"/>
  <c r="C277" i="2"/>
  <c r="D277" i="2"/>
  <c r="E277" i="2"/>
  <c r="F277" i="2"/>
  <c r="G277" i="2"/>
  <c r="H277" i="2"/>
  <c r="I277" i="2"/>
  <c r="B278" i="2"/>
  <c r="C278" i="2"/>
  <c r="D278" i="2"/>
  <c r="E278" i="2"/>
  <c r="F278" i="2"/>
  <c r="G278" i="2"/>
  <c r="H278" i="2"/>
  <c r="I278" i="2"/>
  <c r="B279" i="2"/>
  <c r="C279" i="2"/>
  <c r="D279" i="2"/>
  <c r="E279" i="2"/>
  <c r="F279" i="2"/>
  <c r="G279" i="2"/>
  <c r="H279" i="2"/>
  <c r="I279" i="2"/>
  <c r="B280" i="2"/>
  <c r="C280" i="2"/>
  <c r="D280" i="2"/>
  <c r="E280" i="2"/>
  <c r="F280" i="2"/>
  <c r="G280" i="2"/>
  <c r="H280" i="2"/>
  <c r="I280" i="2"/>
  <c r="B281" i="2"/>
  <c r="C281" i="2"/>
  <c r="D281" i="2"/>
  <c r="E281" i="2"/>
  <c r="F281" i="2"/>
  <c r="G281" i="2"/>
  <c r="H281" i="2"/>
  <c r="I281" i="2"/>
  <c r="B282" i="2"/>
  <c r="C282" i="2"/>
  <c r="D282" i="2"/>
  <c r="E282" i="2"/>
  <c r="F282" i="2"/>
  <c r="G282" i="2"/>
  <c r="H282" i="2"/>
  <c r="I282" i="2"/>
  <c r="B283" i="2"/>
  <c r="C283" i="2"/>
  <c r="D283" i="2"/>
  <c r="E283" i="2"/>
  <c r="F283" i="2"/>
  <c r="G283" i="2"/>
  <c r="H283" i="2"/>
  <c r="I283" i="2"/>
  <c r="B284" i="2"/>
  <c r="C284" i="2"/>
  <c r="D284" i="2"/>
  <c r="E284" i="2"/>
  <c r="F284" i="2"/>
  <c r="G284" i="2"/>
  <c r="H284" i="2"/>
  <c r="I284" i="2"/>
  <c r="B285" i="2"/>
  <c r="C285" i="2"/>
  <c r="D285" i="2"/>
  <c r="E285" i="2"/>
  <c r="F285" i="2"/>
  <c r="G285" i="2"/>
  <c r="H285" i="2"/>
  <c r="I285" i="2"/>
  <c r="B286" i="2"/>
  <c r="C286" i="2"/>
  <c r="D286" i="2"/>
  <c r="E286" i="2"/>
  <c r="F286" i="2"/>
  <c r="G286" i="2"/>
  <c r="H286" i="2"/>
  <c r="I286" i="2"/>
  <c r="B287" i="2"/>
  <c r="C287" i="2"/>
  <c r="D287" i="2"/>
  <c r="E287" i="2"/>
  <c r="F287" i="2"/>
  <c r="G287" i="2"/>
  <c r="H287" i="2"/>
  <c r="I287" i="2"/>
  <c r="B288" i="2"/>
  <c r="C288" i="2"/>
  <c r="D288" i="2"/>
  <c r="E288" i="2"/>
  <c r="F288" i="2"/>
  <c r="G288" i="2"/>
  <c r="H288" i="2"/>
  <c r="I288" i="2"/>
  <c r="B289" i="2"/>
  <c r="C289" i="2"/>
  <c r="D289" i="2"/>
  <c r="E289" i="2"/>
  <c r="F289" i="2"/>
  <c r="G289" i="2"/>
  <c r="H289" i="2"/>
  <c r="I289" i="2"/>
  <c r="B290" i="2"/>
  <c r="C290" i="2"/>
  <c r="D290" i="2"/>
  <c r="E290" i="2"/>
  <c r="F290" i="2"/>
  <c r="G290" i="2"/>
  <c r="H290" i="2"/>
  <c r="I290" i="2"/>
  <c r="B291" i="2"/>
  <c r="C291" i="2"/>
  <c r="D291" i="2"/>
  <c r="E291" i="2"/>
  <c r="F291" i="2"/>
  <c r="G291" i="2"/>
  <c r="H291" i="2"/>
  <c r="I291" i="2"/>
  <c r="B292" i="2"/>
  <c r="C292" i="2"/>
  <c r="D292" i="2"/>
  <c r="E292" i="2"/>
  <c r="F292" i="2"/>
  <c r="G292" i="2"/>
  <c r="H292" i="2"/>
  <c r="I292" i="2"/>
  <c r="B293" i="2"/>
  <c r="C293" i="2"/>
  <c r="D293" i="2"/>
  <c r="E293" i="2"/>
  <c r="F293" i="2"/>
  <c r="G293" i="2"/>
  <c r="H293" i="2"/>
  <c r="I293" i="2"/>
  <c r="B294" i="2"/>
  <c r="C294" i="2"/>
  <c r="D294" i="2"/>
  <c r="E294" i="2"/>
  <c r="F294" i="2"/>
  <c r="G294" i="2"/>
  <c r="H294" i="2"/>
  <c r="I294" i="2"/>
  <c r="B295" i="2"/>
  <c r="C295" i="2"/>
  <c r="D295" i="2"/>
  <c r="E295" i="2"/>
  <c r="F295" i="2"/>
  <c r="G295" i="2"/>
  <c r="H295" i="2"/>
  <c r="I295" i="2"/>
  <c r="B296" i="2"/>
  <c r="C296" i="2"/>
  <c r="D296" i="2"/>
  <c r="E296" i="2"/>
  <c r="F296" i="2"/>
  <c r="G296" i="2"/>
  <c r="H296" i="2"/>
  <c r="I296" i="2"/>
  <c r="B297" i="2"/>
  <c r="C297" i="2"/>
  <c r="D297" i="2"/>
  <c r="E297" i="2"/>
  <c r="F297" i="2"/>
  <c r="G297" i="2"/>
  <c r="H297" i="2"/>
  <c r="I297" i="2"/>
  <c r="B298" i="2"/>
  <c r="C298" i="2"/>
  <c r="D298" i="2"/>
  <c r="E298" i="2"/>
  <c r="F298" i="2"/>
  <c r="G298" i="2"/>
  <c r="H298" i="2"/>
  <c r="I298" i="2"/>
  <c r="B299" i="2"/>
  <c r="C299" i="2"/>
  <c r="D299" i="2"/>
  <c r="E299" i="2"/>
  <c r="F299" i="2"/>
  <c r="G299" i="2"/>
  <c r="H299" i="2"/>
  <c r="I299" i="2"/>
  <c r="B300" i="2"/>
  <c r="C300" i="2"/>
  <c r="D300" i="2"/>
  <c r="E300" i="2"/>
  <c r="F300" i="2"/>
  <c r="G300" i="2"/>
  <c r="H300" i="2"/>
  <c r="I300" i="2"/>
  <c r="B301" i="2"/>
  <c r="C301" i="2"/>
  <c r="D301" i="2"/>
  <c r="E301" i="2"/>
  <c r="F301" i="2"/>
  <c r="G301" i="2"/>
  <c r="H301" i="2"/>
  <c r="I301" i="2"/>
  <c r="B302" i="2"/>
  <c r="C302" i="2"/>
  <c r="D302" i="2"/>
  <c r="E302" i="2"/>
  <c r="F302" i="2"/>
  <c r="G302" i="2"/>
  <c r="H302" i="2"/>
  <c r="I302" i="2"/>
  <c r="B303" i="2"/>
  <c r="C303" i="2"/>
  <c r="D303" i="2"/>
  <c r="E303" i="2"/>
  <c r="F303" i="2"/>
  <c r="G303" i="2"/>
  <c r="H303" i="2"/>
  <c r="I303" i="2"/>
  <c r="B304" i="2"/>
  <c r="C304" i="2"/>
  <c r="D304" i="2"/>
  <c r="E304" i="2"/>
  <c r="F304" i="2"/>
  <c r="G304" i="2"/>
  <c r="H304" i="2"/>
  <c r="I304" i="2"/>
  <c r="B305" i="2"/>
  <c r="C305" i="2"/>
  <c r="D305" i="2"/>
  <c r="E305" i="2"/>
  <c r="F305" i="2"/>
  <c r="G305" i="2"/>
  <c r="H305" i="2"/>
  <c r="I305" i="2"/>
  <c r="B306" i="2"/>
  <c r="C306" i="2"/>
  <c r="D306" i="2"/>
  <c r="E306" i="2"/>
  <c r="F306" i="2"/>
  <c r="G306" i="2"/>
  <c r="H306" i="2"/>
  <c r="I306" i="2"/>
  <c r="B307" i="2"/>
  <c r="C307" i="2"/>
  <c r="D307" i="2"/>
  <c r="E307" i="2"/>
  <c r="F307" i="2"/>
  <c r="G307" i="2"/>
  <c r="H307" i="2"/>
  <c r="I307" i="2"/>
  <c r="B308" i="2"/>
  <c r="C308" i="2"/>
  <c r="D308" i="2"/>
  <c r="E308" i="2"/>
  <c r="F308" i="2"/>
  <c r="G308" i="2"/>
  <c r="H308" i="2"/>
  <c r="I308" i="2"/>
  <c r="B309" i="2"/>
  <c r="C309" i="2"/>
  <c r="D309" i="2"/>
  <c r="E309" i="2"/>
  <c r="F309" i="2"/>
  <c r="G309" i="2"/>
  <c r="H309" i="2"/>
  <c r="I309" i="2"/>
  <c r="B310" i="2"/>
  <c r="C310" i="2"/>
  <c r="D310" i="2"/>
  <c r="E310" i="2"/>
  <c r="F310" i="2"/>
  <c r="G310" i="2"/>
  <c r="H310" i="2"/>
  <c r="I310" i="2"/>
  <c r="B311" i="2"/>
  <c r="C311" i="2"/>
  <c r="D311" i="2"/>
  <c r="E311" i="2"/>
  <c r="F311" i="2"/>
  <c r="G311" i="2"/>
  <c r="H311" i="2"/>
  <c r="I311" i="2"/>
  <c r="B312" i="2"/>
  <c r="C312" i="2"/>
  <c r="D312" i="2"/>
  <c r="E312" i="2"/>
  <c r="F312" i="2"/>
  <c r="G312" i="2"/>
  <c r="H312" i="2"/>
  <c r="I312" i="2"/>
  <c r="B313" i="2"/>
  <c r="C313" i="2"/>
  <c r="D313" i="2"/>
  <c r="E313" i="2"/>
  <c r="F313" i="2"/>
  <c r="G313" i="2"/>
  <c r="H313" i="2"/>
  <c r="I313" i="2"/>
  <c r="B314" i="2"/>
  <c r="C314" i="2"/>
  <c r="D314" i="2"/>
  <c r="E314" i="2"/>
  <c r="F314" i="2"/>
  <c r="G314" i="2"/>
  <c r="H314" i="2"/>
  <c r="I314" i="2"/>
  <c r="B315" i="2"/>
  <c r="C315" i="2"/>
  <c r="D315" i="2"/>
  <c r="E315" i="2"/>
  <c r="F315" i="2"/>
  <c r="G315" i="2"/>
  <c r="H315" i="2"/>
  <c r="I315" i="2"/>
  <c r="B316" i="2"/>
  <c r="C316" i="2"/>
  <c r="D316" i="2"/>
  <c r="E316" i="2"/>
  <c r="F316" i="2"/>
  <c r="G316" i="2"/>
  <c r="H316" i="2"/>
  <c r="I316" i="2"/>
  <c r="B317" i="2"/>
  <c r="C317" i="2"/>
  <c r="D317" i="2"/>
  <c r="E317" i="2"/>
  <c r="F317" i="2"/>
  <c r="G317" i="2"/>
  <c r="H317" i="2"/>
  <c r="I317" i="2"/>
  <c r="B318" i="2"/>
  <c r="C318" i="2"/>
  <c r="D318" i="2"/>
  <c r="E318" i="2"/>
  <c r="F318" i="2"/>
  <c r="G318" i="2"/>
  <c r="H318" i="2"/>
  <c r="I318" i="2"/>
  <c r="B319" i="2"/>
  <c r="C319" i="2"/>
  <c r="D319" i="2"/>
  <c r="E319" i="2"/>
  <c r="F319" i="2"/>
  <c r="G319" i="2"/>
  <c r="H319" i="2"/>
  <c r="I319" i="2"/>
  <c r="B320" i="2"/>
  <c r="C320" i="2"/>
  <c r="D320" i="2"/>
  <c r="E320" i="2"/>
  <c r="F320" i="2"/>
  <c r="G320" i="2"/>
  <c r="H320" i="2"/>
  <c r="I320" i="2"/>
  <c r="B321" i="2"/>
  <c r="C321" i="2"/>
  <c r="D321" i="2"/>
  <c r="E321" i="2"/>
  <c r="F321" i="2"/>
  <c r="G321" i="2"/>
  <c r="H321" i="2"/>
  <c r="I321" i="2"/>
  <c r="B322" i="2"/>
  <c r="C322" i="2"/>
  <c r="D322" i="2"/>
  <c r="E322" i="2"/>
  <c r="F322" i="2"/>
  <c r="G322" i="2"/>
  <c r="H322" i="2"/>
  <c r="I322" i="2"/>
  <c r="B323" i="2"/>
  <c r="C323" i="2"/>
  <c r="D323" i="2"/>
  <c r="E323" i="2"/>
  <c r="F323" i="2"/>
  <c r="G323" i="2"/>
  <c r="H323" i="2"/>
  <c r="I323" i="2"/>
  <c r="B324" i="2"/>
  <c r="C324" i="2"/>
  <c r="D324" i="2"/>
  <c r="E324" i="2"/>
  <c r="F324" i="2"/>
  <c r="G324" i="2"/>
  <c r="H324" i="2"/>
  <c r="I324" i="2"/>
  <c r="B325" i="2"/>
  <c r="C325" i="2"/>
  <c r="D325" i="2"/>
  <c r="E325" i="2"/>
  <c r="F325" i="2"/>
  <c r="G325" i="2"/>
  <c r="H325" i="2"/>
  <c r="I325" i="2"/>
  <c r="B326" i="2"/>
  <c r="C326" i="2"/>
  <c r="D326" i="2"/>
  <c r="E326" i="2"/>
  <c r="F326" i="2"/>
  <c r="G326" i="2"/>
  <c r="H326" i="2"/>
  <c r="I326" i="2"/>
  <c r="B327" i="2"/>
  <c r="C327" i="2"/>
  <c r="D327" i="2"/>
  <c r="E327" i="2"/>
  <c r="F327" i="2"/>
  <c r="G327" i="2"/>
  <c r="H327" i="2"/>
  <c r="I327" i="2"/>
  <c r="B328" i="2"/>
  <c r="C328" i="2"/>
  <c r="D328" i="2"/>
  <c r="E328" i="2"/>
  <c r="F328" i="2"/>
  <c r="G328" i="2"/>
  <c r="H328" i="2"/>
  <c r="I328" i="2"/>
  <c r="B329" i="2"/>
  <c r="C329" i="2"/>
  <c r="D329" i="2"/>
  <c r="E329" i="2"/>
  <c r="F329" i="2"/>
  <c r="G329" i="2"/>
  <c r="H329" i="2"/>
  <c r="I329" i="2"/>
  <c r="B330" i="2"/>
  <c r="C330" i="2"/>
  <c r="D330" i="2"/>
  <c r="E330" i="2"/>
  <c r="F330" i="2"/>
  <c r="G330" i="2"/>
  <c r="H330" i="2"/>
  <c r="I330" i="2"/>
  <c r="B331" i="2"/>
  <c r="C331" i="2"/>
  <c r="D331" i="2"/>
  <c r="E331" i="2"/>
  <c r="F331" i="2"/>
  <c r="G331" i="2"/>
  <c r="H331" i="2"/>
  <c r="I331" i="2"/>
  <c r="B332" i="2"/>
  <c r="C332" i="2"/>
  <c r="D332" i="2"/>
  <c r="E332" i="2"/>
  <c r="F332" i="2"/>
  <c r="G332" i="2"/>
  <c r="H332" i="2"/>
  <c r="I332" i="2"/>
  <c r="B333" i="2"/>
  <c r="C333" i="2"/>
  <c r="D333" i="2"/>
  <c r="E333" i="2"/>
  <c r="F333" i="2"/>
  <c r="G333" i="2"/>
  <c r="H333" i="2"/>
  <c r="I333" i="2"/>
  <c r="B334" i="2"/>
  <c r="C334" i="2"/>
  <c r="D334" i="2"/>
  <c r="E334" i="2"/>
  <c r="F334" i="2"/>
  <c r="G334" i="2"/>
  <c r="H334" i="2"/>
  <c r="I334" i="2"/>
  <c r="B335" i="2"/>
  <c r="C335" i="2"/>
  <c r="D335" i="2"/>
  <c r="E335" i="2"/>
  <c r="F335" i="2"/>
  <c r="G335" i="2"/>
  <c r="H335" i="2"/>
  <c r="I335" i="2"/>
  <c r="B336" i="2"/>
  <c r="C336" i="2"/>
  <c r="D336" i="2"/>
  <c r="E336" i="2"/>
  <c r="F336" i="2"/>
  <c r="G336" i="2"/>
  <c r="H336" i="2"/>
  <c r="I336" i="2"/>
  <c r="B337" i="2"/>
  <c r="C337" i="2"/>
  <c r="D337" i="2"/>
  <c r="E337" i="2"/>
  <c r="F337" i="2"/>
  <c r="G337" i="2"/>
  <c r="H337" i="2"/>
  <c r="I337" i="2"/>
  <c r="B338" i="2"/>
  <c r="C338" i="2"/>
  <c r="D338" i="2"/>
  <c r="E338" i="2"/>
  <c r="F338" i="2"/>
  <c r="G338" i="2"/>
  <c r="H338" i="2"/>
  <c r="I338" i="2"/>
  <c r="B339" i="2"/>
  <c r="C339" i="2"/>
  <c r="D339" i="2"/>
  <c r="E339" i="2"/>
  <c r="F339" i="2"/>
  <c r="G339" i="2"/>
  <c r="H339" i="2"/>
  <c r="I339" i="2"/>
  <c r="B340" i="2"/>
  <c r="C340" i="2"/>
  <c r="D340" i="2"/>
  <c r="E340" i="2"/>
  <c r="F340" i="2"/>
  <c r="G340" i="2"/>
  <c r="H340" i="2"/>
  <c r="I340" i="2"/>
  <c r="B341" i="2"/>
  <c r="C341" i="2"/>
  <c r="D341" i="2"/>
  <c r="E341" i="2"/>
  <c r="F341" i="2"/>
  <c r="G341" i="2"/>
  <c r="H341" i="2"/>
  <c r="I341" i="2"/>
  <c r="B342" i="2"/>
  <c r="C342" i="2"/>
  <c r="D342" i="2"/>
  <c r="E342" i="2"/>
  <c r="F342" i="2"/>
  <c r="G342" i="2"/>
  <c r="H342" i="2"/>
  <c r="I342" i="2"/>
  <c r="B343" i="2"/>
  <c r="C343" i="2"/>
  <c r="D343" i="2"/>
  <c r="E343" i="2"/>
  <c r="F343" i="2"/>
  <c r="G343" i="2"/>
  <c r="H343" i="2"/>
  <c r="I343" i="2"/>
  <c r="B344" i="2"/>
  <c r="C344" i="2"/>
  <c r="D344" i="2"/>
  <c r="E344" i="2"/>
  <c r="F344" i="2"/>
  <c r="G344" i="2"/>
  <c r="H344" i="2"/>
  <c r="I344" i="2"/>
  <c r="B345" i="2"/>
  <c r="C345" i="2"/>
  <c r="D345" i="2"/>
  <c r="E345" i="2"/>
  <c r="F345" i="2"/>
  <c r="G345" i="2"/>
  <c r="H345" i="2"/>
  <c r="I345" i="2"/>
  <c r="B346" i="2"/>
  <c r="C346" i="2"/>
  <c r="D346" i="2"/>
  <c r="E346" i="2"/>
  <c r="F346" i="2"/>
  <c r="G346" i="2"/>
  <c r="H346" i="2"/>
  <c r="I346" i="2"/>
  <c r="B347" i="2"/>
  <c r="C347" i="2"/>
  <c r="D347" i="2"/>
  <c r="E347" i="2"/>
  <c r="F347" i="2"/>
  <c r="G347" i="2"/>
  <c r="H347" i="2"/>
  <c r="I347" i="2"/>
  <c r="B348" i="2"/>
  <c r="C348" i="2"/>
  <c r="D348" i="2"/>
  <c r="E348" i="2"/>
  <c r="F348" i="2"/>
  <c r="G348" i="2"/>
  <c r="H348" i="2"/>
  <c r="I348" i="2"/>
  <c r="B349" i="2"/>
  <c r="C349" i="2"/>
  <c r="D349" i="2"/>
  <c r="E349" i="2"/>
  <c r="F349" i="2"/>
  <c r="G349" i="2"/>
  <c r="H349" i="2"/>
  <c r="I349" i="2"/>
  <c r="B350" i="2"/>
  <c r="C350" i="2"/>
  <c r="D350" i="2"/>
  <c r="E350" i="2"/>
  <c r="F350" i="2"/>
  <c r="G350" i="2"/>
  <c r="H350" i="2"/>
  <c r="I350" i="2"/>
  <c r="B351" i="2"/>
  <c r="C351" i="2"/>
  <c r="D351" i="2"/>
  <c r="E351" i="2"/>
  <c r="F351" i="2"/>
  <c r="G351" i="2"/>
  <c r="H351" i="2"/>
  <c r="I351" i="2"/>
  <c r="B352" i="2"/>
  <c r="C352" i="2"/>
  <c r="D352" i="2"/>
  <c r="E352" i="2"/>
  <c r="F352" i="2"/>
  <c r="G352" i="2"/>
  <c r="H352" i="2"/>
  <c r="I352" i="2"/>
  <c r="B353" i="2"/>
  <c r="C353" i="2"/>
  <c r="D353" i="2"/>
  <c r="E353" i="2"/>
  <c r="F353" i="2"/>
  <c r="G353" i="2"/>
  <c r="H353" i="2"/>
  <c r="I353" i="2"/>
  <c r="B354" i="2"/>
  <c r="C354" i="2"/>
  <c r="D354" i="2"/>
  <c r="E354" i="2"/>
  <c r="F354" i="2"/>
  <c r="G354" i="2"/>
  <c r="H354" i="2"/>
  <c r="I354" i="2"/>
  <c r="B355" i="2"/>
  <c r="C355" i="2"/>
  <c r="D355" i="2"/>
  <c r="E355" i="2"/>
  <c r="F355" i="2"/>
  <c r="G355" i="2"/>
  <c r="H355" i="2"/>
  <c r="I355" i="2"/>
  <c r="B356" i="2"/>
  <c r="C356" i="2"/>
  <c r="D356" i="2"/>
  <c r="E356" i="2"/>
  <c r="F356" i="2"/>
  <c r="G356" i="2"/>
  <c r="H356" i="2"/>
  <c r="I356" i="2"/>
  <c r="B357" i="2"/>
  <c r="C357" i="2"/>
  <c r="D357" i="2"/>
  <c r="E357" i="2"/>
  <c r="F357" i="2"/>
  <c r="G357" i="2"/>
  <c r="H357" i="2"/>
  <c r="I357" i="2"/>
  <c r="B358" i="2"/>
  <c r="C358" i="2"/>
  <c r="D358" i="2"/>
  <c r="E358" i="2"/>
  <c r="F358" i="2"/>
  <c r="G358" i="2"/>
  <c r="H358" i="2"/>
  <c r="I358" i="2"/>
  <c r="B359" i="2"/>
  <c r="C359" i="2"/>
  <c r="D359" i="2"/>
  <c r="E359" i="2"/>
  <c r="F359" i="2"/>
  <c r="G359" i="2"/>
  <c r="H359" i="2"/>
  <c r="I359" i="2"/>
  <c r="B360" i="2"/>
  <c r="C360" i="2"/>
  <c r="D360" i="2"/>
  <c r="E360" i="2"/>
  <c r="F360" i="2"/>
  <c r="G360" i="2"/>
  <c r="H360" i="2"/>
  <c r="I360" i="2"/>
  <c r="B361" i="2"/>
  <c r="C361" i="2"/>
  <c r="D361" i="2"/>
  <c r="E361" i="2"/>
  <c r="F361" i="2"/>
  <c r="G361" i="2"/>
  <c r="H361" i="2"/>
  <c r="I361" i="2"/>
  <c r="B362" i="2"/>
  <c r="C362" i="2"/>
  <c r="D362" i="2"/>
  <c r="E362" i="2"/>
  <c r="F362" i="2"/>
  <c r="G362" i="2"/>
  <c r="H362" i="2"/>
  <c r="I362" i="2"/>
  <c r="B363" i="2"/>
  <c r="C363" i="2"/>
  <c r="D363" i="2"/>
  <c r="E363" i="2"/>
  <c r="F363" i="2"/>
  <c r="G363" i="2"/>
  <c r="H363" i="2"/>
  <c r="I363" i="2"/>
  <c r="B364" i="2"/>
  <c r="C364" i="2"/>
  <c r="D364" i="2"/>
  <c r="E364" i="2"/>
  <c r="F364" i="2"/>
  <c r="G364" i="2"/>
  <c r="H364" i="2"/>
  <c r="I364" i="2"/>
  <c r="B365" i="2"/>
  <c r="C365" i="2"/>
  <c r="D365" i="2"/>
  <c r="E365" i="2"/>
  <c r="F365" i="2"/>
  <c r="G365" i="2"/>
  <c r="H365" i="2"/>
  <c r="I365" i="2"/>
  <c r="B366" i="2"/>
  <c r="C366" i="2"/>
  <c r="D366" i="2"/>
  <c r="E366" i="2"/>
  <c r="F366" i="2"/>
  <c r="G366" i="2"/>
  <c r="H366" i="2"/>
  <c r="I366" i="2"/>
  <c r="B367" i="2"/>
  <c r="C367" i="2"/>
  <c r="D367" i="2"/>
  <c r="E367" i="2"/>
  <c r="F367" i="2"/>
  <c r="G367" i="2"/>
  <c r="H367" i="2"/>
  <c r="I367" i="2"/>
  <c r="B368" i="2"/>
  <c r="C368" i="2"/>
  <c r="D368" i="2"/>
  <c r="E368" i="2"/>
  <c r="F368" i="2"/>
  <c r="G368" i="2"/>
  <c r="H368" i="2"/>
  <c r="I368" i="2"/>
  <c r="B369" i="2"/>
  <c r="C369" i="2"/>
  <c r="D369" i="2"/>
  <c r="E369" i="2"/>
  <c r="F369" i="2"/>
  <c r="G369" i="2"/>
  <c r="H369" i="2"/>
  <c r="I369" i="2"/>
  <c r="B370" i="2"/>
  <c r="C370" i="2"/>
  <c r="D370" i="2"/>
  <c r="E370" i="2"/>
  <c r="F370" i="2"/>
  <c r="G370" i="2"/>
  <c r="H370" i="2"/>
  <c r="I370" i="2"/>
  <c r="B371" i="2"/>
  <c r="C371" i="2"/>
  <c r="D371" i="2"/>
  <c r="E371" i="2"/>
  <c r="F371" i="2"/>
  <c r="G371" i="2"/>
  <c r="H371" i="2"/>
  <c r="I371" i="2"/>
  <c r="B372" i="2"/>
  <c r="C372" i="2"/>
  <c r="D372" i="2"/>
  <c r="E372" i="2"/>
  <c r="F372" i="2"/>
  <c r="G372" i="2"/>
  <c r="H372" i="2"/>
  <c r="I372" i="2"/>
  <c r="B373" i="2"/>
  <c r="C373" i="2"/>
  <c r="D373" i="2"/>
  <c r="E373" i="2"/>
  <c r="F373" i="2"/>
  <c r="G373" i="2"/>
  <c r="H373" i="2"/>
  <c r="I373" i="2"/>
  <c r="B374" i="2"/>
  <c r="C374" i="2"/>
  <c r="D374" i="2"/>
  <c r="E374" i="2"/>
  <c r="F374" i="2"/>
  <c r="G374" i="2"/>
  <c r="H374" i="2"/>
  <c r="I374" i="2"/>
  <c r="B375" i="2"/>
  <c r="C375" i="2"/>
  <c r="D375" i="2"/>
  <c r="E375" i="2"/>
  <c r="F375" i="2"/>
  <c r="G375" i="2"/>
  <c r="H375" i="2"/>
  <c r="I375" i="2"/>
  <c r="B376" i="2"/>
  <c r="C376" i="2"/>
  <c r="D376" i="2"/>
  <c r="E376" i="2"/>
  <c r="F376" i="2"/>
  <c r="G376" i="2"/>
  <c r="H376" i="2"/>
  <c r="I376" i="2"/>
  <c r="B377" i="2"/>
  <c r="C377" i="2"/>
  <c r="D377" i="2"/>
  <c r="E377" i="2"/>
  <c r="F377" i="2"/>
  <c r="G377" i="2"/>
  <c r="H377" i="2"/>
  <c r="I377" i="2"/>
  <c r="B378" i="2"/>
  <c r="C378" i="2"/>
  <c r="D378" i="2"/>
  <c r="E378" i="2"/>
  <c r="F378" i="2"/>
  <c r="G378" i="2"/>
  <c r="H378" i="2"/>
  <c r="I378" i="2"/>
  <c r="B379" i="2"/>
  <c r="C379" i="2"/>
  <c r="D379" i="2"/>
  <c r="E379" i="2"/>
  <c r="F379" i="2"/>
  <c r="G379" i="2"/>
  <c r="H379" i="2"/>
  <c r="I379" i="2"/>
  <c r="B380" i="2"/>
  <c r="C380" i="2"/>
  <c r="D380" i="2"/>
  <c r="E380" i="2"/>
  <c r="F380" i="2"/>
  <c r="G380" i="2"/>
  <c r="H380" i="2"/>
  <c r="I380" i="2"/>
  <c r="B381" i="2"/>
  <c r="C381" i="2"/>
  <c r="D381" i="2"/>
  <c r="E381" i="2"/>
  <c r="F381" i="2"/>
  <c r="G381" i="2"/>
  <c r="H381" i="2"/>
  <c r="I381" i="2"/>
  <c r="B382" i="2"/>
  <c r="C382" i="2"/>
  <c r="D382" i="2"/>
  <c r="E382" i="2"/>
  <c r="F382" i="2"/>
  <c r="G382" i="2"/>
  <c r="H382" i="2"/>
  <c r="I382" i="2"/>
  <c r="B383" i="2"/>
  <c r="C383" i="2"/>
  <c r="D383" i="2"/>
  <c r="E383" i="2"/>
  <c r="F383" i="2"/>
  <c r="G383" i="2"/>
  <c r="H383" i="2"/>
  <c r="I383" i="2"/>
  <c r="B384" i="2"/>
  <c r="C384" i="2"/>
  <c r="D384" i="2"/>
  <c r="E384" i="2"/>
  <c r="F384" i="2"/>
  <c r="G384" i="2"/>
  <c r="H384" i="2"/>
  <c r="I384" i="2"/>
  <c r="B385" i="2"/>
  <c r="C385" i="2"/>
  <c r="D385" i="2"/>
  <c r="E385" i="2"/>
  <c r="F385" i="2"/>
  <c r="G385" i="2"/>
  <c r="H385" i="2"/>
  <c r="I385" i="2"/>
  <c r="B386" i="2"/>
  <c r="C386" i="2"/>
  <c r="D386" i="2"/>
  <c r="E386" i="2"/>
  <c r="F386" i="2"/>
  <c r="G386" i="2"/>
  <c r="H386" i="2"/>
  <c r="I386" i="2"/>
  <c r="B387" i="2"/>
  <c r="C387" i="2"/>
  <c r="D387" i="2"/>
  <c r="E387" i="2"/>
  <c r="F387" i="2"/>
  <c r="G387" i="2"/>
  <c r="H387" i="2"/>
  <c r="I387" i="2"/>
  <c r="B388" i="2"/>
  <c r="C388" i="2"/>
  <c r="D388" i="2"/>
  <c r="E388" i="2"/>
  <c r="F388" i="2"/>
  <c r="G388" i="2"/>
  <c r="H388" i="2"/>
  <c r="I388" i="2"/>
  <c r="B389" i="2"/>
  <c r="C389" i="2"/>
  <c r="D389" i="2"/>
  <c r="E389" i="2"/>
  <c r="F389" i="2"/>
  <c r="G389" i="2"/>
  <c r="H389" i="2"/>
  <c r="I389" i="2"/>
  <c r="B390" i="2"/>
  <c r="C390" i="2"/>
  <c r="D390" i="2"/>
  <c r="E390" i="2"/>
  <c r="F390" i="2"/>
  <c r="G390" i="2"/>
  <c r="H390" i="2"/>
  <c r="I390" i="2"/>
  <c r="B391" i="2"/>
  <c r="C391" i="2"/>
  <c r="D391" i="2"/>
  <c r="E391" i="2"/>
  <c r="F391" i="2"/>
  <c r="G391" i="2"/>
  <c r="H391" i="2"/>
  <c r="I391" i="2"/>
  <c r="B392" i="2"/>
  <c r="C392" i="2"/>
  <c r="D392" i="2"/>
  <c r="E392" i="2"/>
  <c r="F392" i="2"/>
  <c r="G392" i="2"/>
  <c r="H392" i="2"/>
  <c r="I392" i="2"/>
  <c r="B393" i="2"/>
  <c r="C393" i="2"/>
  <c r="D393" i="2"/>
  <c r="E393" i="2"/>
  <c r="F393" i="2"/>
  <c r="G393" i="2"/>
  <c r="H393" i="2"/>
  <c r="I393" i="2"/>
  <c r="B394" i="2"/>
  <c r="C394" i="2"/>
  <c r="D394" i="2"/>
  <c r="E394" i="2"/>
  <c r="F394" i="2"/>
  <c r="G394" i="2"/>
  <c r="H394" i="2"/>
  <c r="I394" i="2"/>
  <c r="B395" i="2"/>
  <c r="C395" i="2"/>
  <c r="D395" i="2"/>
  <c r="E395" i="2"/>
  <c r="F395" i="2"/>
  <c r="G395" i="2"/>
  <c r="H395" i="2"/>
  <c r="I395" i="2"/>
  <c r="B396" i="2"/>
  <c r="C396" i="2"/>
  <c r="D396" i="2"/>
  <c r="E396" i="2"/>
  <c r="F396" i="2"/>
  <c r="G396" i="2"/>
  <c r="H396" i="2"/>
  <c r="I396" i="2"/>
  <c r="B397" i="2"/>
  <c r="C397" i="2"/>
  <c r="D397" i="2"/>
  <c r="E397" i="2"/>
  <c r="F397" i="2"/>
  <c r="G397" i="2"/>
  <c r="H397" i="2"/>
  <c r="I397" i="2"/>
  <c r="B398" i="2"/>
  <c r="C398" i="2"/>
  <c r="D398" i="2"/>
  <c r="E398" i="2"/>
  <c r="F398" i="2"/>
  <c r="G398" i="2"/>
  <c r="H398" i="2"/>
  <c r="I398" i="2"/>
  <c r="B399" i="2"/>
  <c r="C399" i="2"/>
  <c r="D399" i="2"/>
  <c r="E399" i="2"/>
  <c r="F399" i="2"/>
  <c r="G399" i="2"/>
  <c r="H399" i="2"/>
  <c r="I399" i="2"/>
  <c r="B400" i="2"/>
  <c r="C400" i="2"/>
  <c r="D400" i="2"/>
  <c r="E400" i="2"/>
  <c r="F400" i="2"/>
  <c r="G400" i="2"/>
  <c r="H400" i="2"/>
  <c r="I400" i="2"/>
  <c r="B401" i="2"/>
  <c r="C401" i="2"/>
  <c r="D401" i="2"/>
  <c r="E401" i="2"/>
  <c r="F401" i="2"/>
  <c r="G401" i="2"/>
  <c r="H401" i="2"/>
  <c r="I401" i="2"/>
  <c r="B402" i="2"/>
  <c r="C402" i="2"/>
  <c r="D402" i="2"/>
  <c r="E402" i="2"/>
  <c r="F402" i="2"/>
  <c r="G402" i="2"/>
  <c r="H402" i="2"/>
  <c r="I402" i="2"/>
  <c r="B403" i="2"/>
  <c r="C403" i="2"/>
  <c r="D403" i="2"/>
  <c r="E403" i="2"/>
  <c r="F403" i="2"/>
  <c r="G403" i="2"/>
  <c r="H403" i="2"/>
  <c r="I403" i="2"/>
  <c r="B404" i="2"/>
  <c r="C404" i="2"/>
  <c r="D404" i="2"/>
  <c r="E404" i="2"/>
  <c r="F404" i="2"/>
  <c r="G404" i="2"/>
  <c r="H404" i="2"/>
  <c r="I404" i="2"/>
  <c r="B405" i="2"/>
  <c r="C405" i="2"/>
  <c r="D405" i="2"/>
  <c r="E405" i="2"/>
  <c r="F405" i="2"/>
  <c r="G405" i="2"/>
  <c r="H405" i="2"/>
  <c r="I405" i="2"/>
  <c r="B406" i="2"/>
  <c r="C406" i="2"/>
  <c r="D406" i="2"/>
  <c r="E406" i="2"/>
  <c r="F406" i="2"/>
  <c r="G406" i="2"/>
  <c r="H406" i="2"/>
  <c r="I406" i="2"/>
  <c r="B407" i="2"/>
  <c r="C407" i="2"/>
  <c r="D407" i="2"/>
  <c r="E407" i="2"/>
  <c r="F407" i="2"/>
  <c r="G407" i="2"/>
  <c r="H407" i="2"/>
  <c r="I407" i="2"/>
  <c r="B408" i="2"/>
  <c r="C408" i="2"/>
  <c r="D408" i="2"/>
  <c r="E408" i="2"/>
  <c r="F408" i="2"/>
  <c r="G408" i="2"/>
  <c r="H408" i="2"/>
  <c r="I408" i="2"/>
  <c r="B409" i="2"/>
  <c r="C409" i="2"/>
  <c r="D409" i="2"/>
  <c r="E409" i="2"/>
  <c r="F409" i="2"/>
  <c r="G409" i="2"/>
  <c r="H409" i="2"/>
  <c r="I409" i="2"/>
  <c r="B410" i="2"/>
  <c r="C410" i="2"/>
  <c r="D410" i="2"/>
  <c r="E410" i="2"/>
  <c r="F410" i="2"/>
  <c r="G410" i="2"/>
  <c r="H410" i="2"/>
  <c r="I410" i="2"/>
  <c r="B411" i="2"/>
  <c r="C411" i="2"/>
  <c r="D411" i="2"/>
  <c r="E411" i="2"/>
  <c r="F411" i="2"/>
  <c r="G411" i="2"/>
  <c r="H411" i="2"/>
  <c r="I411" i="2"/>
  <c r="B412" i="2"/>
  <c r="C412" i="2"/>
  <c r="D412" i="2"/>
  <c r="E412" i="2"/>
  <c r="F412" i="2"/>
  <c r="G412" i="2"/>
  <c r="H412" i="2"/>
  <c r="I412" i="2"/>
  <c r="B413" i="2"/>
  <c r="C413" i="2"/>
  <c r="D413" i="2"/>
  <c r="E413" i="2"/>
  <c r="F413" i="2"/>
  <c r="G413" i="2"/>
  <c r="H413" i="2"/>
  <c r="I413" i="2"/>
  <c r="B414" i="2"/>
  <c r="C414" i="2"/>
  <c r="D414" i="2"/>
  <c r="E414" i="2"/>
  <c r="F414" i="2"/>
  <c r="G414" i="2"/>
  <c r="H414" i="2"/>
  <c r="I414" i="2"/>
  <c r="B415" i="2"/>
  <c r="C415" i="2"/>
  <c r="D415" i="2"/>
  <c r="E415" i="2"/>
  <c r="F415" i="2"/>
  <c r="G415" i="2"/>
  <c r="H415" i="2"/>
  <c r="I415" i="2"/>
  <c r="B416" i="2"/>
  <c r="C416" i="2"/>
  <c r="D416" i="2"/>
  <c r="E416" i="2"/>
  <c r="F416" i="2"/>
  <c r="G416" i="2"/>
  <c r="H416" i="2"/>
  <c r="I416" i="2"/>
  <c r="B417" i="2"/>
  <c r="C417" i="2"/>
  <c r="D417" i="2"/>
  <c r="E417" i="2"/>
  <c r="F417" i="2"/>
  <c r="G417" i="2"/>
  <c r="H417" i="2"/>
  <c r="I417" i="2"/>
  <c r="B418" i="2"/>
  <c r="C418" i="2"/>
  <c r="D418" i="2"/>
  <c r="E418" i="2"/>
  <c r="F418" i="2"/>
  <c r="G418" i="2"/>
  <c r="H418" i="2"/>
  <c r="I418" i="2"/>
  <c r="B419" i="2"/>
  <c r="C419" i="2"/>
  <c r="D419" i="2"/>
  <c r="E419" i="2"/>
  <c r="F419" i="2"/>
  <c r="G419" i="2"/>
  <c r="H419" i="2"/>
  <c r="I419" i="2"/>
  <c r="B420" i="2"/>
  <c r="C420" i="2"/>
  <c r="D420" i="2"/>
  <c r="E420" i="2"/>
  <c r="F420" i="2"/>
  <c r="G420" i="2"/>
  <c r="H420" i="2"/>
  <c r="I420" i="2"/>
  <c r="B421" i="2"/>
  <c r="C421" i="2"/>
  <c r="D421" i="2"/>
  <c r="E421" i="2"/>
  <c r="F421" i="2"/>
  <c r="G421" i="2"/>
  <c r="H421" i="2"/>
  <c r="I421" i="2"/>
  <c r="B422" i="2"/>
  <c r="C422" i="2"/>
  <c r="D422" i="2"/>
  <c r="E422" i="2"/>
  <c r="F422" i="2"/>
  <c r="G422" i="2"/>
  <c r="H422" i="2"/>
  <c r="I422" i="2"/>
  <c r="B423" i="2"/>
  <c r="C423" i="2"/>
  <c r="D423" i="2"/>
  <c r="E423" i="2"/>
  <c r="F423" i="2"/>
  <c r="G423" i="2"/>
  <c r="H423" i="2"/>
  <c r="I423" i="2"/>
  <c r="B424" i="2"/>
  <c r="C424" i="2"/>
  <c r="D424" i="2"/>
  <c r="E424" i="2"/>
  <c r="F424" i="2"/>
  <c r="G424" i="2"/>
  <c r="H424" i="2"/>
  <c r="I424" i="2"/>
  <c r="B425" i="2"/>
  <c r="C425" i="2"/>
  <c r="D425" i="2"/>
  <c r="E425" i="2"/>
  <c r="F425" i="2"/>
  <c r="G425" i="2"/>
  <c r="H425" i="2"/>
  <c r="I425" i="2"/>
  <c r="B426" i="2"/>
  <c r="C426" i="2"/>
  <c r="D426" i="2"/>
  <c r="E426" i="2"/>
  <c r="F426" i="2"/>
  <c r="G426" i="2"/>
  <c r="H426" i="2"/>
  <c r="I426" i="2"/>
  <c r="B427" i="2"/>
  <c r="C427" i="2"/>
  <c r="D427" i="2"/>
  <c r="E427" i="2"/>
  <c r="F427" i="2"/>
  <c r="G427" i="2"/>
  <c r="H427" i="2"/>
  <c r="I427" i="2"/>
  <c r="B428" i="2"/>
  <c r="C428" i="2"/>
  <c r="D428" i="2"/>
  <c r="E428" i="2"/>
  <c r="F428" i="2"/>
  <c r="G428" i="2"/>
  <c r="H428" i="2"/>
  <c r="I428" i="2"/>
  <c r="B429" i="2"/>
  <c r="C429" i="2"/>
  <c r="D429" i="2"/>
  <c r="E429" i="2"/>
  <c r="F429" i="2"/>
  <c r="G429" i="2"/>
  <c r="H429" i="2"/>
  <c r="I429" i="2"/>
  <c r="B430" i="2"/>
  <c r="C430" i="2"/>
  <c r="D430" i="2"/>
  <c r="E430" i="2"/>
  <c r="F430" i="2"/>
  <c r="G430" i="2"/>
  <c r="H430" i="2"/>
  <c r="I430" i="2"/>
  <c r="B431" i="2"/>
  <c r="C431" i="2"/>
  <c r="D431" i="2"/>
  <c r="E431" i="2"/>
  <c r="F431" i="2"/>
  <c r="G431" i="2"/>
  <c r="H431" i="2"/>
  <c r="I431" i="2"/>
  <c r="B432" i="2"/>
  <c r="C432" i="2"/>
  <c r="D432" i="2"/>
  <c r="E432" i="2"/>
  <c r="F432" i="2"/>
  <c r="G432" i="2"/>
  <c r="H432" i="2"/>
  <c r="I432" i="2"/>
  <c r="B433" i="2"/>
  <c r="C433" i="2"/>
  <c r="D433" i="2"/>
  <c r="E433" i="2"/>
  <c r="F433" i="2"/>
  <c r="G433" i="2"/>
  <c r="H433" i="2"/>
  <c r="I433" i="2"/>
  <c r="B434" i="2"/>
  <c r="C434" i="2"/>
  <c r="D434" i="2"/>
  <c r="E434" i="2"/>
  <c r="F434" i="2"/>
  <c r="G434" i="2"/>
  <c r="H434" i="2"/>
  <c r="I434" i="2"/>
  <c r="B435" i="2"/>
  <c r="C435" i="2"/>
  <c r="D435" i="2"/>
  <c r="E435" i="2"/>
  <c r="F435" i="2"/>
  <c r="G435" i="2"/>
  <c r="H435" i="2"/>
  <c r="I435" i="2"/>
  <c r="B436" i="2"/>
  <c r="C436" i="2"/>
  <c r="D436" i="2"/>
  <c r="E436" i="2"/>
  <c r="F436" i="2"/>
  <c r="G436" i="2"/>
  <c r="H436" i="2"/>
  <c r="I436" i="2"/>
  <c r="B437" i="2"/>
  <c r="C437" i="2"/>
  <c r="D437" i="2"/>
  <c r="E437" i="2"/>
  <c r="F437" i="2"/>
  <c r="G437" i="2"/>
  <c r="H437" i="2"/>
  <c r="I437" i="2"/>
  <c r="B438" i="2"/>
  <c r="C438" i="2"/>
  <c r="D438" i="2"/>
  <c r="E438" i="2"/>
  <c r="F438" i="2"/>
  <c r="G438" i="2"/>
  <c r="H438" i="2"/>
  <c r="I438" i="2"/>
  <c r="B439" i="2"/>
  <c r="C439" i="2"/>
  <c r="D439" i="2"/>
  <c r="E439" i="2"/>
  <c r="F439" i="2"/>
  <c r="G439" i="2"/>
  <c r="H439" i="2"/>
  <c r="I439" i="2"/>
  <c r="B440" i="2"/>
  <c r="C440" i="2"/>
  <c r="D440" i="2"/>
  <c r="E440" i="2"/>
  <c r="F440" i="2"/>
  <c r="G440" i="2"/>
  <c r="H440" i="2"/>
  <c r="I440" i="2"/>
  <c r="B441" i="2"/>
  <c r="C441" i="2"/>
  <c r="D441" i="2"/>
  <c r="E441" i="2"/>
  <c r="F441" i="2"/>
  <c r="G441" i="2"/>
  <c r="H441" i="2"/>
  <c r="I441" i="2"/>
  <c r="B442" i="2"/>
  <c r="C442" i="2"/>
  <c r="D442" i="2"/>
  <c r="E442" i="2"/>
  <c r="F442" i="2"/>
  <c r="G442" i="2"/>
  <c r="H442" i="2"/>
  <c r="I442" i="2"/>
  <c r="B443" i="2"/>
  <c r="C443" i="2"/>
  <c r="D443" i="2"/>
  <c r="E443" i="2"/>
  <c r="F443" i="2"/>
  <c r="G443" i="2"/>
  <c r="H443" i="2"/>
  <c r="I443" i="2"/>
  <c r="B444" i="2"/>
  <c r="C444" i="2"/>
  <c r="D444" i="2"/>
  <c r="E444" i="2"/>
  <c r="F444" i="2"/>
  <c r="G444" i="2"/>
  <c r="H444" i="2"/>
  <c r="I444" i="2"/>
  <c r="B445" i="2"/>
  <c r="C445" i="2"/>
  <c r="D445" i="2"/>
  <c r="E445" i="2"/>
  <c r="F445" i="2"/>
  <c r="G445" i="2"/>
  <c r="H445" i="2"/>
  <c r="I445" i="2"/>
  <c r="B446" i="2"/>
  <c r="C446" i="2"/>
  <c r="D446" i="2"/>
  <c r="E446" i="2"/>
  <c r="F446" i="2"/>
  <c r="G446" i="2"/>
  <c r="H446" i="2"/>
  <c r="I446" i="2"/>
  <c r="B447" i="2"/>
  <c r="C447" i="2"/>
  <c r="D447" i="2"/>
  <c r="E447" i="2"/>
  <c r="F447" i="2"/>
  <c r="G447" i="2"/>
  <c r="H447" i="2"/>
  <c r="I447" i="2"/>
  <c r="B448" i="2"/>
  <c r="C448" i="2"/>
  <c r="D448" i="2"/>
  <c r="E448" i="2"/>
  <c r="F448" i="2"/>
  <c r="G448" i="2"/>
  <c r="H448" i="2"/>
  <c r="I448" i="2"/>
  <c r="B449" i="2"/>
  <c r="C449" i="2"/>
  <c r="D449" i="2"/>
  <c r="E449" i="2"/>
  <c r="F449" i="2"/>
  <c r="G449" i="2"/>
  <c r="H449" i="2"/>
  <c r="I449" i="2"/>
  <c r="B450" i="2"/>
  <c r="C450" i="2"/>
  <c r="D450" i="2"/>
  <c r="E450" i="2"/>
  <c r="F450" i="2"/>
  <c r="G450" i="2"/>
  <c r="H450" i="2"/>
  <c r="I450" i="2"/>
  <c r="B451" i="2"/>
  <c r="C451" i="2"/>
  <c r="D451" i="2"/>
  <c r="E451" i="2"/>
  <c r="F451" i="2"/>
  <c r="G451" i="2"/>
  <c r="H451" i="2"/>
  <c r="I451" i="2"/>
  <c r="B452" i="2"/>
  <c r="C452" i="2"/>
  <c r="D452" i="2"/>
  <c r="E452" i="2"/>
  <c r="F452" i="2"/>
  <c r="G452" i="2"/>
  <c r="H452" i="2"/>
  <c r="I452" i="2"/>
  <c r="B453" i="2"/>
  <c r="C453" i="2"/>
  <c r="D453" i="2"/>
  <c r="E453" i="2"/>
  <c r="F453" i="2"/>
  <c r="G453" i="2"/>
  <c r="H453" i="2"/>
  <c r="I453" i="2"/>
  <c r="B454" i="2"/>
  <c r="C454" i="2"/>
  <c r="D454" i="2"/>
  <c r="E454" i="2"/>
  <c r="F454" i="2"/>
  <c r="G454" i="2"/>
  <c r="H454" i="2"/>
  <c r="I454" i="2"/>
  <c r="B455" i="2"/>
  <c r="C455" i="2"/>
  <c r="D455" i="2"/>
  <c r="E455" i="2"/>
  <c r="F455" i="2"/>
  <c r="G455" i="2"/>
  <c r="H455" i="2"/>
  <c r="I455" i="2"/>
  <c r="B456" i="2"/>
  <c r="C456" i="2"/>
  <c r="D456" i="2"/>
  <c r="E456" i="2"/>
  <c r="F456" i="2"/>
  <c r="G456" i="2"/>
  <c r="H456" i="2"/>
  <c r="I456" i="2"/>
  <c r="B457" i="2"/>
  <c r="C457" i="2"/>
  <c r="D457" i="2"/>
  <c r="E457" i="2"/>
  <c r="F457" i="2"/>
  <c r="G457" i="2"/>
  <c r="H457" i="2"/>
  <c r="I457" i="2"/>
  <c r="B458" i="2"/>
  <c r="C458" i="2"/>
  <c r="D458" i="2"/>
  <c r="E458" i="2"/>
  <c r="F458" i="2"/>
  <c r="G458" i="2"/>
  <c r="H458" i="2"/>
  <c r="I458" i="2"/>
  <c r="B459" i="2"/>
  <c r="C459" i="2"/>
  <c r="D459" i="2"/>
  <c r="E459" i="2"/>
  <c r="F459" i="2"/>
  <c r="G459" i="2"/>
  <c r="H459" i="2"/>
  <c r="I459" i="2"/>
  <c r="B460" i="2"/>
  <c r="C460" i="2"/>
  <c r="D460" i="2"/>
  <c r="E460" i="2"/>
  <c r="F460" i="2"/>
  <c r="G460" i="2"/>
  <c r="H460" i="2"/>
  <c r="I460" i="2"/>
  <c r="B461" i="2"/>
  <c r="C461" i="2"/>
  <c r="D461" i="2"/>
  <c r="E461" i="2"/>
  <c r="F461" i="2"/>
  <c r="G461" i="2"/>
  <c r="H461" i="2"/>
  <c r="I461" i="2"/>
  <c r="B462" i="2"/>
  <c r="C462" i="2"/>
  <c r="D462" i="2"/>
  <c r="E462" i="2"/>
  <c r="F462" i="2"/>
  <c r="G462" i="2"/>
  <c r="H462" i="2"/>
  <c r="I462" i="2"/>
  <c r="B463" i="2"/>
  <c r="C463" i="2"/>
  <c r="D463" i="2"/>
  <c r="E463" i="2"/>
  <c r="F463" i="2"/>
  <c r="G463" i="2"/>
  <c r="H463" i="2"/>
  <c r="I463" i="2"/>
  <c r="B464" i="2"/>
  <c r="C464" i="2"/>
  <c r="D464" i="2"/>
  <c r="E464" i="2"/>
  <c r="F464" i="2"/>
  <c r="G464" i="2"/>
  <c r="H464" i="2"/>
  <c r="I464" i="2"/>
  <c r="B465" i="2"/>
  <c r="C465" i="2"/>
  <c r="D465" i="2"/>
  <c r="E465" i="2"/>
  <c r="F465" i="2"/>
  <c r="G465" i="2"/>
  <c r="H465" i="2"/>
  <c r="I465" i="2"/>
  <c r="B466" i="2"/>
  <c r="C466" i="2"/>
  <c r="D466" i="2"/>
  <c r="E466" i="2"/>
  <c r="F466" i="2"/>
  <c r="G466" i="2"/>
  <c r="H466" i="2"/>
  <c r="I466" i="2"/>
  <c r="B467" i="2"/>
  <c r="C467" i="2"/>
  <c r="D467" i="2"/>
  <c r="E467" i="2"/>
  <c r="F467" i="2"/>
  <c r="G467" i="2"/>
  <c r="H467" i="2"/>
  <c r="I467" i="2"/>
  <c r="B468" i="2"/>
  <c r="C468" i="2"/>
  <c r="D468" i="2"/>
  <c r="E468" i="2"/>
  <c r="F468" i="2"/>
  <c r="G468" i="2"/>
  <c r="H468" i="2"/>
  <c r="I468" i="2"/>
  <c r="B469" i="2"/>
  <c r="C469" i="2"/>
  <c r="D469" i="2"/>
  <c r="E469" i="2"/>
  <c r="F469" i="2"/>
  <c r="G469" i="2"/>
  <c r="H469" i="2"/>
  <c r="I469" i="2"/>
  <c r="B470" i="2"/>
  <c r="C470" i="2"/>
  <c r="D470" i="2"/>
  <c r="E470" i="2"/>
  <c r="F470" i="2"/>
  <c r="G470" i="2"/>
  <c r="H470" i="2"/>
  <c r="I470" i="2"/>
  <c r="B471" i="2"/>
  <c r="C471" i="2"/>
  <c r="D471" i="2"/>
  <c r="E471" i="2"/>
  <c r="F471" i="2"/>
  <c r="G471" i="2"/>
  <c r="H471" i="2"/>
  <c r="I471" i="2"/>
  <c r="B472" i="2"/>
  <c r="C472" i="2"/>
  <c r="D472" i="2"/>
  <c r="E472" i="2"/>
  <c r="F472" i="2"/>
  <c r="G472" i="2"/>
  <c r="H472" i="2"/>
  <c r="I472" i="2"/>
  <c r="B473" i="2"/>
  <c r="C473" i="2"/>
  <c r="D473" i="2"/>
  <c r="E473" i="2"/>
  <c r="F473" i="2"/>
  <c r="G473" i="2"/>
  <c r="H473" i="2"/>
  <c r="I473" i="2"/>
  <c r="B474" i="2"/>
  <c r="C474" i="2"/>
  <c r="D474" i="2"/>
  <c r="E474" i="2"/>
  <c r="F474" i="2"/>
  <c r="G474" i="2"/>
  <c r="H474" i="2"/>
  <c r="I474" i="2"/>
  <c r="B475" i="2"/>
  <c r="C475" i="2"/>
  <c r="D475" i="2"/>
  <c r="E475" i="2"/>
  <c r="F475" i="2"/>
  <c r="G475" i="2"/>
  <c r="H475" i="2"/>
  <c r="I475" i="2"/>
  <c r="B476" i="2"/>
  <c r="C476" i="2"/>
  <c r="D476" i="2"/>
  <c r="E476" i="2"/>
  <c r="F476" i="2"/>
  <c r="G476" i="2"/>
  <c r="H476" i="2"/>
  <c r="I476" i="2"/>
  <c r="B477" i="2"/>
  <c r="C477" i="2"/>
  <c r="D477" i="2"/>
  <c r="E477" i="2"/>
  <c r="F477" i="2"/>
  <c r="G477" i="2"/>
  <c r="H477" i="2"/>
  <c r="I477" i="2"/>
  <c r="B478" i="2"/>
  <c r="C478" i="2"/>
  <c r="D478" i="2"/>
  <c r="E478" i="2"/>
  <c r="F478" i="2"/>
  <c r="G478" i="2"/>
  <c r="H478" i="2"/>
  <c r="I478" i="2"/>
  <c r="B479" i="2"/>
  <c r="C479" i="2"/>
  <c r="D479" i="2"/>
  <c r="E479" i="2"/>
  <c r="F479" i="2"/>
  <c r="G479" i="2"/>
  <c r="H479" i="2"/>
  <c r="I479" i="2"/>
  <c r="B480" i="2"/>
  <c r="C480" i="2"/>
  <c r="D480" i="2"/>
  <c r="E480" i="2"/>
  <c r="F480" i="2"/>
  <c r="G480" i="2"/>
  <c r="H480" i="2"/>
  <c r="I480" i="2"/>
  <c r="B481" i="2"/>
  <c r="C481" i="2"/>
  <c r="D481" i="2"/>
  <c r="E481" i="2"/>
  <c r="F481" i="2"/>
  <c r="G481" i="2"/>
  <c r="H481" i="2"/>
  <c r="I481" i="2"/>
  <c r="B482" i="2"/>
  <c r="C482" i="2"/>
  <c r="D482" i="2"/>
  <c r="E482" i="2"/>
  <c r="F482" i="2"/>
  <c r="G482" i="2"/>
  <c r="H482" i="2"/>
  <c r="I482" i="2"/>
  <c r="B483" i="2"/>
  <c r="C483" i="2"/>
  <c r="D483" i="2"/>
  <c r="E483" i="2"/>
  <c r="F483" i="2"/>
  <c r="G483" i="2"/>
  <c r="H483" i="2"/>
  <c r="I483" i="2"/>
  <c r="B484" i="2"/>
  <c r="C484" i="2"/>
  <c r="D484" i="2"/>
  <c r="E484" i="2"/>
  <c r="F484" i="2"/>
  <c r="G484" i="2"/>
  <c r="H484" i="2"/>
  <c r="I484" i="2"/>
  <c r="B485" i="2"/>
  <c r="C485" i="2"/>
  <c r="D485" i="2"/>
  <c r="E485" i="2"/>
  <c r="F485" i="2"/>
  <c r="G485" i="2"/>
  <c r="H485" i="2"/>
  <c r="I485" i="2"/>
  <c r="B486" i="2"/>
  <c r="C486" i="2"/>
  <c r="D486" i="2"/>
  <c r="E486" i="2"/>
  <c r="F486" i="2"/>
  <c r="G486" i="2"/>
  <c r="H486" i="2"/>
  <c r="I486" i="2"/>
  <c r="B487" i="2"/>
  <c r="C487" i="2"/>
  <c r="D487" i="2"/>
  <c r="E487" i="2"/>
  <c r="F487" i="2"/>
  <c r="G487" i="2"/>
  <c r="H487" i="2"/>
  <c r="I487" i="2"/>
  <c r="B488" i="2"/>
  <c r="C488" i="2"/>
  <c r="D488" i="2"/>
  <c r="E488" i="2"/>
  <c r="F488" i="2"/>
  <c r="G488" i="2"/>
  <c r="H488" i="2"/>
  <c r="I488" i="2"/>
  <c r="B489" i="2"/>
  <c r="C489" i="2"/>
  <c r="D489" i="2"/>
  <c r="E489" i="2"/>
  <c r="F489" i="2"/>
  <c r="G489" i="2"/>
  <c r="H489" i="2"/>
  <c r="I489" i="2"/>
  <c r="B490" i="2"/>
  <c r="C490" i="2"/>
  <c r="D490" i="2"/>
  <c r="E490" i="2"/>
  <c r="F490" i="2"/>
  <c r="G490" i="2"/>
  <c r="H490" i="2"/>
  <c r="I490" i="2"/>
  <c r="B491" i="2"/>
  <c r="C491" i="2"/>
  <c r="D491" i="2"/>
  <c r="E491" i="2"/>
  <c r="F491" i="2"/>
  <c r="G491" i="2"/>
  <c r="H491" i="2"/>
  <c r="I491" i="2"/>
  <c r="B492" i="2"/>
  <c r="C492" i="2"/>
  <c r="D492" i="2"/>
  <c r="E492" i="2"/>
  <c r="F492" i="2"/>
  <c r="G492" i="2"/>
  <c r="H492" i="2"/>
  <c r="I492" i="2"/>
  <c r="B493" i="2"/>
  <c r="C493" i="2"/>
  <c r="D493" i="2"/>
  <c r="E493" i="2"/>
  <c r="F493" i="2"/>
  <c r="G493" i="2"/>
  <c r="H493" i="2"/>
  <c r="I493" i="2"/>
  <c r="B494" i="2"/>
  <c r="C494" i="2"/>
  <c r="D494" i="2"/>
  <c r="E494" i="2"/>
  <c r="F494" i="2"/>
  <c r="G494" i="2"/>
  <c r="H494" i="2"/>
  <c r="I494" i="2"/>
  <c r="B495" i="2"/>
  <c r="C495" i="2"/>
  <c r="D495" i="2"/>
  <c r="E495" i="2"/>
  <c r="F495" i="2"/>
  <c r="G495" i="2"/>
  <c r="H495" i="2"/>
  <c r="I495" i="2"/>
  <c r="B496" i="2"/>
  <c r="C496" i="2"/>
  <c r="D496" i="2"/>
  <c r="E496" i="2"/>
  <c r="F496" i="2"/>
  <c r="G496" i="2"/>
  <c r="H496" i="2"/>
  <c r="I496" i="2"/>
  <c r="B497" i="2"/>
  <c r="C497" i="2"/>
  <c r="D497" i="2"/>
  <c r="E497" i="2"/>
  <c r="F497" i="2"/>
  <c r="G497" i="2"/>
  <c r="H497" i="2"/>
  <c r="I497" i="2"/>
  <c r="B498" i="2"/>
  <c r="C498" i="2"/>
  <c r="D498" i="2"/>
  <c r="E498" i="2"/>
  <c r="F498" i="2"/>
  <c r="G498" i="2"/>
  <c r="H498" i="2"/>
  <c r="I498" i="2"/>
  <c r="B499" i="2"/>
  <c r="C499" i="2"/>
  <c r="D499" i="2"/>
  <c r="E499" i="2"/>
  <c r="F499" i="2"/>
  <c r="G499" i="2"/>
  <c r="H499" i="2"/>
  <c r="I499" i="2"/>
  <c r="B500" i="2"/>
  <c r="C500" i="2"/>
  <c r="D500" i="2"/>
  <c r="E500" i="2"/>
  <c r="F500" i="2"/>
  <c r="G500" i="2"/>
  <c r="H500" i="2"/>
  <c r="I500" i="2"/>
  <c r="B501" i="2"/>
  <c r="C501" i="2"/>
  <c r="D501" i="2"/>
  <c r="E501" i="2"/>
  <c r="F501" i="2"/>
  <c r="G501" i="2"/>
  <c r="H501" i="2"/>
  <c r="I501" i="2"/>
  <c r="B502" i="2"/>
  <c r="C502" i="2"/>
  <c r="D502" i="2"/>
  <c r="E502" i="2"/>
  <c r="F502" i="2"/>
  <c r="G502" i="2"/>
  <c r="H502" i="2"/>
  <c r="I502" i="2"/>
  <c r="B503" i="2"/>
  <c r="C503" i="2"/>
  <c r="D503" i="2"/>
  <c r="E503" i="2"/>
  <c r="F503" i="2"/>
  <c r="G503" i="2"/>
  <c r="H503" i="2"/>
  <c r="I503" i="2"/>
  <c r="B504" i="2"/>
  <c r="C504" i="2"/>
  <c r="D504" i="2"/>
  <c r="E504" i="2"/>
  <c r="F504" i="2"/>
  <c r="G504" i="2"/>
  <c r="H504" i="2"/>
  <c r="I504" i="2"/>
  <c r="B505" i="2"/>
  <c r="C505" i="2"/>
  <c r="D505" i="2"/>
  <c r="E505" i="2"/>
  <c r="F505" i="2"/>
  <c r="G505" i="2"/>
  <c r="H505" i="2"/>
  <c r="I505" i="2"/>
  <c r="B506" i="2"/>
  <c r="C506" i="2"/>
  <c r="D506" i="2"/>
  <c r="E506" i="2"/>
  <c r="F506" i="2"/>
  <c r="G506" i="2"/>
  <c r="H506" i="2"/>
  <c r="I506" i="2"/>
  <c r="B507" i="2"/>
  <c r="C507" i="2"/>
  <c r="D507" i="2"/>
  <c r="E507" i="2"/>
  <c r="F507" i="2"/>
  <c r="G507" i="2"/>
  <c r="H507" i="2"/>
  <c r="I507" i="2"/>
  <c r="B508" i="2"/>
  <c r="C508" i="2"/>
  <c r="D508" i="2"/>
  <c r="E508" i="2"/>
  <c r="F508" i="2"/>
  <c r="G508" i="2"/>
  <c r="H508" i="2"/>
  <c r="I508" i="2"/>
  <c r="B509" i="2"/>
  <c r="C509" i="2"/>
  <c r="D509" i="2"/>
  <c r="E509" i="2"/>
  <c r="F509" i="2"/>
  <c r="G509" i="2"/>
  <c r="H509" i="2"/>
  <c r="I509" i="2"/>
  <c r="B510" i="2"/>
  <c r="C510" i="2"/>
  <c r="D510" i="2"/>
  <c r="E510" i="2"/>
  <c r="F510" i="2"/>
  <c r="G510" i="2"/>
  <c r="H510" i="2"/>
  <c r="I510" i="2"/>
  <c r="B511" i="2"/>
  <c r="C511" i="2"/>
  <c r="D511" i="2"/>
  <c r="E511" i="2"/>
  <c r="F511" i="2"/>
  <c r="G511" i="2"/>
  <c r="H511" i="2"/>
  <c r="I511" i="2"/>
  <c r="B512" i="2"/>
  <c r="C512" i="2"/>
  <c r="D512" i="2"/>
  <c r="E512" i="2"/>
  <c r="F512" i="2"/>
  <c r="G512" i="2"/>
  <c r="H512" i="2"/>
  <c r="I512" i="2"/>
  <c r="B513" i="2"/>
  <c r="C513" i="2"/>
  <c r="D513" i="2"/>
  <c r="E513" i="2"/>
  <c r="F513" i="2"/>
  <c r="G513" i="2"/>
  <c r="H513" i="2"/>
  <c r="I513" i="2"/>
  <c r="B514" i="2"/>
  <c r="C514" i="2"/>
  <c r="D514" i="2"/>
  <c r="E514" i="2"/>
  <c r="F514" i="2"/>
  <c r="G514" i="2"/>
  <c r="H514" i="2"/>
  <c r="I514" i="2"/>
  <c r="B515" i="2"/>
  <c r="C515" i="2"/>
  <c r="D515" i="2"/>
  <c r="E515" i="2"/>
  <c r="F515" i="2"/>
  <c r="G515" i="2"/>
  <c r="H515" i="2"/>
  <c r="I515" i="2"/>
  <c r="B516" i="2"/>
  <c r="C516" i="2"/>
  <c r="D516" i="2"/>
  <c r="E516" i="2"/>
  <c r="F516" i="2"/>
  <c r="G516" i="2"/>
  <c r="H516" i="2"/>
  <c r="I516" i="2"/>
  <c r="B517" i="2"/>
  <c r="C517" i="2"/>
  <c r="D517" i="2"/>
  <c r="E517" i="2"/>
  <c r="F517" i="2"/>
  <c r="G517" i="2"/>
  <c r="H517" i="2"/>
  <c r="I517" i="2"/>
  <c r="B518" i="2"/>
  <c r="C518" i="2"/>
  <c r="D518" i="2"/>
  <c r="E518" i="2"/>
  <c r="F518" i="2"/>
  <c r="G518" i="2"/>
  <c r="H518" i="2"/>
  <c r="I518" i="2"/>
  <c r="B519" i="2"/>
  <c r="C519" i="2"/>
  <c r="D519" i="2"/>
  <c r="E519" i="2"/>
  <c r="F519" i="2"/>
  <c r="G519" i="2"/>
  <c r="H519" i="2"/>
  <c r="I519" i="2"/>
  <c r="B520" i="2"/>
  <c r="C520" i="2"/>
  <c r="D520" i="2"/>
  <c r="E520" i="2"/>
  <c r="F520" i="2"/>
  <c r="G520" i="2"/>
  <c r="H520" i="2"/>
  <c r="I520" i="2"/>
  <c r="B521" i="2"/>
  <c r="C521" i="2"/>
  <c r="D521" i="2"/>
  <c r="E521" i="2"/>
  <c r="F521" i="2"/>
  <c r="G521" i="2"/>
  <c r="H521" i="2"/>
  <c r="I521" i="2"/>
  <c r="B522" i="2"/>
  <c r="C522" i="2"/>
  <c r="D522" i="2"/>
  <c r="E522" i="2"/>
  <c r="F522" i="2"/>
  <c r="G522" i="2"/>
  <c r="H522" i="2"/>
  <c r="I522" i="2"/>
  <c r="B523" i="2"/>
  <c r="C523" i="2"/>
  <c r="D523" i="2"/>
  <c r="E523" i="2"/>
  <c r="F523" i="2"/>
  <c r="G523" i="2"/>
  <c r="H523" i="2"/>
  <c r="I523" i="2"/>
  <c r="B524" i="2"/>
  <c r="C524" i="2"/>
  <c r="D524" i="2"/>
  <c r="E524" i="2"/>
  <c r="F524" i="2"/>
  <c r="G524" i="2"/>
  <c r="H524" i="2"/>
  <c r="I524" i="2"/>
  <c r="B525" i="2"/>
  <c r="C525" i="2"/>
  <c r="D525" i="2"/>
  <c r="E525" i="2"/>
  <c r="F525" i="2"/>
  <c r="G525" i="2"/>
  <c r="H525" i="2"/>
  <c r="I525" i="2"/>
  <c r="B526" i="2"/>
  <c r="C526" i="2"/>
  <c r="D526" i="2"/>
  <c r="E526" i="2"/>
  <c r="F526" i="2"/>
  <c r="G526" i="2"/>
  <c r="H526" i="2"/>
  <c r="I526" i="2"/>
  <c r="B527" i="2"/>
  <c r="C527" i="2"/>
  <c r="D527" i="2"/>
  <c r="E527" i="2"/>
  <c r="F527" i="2"/>
  <c r="G527" i="2"/>
  <c r="H527" i="2"/>
  <c r="I527" i="2"/>
  <c r="B528" i="2"/>
  <c r="C528" i="2"/>
  <c r="D528" i="2"/>
  <c r="E528" i="2"/>
  <c r="F528" i="2"/>
  <c r="G528" i="2"/>
  <c r="H528" i="2"/>
  <c r="I528" i="2"/>
  <c r="B529" i="2"/>
  <c r="C529" i="2"/>
  <c r="D529" i="2"/>
  <c r="E529" i="2"/>
  <c r="F529" i="2"/>
  <c r="G529" i="2"/>
  <c r="H529" i="2"/>
  <c r="I529" i="2"/>
  <c r="B530" i="2"/>
  <c r="C530" i="2"/>
  <c r="D530" i="2"/>
  <c r="E530" i="2"/>
  <c r="F530" i="2"/>
  <c r="G530" i="2"/>
  <c r="H530" i="2"/>
  <c r="I530" i="2"/>
  <c r="B531" i="2"/>
  <c r="C531" i="2"/>
  <c r="D531" i="2"/>
  <c r="E531" i="2"/>
  <c r="F531" i="2"/>
  <c r="G531" i="2"/>
  <c r="H531" i="2"/>
  <c r="I531" i="2"/>
  <c r="B532" i="2"/>
  <c r="C532" i="2"/>
  <c r="D532" i="2"/>
  <c r="E532" i="2"/>
  <c r="F532" i="2"/>
  <c r="G532" i="2"/>
  <c r="H532" i="2"/>
  <c r="I532" i="2"/>
  <c r="B533" i="2"/>
  <c r="C533" i="2"/>
  <c r="D533" i="2"/>
  <c r="E533" i="2"/>
  <c r="F533" i="2"/>
  <c r="G533" i="2"/>
  <c r="H533" i="2"/>
  <c r="I533" i="2"/>
  <c r="B534" i="2"/>
  <c r="C534" i="2"/>
  <c r="D534" i="2"/>
  <c r="E534" i="2"/>
  <c r="F534" i="2"/>
  <c r="G534" i="2"/>
  <c r="H534" i="2"/>
  <c r="I534" i="2"/>
  <c r="B535" i="2"/>
  <c r="C535" i="2"/>
  <c r="D535" i="2"/>
  <c r="E535" i="2"/>
  <c r="F535" i="2"/>
  <c r="G535" i="2"/>
  <c r="H535" i="2"/>
  <c r="I535" i="2"/>
  <c r="B536" i="2"/>
  <c r="C536" i="2"/>
  <c r="D536" i="2"/>
  <c r="E536" i="2"/>
  <c r="F536" i="2"/>
  <c r="G536" i="2"/>
  <c r="H536" i="2"/>
  <c r="I536" i="2"/>
  <c r="B537" i="2"/>
  <c r="C537" i="2"/>
  <c r="D537" i="2"/>
  <c r="E537" i="2"/>
  <c r="F537" i="2"/>
  <c r="G537" i="2"/>
  <c r="H537" i="2"/>
  <c r="I537" i="2"/>
  <c r="B538" i="2"/>
  <c r="C538" i="2"/>
  <c r="D538" i="2"/>
  <c r="E538" i="2"/>
  <c r="F538" i="2"/>
  <c r="G538" i="2"/>
  <c r="H538" i="2"/>
  <c r="I538" i="2"/>
  <c r="B539" i="2"/>
  <c r="C539" i="2"/>
  <c r="D539" i="2"/>
  <c r="E539" i="2"/>
  <c r="F539" i="2"/>
  <c r="G539" i="2"/>
  <c r="H539" i="2"/>
  <c r="I539" i="2"/>
  <c r="B540" i="2"/>
  <c r="C540" i="2"/>
  <c r="D540" i="2"/>
  <c r="E540" i="2"/>
  <c r="F540" i="2"/>
  <c r="G540" i="2"/>
  <c r="H540" i="2"/>
  <c r="I540" i="2"/>
  <c r="B541" i="2"/>
  <c r="C541" i="2"/>
  <c r="D541" i="2"/>
  <c r="E541" i="2"/>
  <c r="F541" i="2"/>
  <c r="G541" i="2"/>
  <c r="H541" i="2"/>
  <c r="I541" i="2"/>
  <c r="B542" i="2"/>
  <c r="C542" i="2"/>
  <c r="D542" i="2"/>
  <c r="E542" i="2"/>
  <c r="F542" i="2"/>
  <c r="G542" i="2"/>
  <c r="H542" i="2"/>
  <c r="I542" i="2"/>
  <c r="B543" i="2"/>
  <c r="C543" i="2"/>
  <c r="D543" i="2"/>
  <c r="E543" i="2"/>
  <c r="F543" i="2"/>
  <c r="G543" i="2"/>
  <c r="H543" i="2"/>
  <c r="I543" i="2"/>
  <c r="B544" i="2"/>
  <c r="C544" i="2"/>
  <c r="D544" i="2"/>
  <c r="E544" i="2"/>
  <c r="F544" i="2"/>
  <c r="G544" i="2"/>
  <c r="H544" i="2"/>
  <c r="I544" i="2"/>
  <c r="B545" i="2"/>
  <c r="C545" i="2"/>
  <c r="D545" i="2"/>
  <c r="E545" i="2"/>
  <c r="F545" i="2"/>
  <c r="G545" i="2"/>
  <c r="H545" i="2"/>
  <c r="I545" i="2"/>
  <c r="B546" i="2"/>
  <c r="C546" i="2"/>
  <c r="D546" i="2"/>
  <c r="E546" i="2"/>
  <c r="F546" i="2"/>
  <c r="G546" i="2"/>
  <c r="H546" i="2"/>
  <c r="I546" i="2"/>
  <c r="B547" i="2"/>
  <c r="C547" i="2"/>
  <c r="D547" i="2"/>
  <c r="E547" i="2"/>
  <c r="F547" i="2"/>
  <c r="G547" i="2"/>
  <c r="H547" i="2"/>
  <c r="I547" i="2"/>
  <c r="B548" i="2"/>
  <c r="C548" i="2"/>
  <c r="D548" i="2"/>
  <c r="E548" i="2"/>
  <c r="F548" i="2"/>
  <c r="G548" i="2"/>
  <c r="H548" i="2"/>
  <c r="I548" i="2"/>
  <c r="B549" i="2"/>
  <c r="C549" i="2"/>
  <c r="D549" i="2"/>
  <c r="E549" i="2"/>
  <c r="F549" i="2"/>
  <c r="G549" i="2"/>
  <c r="H549" i="2"/>
  <c r="I549" i="2"/>
  <c r="B550" i="2"/>
  <c r="C550" i="2"/>
  <c r="D550" i="2"/>
  <c r="E550" i="2"/>
  <c r="F550" i="2"/>
  <c r="G550" i="2"/>
  <c r="H550" i="2"/>
  <c r="I550" i="2"/>
  <c r="B551" i="2"/>
  <c r="C551" i="2"/>
  <c r="D551" i="2"/>
  <c r="E551" i="2"/>
  <c r="F551" i="2"/>
  <c r="G551" i="2"/>
  <c r="H551" i="2"/>
  <c r="I551" i="2"/>
  <c r="B552" i="2"/>
  <c r="C552" i="2"/>
  <c r="D552" i="2"/>
  <c r="E552" i="2"/>
  <c r="F552" i="2"/>
  <c r="G552" i="2"/>
  <c r="H552" i="2"/>
  <c r="I552" i="2"/>
  <c r="B553" i="2"/>
  <c r="C553" i="2"/>
  <c r="D553" i="2"/>
  <c r="E553" i="2"/>
  <c r="F553" i="2"/>
  <c r="G553" i="2"/>
  <c r="H553" i="2"/>
  <c r="I553" i="2"/>
  <c r="B554" i="2"/>
  <c r="C554" i="2"/>
  <c r="D554" i="2"/>
  <c r="E554" i="2"/>
  <c r="F554" i="2"/>
  <c r="G554" i="2"/>
  <c r="H554" i="2"/>
  <c r="I554" i="2"/>
  <c r="B555" i="2"/>
  <c r="C555" i="2"/>
  <c r="D555" i="2"/>
  <c r="E555" i="2"/>
  <c r="F555" i="2"/>
  <c r="G555" i="2"/>
  <c r="H555" i="2"/>
  <c r="I555" i="2"/>
  <c r="B556" i="2"/>
  <c r="C556" i="2"/>
  <c r="D556" i="2"/>
  <c r="E556" i="2"/>
  <c r="F556" i="2"/>
  <c r="G556" i="2"/>
  <c r="H556" i="2"/>
  <c r="I556" i="2"/>
  <c r="B557" i="2"/>
  <c r="C557" i="2"/>
  <c r="D557" i="2"/>
  <c r="E557" i="2"/>
  <c r="F557" i="2"/>
  <c r="G557" i="2"/>
  <c r="H557" i="2"/>
  <c r="I557" i="2"/>
  <c r="B558" i="2"/>
  <c r="C558" i="2"/>
  <c r="D558" i="2"/>
  <c r="E558" i="2"/>
  <c r="F558" i="2"/>
  <c r="G558" i="2"/>
  <c r="H558" i="2"/>
  <c r="I558" i="2"/>
  <c r="B559" i="2"/>
  <c r="C559" i="2"/>
  <c r="D559" i="2"/>
  <c r="E559" i="2"/>
  <c r="F559" i="2"/>
  <c r="G559" i="2"/>
  <c r="H559" i="2"/>
  <c r="I559" i="2"/>
  <c r="B560" i="2"/>
  <c r="C560" i="2"/>
  <c r="D560" i="2"/>
  <c r="E560" i="2"/>
  <c r="F560" i="2"/>
  <c r="G560" i="2"/>
  <c r="H560" i="2"/>
  <c r="I560" i="2"/>
  <c r="B561" i="2"/>
  <c r="C561" i="2"/>
  <c r="D561" i="2"/>
  <c r="E561" i="2"/>
  <c r="F561" i="2"/>
  <c r="G561" i="2"/>
  <c r="H561" i="2"/>
  <c r="I561" i="2"/>
  <c r="B562" i="2"/>
  <c r="C562" i="2"/>
  <c r="D562" i="2"/>
  <c r="E562" i="2"/>
  <c r="F562" i="2"/>
  <c r="G562" i="2"/>
  <c r="H562" i="2"/>
  <c r="I562" i="2"/>
  <c r="B563" i="2"/>
  <c r="C563" i="2"/>
  <c r="D563" i="2"/>
  <c r="E563" i="2"/>
  <c r="F563" i="2"/>
  <c r="G563" i="2"/>
  <c r="H563" i="2"/>
  <c r="I563" i="2"/>
  <c r="B564" i="2"/>
  <c r="C564" i="2"/>
  <c r="D564" i="2"/>
  <c r="E564" i="2"/>
  <c r="F564" i="2"/>
  <c r="G564" i="2"/>
  <c r="H564" i="2"/>
  <c r="I564" i="2"/>
  <c r="B565" i="2"/>
  <c r="C565" i="2"/>
  <c r="D565" i="2"/>
  <c r="E565" i="2"/>
  <c r="F565" i="2"/>
  <c r="G565" i="2"/>
  <c r="H565" i="2"/>
  <c r="I565" i="2"/>
  <c r="B566" i="2"/>
  <c r="C566" i="2"/>
  <c r="D566" i="2"/>
  <c r="E566" i="2"/>
  <c r="F566" i="2"/>
  <c r="G566" i="2"/>
  <c r="H566" i="2"/>
  <c r="I566" i="2"/>
  <c r="B567" i="2"/>
  <c r="C567" i="2"/>
  <c r="D567" i="2"/>
  <c r="E567" i="2"/>
  <c r="F567" i="2"/>
  <c r="G567" i="2"/>
  <c r="H567" i="2"/>
  <c r="I567" i="2"/>
  <c r="B568" i="2"/>
  <c r="C568" i="2"/>
  <c r="D568" i="2"/>
  <c r="E568" i="2"/>
  <c r="F568" i="2"/>
  <c r="G568" i="2"/>
  <c r="H568" i="2"/>
  <c r="I568" i="2"/>
  <c r="B569" i="2"/>
  <c r="C569" i="2"/>
  <c r="D569" i="2"/>
  <c r="E569" i="2"/>
  <c r="F569" i="2"/>
  <c r="G569" i="2"/>
  <c r="H569" i="2"/>
  <c r="I569" i="2"/>
  <c r="B570" i="2"/>
  <c r="C570" i="2"/>
  <c r="D570" i="2"/>
  <c r="E570" i="2"/>
  <c r="F570" i="2"/>
  <c r="G570" i="2"/>
  <c r="H570" i="2"/>
  <c r="I570" i="2"/>
  <c r="B571" i="2"/>
  <c r="C571" i="2"/>
  <c r="D571" i="2"/>
  <c r="E571" i="2"/>
  <c r="F571" i="2"/>
  <c r="G571" i="2"/>
  <c r="H571" i="2"/>
  <c r="I571" i="2"/>
  <c r="B572" i="2"/>
  <c r="C572" i="2"/>
  <c r="D572" i="2"/>
  <c r="E572" i="2"/>
  <c r="F572" i="2"/>
  <c r="G572" i="2"/>
  <c r="H572" i="2"/>
  <c r="I572" i="2"/>
  <c r="B573" i="2"/>
  <c r="C573" i="2"/>
  <c r="D573" i="2"/>
  <c r="E573" i="2"/>
  <c r="F573" i="2"/>
  <c r="G573" i="2"/>
  <c r="H573" i="2"/>
  <c r="I573" i="2"/>
  <c r="B574" i="2"/>
  <c r="C574" i="2"/>
  <c r="D574" i="2"/>
  <c r="E574" i="2"/>
  <c r="F574" i="2"/>
  <c r="G574" i="2"/>
  <c r="H574" i="2"/>
  <c r="I574" i="2"/>
  <c r="B575" i="2"/>
  <c r="C575" i="2"/>
  <c r="D575" i="2"/>
  <c r="E575" i="2"/>
  <c r="F575" i="2"/>
  <c r="G575" i="2"/>
  <c r="H575" i="2"/>
  <c r="I575" i="2"/>
  <c r="B576" i="2"/>
  <c r="C576" i="2"/>
  <c r="D576" i="2"/>
  <c r="E576" i="2"/>
  <c r="F576" i="2"/>
  <c r="G576" i="2"/>
  <c r="H576" i="2"/>
  <c r="I576" i="2"/>
  <c r="B577" i="2"/>
  <c r="C577" i="2"/>
  <c r="D577" i="2"/>
  <c r="E577" i="2"/>
  <c r="F577" i="2"/>
  <c r="G577" i="2"/>
  <c r="H577" i="2"/>
  <c r="I577" i="2"/>
  <c r="B578" i="2"/>
  <c r="C578" i="2"/>
  <c r="D578" i="2"/>
  <c r="E578" i="2"/>
  <c r="F578" i="2"/>
  <c r="G578" i="2"/>
  <c r="H578" i="2"/>
  <c r="I578" i="2"/>
  <c r="B579" i="2"/>
  <c r="C579" i="2"/>
  <c r="D579" i="2"/>
  <c r="E579" i="2"/>
  <c r="F579" i="2"/>
  <c r="G579" i="2"/>
  <c r="H579" i="2"/>
  <c r="I579" i="2"/>
  <c r="B580" i="2"/>
  <c r="C580" i="2"/>
  <c r="D580" i="2"/>
  <c r="E580" i="2"/>
  <c r="F580" i="2"/>
  <c r="G580" i="2"/>
  <c r="H580" i="2"/>
  <c r="I580" i="2"/>
  <c r="B581" i="2"/>
  <c r="C581" i="2"/>
  <c r="D581" i="2"/>
  <c r="E581" i="2"/>
  <c r="F581" i="2"/>
  <c r="G581" i="2"/>
  <c r="H581" i="2"/>
  <c r="I581" i="2"/>
  <c r="B582" i="2"/>
  <c r="C582" i="2"/>
  <c r="D582" i="2"/>
  <c r="E582" i="2"/>
  <c r="F582" i="2"/>
  <c r="G582" i="2"/>
  <c r="H582" i="2"/>
  <c r="I582" i="2"/>
  <c r="B583" i="2"/>
  <c r="C583" i="2"/>
  <c r="D583" i="2"/>
  <c r="E583" i="2"/>
  <c r="F583" i="2"/>
  <c r="G583" i="2"/>
  <c r="H583" i="2"/>
  <c r="I583" i="2"/>
  <c r="B584" i="2"/>
  <c r="C584" i="2"/>
  <c r="D584" i="2"/>
  <c r="E584" i="2"/>
  <c r="F584" i="2"/>
  <c r="G584" i="2"/>
  <c r="H584" i="2"/>
  <c r="I584" i="2"/>
  <c r="B585" i="2"/>
  <c r="C585" i="2"/>
  <c r="D585" i="2"/>
  <c r="E585" i="2"/>
  <c r="F585" i="2"/>
  <c r="G585" i="2"/>
  <c r="H585" i="2"/>
  <c r="I585" i="2"/>
  <c r="B586" i="2"/>
  <c r="C586" i="2"/>
  <c r="D586" i="2"/>
  <c r="E586" i="2"/>
  <c r="F586" i="2"/>
  <c r="G586" i="2"/>
  <c r="H586" i="2"/>
  <c r="I586" i="2"/>
  <c r="B587" i="2"/>
  <c r="C587" i="2"/>
  <c r="D587" i="2"/>
  <c r="E587" i="2"/>
  <c r="F587" i="2"/>
  <c r="G587" i="2"/>
  <c r="H587" i="2"/>
  <c r="I587" i="2"/>
  <c r="B588" i="2"/>
  <c r="C588" i="2"/>
  <c r="D588" i="2"/>
  <c r="E588" i="2"/>
  <c r="F588" i="2"/>
  <c r="G588" i="2"/>
  <c r="H588" i="2"/>
  <c r="I588" i="2"/>
  <c r="B589" i="2"/>
  <c r="C589" i="2"/>
  <c r="D589" i="2"/>
  <c r="E589" i="2"/>
  <c r="F589" i="2"/>
  <c r="G589" i="2"/>
  <c r="H589" i="2"/>
  <c r="I589" i="2"/>
  <c r="B590" i="2"/>
  <c r="C590" i="2"/>
  <c r="D590" i="2"/>
  <c r="E590" i="2"/>
  <c r="F590" i="2"/>
  <c r="G590" i="2"/>
  <c r="H590" i="2"/>
  <c r="I590" i="2"/>
  <c r="B591" i="2"/>
  <c r="C591" i="2"/>
  <c r="D591" i="2"/>
  <c r="E591" i="2"/>
  <c r="F591" i="2"/>
  <c r="G591" i="2"/>
  <c r="H591" i="2"/>
  <c r="I591" i="2"/>
  <c r="B592" i="2"/>
  <c r="C592" i="2"/>
  <c r="D592" i="2"/>
  <c r="E592" i="2"/>
  <c r="F592" i="2"/>
  <c r="G592" i="2"/>
  <c r="H592" i="2"/>
  <c r="I592" i="2"/>
  <c r="B593" i="2"/>
  <c r="C593" i="2"/>
  <c r="D593" i="2"/>
  <c r="E593" i="2"/>
  <c r="F593" i="2"/>
  <c r="G593" i="2"/>
  <c r="H593" i="2"/>
  <c r="I593" i="2"/>
  <c r="B594" i="2"/>
  <c r="C594" i="2"/>
  <c r="D594" i="2"/>
  <c r="E594" i="2"/>
  <c r="F594" i="2"/>
  <c r="G594" i="2"/>
  <c r="H594" i="2"/>
  <c r="I594" i="2"/>
  <c r="B595" i="2"/>
  <c r="C595" i="2"/>
  <c r="D595" i="2"/>
  <c r="E595" i="2"/>
  <c r="F595" i="2"/>
  <c r="G595" i="2"/>
  <c r="H595" i="2"/>
  <c r="I595" i="2"/>
  <c r="B596" i="2"/>
  <c r="C596" i="2"/>
  <c r="D596" i="2"/>
  <c r="E596" i="2"/>
  <c r="F596" i="2"/>
  <c r="G596" i="2"/>
  <c r="H596" i="2"/>
  <c r="I596" i="2"/>
  <c r="B597" i="2"/>
  <c r="C597" i="2"/>
  <c r="D597" i="2"/>
  <c r="E597" i="2"/>
  <c r="F597" i="2"/>
  <c r="G597" i="2"/>
  <c r="H597" i="2"/>
  <c r="I597" i="2"/>
  <c r="B598" i="2"/>
  <c r="C598" i="2"/>
  <c r="D598" i="2"/>
  <c r="E598" i="2"/>
  <c r="F598" i="2"/>
  <c r="G598" i="2"/>
  <c r="H598" i="2"/>
  <c r="I598" i="2"/>
  <c r="B599" i="2"/>
  <c r="C599" i="2"/>
  <c r="D599" i="2"/>
  <c r="E599" i="2"/>
  <c r="F599" i="2"/>
  <c r="G599" i="2"/>
  <c r="H599" i="2"/>
  <c r="I599" i="2"/>
  <c r="B600" i="2"/>
  <c r="C600" i="2"/>
  <c r="D600" i="2"/>
  <c r="E600" i="2"/>
  <c r="F600" i="2"/>
  <c r="G600" i="2"/>
  <c r="H600" i="2"/>
  <c r="I600" i="2"/>
  <c r="B601" i="2"/>
  <c r="C601" i="2"/>
  <c r="D601" i="2"/>
  <c r="E601" i="2"/>
  <c r="F601" i="2"/>
  <c r="G601" i="2"/>
  <c r="H601" i="2"/>
  <c r="I601" i="2"/>
  <c r="B602" i="2"/>
  <c r="C602" i="2"/>
  <c r="D602" i="2"/>
  <c r="E602" i="2"/>
  <c r="F602" i="2"/>
  <c r="G602" i="2"/>
  <c r="H602" i="2"/>
  <c r="I602" i="2"/>
  <c r="B603" i="2"/>
  <c r="C603" i="2"/>
  <c r="D603" i="2"/>
  <c r="E603" i="2"/>
  <c r="F603" i="2"/>
  <c r="G603" i="2"/>
  <c r="H603" i="2"/>
  <c r="I603" i="2"/>
  <c r="B604" i="2"/>
  <c r="C604" i="2"/>
  <c r="D604" i="2"/>
  <c r="E604" i="2"/>
  <c r="F604" i="2"/>
  <c r="G604" i="2"/>
  <c r="H604" i="2"/>
  <c r="I604" i="2"/>
  <c r="B605" i="2"/>
  <c r="C605" i="2"/>
  <c r="D605" i="2"/>
  <c r="E605" i="2"/>
  <c r="F605" i="2"/>
  <c r="G605" i="2"/>
  <c r="H605" i="2"/>
  <c r="I605" i="2"/>
  <c r="B606" i="2"/>
  <c r="C606" i="2"/>
  <c r="D606" i="2"/>
  <c r="E606" i="2"/>
  <c r="F606" i="2"/>
  <c r="G606" i="2"/>
  <c r="H606" i="2"/>
  <c r="I606" i="2"/>
  <c r="B607" i="2"/>
  <c r="C607" i="2"/>
  <c r="D607" i="2"/>
  <c r="E607" i="2"/>
  <c r="F607" i="2"/>
  <c r="G607" i="2"/>
  <c r="H607" i="2"/>
  <c r="I607" i="2"/>
  <c r="B608" i="2"/>
  <c r="C608" i="2"/>
  <c r="D608" i="2"/>
  <c r="E608" i="2"/>
  <c r="F608" i="2"/>
  <c r="G608" i="2"/>
  <c r="H608" i="2"/>
  <c r="I608" i="2"/>
  <c r="B609" i="2"/>
  <c r="C609" i="2"/>
  <c r="D609" i="2"/>
  <c r="E609" i="2"/>
  <c r="F609" i="2"/>
  <c r="G609" i="2"/>
  <c r="H609" i="2"/>
  <c r="I609" i="2"/>
  <c r="B610" i="2"/>
  <c r="C610" i="2"/>
  <c r="D610" i="2"/>
  <c r="E610" i="2"/>
  <c r="F610" i="2"/>
  <c r="G610" i="2"/>
  <c r="H610" i="2"/>
  <c r="I610" i="2"/>
  <c r="B611" i="2"/>
  <c r="C611" i="2"/>
  <c r="D611" i="2"/>
  <c r="E611" i="2"/>
  <c r="F611" i="2"/>
  <c r="G611" i="2"/>
  <c r="H611" i="2"/>
  <c r="I611" i="2"/>
  <c r="B612" i="2"/>
  <c r="C612" i="2"/>
  <c r="D612" i="2"/>
  <c r="E612" i="2"/>
  <c r="F612" i="2"/>
  <c r="G612" i="2"/>
  <c r="H612" i="2"/>
  <c r="I612" i="2"/>
  <c r="B613" i="2"/>
  <c r="C613" i="2"/>
  <c r="D613" i="2"/>
  <c r="E613" i="2"/>
  <c r="F613" i="2"/>
  <c r="G613" i="2"/>
  <c r="H613" i="2"/>
  <c r="I613" i="2"/>
  <c r="B614" i="2"/>
  <c r="C614" i="2"/>
  <c r="D614" i="2"/>
  <c r="E614" i="2"/>
  <c r="F614" i="2"/>
  <c r="G614" i="2"/>
  <c r="H614" i="2"/>
  <c r="I614" i="2"/>
  <c r="B615" i="2"/>
  <c r="C615" i="2"/>
  <c r="D615" i="2"/>
  <c r="E615" i="2"/>
  <c r="F615" i="2"/>
  <c r="G615" i="2"/>
  <c r="H615" i="2"/>
  <c r="I615" i="2"/>
  <c r="B616" i="2"/>
  <c r="C616" i="2"/>
  <c r="D616" i="2"/>
  <c r="E616" i="2"/>
  <c r="F616" i="2"/>
  <c r="G616" i="2"/>
  <c r="H616" i="2"/>
  <c r="I616" i="2"/>
  <c r="B617" i="2"/>
  <c r="C617" i="2"/>
  <c r="D617" i="2"/>
  <c r="E617" i="2"/>
  <c r="F617" i="2"/>
  <c r="G617" i="2"/>
  <c r="H617" i="2"/>
  <c r="I617" i="2"/>
  <c r="B618" i="2"/>
  <c r="C618" i="2"/>
  <c r="D618" i="2"/>
  <c r="E618" i="2"/>
  <c r="F618" i="2"/>
  <c r="G618" i="2"/>
  <c r="H618" i="2"/>
  <c r="I618" i="2"/>
  <c r="B619" i="2"/>
  <c r="C619" i="2"/>
  <c r="D619" i="2"/>
  <c r="E619" i="2"/>
  <c r="F619" i="2"/>
  <c r="G619" i="2"/>
  <c r="H619" i="2"/>
  <c r="I619" i="2"/>
  <c r="B620" i="2"/>
  <c r="C620" i="2"/>
  <c r="D620" i="2"/>
  <c r="E620" i="2"/>
  <c r="F620" i="2"/>
  <c r="G620" i="2"/>
  <c r="H620" i="2"/>
  <c r="I620" i="2"/>
  <c r="B621" i="2"/>
  <c r="C621" i="2"/>
  <c r="D621" i="2"/>
  <c r="E621" i="2"/>
  <c r="F621" i="2"/>
  <c r="G621" i="2"/>
  <c r="H621" i="2"/>
  <c r="I621" i="2"/>
  <c r="B622" i="2"/>
  <c r="C622" i="2"/>
  <c r="D622" i="2"/>
  <c r="E622" i="2"/>
  <c r="F622" i="2"/>
  <c r="G622" i="2"/>
  <c r="H622" i="2"/>
  <c r="I622" i="2"/>
  <c r="B623" i="2"/>
  <c r="C623" i="2"/>
  <c r="D623" i="2"/>
  <c r="E623" i="2"/>
  <c r="F623" i="2"/>
  <c r="G623" i="2"/>
  <c r="H623" i="2"/>
  <c r="I623" i="2"/>
  <c r="B624" i="2"/>
  <c r="C624" i="2"/>
  <c r="D624" i="2"/>
  <c r="E624" i="2"/>
  <c r="F624" i="2"/>
  <c r="G624" i="2"/>
  <c r="H624" i="2"/>
  <c r="I624" i="2"/>
  <c r="B625" i="2"/>
  <c r="C625" i="2"/>
  <c r="D625" i="2"/>
  <c r="E625" i="2"/>
  <c r="F625" i="2"/>
  <c r="G625" i="2"/>
  <c r="H625" i="2"/>
  <c r="I625" i="2"/>
  <c r="B626" i="2"/>
  <c r="C626" i="2"/>
  <c r="D626" i="2"/>
  <c r="E626" i="2"/>
  <c r="F626" i="2"/>
  <c r="G626" i="2"/>
  <c r="H626" i="2"/>
  <c r="I626" i="2"/>
  <c r="B627" i="2"/>
  <c r="C627" i="2"/>
  <c r="D627" i="2"/>
  <c r="E627" i="2"/>
  <c r="F627" i="2"/>
  <c r="G627" i="2"/>
  <c r="H627" i="2"/>
  <c r="I627" i="2"/>
  <c r="B628" i="2"/>
  <c r="C628" i="2"/>
  <c r="D628" i="2"/>
  <c r="E628" i="2"/>
  <c r="F628" i="2"/>
  <c r="G628" i="2"/>
  <c r="H628" i="2"/>
  <c r="I628" i="2"/>
  <c r="B629" i="2"/>
  <c r="C629" i="2"/>
  <c r="D629" i="2"/>
  <c r="E629" i="2"/>
  <c r="F629" i="2"/>
  <c r="G629" i="2"/>
  <c r="H629" i="2"/>
  <c r="I629" i="2"/>
  <c r="B630" i="2"/>
  <c r="C630" i="2"/>
  <c r="D630" i="2"/>
  <c r="E630" i="2"/>
  <c r="F630" i="2"/>
  <c r="G630" i="2"/>
  <c r="H630" i="2"/>
  <c r="I630" i="2"/>
  <c r="B631" i="2"/>
  <c r="C631" i="2"/>
  <c r="D631" i="2"/>
  <c r="E631" i="2"/>
  <c r="F631" i="2"/>
  <c r="G631" i="2"/>
  <c r="H631" i="2"/>
  <c r="I631" i="2"/>
  <c r="B632" i="2"/>
  <c r="C632" i="2"/>
  <c r="D632" i="2"/>
  <c r="E632" i="2"/>
  <c r="F632" i="2"/>
  <c r="G632" i="2"/>
  <c r="H632" i="2"/>
  <c r="I632" i="2"/>
  <c r="B633" i="2"/>
  <c r="C633" i="2"/>
  <c r="D633" i="2"/>
  <c r="E633" i="2"/>
  <c r="F633" i="2"/>
  <c r="G633" i="2"/>
  <c r="H633" i="2"/>
  <c r="I633" i="2"/>
  <c r="B634" i="2"/>
  <c r="C634" i="2"/>
  <c r="D634" i="2"/>
  <c r="E634" i="2"/>
  <c r="F634" i="2"/>
  <c r="G634" i="2"/>
  <c r="H634" i="2"/>
  <c r="I634" i="2"/>
  <c r="B635" i="2"/>
  <c r="C635" i="2"/>
  <c r="D635" i="2"/>
  <c r="E635" i="2"/>
  <c r="F635" i="2"/>
  <c r="G635" i="2"/>
  <c r="H635" i="2"/>
  <c r="I635" i="2"/>
  <c r="B636" i="2"/>
  <c r="C636" i="2"/>
  <c r="D636" i="2"/>
  <c r="E636" i="2"/>
  <c r="F636" i="2"/>
  <c r="G636" i="2"/>
  <c r="H636" i="2"/>
  <c r="I636" i="2"/>
  <c r="B637" i="2"/>
  <c r="C637" i="2"/>
  <c r="D637" i="2"/>
  <c r="E637" i="2"/>
  <c r="F637" i="2"/>
  <c r="G637" i="2"/>
  <c r="H637" i="2"/>
  <c r="I637" i="2"/>
  <c r="B638" i="2"/>
  <c r="C638" i="2"/>
  <c r="D638" i="2"/>
  <c r="E638" i="2"/>
  <c r="F638" i="2"/>
  <c r="G638" i="2"/>
  <c r="H638" i="2"/>
  <c r="I638" i="2"/>
  <c r="B639" i="2"/>
  <c r="C639" i="2"/>
  <c r="D639" i="2"/>
  <c r="E639" i="2"/>
  <c r="F639" i="2"/>
  <c r="G639" i="2"/>
  <c r="H639" i="2"/>
  <c r="I639" i="2"/>
  <c r="B640" i="2"/>
  <c r="C640" i="2"/>
  <c r="D640" i="2"/>
  <c r="E640" i="2"/>
  <c r="F640" i="2"/>
  <c r="G640" i="2"/>
  <c r="H640" i="2"/>
  <c r="I640" i="2"/>
  <c r="B641" i="2"/>
  <c r="C641" i="2"/>
  <c r="D641" i="2"/>
  <c r="E641" i="2"/>
  <c r="F641" i="2"/>
  <c r="G641" i="2"/>
  <c r="H641" i="2"/>
  <c r="I641" i="2"/>
  <c r="B642" i="2"/>
  <c r="C642" i="2"/>
  <c r="D642" i="2"/>
  <c r="E642" i="2"/>
  <c r="F642" i="2"/>
  <c r="G642" i="2"/>
  <c r="H642" i="2"/>
  <c r="I642" i="2"/>
  <c r="B643" i="2"/>
  <c r="C643" i="2"/>
  <c r="D643" i="2"/>
  <c r="E643" i="2"/>
  <c r="F643" i="2"/>
  <c r="G643" i="2"/>
  <c r="H643" i="2"/>
  <c r="I643" i="2"/>
  <c r="B644" i="2"/>
  <c r="C644" i="2"/>
  <c r="D644" i="2"/>
  <c r="E644" i="2"/>
  <c r="F644" i="2"/>
  <c r="G644" i="2"/>
  <c r="H644" i="2"/>
  <c r="I644" i="2"/>
  <c r="B645" i="2"/>
  <c r="C645" i="2"/>
  <c r="D645" i="2"/>
  <c r="E645" i="2"/>
  <c r="F645" i="2"/>
  <c r="G645" i="2"/>
  <c r="H645" i="2"/>
  <c r="I645" i="2"/>
  <c r="B646" i="2"/>
  <c r="C646" i="2"/>
  <c r="D646" i="2"/>
  <c r="E646" i="2"/>
  <c r="F646" i="2"/>
  <c r="G646" i="2"/>
  <c r="H646" i="2"/>
  <c r="I646" i="2"/>
  <c r="B647" i="2"/>
  <c r="C647" i="2"/>
  <c r="D647" i="2"/>
  <c r="E647" i="2"/>
  <c r="F647" i="2"/>
  <c r="G647" i="2"/>
  <c r="H647" i="2"/>
  <c r="I647" i="2"/>
  <c r="B648" i="2"/>
  <c r="C648" i="2"/>
  <c r="D648" i="2"/>
  <c r="E648" i="2"/>
  <c r="F648" i="2"/>
  <c r="G648" i="2"/>
  <c r="H648" i="2"/>
  <c r="I648" i="2"/>
  <c r="B649" i="2"/>
  <c r="C649" i="2"/>
  <c r="D649" i="2"/>
  <c r="E649" i="2"/>
  <c r="F649" i="2"/>
  <c r="G649" i="2"/>
  <c r="H649" i="2"/>
  <c r="I649" i="2"/>
  <c r="B650" i="2"/>
  <c r="C650" i="2"/>
  <c r="D650" i="2"/>
  <c r="E650" i="2"/>
  <c r="F650" i="2"/>
  <c r="G650" i="2"/>
  <c r="H650" i="2"/>
  <c r="I650" i="2"/>
  <c r="B651" i="2"/>
  <c r="C651" i="2"/>
  <c r="D651" i="2"/>
  <c r="E651" i="2"/>
  <c r="F651" i="2"/>
  <c r="G651" i="2"/>
  <c r="H651" i="2"/>
  <c r="I651" i="2"/>
  <c r="B652" i="2"/>
  <c r="C652" i="2"/>
  <c r="D652" i="2"/>
  <c r="E652" i="2"/>
  <c r="F652" i="2"/>
  <c r="G652" i="2"/>
  <c r="H652" i="2"/>
  <c r="I652" i="2"/>
  <c r="B653" i="2"/>
  <c r="C653" i="2"/>
  <c r="D653" i="2"/>
  <c r="E653" i="2"/>
  <c r="F653" i="2"/>
  <c r="G653" i="2"/>
  <c r="H653" i="2"/>
  <c r="I653" i="2"/>
  <c r="B654" i="2"/>
  <c r="C654" i="2"/>
  <c r="D654" i="2"/>
  <c r="E654" i="2"/>
  <c r="F654" i="2"/>
  <c r="G654" i="2"/>
  <c r="H654" i="2"/>
  <c r="I654" i="2"/>
  <c r="B655" i="2"/>
  <c r="C655" i="2"/>
  <c r="D655" i="2"/>
  <c r="E655" i="2"/>
  <c r="F655" i="2"/>
  <c r="G655" i="2"/>
  <c r="H655" i="2"/>
  <c r="I655" i="2"/>
  <c r="B656" i="2"/>
  <c r="C656" i="2"/>
  <c r="D656" i="2"/>
  <c r="E656" i="2"/>
  <c r="F656" i="2"/>
  <c r="G656" i="2"/>
  <c r="H656" i="2"/>
  <c r="I656" i="2"/>
  <c r="B657" i="2"/>
  <c r="C657" i="2"/>
  <c r="D657" i="2"/>
  <c r="E657" i="2"/>
  <c r="F657" i="2"/>
  <c r="G657" i="2"/>
  <c r="H657" i="2"/>
  <c r="I657" i="2"/>
  <c r="B658" i="2"/>
  <c r="C658" i="2"/>
  <c r="D658" i="2"/>
  <c r="E658" i="2"/>
  <c r="F658" i="2"/>
  <c r="G658" i="2"/>
  <c r="H658" i="2"/>
  <c r="I658" i="2"/>
  <c r="B659" i="2"/>
  <c r="C659" i="2"/>
  <c r="D659" i="2"/>
  <c r="E659" i="2"/>
  <c r="F659" i="2"/>
  <c r="G659" i="2"/>
  <c r="H659" i="2"/>
  <c r="I659" i="2"/>
  <c r="B660" i="2"/>
  <c r="C660" i="2"/>
  <c r="D660" i="2"/>
  <c r="E660" i="2"/>
  <c r="F660" i="2"/>
  <c r="G660" i="2"/>
  <c r="H660" i="2"/>
  <c r="I660" i="2"/>
  <c r="B661" i="2"/>
  <c r="C661" i="2"/>
  <c r="D661" i="2"/>
  <c r="E661" i="2"/>
  <c r="F661" i="2"/>
  <c r="G661" i="2"/>
  <c r="H661" i="2"/>
  <c r="I661" i="2"/>
  <c r="B662" i="2"/>
  <c r="C662" i="2"/>
  <c r="D662" i="2"/>
  <c r="E662" i="2"/>
  <c r="F662" i="2"/>
  <c r="G662" i="2"/>
  <c r="H662" i="2"/>
  <c r="I662" i="2"/>
  <c r="B663" i="2"/>
  <c r="C663" i="2"/>
  <c r="D663" i="2"/>
  <c r="E663" i="2"/>
  <c r="F663" i="2"/>
  <c r="G663" i="2"/>
  <c r="H663" i="2"/>
  <c r="I663" i="2"/>
  <c r="B664" i="2"/>
  <c r="C664" i="2"/>
  <c r="D664" i="2"/>
  <c r="E664" i="2"/>
  <c r="F664" i="2"/>
  <c r="G664" i="2"/>
  <c r="H664" i="2"/>
  <c r="I664" i="2"/>
  <c r="B665" i="2"/>
  <c r="C665" i="2"/>
  <c r="D665" i="2"/>
  <c r="E665" i="2"/>
  <c r="F665" i="2"/>
  <c r="G665" i="2"/>
  <c r="H665" i="2"/>
  <c r="I665" i="2"/>
  <c r="B666" i="2"/>
  <c r="C666" i="2"/>
  <c r="D666" i="2"/>
  <c r="E666" i="2"/>
  <c r="F666" i="2"/>
  <c r="G666" i="2"/>
  <c r="H666" i="2"/>
  <c r="I666" i="2"/>
  <c r="B667" i="2"/>
  <c r="C667" i="2"/>
  <c r="D667" i="2"/>
  <c r="E667" i="2"/>
  <c r="F667" i="2"/>
  <c r="G667" i="2"/>
  <c r="H667" i="2"/>
  <c r="I667" i="2"/>
  <c r="B668" i="2"/>
  <c r="C668" i="2"/>
  <c r="D668" i="2"/>
  <c r="E668" i="2"/>
  <c r="F668" i="2"/>
  <c r="G668" i="2"/>
  <c r="H668" i="2"/>
  <c r="I668" i="2"/>
  <c r="B669" i="2"/>
  <c r="C669" i="2"/>
  <c r="D669" i="2"/>
  <c r="E669" i="2"/>
  <c r="F669" i="2"/>
  <c r="G669" i="2"/>
  <c r="H669" i="2"/>
  <c r="I669" i="2"/>
  <c r="B670" i="2"/>
  <c r="C670" i="2"/>
  <c r="D670" i="2"/>
  <c r="E670" i="2"/>
  <c r="F670" i="2"/>
  <c r="G670" i="2"/>
  <c r="H670" i="2"/>
  <c r="I670" i="2"/>
  <c r="B671" i="2"/>
  <c r="C671" i="2"/>
  <c r="D671" i="2"/>
  <c r="E671" i="2"/>
  <c r="F671" i="2"/>
  <c r="G671" i="2"/>
  <c r="H671" i="2"/>
  <c r="I671" i="2"/>
  <c r="B672" i="2"/>
  <c r="C672" i="2"/>
  <c r="D672" i="2"/>
  <c r="E672" i="2"/>
  <c r="F672" i="2"/>
  <c r="G672" i="2"/>
  <c r="H672" i="2"/>
  <c r="I672" i="2"/>
  <c r="B673" i="2"/>
  <c r="C673" i="2"/>
  <c r="D673" i="2"/>
  <c r="E673" i="2"/>
  <c r="F673" i="2"/>
  <c r="G673" i="2"/>
  <c r="H673" i="2"/>
  <c r="I673" i="2"/>
  <c r="B674" i="2"/>
  <c r="C674" i="2"/>
  <c r="D674" i="2"/>
  <c r="E674" i="2"/>
  <c r="F674" i="2"/>
  <c r="G674" i="2"/>
  <c r="H674" i="2"/>
  <c r="I674" i="2"/>
  <c r="B675" i="2"/>
  <c r="C675" i="2"/>
  <c r="D675" i="2"/>
  <c r="E675" i="2"/>
  <c r="F675" i="2"/>
  <c r="G675" i="2"/>
  <c r="H675" i="2"/>
  <c r="I675" i="2"/>
  <c r="B676" i="2"/>
  <c r="C676" i="2"/>
  <c r="D676" i="2"/>
  <c r="E676" i="2"/>
  <c r="F676" i="2"/>
  <c r="G676" i="2"/>
  <c r="H676" i="2"/>
  <c r="I676" i="2"/>
  <c r="B677" i="2"/>
  <c r="C677" i="2"/>
  <c r="D677" i="2"/>
  <c r="E677" i="2"/>
  <c r="F677" i="2"/>
  <c r="G677" i="2"/>
  <c r="H677" i="2"/>
  <c r="I677" i="2"/>
  <c r="B678" i="2"/>
  <c r="C678" i="2"/>
  <c r="D678" i="2"/>
  <c r="E678" i="2"/>
  <c r="F678" i="2"/>
  <c r="G678" i="2"/>
  <c r="H678" i="2"/>
  <c r="I678" i="2"/>
  <c r="B679" i="2"/>
  <c r="C679" i="2"/>
  <c r="D679" i="2"/>
  <c r="E679" i="2"/>
  <c r="F679" i="2"/>
  <c r="G679" i="2"/>
  <c r="H679" i="2"/>
  <c r="I679" i="2"/>
  <c r="B680" i="2"/>
  <c r="C680" i="2"/>
  <c r="D680" i="2"/>
  <c r="E680" i="2"/>
  <c r="F680" i="2"/>
  <c r="G680" i="2"/>
  <c r="H680" i="2"/>
  <c r="I680" i="2"/>
  <c r="B681" i="2"/>
  <c r="C681" i="2"/>
  <c r="D681" i="2"/>
  <c r="E681" i="2"/>
  <c r="F681" i="2"/>
  <c r="G681" i="2"/>
  <c r="H681" i="2"/>
  <c r="I681" i="2"/>
  <c r="B682" i="2"/>
  <c r="C682" i="2"/>
  <c r="D682" i="2"/>
  <c r="E682" i="2"/>
  <c r="F682" i="2"/>
  <c r="G682" i="2"/>
  <c r="H682" i="2"/>
  <c r="I682" i="2"/>
  <c r="B683" i="2"/>
  <c r="C683" i="2"/>
  <c r="D683" i="2"/>
  <c r="E683" i="2"/>
  <c r="F683" i="2"/>
  <c r="G683" i="2"/>
  <c r="H683" i="2"/>
  <c r="I683" i="2"/>
  <c r="B684" i="2"/>
  <c r="C684" i="2"/>
  <c r="D684" i="2"/>
  <c r="E684" i="2"/>
  <c r="F684" i="2"/>
  <c r="G684" i="2"/>
  <c r="H684" i="2"/>
  <c r="I684" i="2"/>
  <c r="B685" i="2"/>
  <c r="C685" i="2"/>
  <c r="D685" i="2"/>
  <c r="E685" i="2"/>
  <c r="F685" i="2"/>
  <c r="G685" i="2"/>
  <c r="H685" i="2"/>
  <c r="I685" i="2"/>
  <c r="B686" i="2"/>
  <c r="C686" i="2"/>
  <c r="D686" i="2"/>
  <c r="E686" i="2"/>
  <c r="F686" i="2"/>
  <c r="G686" i="2"/>
  <c r="H686" i="2"/>
  <c r="I686" i="2"/>
  <c r="B687" i="2"/>
  <c r="C687" i="2"/>
  <c r="D687" i="2"/>
  <c r="E687" i="2"/>
  <c r="F687" i="2"/>
  <c r="G687" i="2"/>
  <c r="H687" i="2"/>
  <c r="I687" i="2"/>
  <c r="B688" i="2"/>
  <c r="C688" i="2"/>
  <c r="D688" i="2"/>
  <c r="E688" i="2"/>
  <c r="F688" i="2"/>
  <c r="G688" i="2"/>
  <c r="H688" i="2"/>
  <c r="I688" i="2"/>
  <c r="B689" i="2"/>
  <c r="C689" i="2"/>
  <c r="D689" i="2"/>
  <c r="E689" i="2"/>
  <c r="F689" i="2"/>
  <c r="G689" i="2"/>
  <c r="H689" i="2"/>
  <c r="I689" i="2"/>
  <c r="B690" i="2"/>
  <c r="C690" i="2"/>
  <c r="D690" i="2"/>
  <c r="E690" i="2"/>
  <c r="F690" i="2"/>
  <c r="G690" i="2"/>
  <c r="H690" i="2"/>
  <c r="I690" i="2"/>
  <c r="B691" i="2"/>
  <c r="C691" i="2"/>
  <c r="D691" i="2"/>
  <c r="E691" i="2"/>
  <c r="F691" i="2"/>
  <c r="G691" i="2"/>
  <c r="H691" i="2"/>
  <c r="I691" i="2"/>
  <c r="B692" i="2"/>
  <c r="C692" i="2"/>
  <c r="D692" i="2"/>
  <c r="E692" i="2"/>
  <c r="F692" i="2"/>
  <c r="G692" i="2"/>
  <c r="H692" i="2"/>
  <c r="I692" i="2"/>
  <c r="B693" i="2"/>
  <c r="C693" i="2"/>
  <c r="D693" i="2"/>
  <c r="E693" i="2"/>
  <c r="F693" i="2"/>
  <c r="G693" i="2"/>
  <c r="H693" i="2"/>
  <c r="I693" i="2"/>
  <c r="B694" i="2"/>
  <c r="C694" i="2"/>
  <c r="D694" i="2"/>
  <c r="E694" i="2"/>
  <c r="F694" i="2"/>
  <c r="G694" i="2"/>
  <c r="H694" i="2"/>
  <c r="I694" i="2"/>
  <c r="B695" i="2"/>
  <c r="C695" i="2"/>
  <c r="D695" i="2"/>
  <c r="E695" i="2"/>
  <c r="F695" i="2"/>
  <c r="G695" i="2"/>
  <c r="H695" i="2"/>
  <c r="I695" i="2"/>
  <c r="B696" i="2"/>
  <c r="C696" i="2"/>
  <c r="D696" i="2"/>
  <c r="E696" i="2"/>
  <c r="F696" i="2"/>
  <c r="G696" i="2"/>
  <c r="H696" i="2"/>
  <c r="I696" i="2"/>
  <c r="B697" i="2"/>
  <c r="C697" i="2"/>
  <c r="D697" i="2"/>
  <c r="E697" i="2"/>
  <c r="F697" i="2"/>
  <c r="G697" i="2"/>
  <c r="H697" i="2"/>
  <c r="I697" i="2"/>
  <c r="B698" i="2"/>
  <c r="C698" i="2"/>
  <c r="D698" i="2"/>
  <c r="E698" i="2"/>
  <c r="F698" i="2"/>
  <c r="G698" i="2"/>
  <c r="H698" i="2"/>
  <c r="I698" i="2"/>
  <c r="B699" i="2"/>
  <c r="C699" i="2"/>
  <c r="D699" i="2"/>
  <c r="E699" i="2"/>
  <c r="F699" i="2"/>
  <c r="G699" i="2"/>
  <c r="H699" i="2"/>
  <c r="I699" i="2"/>
  <c r="B700" i="2"/>
  <c r="C700" i="2"/>
  <c r="D700" i="2"/>
  <c r="E700" i="2"/>
  <c r="F700" i="2"/>
  <c r="G700" i="2"/>
  <c r="H700" i="2"/>
  <c r="I700" i="2"/>
  <c r="B701" i="2"/>
  <c r="C701" i="2"/>
  <c r="D701" i="2"/>
  <c r="E701" i="2"/>
  <c r="F701" i="2"/>
  <c r="G701" i="2"/>
  <c r="H701" i="2"/>
  <c r="I701" i="2"/>
  <c r="B702" i="2"/>
  <c r="C702" i="2"/>
  <c r="D702" i="2"/>
  <c r="E702" i="2"/>
  <c r="F702" i="2"/>
  <c r="G702" i="2"/>
  <c r="H702" i="2"/>
  <c r="I702" i="2"/>
  <c r="B703" i="2"/>
  <c r="C703" i="2"/>
  <c r="D703" i="2"/>
  <c r="E703" i="2"/>
  <c r="F703" i="2"/>
  <c r="G703" i="2"/>
  <c r="H703" i="2"/>
  <c r="I703" i="2"/>
  <c r="B704" i="2"/>
  <c r="C704" i="2"/>
  <c r="D704" i="2"/>
  <c r="E704" i="2"/>
  <c r="F704" i="2"/>
  <c r="G704" i="2"/>
  <c r="H704" i="2"/>
  <c r="I704" i="2"/>
  <c r="B705" i="2"/>
  <c r="C705" i="2"/>
  <c r="D705" i="2"/>
  <c r="E705" i="2"/>
  <c r="F705" i="2"/>
  <c r="G705" i="2"/>
  <c r="H705" i="2"/>
  <c r="I705" i="2"/>
  <c r="B706" i="2"/>
  <c r="C706" i="2"/>
  <c r="D706" i="2"/>
  <c r="E706" i="2"/>
  <c r="F706" i="2"/>
  <c r="G706" i="2"/>
  <c r="H706" i="2"/>
  <c r="I706" i="2"/>
  <c r="B707" i="2"/>
  <c r="C707" i="2"/>
  <c r="D707" i="2"/>
  <c r="E707" i="2"/>
  <c r="F707" i="2"/>
  <c r="G707" i="2"/>
  <c r="H707" i="2"/>
  <c r="I707" i="2"/>
  <c r="B708" i="2"/>
  <c r="C708" i="2"/>
  <c r="D708" i="2"/>
  <c r="E708" i="2"/>
  <c r="F708" i="2"/>
  <c r="G708" i="2"/>
  <c r="H708" i="2"/>
  <c r="I708" i="2"/>
  <c r="B709" i="2"/>
  <c r="C709" i="2"/>
  <c r="D709" i="2"/>
  <c r="E709" i="2"/>
  <c r="F709" i="2"/>
  <c r="G709" i="2"/>
  <c r="H709" i="2"/>
  <c r="I709" i="2"/>
  <c r="B710" i="2"/>
  <c r="C710" i="2"/>
  <c r="D710" i="2"/>
  <c r="E710" i="2"/>
  <c r="F710" i="2"/>
  <c r="G710" i="2"/>
  <c r="H710" i="2"/>
  <c r="I710" i="2"/>
  <c r="B711" i="2"/>
  <c r="C711" i="2"/>
  <c r="D711" i="2"/>
  <c r="E711" i="2"/>
  <c r="F711" i="2"/>
  <c r="G711" i="2"/>
  <c r="H711" i="2"/>
  <c r="I711" i="2"/>
  <c r="B712" i="2"/>
  <c r="C712" i="2"/>
  <c r="D712" i="2"/>
  <c r="E712" i="2"/>
  <c r="F712" i="2"/>
  <c r="G712" i="2"/>
  <c r="H712" i="2"/>
  <c r="I712" i="2"/>
  <c r="B713" i="2"/>
  <c r="C713" i="2"/>
  <c r="D713" i="2"/>
  <c r="E713" i="2"/>
  <c r="F713" i="2"/>
  <c r="G713" i="2"/>
  <c r="H713" i="2"/>
  <c r="I713" i="2"/>
  <c r="B714" i="2"/>
  <c r="C714" i="2"/>
  <c r="D714" i="2"/>
  <c r="E714" i="2"/>
  <c r="F714" i="2"/>
  <c r="G714" i="2"/>
  <c r="H714" i="2"/>
  <c r="I714" i="2"/>
  <c r="B715" i="2"/>
  <c r="C715" i="2"/>
  <c r="D715" i="2"/>
  <c r="E715" i="2"/>
  <c r="F715" i="2"/>
  <c r="G715" i="2"/>
  <c r="H715" i="2"/>
  <c r="I715" i="2"/>
  <c r="B716" i="2"/>
  <c r="C716" i="2"/>
  <c r="D716" i="2"/>
  <c r="E716" i="2"/>
  <c r="F716" i="2"/>
  <c r="G716" i="2"/>
  <c r="H716" i="2"/>
  <c r="I716" i="2"/>
  <c r="B717" i="2"/>
  <c r="C717" i="2"/>
  <c r="D717" i="2"/>
  <c r="E717" i="2"/>
  <c r="F717" i="2"/>
  <c r="G717" i="2"/>
  <c r="H717" i="2"/>
  <c r="I717" i="2"/>
  <c r="B718" i="2"/>
  <c r="C718" i="2"/>
  <c r="D718" i="2"/>
  <c r="E718" i="2"/>
  <c r="F718" i="2"/>
  <c r="G718" i="2"/>
  <c r="H718" i="2"/>
  <c r="I718" i="2"/>
  <c r="B719" i="2"/>
  <c r="C719" i="2"/>
  <c r="D719" i="2"/>
  <c r="E719" i="2"/>
  <c r="F719" i="2"/>
  <c r="G719" i="2"/>
  <c r="H719" i="2"/>
  <c r="I719" i="2"/>
  <c r="B720" i="2"/>
  <c r="C720" i="2"/>
  <c r="D720" i="2"/>
  <c r="E720" i="2"/>
  <c r="F720" i="2"/>
  <c r="G720" i="2"/>
  <c r="H720" i="2"/>
  <c r="I720" i="2"/>
  <c r="B721" i="2"/>
  <c r="C721" i="2"/>
  <c r="D721" i="2"/>
  <c r="E721" i="2"/>
  <c r="F721" i="2"/>
  <c r="G721" i="2"/>
  <c r="H721" i="2"/>
  <c r="I721" i="2"/>
  <c r="B722" i="2"/>
  <c r="C722" i="2"/>
  <c r="D722" i="2"/>
  <c r="E722" i="2"/>
  <c r="F722" i="2"/>
  <c r="G722" i="2"/>
  <c r="H722" i="2"/>
  <c r="I722" i="2"/>
  <c r="B723" i="2"/>
  <c r="C723" i="2"/>
  <c r="D723" i="2"/>
  <c r="E723" i="2"/>
  <c r="F723" i="2"/>
  <c r="G723" i="2"/>
  <c r="H723" i="2"/>
  <c r="I723" i="2"/>
  <c r="B724" i="2"/>
  <c r="C724" i="2"/>
  <c r="D724" i="2"/>
  <c r="E724" i="2"/>
  <c r="F724" i="2"/>
  <c r="G724" i="2"/>
  <c r="H724" i="2"/>
  <c r="I724" i="2"/>
  <c r="B725" i="2"/>
  <c r="C725" i="2"/>
  <c r="D725" i="2"/>
  <c r="E725" i="2"/>
  <c r="F725" i="2"/>
  <c r="G725" i="2"/>
  <c r="H725" i="2"/>
  <c r="I725" i="2"/>
  <c r="B726" i="2"/>
  <c r="C726" i="2"/>
  <c r="D726" i="2"/>
  <c r="E726" i="2"/>
  <c r="F726" i="2"/>
  <c r="G726" i="2"/>
  <c r="H726" i="2"/>
  <c r="I726" i="2"/>
  <c r="B727" i="2"/>
  <c r="C727" i="2"/>
  <c r="D727" i="2"/>
  <c r="E727" i="2"/>
  <c r="F727" i="2"/>
  <c r="G727" i="2"/>
  <c r="H727" i="2"/>
  <c r="I727" i="2"/>
  <c r="B728" i="2"/>
  <c r="C728" i="2"/>
  <c r="D728" i="2"/>
  <c r="E728" i="2"/>
  <c r="F728" i="2"/>
  <c r="G728" i="2"/>
  <c r="H728" i="2"/>
  <c r="I728" i="2"/>
  <c r="B729" i="2"/>
  <c r="C729" i="2"/>
  <c r="D729" i="2"/>
  <c r="E729" i="2"/>
  <c r="F729" i="2"/>
  <c r="G729" i="2"/>
  <c r="H729" i="2"/>
  <c r="I729" i="2"/>
  <c r="B730" i="2"/>
  <c r="C730" i="2"/>
  <c r="D730" i="2"/>
  <c r="E730" i="2"/>
  <c r="F730" i="2"/>
  <c r="G730" i="2"/>
  <c r="H730" i="2"/>
  <c r="I730" i="2"/>
  <c r="B731" i="2"/>
  <c r="C731" i="2"/>
  <c r="D731" i="2"/>
  <c r="E731" i="2"/>
  <c r="F731" i="2"/>
  <c r="G731" i="2"/>
  <c r="H731" i="2"/>
  <c r="I731" i="2"/>
  <c r="B732" i="2"/>
  <c r="C732" i="2"/>
  <c r="D732" i="2"/>
  <c r="E732" i="2"/>
  <c r="F732" i="2"/>
  <c r="G732" i="2"/>
  <c r="H732" i="2"/>
  <c r="I732" i="2"/>
  <c r="B733" i="2"/>
  <c r="C733" i="2"/>
  <c r="D733" i="2"/>
  <c r="E733" i="2"/>
  <c r="F733" i="2"/>
  <c r="G733" i="2"/>
  <c r="H733" i="2"/>
  <c r="I733" i="2"/>
  <c r="B734" i="2"/>
  <c r="C734" i="2"/>
  <c r="D734" i="2"/>
  <c r="E734" i="2"/>
  <c r="F734" i="2"/>
  <c r="G734" i="2"/>
  <c r="H734" i="2"/>
  <c r="I734" i="2"/>
  <c r="B735" i="2"/>
  <c r="C735" i="2"/>
  <c r="D735" i="2"/>
  <c r="E735" i="2"/>
  <c r="F735" i="2"/>
  <c r="G735" i="2"/>
  <c r="H735" i="2"/>
  <c r="I735" i="2"/>
  <c r="B736" i="2"/>
  <c r="C736" i="2"/>
  <c r="D736" i="2"/>
  <c r="E736" i="2"/>
  <c r="F736" i="2"/>
  <c r="G736" i="2"/>
  <c r="H736" i="2"/>
  <c r="I736" i="2"/>
  <c r="B737" i="2"/>
  <c r="C737" i="2"/>
  <c r="D737" i="2"/>
  <c r="E737" i="2"/>
  <c r="F737" i="2"/>
  <c r="G737" i="2"/>
  <c r="H737" i="2"/>
  <c r="I737" i="2"/>
  <c r="B738" i="2"/>
  <c r="C738" i="2"/>
  <c r="D738" i="2"/>
  <c r="E738" i="2"/>
  <c r="F738" i="2"/>
  <c r="G738" i="2"/>
  <c r="H738" i="2"/>
  <c r="I738" i="2"/>
  <c r="B739" i="2"/>
  <c r="C739" i="2"/>
  <c r="D739" i="2"/>
  <c r="E739" i="2"/>
  <c r="F739" i="2"/>
  <c r="G739" i="2"/>
  <c r="H739" i="2"/>
  <c r="I739" i="2"/>
  <c r="B740" i="2"/>
  <c r="C740" i="2"/>
  <c r="D740" i="2"/>
  <c r="E740" i="2"/>
  <c r="F740" i="2"/>
  <c r="G740" i="2"/>
  <c r="H740" i="2"/>
  <c r="I740" i="2"/>
  <c r="B741" i="2"/>
  <c r="C741" i="2"/>
  <c r="D741" i="2"/>
  <c r="E741" i="2"/>
  <c r="F741" i="2"/>
  <c r="G741" i="2"/>
  <c r="H741" i="2"/>
  <c r="I741" i="2"/>
  <c r="B742" i="2"/>
  <c r="C742" i="2"/>
  <c r="D742" i="2"/>
  <c r="E742" i="2"/>
  <c r="F742" i="2"/>
  <c r="G742" i="2"/>
  <c r="H742" i="2"/>
  <c r="I742" i="2"/>
  <c r="B743" i="2"/>
  <c r="C743" i="2"/>
  <c r="D743" i="2"/>
  <c r="E743" i="2"/>
  <c r="F743" i="2"/>
  <c r="G743" i="2"/>
  <c r="H743" i="2"/>
  <c r="I743" i="2"/>
  <c r="B744" i="2"/>
  <c r="C744" i="2"/>
  <c r="D744" i="2"/>
  <c r="E744" i="2"/>
  <c r="F744" i="2"/>
  <c r="G744" i="2"/>
  <c r="H744" i="2"/>
  <c r="I744" i="2"/>
  <c r="B745" i="2"/>
  <c r="C745" i="2"/>
  <c r="D745" i="2"/>
  <c r="E745" i="2"/>
  <c r="F745" i="2"/>
  <c r="G745" i="2"/>
  <c r="H745" i="2"/>
  <c r="I745" i="2"/>
  <c r="B746" i="2"/>
  <c r="C746" i="2"/>
  <c r="D746" i="2"/>
  <c r="E746" i="2"/>
  <c r="F746" i="2"/>
  <c r="G746" i="2"/>
  <c r="H746" i="2"/>
  <c r="I746" i="2"/>
  <c r="B747" i="2"/>
  <c r="C747" i="2"/>
  <c r="D747" i="2"/>
  <c r="E747" i="2"/>
  <c r="F747" i="2"/>
  <c r="G747" i="2"/>
  <c r="H747" i="2"/>
  <c r="I747" i="2"/>
  <c r="B748" i="2"/>
  <c r="C748" i="2"/>
  <c r="D748" i="2"/>
  <c r="E748" i="2"/>
  <c r="F748" i="2"/>
  <c r="G748" i="2"/>
  <c r="H748" i="2"/>
  <c r="I748" i="2"/>
  <c r="B749" i="2"/>
  <c r="C749" i="2"/>
  <c r="D749" i="2"/>
  <c r="E749" i="2"/>
  <c r="F749" i="2"/>
  <c r="G749" i="2"/>
  <c r="H749" i="2"/>
  <c r="I749" i="2"/>
  <c r="B750" i="2"/>
  <c r="C750" i="2"/>
  <c r="D750" i="2"/>
  <c r="E750" i="2"/>
  <c r="F750" i="2"/>
  <c r="G750" i="2"/>
  <c r="H750" i="2"/>
  <c r="I750" i="2"/>
  <c r="B751" i="2"/>
  <c r="C751" i="2"/>
  <c r="D751" i="2"/>
  <c r="E751" i="2"/>
  <c r="F751" i="2"/>
  <c r="G751" i="2"/>
  <c r="H751" i="2"/>
  <c r="I751" i="2"/>
  <c r="B752" i="2"/>
  <c r="C752" i="2"/>
  <c r="D752" i="2"/>
  <c r="E752" i="2"/>
  <c r="F752" i="2"/>
  <c r="G752" i="2"/>
  <c r="H752" i="2"/>
  <c r="I752" i="2"/>
  <c r="B753" i="2"/>
  <c r="C753" i="2"/>
  <c r="D753" i="2"/>
  <c r="E753" i="2"/>
  <c r="F753" i="2"/>
  <c r="G753" i="2"/>
  <c r="H753" i="2"/>
  <c r="I753" i="2"/>
  <c r="B754" i="2"/>
  <c r="C754" i="2"/>
  <c r="D754" i="2"/>
  <c r="E754" i="2"/>
  <c r="F754" i="2"/>
  <c r="G754" i="2"/>
  <c r="H754" i="2"/>
  <c r="I754" i="2"/>
  <c r="B755" i="2"/>
  <c r="C755" i="2"/>
  <c r="D755" i="2"/>
  <c r="E755" i="2"/>
  <c r="F755" i="2"/>
  <c r="G755" i="2"/>
  <c r="H755" i="2"/>
  <c r="I755" i="2"/>
  <c r="B756" i="2"/>
  <c r="C756" i="2"/>
  <c r="D756" i="2"/>
  <c r="E756" i="2"/>
  <c r="F756" i="2"/>
  <c r="G756" i="2"/>
  <c r="H756" i="2"/>
  <c r="I756" i="2"/>
  <c r="B757" i="2"/>
  <c r="C757" i="2"/>
  <c r="D757" i="2"/>
  <c r="E757" i="2"/>
  <c r="F757" i="2"/>
  <c r="G757" i="2"/>
  <c r="H757" i="2"/>
  <c r="I757" i="2"/>
  <c r="B758" i="2"/>
  <c r="C758" i="2"/>
  <c r="D758" i="2"/>
  <c r="E758" i="2"/>
  <c r="F758" i="2"/>
  <c r="G758" i="2"/>
  <c r="H758" i="2"/>
  <c r="I758" i="2"/>
  <c r="B759" i="2"/>
  <c r="C759" i="2"/>
  <c r="D759" i="2"/>
  <c r="E759" i="2"/>
  <c r="F759" i="2"/>
  <c r="G759" i="2"/>
  <c r="H759" i="2"/>
  <c r="I759" i="2"/>
  <c r="B760" i="2"/>
  <c r="C760" i="2"/>
  <c r="D760" i="2"/>
  <c r="E760" i="2"/>
  <c r="F760" i="2"/>
  <c r="G760" i="2"/>
  <c r="H760" i="2"/>
  <c r="I760" i="2"/>
  <c r="B761" i="2"/>
  <c r="C761" i="2"/>
  <c r="D761" i="2"/>
  <c r="E761" i="2"/>
  <c r="F761" i="2"/>
  <c r="G761" i="2"/>
  <c r="H761" i="2"/>
  <c r="I761" i="2"/>
  <c r="B762" i="2"/>
  <c r="C762" i="2"/>
  <c r="D762" i="2"/>
  <c r="E762" i="2"/>
  <c r="F762" i="2"/>
  <c r="G762" i="2"/>
  <c r="H762" i="2"/>
  <c r="I762" i="2"/>
  <c r="B763" i="2"/>
  <c r="C763" i="2"/>
  <c r="D763" i="2"/>
  <c r="E763" i="2"/>
  <c r="F763" i="2"/>
  <c r="G763" i="2"/>
  <c r="H763" i="2"/>
  <c r="I763" i="2"/>
  <c r="B764" i="2"/>
  <c r="C764" i="2"/>
  <c r="D764" i="2"/>
  <c r="E764" i="2"/>
  <c r="F764" i="2"/>
  <c r="G764" i="2"/>
  <c r="H764" i="2"/>
  <c r="I764" i="2"/>
  <c r="B765" i="2"/>
  <c r="C765" i="2"/>
  <c r="D765" i="2"/>
  <c r="E765" i="2"/>
  <c r="F765" i="2"/>
  <c r="G765" i="2"/>
  <c r="H765" i="2"/>
  <c r="I765" i="2"/>
  <c r="B766" i="2"/>
  <c r="C766" i="2"/>
  <c r="D766" i="2"/>
  <c r="E766" i="2"/>
  <c r="F766" i="2"/>
  <c r="G766" i="2"/>
  <c r="H766" i="2"/>
  <c r="I766" i="2"/>
  <c r="B767" i="2"/>
  <c r="C767" i="2"/>
  <c r="D767" i="2"/>
  <c r="E767" i="2"/>
  <c r="F767" i="2"/>
  <c r="G767" i="2"/>
  <c r="H767" i="2"/>
  <c r="I767" i="2"/>
  <c r="B768" i="2"/>
  <c r="C768" i="2"/>
  <c r="D768" i="2"/>
  <c r="E768" i="2"/>
  <c r="F768" i="2"/>
  <c r="G768" i="2"/>
  <c r="H768" i="2"/>
  <c r="I768" i="2"/>
  <c r="B769" i="2"/>
  <c r="C769" i="2"/>
  <c r="D769" i="2"/>
  <c r="E769" i="2"/>
  <c r="F769" i="2"/>
  <c r="G769" i="2"/>
  <c r="H769" i="2"/>
  <c r="I769" i="2"/>
  <c r="B770" i="2"/>
  <c r="C770" i="2"/>
  <c r="D770" i="2"/>
  <c r="E770" i="2"/>
  <c r="F770" i="2"/>
  <c r="G770" i="2"/>
  <c r="H770" i="2"/>
  <c r="I770" i="2"/>
  <c r="B771" i="2"/>
  <c r="C771" i="2"/>
  <c r="D771" i="2"/>
  <c r="E771" i="2"/>
  <c r="F771" i="2"/>
  <c r="G771" i="2"/>
  <c r="H771" i="2"/>
  <c r="I771" i="2"/>
  <c r="B772" i="2"/>
  <c r="C772" i="2"/>
  <c r="D772" i="2"/>
  <c r="E772" i="2"/>
  <c r="F772" i="2"/>
  <c r="G772" i="2"/>
  <c r="H772" i="2"/>
  <c r="I772" i="2"/>
  <c r="B773" i="2"/>
  <c r="C773" i="2"/>
  <c r="D773" i="2"/>
  <c r="E773" i="2"/>
  <c r="F773" i="2"/>
  <c r="G773" i="2"/>
  <c r="H773" i="2"/>
  <c r="I773" i="2"/>
  <c r="B774" i="2"/>
  <c r="C774" i="2"/>
  <c r="D774" i="2"/>
  <c r="E774" i="2"/>
  <c r="F774" i="2"/>
  <c r="G774" i="2"/>
  <c r="H774" i="2"/>
  <c r="I774" i="2"/>
  <c r="B775" i="2"/>
  <c r="C775" i="2"/>
  <c r="D775" i="2"/>
  <c r="E775" i="2"/>
  <c r="F775" i="2"/>
  <c r="G775" i="2"/>
  <c r="H775" i="2"/>
  <c r="I775" i="2"/>
  <c r="B776" i="2"/>
  <c r="C776" i="2"/>
  <c r="D776" i="2"/>
  <c r="E776" i="2"/>
  <c r="F776" i="2"/>
  <c r="G776" i="2"/>
  <c r="H776" i="2"/>
  <c r="I776" i="2"/>
  <c r="B777" i="2"/>
  <c r="C777" i="2"/>
  <c r="D777" i="2"/>
  <c r="E777" i="2"/>
  <c r="F777" i="2"/>
  <c r="G777" i="2"/>
  <c r="H777" i="2"/>
  <c r="I777" i="2"/>
  <c r="B778" i="2"/>
  <c r="C778" i="2"/>
  <c r="D778" i="2"/>
  <c r="E778" i="2"/>
  <c r="F778" i="2"/>
  <c r="G778" i="2"/>
  <c r="H778" i="2"/>
  <c r="I778" i="2"/>
  <c r="B779" i="2"/>
  <c r="C779" i="2"/>
  <c r="D779" i="2"/>
  <c r="E779" i="2"/>
  <c r="F779" i="2"/>
  <c r="G779" i="2"/>
  <c r="H779" i="2"/>
  <c r="I779" i="2"/>
  <c r="B780" i="2"/>
  <c r="C780" i="2"/>
  <c r="D780" i="2"/>
  <c r="E780" i="2"/>
  <c r="F780" i="2"/>
  <c r="G780" i="2"/>
  <c r="H780" i="2"/>
  <c r="I780" i="2"/>
  <c r="B781" i="2"/>
  <c r="C781" i="2"/>
  <c r="D781" i="2"/>
  <c r="E781" i="2"/>
  <c r="F781" i="2"/>
  <c r="G781" i="2"/>
  <c r="H781" i="2"/>
  <c r="I781" i="2"/>
  <c r="B782" i="2"/>
  <c r="C782" i="2"/>
  <c r="D782" i="2"/>
  <c r="E782" i="2"/>
  <c r="F782" i="2"/>
  <c r="G782" i="2"/>
  <c r="H782" i="2"/>
  <c r="I782" i="2"/>
  <c r="B783" i="2"/>
  <c r="C783" i="2"/>
  <c r="D783" i="2"/>
  <c r="E783" i="2"/>
  <c r="F783" i="2"/>
  <c r="G783" i="2"/>
  <c r="H783" i="2"/>
  <c r="I783" i="2"/>
  <c r="B784" i="2"/>
  <c r="C784" i="2"/>
  <c r="D784" i="2"/>
  <c r="E784" i="2"/>
  <c r="F784" i="2"/>
  <c r="G784" i="2"/>
  <c r="H784" i="2"/>
  <c r="I784" i="2"/>
  <c r="B785" i="2"/>
  <c r="C785" i="2"/>
  <c r="D785" i="2"/>
  <c r="E785" i="2"/>
  <c r="F785" i="2"/>
  <c r="G785" i="2"/>
  <c r="H785" i="2"/>
  <c r="I785" i="2"/>
  <c r="B786" i="2"/>
  <c r="C786" i="2"/>
  <c r="D786" i="2"/>
  <c r="E786" i="2"/>
  <c r="F786" i="2"/>
  <c r="G786" i="2"/>
  <c r="H786" i="2"/>
  <c r="I786" i="2"/>
  <c r="B787" i="2"/>
  <c r="C787" i="2"/>
  <c r="D787" i="2"/>
  <c r="E787" i="2"/>
  <c r="F787" i="2"/>
  <c r="G787" i="2"/>
  <c r="H787" i="2"/>
  <c r="I787" i="2"/>
  <c r="B788" i="2"/>
  <c r="C788" i="2"/>
  <c r="D788" i="2"/>
  <c r="E788" i="2"/>
  <c r="F788" i="2"/>
  <c r="G788" i="2"/>
  <c r="H788" i="2"/>
  <c r="I788" i="2"/>
  <c r="B789" i="2"/>
  <c r="C789" i="2"/>
  <c r="D789" i="2"/>
  <c r="E789" i="2"/>
  <c r="F789" i="2"/>
  <c r="G789" i="2"/>
  <c r="H789" i="2"/>
  <c r="I789" i="2"/>
  <c r="B790" i="2"/>
  <c r="C790" i="2"/>
  <c r="D790" i="2"/>
  <c r="E790" i="2"/>
  <c r="F790" i="2"/>
  <c r="G790" i="2"/>
  <c r="H790" i="2"/>
  <c r="I790" i="2"/>
  <c r="B791" i="2"/>
  <c r="C791" i="2"/>
  <c r="D791" i="2"/>
  <c r="E791" i="2"/>
  <c r="F791" i="2"/>
  <c r="G791" i="2"/>
  <c r="H791" i="2"/>
  <c r="I791" i="2"/>
  <c r="B792" i="2"/>
  <c r="C792" i="2"/>
  <c r="D792" i="2"/>
  <c r="E792" i="2"/>
  <c r="F792" i="2"/>
  <c r="G792" i="2"/>
  <c r="H792" i="2"/>
  <c r="I792" i="2"/>
  <c r="B793" i="2"/>
  <c r="C793" i="2"/>
  <c r="D793" i="2"/>
  <c r="E793" i="2"/>
  <c r="F793" i="2"/>
  <c r="G793" i="2"/>
  <c r="H793" i="2"/>
  <c r="I793" i="2"/>
  <c r="B794" i="2"/>
  <c r="C794" i="2"/>
  <c r="D794" i="2"/>
  <c r="E794" i="2"/>
  <c r="F794" i="2"/>
  <c r="G794" i="2"/>
  <c r="H794" i="2"/>
  <c r="I794" i="2"/>
  <c r="B795" i="2"/>
  <c r="C795" i="2"/>
  <c r="D795" i="2"/>
  <c r="E795" i="2"/>
  <c r="F795" i="2"/>
  <c r="G795" i="2"/>
  <c r="H795" i="2"/>
  <c r="I795" i="2"/>
  <c r="B796" i="2"/>
  <c r="C796" i="2"/>
  <c r="D796" i="2"/>
  <c r="E796" i="2"/>
  <c r="F796" i="2"/>
  <c r="G796" i="2"/>
  <c r="H796" i="2"/>
  <c r="I796" i="2"/>
  <c r="B797" i="2"/>
  <c r="C797" i="2"/>
  <c r="D797" i="2"/>
  <c r="E797" i="2"/>
  <c r="F797" i="2"/>
  <c r="G797" i="2"/>
  <c r="H797" i="2"/>
  <c r="I797" i="2"/>
  <c r="B798" i="2"/>
  <c r="C798" i="2"/>
  <c r="D798" i="2"/>
  <c r="E798" i="2"/>
  <c r="F798" i="2"/>
  <c r="G798" i="2"/>
  <c r="H798" i="2"/>
  <c r="I798" i="2"/>
  <c r="B799" i="2"/>
  <c r="C799" i="2"/>
  <c r="D799" i="2"/>
  <c r="E799" i="2"/>
  <c r="F799" i="2"/>
  <c r="G799" i="2"/>
  <c r="H799" i="2"/>
  <c r="I799" i="2"/>
  <c r="B800" i="2"/>
  <c r="C800" i="2"/>
  <c r="D800" i="2"/>
  <c r="E800" i="2"/>
  <c r="F800" i="2"/>
  <c r="G800" i="2"/>
  <c r="H800" i="2"/>
  <c r="I800" i="2"/>
  <c r="B801" i="2"/>
  <c r="C801" i="2"/>
  <c r="D801" i="2"/>
  <c r="E801" i="2"/>
  <c r="F801" i="2"/>
  <c r="G801" i="2"/>
  <c r="H801" i="2"/>
  <c r="I801" i="2"/>
  <c r="B802" i="2"/>
  <c r="C802" i="2"/>
  <c r="D802" i="2"/>
  <c r="E802" i="2"/>
  <c r="F802" i="2"/>
  <c r="G802" i="2"/>
  <c r="H802" i="2"/>
  <c r="I802" i="2"/>
  <c r="B803" i="2"/>
  <c r="C803" i="2"/>
  <c r="D803" i="2"/>
  <c r="E803" i="2"/>
  <c r="F803" i="2"/>
  <c r="G803" i="2"/>
  <c r="H803" i="2"/>
  <c r="I803" i="2"/>
  <c r="B804" i="2"/>
  <c r="C804" i="2"/>
  <c r="D804" i="2"/>
  <c r="E804" i="2"/>
  <c r="F804" i="2"/>
  <c r="G804" i="2"/>
  <c r="H804" i="2"/>
  <c r="I804" i="2"/>
  <c r="B805" i="2"/>
  <c r="C805" i="2"/>
  <c r="D805" i="2"/>
  <c r="E805" i="2"/>
  <c r="F805" i="2"/>
  <c r="G805" i="2"/>
  <c r="H805" i="2"/>
  <c r="I805" i="2"/>
  <c r="B806" i="2"/>
  <c r="C806" i="2"/>
  <c r="D806" i="2"/>
  <c r="E806" i="2"/>
  <c r="F806" i="2"/>
  <c r="G806" i="2"/>
  <c r="H806" i="2"/>
  <c r="I806" i="2"/>
  <c r="B807" i="2"/>
  <c r="C807" i="2"/>
  <c r="D807" i="2"/>
  <c r="E807" i="2"/>
  <c r="F807" i="2"/>
  <c r="G807" i="2"/>
  <c r="H807" i="2"/>
  <c r="I807" i="2"/>
  <c r="B808" i="2"/>
  <c r="C808" i="2"/>
  <c r="D808" i="2"/>
  <c r="E808" i="2"/>
  <c r="F808" i="2"/>
  <c r="G808" i="2"/>
  <c r="H808" i="2"/>
  <c r="I808" i="2"/>
  <c r="B809" i="2"/>
  <c r="C809" i="2"/>
  <c r="D809" i="2"/>
  <c r="E809" i="2"/>
  <c r="F809" i="2"/>
  <c r="G809" i="2"/>
  <c r="H809" i="2"/>
  <c r="I809" i="2"/>
  <c r="B810" i="2"/>
  <c r="C810" i="2"/>
  <c r="D810" i="2"/>
  <c r="E810" i="2"/>
  <c r="F810" i="2"/>
  <c r="G810" i="2"/>
  <c r="H810" i="2"/>
  <c r="I810" i="2"/>
  <c r="B811" i="2"/>
  <c r="C811" i="2"/>
  <c r="D811" i="2"/>
  <c r="E811" i="2"/>
  <c r="F811" i="2"/>
  <c r="G811" i="2"/>
  <c r="H811" i="2"/>
  <c r="I811" i="2"/>
  <c r="B812" i="2"/>
  <c r="C812" i="2"/>
  <c r="D812" i="2"/>
  <c r="E812" i="2"/>
  <c r="F812" i="2"/>
  <c r="G812" i="2"/>
  <c r="H812" i="2"/>
  <c r="I812" i="2"/>
  <c r="B813" i="2"/>
  <c r="C813" i="2"/>
  <c r="D813" i="2"/>
  <c r="E813" i="2"/>
  <c r="F813" i="2"/>
  <c r="G813" i="2"/>
  <c r="H813" i="2"/>
  <c r="I813" i="2"/>
  <c r="B814" i="2"/>
  <c r="C814" i="2"/>
  <c r="D814" i="2"/>
  <c r="E814" i="2"/>
  <c r="F814" i="2"/>
  <c r="G814" i="2"/>
  <c r="H814" i="2"/>
  <c r="I814" i="2"/>
  <c r="B815" i="2"/>
  <c r="C815" i="2"/>
  <c r="D815" i="2"/>
  <c r="E815" i="2"/>
  <c r="F815" i="2"/>
  <c r="G815" i="2"/>
  <c r="H815" i="2"/>
  <c r="I815" i="2"/>
  <c r="B816" i="2"/>
  <c r="C816" i="2"/>
  <c r="D816" i="2"/>
  <c r="E816" i="2"/>
  <c r="F816" i="2"/>
  <c r="G816" i="2"/>
  <c r="H816" i="2"/>
  <c r="I816" i="2"/>
  <c r="B817" i="2"/>
  <c r="C817" i="2"/>
  <c r="D817" i="2"/>
  <c r="E817" i="2"/>
  <c r="F817" i="2"/>
  <c r="G817" i="2"/>
  <c r="H817" i="2"/>
  <c r="I817" i="2"/>
  <c r="B818" i="2"/>
  <c r="C818" i="2"/>
  <c r="D818" i="2"/>
  <c r="E818" i="2"/>
  <c r="F818" i="2"/>
  <c r="G818" i="2"/>
  <c r="H818" i="2"/>
  <c r="I818" i="2"/>
  <c r="B819" i="2"/>
  <c r="C819" i="2"/>
  <c r="D819" i="2"/>
  <c r="E819" i="2"/>
  <c r="F819" i="2"/>
  <c r="G819" i="2"/>
  <c r="H819" i="2"/>
  <c r="I819" i="2"/>
  <c r="B820" i="2"/>
  <c r="C820" i="2"/>
  <c r="D820" i="2"/>
  <c r="E820" i="2"/>
  <c r="F820" i="2"/>
  <c r="G820" i="2"/>
  <c r="H820" i="2"/>
  <c r="I820" i="2"/>
  <c r="B821" i="2"/>
  <c r="C821" i="2"/>
  <c r="D821" i="2"/>
  <c r="E821" i="2"/>
  <c r="F821" i="2"/>
  <c r="G821" i="2"/>
  <c r="H821" i="2"/>
  <c r="I821" i="2"/>
  <c r="B822" i="2"/>
  <c r="C822" i="2"/>
  <c r="D822" i="2"/>
  <c r="E822" i="2"/>
  <c r="F822" i="2"/>
  <c r="G822" i="2"/>
  <c r="H822" i="2"/>
  <c r="I822" i="2"/>
  <c r="B823" i="2"/>
  <c r="C823" i="2"/>
  <c r="D823" i="2"/>
  <c r="E823" i="2"/>
  <c r="F823" i="2"/>
  <c r="G823" i="2"/>
  <c r="H823" i="2"/>
  <c r="I823" i="2"/>
  <c r="B824" i="2"/>
  <c r="C824" i="2"/>
  <c r="D824" i="2"/>
  <c r="E824" i="2"/>
  <c r="F824" i="2"/>
  <c r="G824" i="2"/>
  <c r="H824" i="2"/>
  <c r="I824" i="2"/>
  <c r="B825" i="2"/>
  <c r="C825" i="2"/>
  <c r="D825" i="2"/>
  <c r="E825" i="2"/>
  <c r="F825" i="2"/>
  <c r="G825" i="2"/>
  <c r="H825" i="2"/>
  <c r="I825" i="2"/>
  <c r="B826" i="2"/>
  <c r="C826" i="2"/>
  <c r="D826" i="2"/>
  <c r="E826" i="2"/>
  <c r="F826" i="2"/>
  <c r="G826" i="2"/>
  <c r="H826" i="2"/>
  <c r="I826" i="2"/>
  <c r="B827" i="2"/>
  <c r="C827" i="2"/>
  <c r="D827" i="2"/>
  <c r="E827" i="2"/>
  <c r="F827" i="2"/>
  <c r="G827" i="2"/>
  <c r="H827" i="2"/>
  <c r="I827" i="2"/>
  <c r="B828" i="2"/>
  <c r="C828" i="2"/>
  <c r="D828" i="2"/>
  <c r="E828" i="2"/>
  <c r="F828" i="2"/>
  <c r="G828" i="2"/>
  <c r="H828" i="2"/>
  <c r="I828" i="2"/>
  <c r="B829" i="2"/>
  <c r="C829" i="2"/>
  <c r="D829" i="2"/>
  <c r="E829" i="2"/>
  <c r="F829" i="2"/>
  <c r="G829" i="2"/>
  <c r="H829" i="2"/>
  <c r="I829" i="2"/>
  <c r="B830" i="2"/>
  <c r="C830" i="2"/>
  <c r="D830" i="2"/>
  <c r="E830" i="2"/>
  <c r="F830" i="2"/>
  <c r="G830" i="2"/>
  <c r="H830" i="2"/>
  <c r="I830" i="2"/>
  <c r="B831" i="2"/>
  <c r="C831" i="2"/>
  <c r="D831" i="2"/>
  <c r="E831" i="2"/>
  <c r="F831" i="2"/>
  <c r="G831" i="2"/>
  <c r="H831" i="2"/>
  <c r="I831" i="2"/>
  <c r="B832" i="2"/>
  <c r="C832" i="2"/>
  <c r="D832" i="2"/>
  <c r="E832" i="2"/>
  <c r="F832" i="2"/>
  <c r="G832" i="2"/>
  <c r="H832" i="2"/>
  <c r="I832" i="2"/>
  <c r="B833" i="2"/>
  <c r="C833" i="2"/>
  <c r="D833" i="2"/>
  <c r="E833" i="2"/>
  <c r="F833" i="2"/>
  <c r="G833" i="2"/>
  <c r="H833" i="2"/>
  <c r="I833" i="2"/>
  <c r="B834" i="2"/>
  <c r="C834" i="2"/>
  <c r="D834" i="2"/>
  <c r="E834" i="2"/>
  <c r="F834" i="2"/>
  <c r="G834" i="2"/>
  <c r="H834" i="2"/>
  <c r="I834" i="2"/>
  <c r="B835" i="2"/>
  <c r="C835" i="2"/>
  <c r="D835" i="2"/>
  <c r="E835" i="2"/>
  <c r="F835" i="2"/>
  <c r="G835" i="2"/>
  <c r="H835" i="2"/>
  <c r="I835" i="2"/>
  <c r="B836" i="2"/>
  <c r="C836" i="2"/>
  <c r="D836" i="2"/>
  <c r="E836" i="2"/>
  <c r="F836" i="2"/>
  <c r="G836" i="2"/>
  <c r="H836" i="2"/>
  <c r="I836" i="2"/>
  <c r="B837" i="2"/>
  <c r="C837" i="2"/>
  <c r="D837" i="2"/>
  <c r="E837" i="2"/>
  <c r="F837" i="2"/>
  <c r="G837" i="2"/>
  <c r="H837" i="2"/>
  <c r="I837" i="2"/>
  <c r="B838" i="2"/>
  <c r="C838" i="2"/>
  <c r="D838" i="2"/>
  <c r="E838" i="2"/>
  <c r="F838" i="2"/>
  <c r="G838" i="2"/>
  <c r="H838" i="2"/>
  <c r="I838" i="2"/>
  <c r="B839" i="2"/>
  <c r="C839" i="2"/>
  <c r="D839" i="2"/>
  <c r="E839" i="2"/>
  <c r="F839" i="2"/>
  <c r="G839" i="2"/>
  <c r="H839" i="2"/>
  <c r="I839" i="2"/>
  <c r="B840" i="2"/>
  <c r="C840" i="2"/>
  <c r="D840" i="2"/>
  <c r="E840" i="2"/>
  <c r="F840" i="2"/>
  <c r="G840" i="2"/>
  <c r="H840" i="2"/>
  <c r="I840" i="2"/>
  <c r="B841" i="2"/>
  <c r="C841" i="2"/>
  <c r="D841" i="2"/>
  <c r="E841" i="2"/>
  <c r="F841" i="2"/>
  <c r="G841" i="2"/>
  <c r="H841" i="2"/>
  <c r="I841" i="2"/>
  <c r="B842" i="2"/>
  <c r="C842" i="2"/>
  <c r="D842" i="2"/>
  <c r="E842" i="2"/>
  <c r="F842" i="2"/>
  <c r="G842" i="2"/>
  <c r="H842" i="2"/>
  <c r="I842" i="2"/>
  <c r="B843" i="2"/>
  <c r="C843" i="2"/>
  <c r="D843" i="2"/>
  <c r="E843" i="2"/>
  <c r="F843" i="2"/>
  <c r="G843" i="2"/>
  <c r="H843" i="2"/>
  <c r="I843" i="2"/>
  <c r="B844" i="2"/>
  <c r="C844" i="2"/>
  <c r="D844" i="2"/>
  <c r="E844" i="2"/>
  <c r="F844" i="2"/>
  <c r="G844" i="2"/>
  <c r="H844" i="2"/>
  <c r="I844" i="2"/>
  <c r="B845" i="2"/>
  <c r="C845" i="2"/>
  <c r="D845" i="2"/>
  <c r="E845" i="2"/>
  <c r="F845" i="2"/>
  <c r="G845" i="2"/>
  <c r="H845" i="2"/>
  <c r="I845" i="2"/>
  <c r="B846" i="2"/>
  <c r="C846" i="2"/>
  <c r="D846" i="2"/>
  <c r="E846" i="2"/>
  <c r="F846" i="2"/>
  <c r="G846" i="2"/>
  <c r="H846" i="2"/>
  <c r="I846" i="2"/>
  <c r="B847" i="2"/>
  <c r="C847" i="2"/>
  <c r="D847" i="2"/>
  <c r="E847" i="2"/>
  <c r="F847" i="2"/>
  <c r="G847" i="2"/>
  <c r="H847" i="2"/>
  <c r="I847" i="2"/>
  <c r="B848" i="2"/>
  <c r="C848" i="2"/>
  <c r="D848" i="2"/>
  <c r="E848" i="2"/>
  <c r="F848" i="2"/>
  <c r="G848" i="2"/>
  <c r="H848" i="2"/>
  <c r="I848" i="2"/>
  <c r="B849" i="2"/>
  <c r="C849" i="2"/>
  <c r="D849" i="2"/>
  <c r="E849" i="2"/>
  <c r="F849" i="2"/>
  <c r="G849" i="2"/>
  <c r="H849" i="2"/>
  <c r="I849" i="2"/>
  <c r="B850" i="2"/>
  <c r="C850" i="2"/>
  <c r="D850" i="2"/>
  <c r="E850" i="2"/>
  <c r="F850" i="2"/>
  <c r="G850" i="2"/>
  <c r="H850" i="2"/>
  <c r="I850" i="2"/>
  <c r="B851" i="2"/>
  <c r="C851" i="2"/>
  <c r="D851" i="2"/>
  <c r="E851" i="2"/>
  <c r="F851" i="2"/>
  <c r="G851" i="2"/>
  <c r="H851" i="2"/>
  <c r="I851" i="2"/>
  <c r="B852" i="2"/>
  <c r="C852" i="2"/>
  <c r="D852" i="2"/>
  <c r="E852" i="2"/>
  <c r="F852" i="2"/>
  <c r="G852" i="2"/>
  <c r="H852" i="2"/>
  <c r="I852" i="2"/>
  <c r="B853" i="2"/>
  <c r="C853" i="2"/>
  <c r="D853" i="2"/>
  <c r="E853" i="2"/>
  <c r="F853" i="2"/>
  <c r="G853" i="2"/>
  <c r="H853" i="2"/>
  <c r="I853" i="2"/>
  <c r="B854" i="2"/>
  <c r="C854" i="2"/>
  <c r="D854" i="2"/>
  <c r="E854" i="2"/>
  <c r="F854" i="2"/>
  <c r="G854" i="2"/>
  <c r="H854" i="2"/>
  <c r="I854" i="2"/>
  <c r="B855" i="2"/>
  <c r="C855" i="2"/>
  <c r="D855" i="2"/>
  <c r="E855" i="2"/>
  <c r="F855" i="2"/>
  <c r="G855" i="2"/>
  <c r="H855" i="2"/>
  <c r="I855" i="2"/>
  <c r="B856" i="2"/>
  <c r="C856" i="2"/>
  <c r="D856" i="2"/>
  <c r="E856" i="2"/>
  <c r="F856" i="2"/>
  <c r="G856" i="2"/>
  <c r="H856" i="2"/>
  <c r="I856" i="2"/>
  <c r="B857" i="2"/>
  <c r="C857" i="2"/>
  <c r="D857" i="2"/>
  <c r="E857" i="2"/>
  <c r="F857" i="2"/>
  <c r="G857" i="2"/>
  <c r="H857" i="2"/>
  <c r="I857" i="2"/>
  <c r="B858" i="2"/>
  <c r="C858" i="2"/>
  <c r="D858" i="2"/>
  <c r="E858" i="2"/>
  <c r="F858" i="2"/>
  <c r="G858" i="2"/>
  <c r="H858" i="2"/>
  <c r="I858" i="2"/>
  <c r="B859" i="2"/>
  <c r="C859" i="2"/>
  <c r="D859" i="2"/>
  <c r="E859" i="2"/>
  <c r="F859" i="2"/>
  <c r="G859" i="2"/>
  <c r="H859" i="2"/>
  <c r="I859" i="2"/>
  <c r="B860" i="2"/>
  <c r="C860" i="2"/>
  <c r="D860" i="2"/>
  <c r="E860" i="2"/>
  <c r="F860" i="2"/>
  <c r="G860" i="2"/>
  <c r="H860" i="2"/>
  <c r="I860" i="2"/>
  <c r="B861" i="2"/>
  <c r="C861" i="2"/>
  <c r="D861" i="2"/>
  <c r="E861" i="2"/>
  <c r="F861" i="2"/>
  <c r="G861" i="2"/>
  <c r="H861" i="2"/>
  <c r="I861" i="2"/>
  <c r="B862" i="2"/>
  <c r="C862" i="2"/>
  <c r="D862" i="2"/>
  <c r="E862" i="2"/>
  <c r="F862" i="2"/>
  <c r="G862" i="2"/>
  <c r="H862" i="2"/>
  <c r="I862" i="2"/>
  <c r="B863" i="2"/>
  <c r="C863" i="2"/>
  <c r="D863" i="2"/>
  <c r="E863" i="2"/>
  <c r="F863" i="2"/>
  <c r="G863" i="2"/>
  <c r="H863" i="2"/>
  <c r="I863" i="2"/>
  <c r="B864" i="2"/>
  <c r="C864" i="2"/>
  <c r="D864" i="2"/>
  <c r="E864" i="2"/>
  <c r="F864" i="2"/>
  <c r="G864" i="2"/>
  <c r="H864" i="2"/>
  <c r="I864" i="2"/>
  <c r="B865" i="2"/>
  <c r="C865" i="2"/>
  <c r="D865" i="2"/>
  <c r="E865" i="2"/>
  <c r="F865" i="2"/>
  <c r="G865" i="2"/>
  <c r="H865" i="2"/>
  <c r="I865" i="2"/>
  <c r="B866" i="2"/>
  <c r="C866" i="2"/>
  <c r="D866" i="2"/>
  <c r="E866" i="2"/>
  <c r="F866" i="2"/>
  <c r="G866" i="2"/>
  <c r="H866" i="2"/>
  <c r="I866" i="2"/>
  <c r="B867" i="2"/>
  <c r="C867" i="2"/>
  <c r="D867" i="2"/>
  <c r="E867" i="2"/>
  <c r="F867" i="2"/>
  <c r="G867" i="2"/>
  <c r="H867" i="2"/>
  <c r="I867" i="2"/>
  <c r="B868" i="2"/>
  <c r="C868" i="2"/>
  <c r="D868" i="2"/>
  <c r="E868" i="2"/>
  <c r="F868" i="2"/>
  <c r="G868" i="2"/>
  <c r="H868" i="2"/>
  <c r="I868" i="2"/>
  <c r="B869" i="2"/>
  <c r="C869" i="2"/>
  <c r="D869" i="2"/>
  <c r="E869" i="2"/>
  <c r="F869" i="2"/>
  <c r="G869" i="2"/>
  <c r="H869" i="2"/>
  <c r="I869" i="2"/>
  <c r="B870" i="2"/>
  <c r="C870" i="2"/>
  <c r="D870" i="2"/>
  <c r="E870" i="2"/>
  <c r="F870" i="2"/>
  <c r="G870" i="2"/>
  <c r="H870" i="2"/>
  <c r="I870" i="2"/>
  <c r="B871" i="2"/>
  <c r="C871" i="2"/>
  <c r="D871" i="2"/>
  <c r="E871" i="2"/>
  <c r="F871" i="2"/>
  <c r="G871" i="2"/>
  <c r="H871" i="2"/>
  <c r="I871" i="2"/>
  <c r="B872" i="2"/>
  <c r="C872" i="2"/>
  <c r="D872" i="2"/>
  <c r="E872" i="2"/>
  <c r="F872" i="2"/>
  <c r="G872" i="2"/>
  <c r="H872" i="2"/>
  <c r="I872" i="2"/>
  <c r="B873" i="2"/>
  <c r="C873" i="2"/>
  <c r="D873" i="2"/>
  <c r="E873" i="2"/>
  <c r="F873" i="2"/>
  <c r="G873" i="2"/>
  <c r="H873" i="2"/>
  <c r="I873" i="2"/>
  <c r="B874" i="2"/>
  <c r="C874" i="2"/>
  <c r="D874" i="2"/>
  <c r="E874" i="2"/>
  <c r="F874" i="2"/>
  <c r="G874" i="2"/>
  <c r="H874" i="2"/>
  <c r="I874" i="2"/>
  <c r="B875" i="2"/>
  <c r="C875" i="2"/>
  <c r="D875" i="2"/>
  <c r="E875" i="2"/>
  <c r="F875" i="2"/>
  <c r="G875" i="2"/>
  <c r="H875" i="2"/>
  <c r="I875" i="2"/>
  <c r="B876" i="2"/>
  <c r="C876" i="2"/>
  <c r="D876" i="2"/>
  <c r="E876" i="2"/>
  <c r="F876" i="2"/>
  <c r="G876" i="2"/>
  <c r="H876" i="2"/>
  <c r="I876" i="2"/>
  <c r="B877" i="2"/>
  <c r="C877" i="2"/>
  <c r="D877" i="2"/>
  <c r="E877" i="2"/>
  <c r="F877" i="2"/>
  <c r="G877" i="2"/>
  <c r="H877" i="2"/>
  <c r="I877" i="2"/>
  <c r="B878" i="2"/>
  <c r="C878" i="2"/>
  <c r="D878" i="2"/>
  <c r="E878" i="2"/>
  <c r="F878" i="2"/>
  <c r="G878" i="2"/>
  <c r="H878" i="2"/>
  <c r="I878" i="2"/>
  <c r="B879" i="2"/>
  <c r="C879" i="2"/>
  <c r="D879" i="2"/>
  <c r="E879" i="2"/>
  <c r="F879" i="2"/>
  <c r="G879" i="2"/>
  <c r="H879" i="2"/>
  <c r="I879" i="2"/>
  <c r="B880" i="2"/>
  <c r="C880" i="2"/>
  <c r="D880" i="2"/>
  <c r="E880" i="2"/>
  <c r="F880" i="2"/>
  <c r="G880" i="2"/>
  <c r="H880" i="2"/>
  <c r="I880" i="2"/>
  <c r="B881" i="2"/>
  <c r="C881" i="2"/>
  <c r="D881" i="2"/>
  <c r="E881" i="2"/>
  <c r="F881" i="2"/>
  <c r="G881" i="2"/>
  <c r="H881" i="2"/>
  <c r="I881" i="2"/>
  <c r="B882" i="2"/>
  <c r="C882" i="2"/>
  <c r="D882" i="2"/>
  <c r="E882" i="2"/>
  <c r="F882" i="2"/>
  <c r="G882" i="2"/>
  <c r="H882" i="2"/>
  <c r="I882" i="2"/>
  <c r="B883" i="2"/>
  <c r="C883" i="2"/>
  <c r="D883" i="2"/>
  <c r="E883" i="2"/>
  <c r="F883" i="2"/>
  <c r="G883" i="2"/>
  <c r="H883" i="2"/>
  <c r="I883" i="2"/>
  <c r="B884" i="2"/>
  <c r="C884" i="2"/>
  <c r="D884" i="2"/>
  <c r="E884" i="2"/>
  <c r="F884" i="2"/>
  <c r="G884" i="2"/>
  <c r="H884" i="2"/>
  <c r="I884" i="2"/>
  <c r="B885" i="2"/>
  <c r="C885" i="2"/>
  <c r="D885" i="2"/>
  <c r="E885" i="2"/>
  <c r="F885" i="2"/>
  <c r="G885" i="2"/>
  <c r="H885" i="2"/>
  <c r="I885" i="2"/>
  <c r="B886" i="2"/>
  <c r="C886" i="2"/>
  <c r="D886" i="2"/>
  <c r="E886" i="2"/>
  <c r="F886" i="2"/>
  <c r="G886" i="2"/>
  <c r="H886" i="2"/>
  <c r="I886" i="2"/>
  <c r="B887" i="2"/>
  <c r="C887" i="2"/>
  <c r="D887" i="2"/>
  <c r="E887" i="2"/>
  <c r="F887" i="2"/>
  <c r="G887" i="2"/>
  <c r="H887" i="2"/>
  <c r="I887" i="2"/>
  <c r="B888" i="2"/>
  <c r="C888" i="2"/>
  <c r="D888" i="2"/>
  <c r="E888" i="2"/>
  <c r="F888" i="2"/>
  <c r="G888" i="2"/>
  <c r="H888" i="2"/>
  <c r="I888" i="2"/>
  <c r="B889" i="2"/>
  <c r="C889" i="2"/>
  <c r="D889" i="2"/>
  <c r="E889" i="2"/>
  <c r="F889" i="2"/>
  <c r="G889" i="2"/>
  <c r="H889" i="2"/>
  <c r="I889" i="2"/>
  <c r="B890" i="2"/>
  <c r="C890" i="2"/>
  <c r="D890" i="2"/>
  <c r="E890" i="2"/>
  <c r="F890" i="2"/>
  <c r="G890" i="2"/>
  <c r="H890" i="2"/>
  <c r="I890" i="2"/>
  <c r="B891" i="2"/>
  <c r="C891" i="2"/>
  <c r="D891" i="2"/>
  <c r="E891" i="2"/>
  <c r="F891" i="2"/>
  <c r="G891" i="2"/>
  <c r="H891" i="2"/>
  <c r="I891" i="2"/>
  <c r="B892" i="2"/>
  <c r="C892" i="2"/>
  <c r="D892" i="2"/>
  <c r="E892" i="2"/>
  <c r="F892" i="2"/>
  <c r="G892" i="2"/>
  <c r="H892" i="2"/>
  <c r="I892" i="2"/>
  <c r="B893" i="2"/>
  <c r="C893" i="2"/>
  <c r="D893" i="2"/>
  <c r="E893" i="2"/>
  <c r="F893" i="2"/>
  <c r="G893" i="2"/>
  <c r="H893" i="2"/>
  <c r="I893" i="2"/>
  <c r="B894" i="2"/>
  <c r="C894" i="2"/>
  <c r="D894" i="2"/>
  <c r="E894" i="2"/>
  <c r="F894" i="2"/>
  <c r="G894" i="2"/>
  <c r="H894" i="2"/>
  <c r="I894" i="2"/>
  <c r="B895" i="2"/>
  <c r="C895" i="2"/>
  <c r="D895" i="2"/>
  <c r="E895" i="2"/>
  <c r="F895" i="2"/>
  <c r="G895" i="2"/>
  <c r="H895" i="2"/>
  <c r="I895" i="2"/>
  <c r="B896" i="2"/>
  <c r="C896" i="2"/>
  <c r="D896" i="2"/>
  <c r="E896" i="2"/>
  <c r="F896" i="2"/>
  <c r="G896" i="2"/>
  <c r="H896" i="2"/>
  <c r="I896" i="2"/>
  <c r="B897" i="2"/>
  <c r="C897" i="2"/>
  <c r="D897" i="2"/>
  <c r="E897" i="2"/>
  <c r="F897" i="2"/>
  <c r="G897" i="2"/>
  <c r="H897" i="2"/>
  <c r="I897" i="2"/>
  <c r="B898" i="2"/>
  <c r="C898" i="2"/>
  <c r="D898" i="2"/>
  <c r="E898" i="2"/>
  <c r="F898" i="2"/>
  <c r="G898" i="2"/>
  <c r="H898" i="2"/>
  <c r="I898" i="2"/>
  <c r="B899" i="2"/>
  <c r="C899" i="2"/>
  <c r="D899" i="2"/>
  <c r="E899" i="2"/>
  <c r="F899" i="2"/>
  <c r="G899" i="2"/>
  <c r="H899" i="2"/>
  <c r="I899" i="2"/>
  <c r="B900" i="2"/>
  <c r="C900" i="2"/>
  <c r="D900" i="2"/>
  <c r="E900" i="2"/>
  <c r="F900" i="2"/>
  <c r="G900" i="2"/>
  <c r="H900" i="2"/>
  <c r="I900" i="2"/>
  <c r="B901" i="2"/>
  <c r="C901" i="2"/>
  <c r="D901" i="2"/>
  <c r="E901" i="2"/>
  <c r="F901" i="2"/>
  <c r="G901" i="2"/>
  <c r="H901" i="2"/>
  <c r="I901" i="2"/>
  <c r="B902" i="2"/>
  <c r="C902" i="2"/>
  <c r="D902" i="2"/>
  <c r="E902" i="2"/>
  <c r="F902" i="2"/>
  <c r="G902" i="2"/>
  <c r="H902" i="2"/>
  <c r="I902" i="2"/>
  <c r="B903" i="2"/>
  <c r="C903" i="2"/>
  <c r="D903" i="2"/>
  <c r="E903" i="2"/>
  <c r="F903" i="2"/>
  <c r="G903" i="2"/>
  <c r="H903" i="2"/>
  <c r="I903" i="2"/>
  <c r="B904" i="2"/>
  <c r="C904" i="2"/>
  <c r="D904" i="2"/>
  <c r="E904" i="2"/>
  <c r="F904" i="2"/>
  <c r="G904" i="2"/>
  <c r="H904" i="2"/>
  <c r="I904" i="2"/>
  <c r="B905" i="2"/>
  <c r="C905" i="2"/>
  <c r="D905" i="2"/>
  <c r="E905" i="2"/>
  <c r="F905" i="2"/>
  <c r="G905" i="2"/>
  <c r="H905" i="2"/>
  <c r="I905" i="2"/>
  <c r="B906" i="2"/>
  <c r="C906" i="2"/>
  <c r="D906" i="2"/>
  <c r="E906" i="2"/>
  <c r="F906" i="2"/>
  <c r="G906" i="2"/>
  <c r="H906" i="2"/>
  <c r="I906" i="2"/>
  <c r="B907" i="2"/>
  <c r="C907" i="2"/>
  <c r="D907" i="2"/>
  <c r="E907" i="2"/>
  <c r="F907" i="2"/>
  <c r="G907" i="2"/>
  <c r="H907" i="2"/>
  <c r="I907" i="2"/>
  <c r="B908" i="2"/>
  <c r="C908" i="2"/>
  <c r="D908" i="2"/>
  <c r="E908" i="2"/>
  <c r="F908" i="2"/>
  <c r="G908" i="2"/>
  <c r="H908" i="2"/>
  <c r="I908" i="2"/>
  <c r="B909" i="2"/>
  <c r="C909" i="2"/>
  <c r="D909" i="2"/>
  <c r="E909" i="2"/>
  <c r="F909" i="2"/>
  <c r="G909" i="2"/>
  <c r="H909" i="2"/>
  <c r="I909" i="2"/>
  <c r="B910" i="2"/>
  <c r="C910" i="2"/>
  <c r="D910" i="2"/>
  <c r="E910" i="2"/>
  <c r="F910" i="2"/>
  <c r="G910" i="2"/>
  <c r="H910" i="2"/>
  <c r="I910" i="2"/>
  <c r="B911" i="2"/>
  <c r="C911" i="2"/>
  <c r="D911" i="2"/>
  <c r="E911" i="2"/>
  <c r="F911" i="2"/>
  <c r="G911" i="2"/>
  <c r="H911" i="2"/>
  <c r="I911" i="2"/>
  <c r="B912" i="2"/>
  <c r="C912" i="2"/>
  <c r="D912" i="2"/>
  <c r="E912" i="2"/>
  <c r="F912" i="2"/>
  <c r="G912" i="2"/>
  <c r="H912" i="2"/>
  <c r="I912" i="2"/>
  <c r="B913" i="2"/>
  <c r="C913" i="2"/>
  <c r="D913" i="2"/>
  <c r="E913" i="2"/>
  <c r="F913" i="2"/>
  <c r="G913" i="2"/>
  <c r="H913" i="2"/>
  <c r="I913" i="2"/>
  <c r="B914" i="2"/>
  <c r="C914" i="2"/>
  <c r="D914" i="2"/>
  <c r="E914" i="2"/>
  <c r="F914" i="2"/>
  <c r="G914" i="2"/>
  <c r="H914" i="2"/>
  <c r="I914" i="2"/>
  <c r="B915" i="2"/>
  <c r="C915" i="2"/>
  <c r="D915" i="2"/>
  <c r="E915" i="2"/>
  <c r="F915" i="2"/>
  <c r="G915" i="2"/>
  <c r="H915" i="2"/>
  <c r="I915" i="2"/>
  <c r="B916" i="2"/>
  <c r="C916" i="2"/>
  <c r="D916" i="2"/>
  <c r="E916" i="2"/>
  <c r="F916" i="2"/>
  <c r="G916" i="2"/>
  <c r="H916" i="2"/>
  <c r="I916" i="2"/>
  <c r="B917" i="2"/>
  <c r="C917" i="2"/>
  <c r="D917" i="2"/>
  <c r="E917" i="2"/>
  <c r="F917" i="2"/>
  <c r="G917" i="2"/>
  <c r="H917" i="2"/>
  <c r="I917" i="2"/>
  <c r="B918" i="2"/>
  <c r="C918" i="2"/>
  <c r="D918" i="2"/>
  <c r="E918" i="2"/>
  <c r="F918" i="2"/>
  <c r="G918" i="2"/>
  <c r="H918" i="2"/>
  <c r="I918" i="2"/>
  <c r="B919" i="2"/>
  <c r="C919" i="2"/>
  <c r="D919" i="2"/>
  <c r="E919" i="2"/>
  <c r="F919" i="2"/>
  <c r="G919" i="2"/>
  <c r="H919" i="2"/>
  <c r="I919" i="2"/>
  <c r="B920" i="2"/>
  <c r="C920" i="2"/>
  <c r="D920" i="2"/>
  <c r="E920" i="2"/>
  <c r="F920" i="2"/>
  <c r="G920" i="2"/>
  <c r="H920" i="2"/>
  <c r="I920" i="2"/>
  <c r="B921" i="2"/>
  <c r="C921" i="2"/>
  <c r="D921" i="2"/>
  <c r="E921" i="2"/>
  <c r="F921" i="2"/>
  <c r="G921" i="2"/>
  <c r="H921" i="2"/>
  <c r="I921" i="2"/>
  <c r="B922" i="2"/>
  <c r="C922" i="2"/>
  <c r="D922" i="2"/>
  <c r="E922" i="2"/>
  <c r="F922" i="2"/>
  <c r="G922" i="2"/>
  <c r="H922" i="2"/>
  <c r="I922" i="2"/>
  <c r="B923" i="2"/>
  <c r="C923" i="2"/>
  <c r="D923" i="2"/>
  <c r="E923" i="2"/>
  <c r="F923" i="2"/>
  <c r="G923" i="2"/>
  <c r="H923" i="2"/>
  <c r="I923" i="2"/>
  <c r="B924" i="2"/>
  <c r="C924" i="2"/>
  <c r="D924" i="2"/>
  <c r="E924" i="2"/>
  <c r="F924" i="2"/>
  <c r="G924" i="2"/>
  <c r="H924" i="2"/>
  <c r="I924" i="2"/>
  <c r="B925" i="2"/>
  <c r="C925" i="2"/>
  <c r="D925" i="2"/>
  <c r="E925" i="2"/>
  <c r="F925" i="2"/>
  <c r="G925" i="2"/>
  <c r="H925" i="2"/>
  <c r="I925" i="2"/>
  <c r="B926" i="2"/>
  <c r="C926" i="2"/>
  <c r="D926" i="2"/>
  <c r="E926" i="2"/>
  <c r="F926" i="2"/>
  <c r="G926" i="2"/>
  <c r="H926" i="2"/>
  <c r="I926" i="2"/>
  <c r="B927" i="2"/>
  <c r="C927" i="2"/>
  <c r="D927" i="2"/>
  <c r="E927" i="2"/>
  <c r="F927" i="2"/>
  <c r="G927" i="2"/>
  <c r="H927" i="2"/>
  <c r="I927" i="2"/>
  <c r="B928" i="2"/>
  <c r="C928" i="2"/>
  <c r="D928" i="2"/>
  <c r="E928" i="2"/>
  <c r="F928" i="2"/>
  <c r="G928" i="2"/>
  <c r="H928" i="2"/>
  <c r="I928" i="2"/>
  <c r="B929" i="2"/>
  <c r="C929" i="2"/>
  <c r="D929" i="2"/>
  <c r="E929" i="2"/>
  <c r="F929" i="2"/>
  <c r="G929" i="2"/>
  <c r="H929" i="2"/>
  <c r="I929" i="2"/>
  <c r="B930" i="2"/>
  <c r="C930" i="2"/>
  <c r="D930" i="2"/>
  <c r="E930" i="2"/>
  <c r="F930" i="2"/>
  <c r="G930" i="2"/>
  <c r="H930" i="2"/>
  <c r="I930" i="2"/>
  <c r="B931" i="2"/>
  <c r="C931" i="2"/>
  <c r="D931" i="2"/>
  <c r="E931" i="2"/>
  <c r="F931" i="2"/>
  <c r="G931" i="2"/>
  <c r="H931" i="2"/>
  <c r="I931" i="2"/>
  <c r="B932" i="2"/>
  <c r="C932" i="2"/>
  <c r="D932" i="2"/>
  <c r="E932" i="2"/>
  <c r="F932" i="2"/>
  <c r="G932" i="2"/>
  <c r="H932" i="2"/>
  <c r="I932" i="2"/>
  <c r="B933" i="2"/>
  <c r="C933" i="2"/>
  <c r="D933" i="2"/>
  <c r="E933" i="2"/>
  <c r="F933" i="2"/>
  <c r="G933" i="2"/>
  <c r="H933" i="2"/>
  <c r="I933" i="2"/>
  <c r="B934" i="2"/>
  <c r="C934" i="2"/>
  <c r="D934" i="2"/>
  <c r="E934" i="2"/>
  <c r="F934" i="2"/>
  <c r="G934" i="2"/>
  <c r="H934" i="2"/>
  <c r="I934" i="2"/>
  <c r="B935" i="2"/>
  <c r="C935" i="2"/>
  <c r="D935" i="2"/>
  <c r="E935" i="2"/>
  <c r="F935" i="2"/>
  <c r="G935" i="2"/>
  <c r="H935" i="2"/>
  <c r="I935" i="2"/>
  <c r="B936" i="2"/>
  <c r="C936" i="2"/>
  <c r="D936" i="2"/>
  <c r="E936" i="2"/>
  <c r="F936" i="2"/>
  <c r="G936" i="2"/>
  <c r="H936" i="2"/>
  <c r="I936" i="2"/>
  <c r="B937" i="2"/>
  <c r="C937" i="2"/>
  <c r="D937" i="2"/>
  <c r="E937" i="2"/>
  <c r="F937" i="2"/>
  <c r="G937" i="2"/>
  <c r="H937" i="2"/>
  <c r="I937" i="2"/>
  <c r="B938" i="2"/>
  <c r="C938" i="2"/>
  <c r="D938" i="2"/>
  <c r="E938" i="2"/>
  <c r="F938" i="2"/>
  <c r="G938" i="2"/>
  <c r="H938" i="2"/>
  <c r="I938" i="2"/>
  <c r="B939" i="2"/>
  <c r="C939" i="2"/>
  <c r="D939" i="2"/>
  <c r="E939" i="2"/>
  <c r="F939" i="2"/>
  <c r="G939" i="2"/>
  <c r="H939" i="2"/>
  <c r="I939" i="2"/>
  <c r="B940" i="2"/>
  <c r="C940" i="2"/>
  <c r="D940" i="2"/>
  <c r="E940" i="2"/>
  <c r="F940" i="2"/>
  <c r="G940" i="2"/>
  <c r="H940" i="2"/>
  <c r="I940" i="2"/>
  <c r="B941" i="2"/>
  <c r="C941" i="2"/>
  <c r="D941" i="2"/>
  <c r="E941" i="2"/>
  <c r="F941" i="2"/>
  <c r="G941" i="2"/>
  <c r="H941" i="2"/>
  <c r="I941" i="2"/>
  <c r="B942" i="2"/>
  <c r="C942" i="2"/>
  <c r="D942" i="2"/>
  <c r="E942" i="2"/>
  <c r="F942" i="2"/>
  <c r="G942" i="2"/>
  <c r="H942" i="2"/>
  <c r="I942" i="2"/>
  <c r="B943" i="2"/>
  <c r="C943" i="2"/>
  <c r="D943" i="2"/>
  <c r="E943" i="2"/>
  <c r="F943" i="2"/>
  <c r="G943" i="2"/>
  <c r="H943" i="2"/>
  <c r="I943" i="2"/>
  <c r="B944" i="2"/>
  <c r="C944" i="2"/>
  <c r="D944" i="2"/>
  <c r="E944" i="2"/>
  <c r="F944" i="2"/>
  <c r="G944" i="2"/>
  <c r="H944" i="2"/>
  <c r="I944" i="2"/>
  <c r="B945" i="2"/>
  <c r="C945" i="2"/>
  <c r="D945" i="2"/>
  <c r="E945" i="2"/>
  <c r="F945" i="2"/>
  <c r="G945" i="2"/>
  <c r="H945" i="2"/>
  <c r="I945" i="2"/>
  <c r="B946" i="2"/>
  <c r="C946" i="2"/>
  <c r="D946" i="2"/>
  <c r="E946" i="2"/>
  <c r="F946" i="2"/>
  <c r="G946" i="2"/>
  <c r="H946" i="2"/>
  <c r="I946" i="2"/>
  <c r="B947" i="2"/>
  <c r="C947" i="2"/>
  <c r="D947" i="2"/>
  <c r="E947" i="2"/>
  <c r="F947" i="2"/>
  <c r="G947" i="2"/>
  <c r="H947" i="2"/>
  <c r="I947" i="2"/>
  <c r="B948" i="2"/>
  <c r="C948" i="2"/>
  <c r="D948" i="2"/>
  <c r="E948" i="2"/>
  <c r="F948" i="2"/>
  <c r="G948" i="2"/>
  <c r="H948" i="2"/>
  <c r="I948" i="2"/>
  <c r="B949" i="2"/>
  <c r="C949" i="2"/>
  <c r="D949" i="2"/>
  <c r="E949" i="2"/>
  <c r="F949" i="2"/>
  <c r="G949" i="2"/>
  <c r="H949" i="2"/>
  <c r="I949" i="2"/>
  <c r="B950" i="2"/>
  <c r="C950" i="2"/>
  <c r="D950" i="2"/>
  <c r="E950" i="2"/>
  <c r="F950" i="2"/>
  <c r="G950" i="2"/>
  <c r="H950" i="2"/>
  <c r="I950" i="2"/>
  <c r="B951" i="2"/>
  <c r="C951" i="2"/>
  <c r="D951" i="2"/>
  <c r="E951" i="2"/>
  <c r="F951" i="2"/>
  <c r="G951" i="2"/>
  <c r="H951" i="2"/>
  <c r="I951" i="2"/>
  <c r="B952" i="2"/>
  <c r="C952" i="2"/>
  <c r="D952" i="2"/>
  <c r="E952" i="2"/>
  <c r="F952" i="2"/>
  <c r="G952" i="2"/>
  <c r="H952" i="2"/>
  <c r="I952" i="2"/>
  <c r="B953" i="2"/>
  <c r="C953" i="2"/>
  <c r="D953" i="2"/>
  <c r="E953" i="2"/>
  <c r="F953" i="2"/>
  <c r="G953" i="2"/>
  <c r="H953" i="2"/>
  <c r="I953" i="2"/>
  <c r="B954" i="2"/>
  <c r="C954" i="2"/>
  <c r="D954" i="2"/>
  <c r="E954" i="2"/>
  <c r="F954" i="2"/>
  <c r="G954" i="2"/>
  <c r="H954" i="2"/>
  <c r="I954" i="2"/>
  <c r="B955" i="2"/>
  <c r="C955" i="2"/>
  <c r="D955" i="2"/>
  <c r="E955" i="2"/>
  <c r="F955" i="2"/>
  <c r="G955" i="2"/>
  <c r="H955" i="2"/>
  <c r="I955" i="2"/>
  <c r="B956" i="2"/>
  <c r="C956" i="2"/>
  <c r="D956" i="2"/>
  <c r="E956" i="2"/>
  <c r="F956" i="2"/>
  <c r="G956" i="2"/>
  <c r="H956" i="2"/>
  <c r="I956" i="2"/>
  <c r="B957" i="2"/>
  <c r="C957" i="2"/>
  <c r="D957" i="2"/>
  <c r="E957" i="2"/>
  <c r="F957" i="2"/>
  <c r="G957" i="2"/>
  <c r="H957" i="2"/>
  <c r="I957" i="2"/>
  <c r="B958" i="2"/>
  <c r="C958" i="2"/>
  <c r="D958" i="2"/>
  <c r="E958" i="2"/>
  <c r="F958" i="2"/>
  <c r="G958" i="2"/>
  <c r="H958" i="2"/>
  <c r="I958" i="2"/>
  <c r="B959" i="2"/>
  <c r="C959" i="2"/>
  <c r="D959" i="2"/>
  <c r="E959" i="2"/>
  <c r="F959" i="2"/>
  <c r="G959" i="2"/>
  <c r="H959" i="2"/>
  <c r="I959" i="2"/>
  <c r="B960" i="2"/>
  <c r="C960" i="2"/>
  <c r="D960" i="2"/>
  <c r="E960" i="2"/>
  <c r="F960" i="2"/>
  <c r="G960" i="2"/>
  <c r="H960" i="2"/>
  <c r="I960" i="2"/>
  <c r="B961" i="2"/>
  <c r="C961" i="2"/>
  <c r="D961" i="2"/>
  <c r="E961" i="2"/>
  <c r="F961" i="2"/>
  <c r="G961" i="2"/>
  <c r="H961" i="2"/>
  <c r="I961" i="2"/>
  <c r="B962" i="2"/>
  <c r="C962" i="2"/>
  <c r="D962" i="2"/>
  <c r="E962" i="2"/>
  <c r="F962" i="2"/>
  <c r="G962" i="2"/>
  <c r="H962" i="2"/>
  <c r="I962" i="2"/>
  <c r="B963" i="2"/>
  <c r="C963" i="2"/>
  <c r="D963" i="2"/>
  <c r="E963" i="2"/>
  <c r="F963" i="2"/>
  <c r="G963" i="2"/>
  <c r="H963" i="2"/>
  <c r="I963" i="2"/>
  <c r="B964" i="2"/>
  <c r="C964" i="2"/>
  <c r="D964" i="2"/>
  <c r="E964" i="2"/>
  <c r="F964" i="2"/>
  <c r="G964" i="2"/>
  <c r="H964" i="2"/>
  <c r="I964" i="2"/>
  <c r="B965" i="2"/>
  <c r="C965" i="2"/>
  <c r="D965" i="2"/>
  <c r="E965" i="2"/>
  <c r="F965" i="2"/>
  <c r="G965" i="2"/>
  <c r="H965" i="2"/>
  <c r="I965" i="2"/>
  <c r="B966" i="2"/>
  <c r="C966" i="2"/>
  <c r="D966" i="2"/>
  <c r="E966" i="2"/>
  <c r="F966" i="2"/>
  <c r="G966" i="2"/>
  <c r="H966" i="2"/>
  <c r="I966" i="2"/>
  <c r="B967" i="2"/>
  <c r="C967" i="2"/>
  <c r="D967" i="2"/>
  <c r="E967" i="2"/>
  <c r="F967" i="2"/>
  <c r="G967" i="2"/>
  <c r="H967" i="2"/>
  <c r="I967" i="2"/>
  <c r="B968" i="2"/>
  <c r="C968" i="2"/>
  <c r="D968" i="2"/>
  <c r="E968" i="2"/>
  <c r="F968" i="2"/>
  <c r="G968" i="2"/>
  <c r="H968" i="2"/>
  <c r="I968" i="2"/>
  <c r="B969" i="2"/>
  <c r="C969" i="2"/>
  <c r="D969" i="2"/>
  <c r="E969" i="2"/>
  <c r="F969" i="2"/>
  <c r="G969" i="2"/>
  <c r="H969" i="2"/>
  <c r="I969" i="2"/>
  <c r="B970" i="2"/>
  <c r="C970" i="2"/>
  <c r="D970" i="2"/>
  <c r="E970" i="2"/>
  <c r="F970" i="2"/>
  <c r="G970" i="2"/>
  <c r="H970" i="2"/>
  <c r="I970" i="2"/>
  <c r="B971" i="2"/>
  <c r="C971" i="2"/>
  <c r="D971" i="2"/>
  <c r="E971" i="2"/>
  <c r="F971" i="2"/>
  <c r="G971" i="2"/>
  <c r="H971" i="2"/>
  <c r="I971" i="2"/>
  <c r="B972" i="2"/>
  <c r="C972" i="2"/>
  <c r="D972" i="2"/>
  <c r="E972" i="2"/>
  <c r="F972" i="2"/>
  <c r="G972" i="2"/>
  <c r="H972" i="2"/>
  <c r="I972" i="2"/>
  <c r="B973" i="2"/>
  <c r="C973" i="2"/>
  <c r="D973" i="2"/>
  <c r="E973" i="2"/>
  <c r="F973" i="2"/>
  <c r="G973" i="2"/>
  <c r="H973" i="2"/>
  <c r="I973" i="2"/>
  <c r="B974" i="2"/>
  <c r="C974" i="2"/>
  <c r="D974" i="2"/>
  <c r="E974" i="2"/>
  <c r="F974" i="2"/>
  <c r="G974" i="2"/>
  <c r="H974" i="2"/>
  <c r="I974" i="2"/>
  <c r="B975" i="2"/>
  <c r="C975" i="2"/>
  <c r="D975" i="2"/>
  <c r="E975" i="2"/>
  <c r="F975" i="2"/>
  <c r="G975" i="2"/>
  <c r="H975" i="2"/>
  <c r="I975" i="2"/>
  <c r="B976" i="2"/>
  <c r="C976" i="2"/>
  <c r="D976" i="2"/>
  <c r="E976" i="2"/>
  <c r="F976" i="2"/>
  <c r="G976" i="2"/>
  <c r="H976" i="2"/>
  <c r="I976" i="2"/>
  <c r="B977" i="2"/>
  <c r="C977" i="2"/>
  <c r="D977" i="2"/>
  <c r="E977" i="2"/>
  <c r="F977" i="2"/>
  <c r="G977" i="2"/>
  <c r="H977" i="2"/>
  <c r="I977" i="2"/>
  <c r="B978" i="2"/>
  <c r="C978" i="2"/>
  <c r="D978" i="2"/>
  <c r="E978" i="2"/>
  <c r="F978" i="2"/>
  <c r="G978" i="2"/>
  <c r="H978" i="2"/>
  <c r="I978" i="2"/>
  <c r="B979" i="2"/>
  <c r="C979" i="2"/>
  <c r="D979" i="2"/>
  <c r="E979" i="2"/>
  <c r="F979" i="2"/>
  <c r="G979" i="2"/>
  <c r="H979" i="2"/>
  <c r="I979" i="2"/>
  <c r="B980" i="2"/>
  <c r="C980" i="2"/>
  <c r="D980" i="2"/>
  <c r="E980" i="2"/>
  <c r="F980" i="2"/>
  <c r="G980" i="2"/>
  <c r="H980" i="2"/>
  <c r="I980" i="2"/>
  <c r="B981" i="2"/>
  <c r="C981" i="2"/>
  <c r="D981" i="2"/>
  <c r="E981" i="2"/>
  <c r="F981" i="2"/>
  <c r="G981" i="2"/>
  <c r="H981" i="2"/>
  <c r="I981" i="2"/>
  <c r="B982" i="2"/>
  <c r="C982" i="2"/>
  <c r="D982" i="2"/>
  <c r="E982" i="2"/>
  <c r="F982" i="2"/>
  <c r="G982" i="2"/>
  <c r="H982" i="2"/>
  <c r="I982" i="2"/>
  <c r="B983" i="2"/>
  <c r="C983" i="2"/>
  <c r="D983" i="2"/>
  <c r="E983" i="2"/>
  <c r="F983" i="2"/>
  <c r="G983" i="2"/>
  <c r="H983" i="2"/>
  <c r="I983" i="2"/>
  <c r="B984" i="2"/>
  <c r="C984" i="2"/>
  <c r="D984" i="2"/>
  <c r="E984" i="2"/>
  <c r="F984" i="2"/>
  <c r="G984" i="2"/>
  <c r="H984" i="2"/>
  <c r="I984" i="2"/>
  <c r="B985" i="2"/>
  <c r="C985" i="2"/>
  <c r="D985" i="2"/>
  <c r="E985" i="2"/>
  <c r="F985" i="2"/>
  <c r="G985" i="2"/>
  <c r="H985" i="2"/>
  <c r="I985" i="2"/>
  <c r="B986" i="2"/>
  <c r="C986" i="2"/>
  <c r="D986" i="2"/>
  <c r="E986" i="2"/>
  <c r="F986" i="2"/>
  <c r="G986" i="2"/>
  <c r="H986" i="2"/>
  <c r="I986" i="2"/>
  <c r="B987" i="2"/>
  <c r="C987" i="2"/>
  <c r="D987" i="2"/>
  <c r="E987" i="2"/>
  <c r="F987" i="2"/>
  <c r="G987" i="2"/>
  <c r="H987" i="2"/>
  <c r="I987" i="2"/>
  <c r="B988" i="2"/>
  <c r="C988" i="2"/>
  <c r="D988" i="2"/>
  <c r="E988" i="2"/>
  <c r="F988" i="2"/>
  <c r="G988" i="2"/>
  <c r="H988" i="2"/>
  <c r="I988" i="2"/>
  <c r="B989" i="2"/>
  <c r="C989" i="2"/>
  <c r="D989" i="2"/>
  <c r="E989" i="2"/>
  <c r="F989" i="2"/>
  <c r="G989" i="2"/>
  <c r="H989" i="2"/>
  <c r="I989" i="2"/>
  <c r="B990" i="2"/>
  <c r="C990" i="2"/>
  <c r="D990" i="2"/>
  <c r="E990" i="2"/>
  <c r="F990" i="2"/>
  <c r="G990" i="2"/>
  <c r="H990" i="2"/>
  <c r="I990" i="2"/>
  <c r="B991" i="2"/>
  <c r="C991" i="2"/>
  <c r="D991" i="2"/>
  <c r="E991" i="2"/>
  <c r="F991" i="2"/>
  <c r="G991" i="2"/>
  <c r="H991" i="2"/>
  <c r="I991" i="2"/>
  <c r="B992" i="2"/>
  <c r="C992" i="2"/>
  <c r="D992" i="2"/>
  <c r="E992" i="2"/>
  <c r="F992" i="2"/>
  <c r="G992" i="2"/>
  <c r="H992" i="2"/>
  <c r="I992" i="2"/>
  <c r="B993" i="2"/>
  <c r="C993" i="2"/>
  <c r="D993" i="2"/>
  <c r="E993" i="2"/>
  <c r="F993" i="2"/>
  <c r="G993" i="2"/>
  <c r="H993" i="2"/>
  <c r="I993" i="2"/>
  <c r="B994" i="2"/>
  <c r="C994" i="2"/>
  <c r="D994" i="2"/>
  <c r="E994" i="2"/>
  <c r="F994" i="2"/>
  <c r="G994" i="2"/>
  <c r="H994" i="2"/>
  <c r="I994" i="2"/>
  <c r="B995" i="2"/>
  <c r="C995" i="2"/>
  <c r="D995" i="2"/>
  <c r="E995" i="2"/>
  <c r="F995" i="2"/>
  <c r="G995" i="2"/>
  <c r="H995" i="2"/>
  <c r="I995" i="2"/>
  <c r="B996" i="2"/>
  <c r="C996" i="2"/>
  <c r="D996" i="2"/>
  <c r="E996" i="2"/>
  <c r="F996" i="2"/>
  <c r="G996" i="2"/>
  <c r="H996" i="2"/>
  <c r="I996" i="2"/>
  <c r="B997" i="2"/>
  <c r="C997" i="2"/>
  <c r="D997" i="2"/>
  <c r="E997" i="2"/>
  <c r="F997" i="2"/>
  <c r="G997" i="2"/>
  <c r="H997" i="2"/>
  <c r="I997" i="2"/>
  <c r="B998" i="2"/>
  <c r="C998" i="2"/>
  <c r="D998" i="2"/>
  <c r="E998" i="2"/>
  <c r="F998" i="2"/>
  <c r="G998" i="2"/>
  <c r="H998" i="2"/>
  <c r="I998" i="2"/>
  <c r="B999" i="2"/>
  <c r="C999" i="2"/>
  <c r="D999" i="2"/>
  <c r="E999" i="2"/>
  <c r="F999" i="2"/>
  <c r="G999" i="2"/>
  <c r="H999" i="2"/>
  <c r="I999" i="2"/>
  <c r="B1000" i="2"/>
  <c r="C1000" i="2"/>
  <c r="D1000" i="2"/>
  <c r="E1000" i="2"/>
  <c r="F1000" i="2"/>
  <c r="G1000" i="2"/>
  <c r="H1000" i="2"/>
  <c r="I1000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" i="2"/>
  <c r="C6" i="3"/>
  <c r="C11" i="3"/>
  <c r="C9" i="3"/>
  <c r="D228" i="1"/>
  <c r="D58" i="1"/>
  <c r="D74" i="1"/>
  <c r="D137" i="1"/>
  <c r="D15" i="1"/>
  <c r="D225" i="1"/>
  <c r="C5" i="3"/>
  <c r="D444" i="1"/>
  <c r="D172" i="1"/>
  <c r="D417" i="1"/>
  <c r="D12" i="1"/>
  <c r="A96" i="1"/>
  <c r="D409" i="1"/>
  <c r="D388" i="1"/>
  <c r="D193" i="1"/>
  <c r="D427" i="1"/>
  <c r="D473" i="1"/>
  <c r="D461" i="1"/>
  <c r="A309" i="1"/>
  <c r="A336" i="1"/>
  <c r="A369" i="1"/>
  <c r="D313" i="1"/>
  <c r="D208" i="1"/>
  <c r="D55" i="1"/>
  <c r="D210" i="1"/>
  <c r="D452" i="1"/>
  <c r="A181" i="1"/>
  <c r="D245" i="1"/>
  <c r="A158" i="1"/>
  <c r="D421" i="1"/>
  <c r="D34" i="1"/>
  <c r="A164" i="1"/>
  <c r="A337" i="1"/>
  <c r="D163" i="1"/>
  <c r="D369" i="1"/>
  <c r="A308" i="1"/>
  <c r="D150" i="1"/>
  <c r="D88" i="1"/>
  <c r="A177" i="1"/>
  <c r="D200" i="1"/>
  <c r="D338" i="1"/>
  <c r="D270" i="1"/>
  <c r="D283" i="1"/>
  <c r="D325" i="1"/>
  <c r="D167" i="1"/>
  <c r="D109" i="1"/>
  <c r="A408" i="1"/>
  <c r="D432" i="1"/>
  <c r="D464" i="1"/>
  <c r="D134" i="1"/>
  <c r="A104" i="1"/>
  <c r="A359" i="1"/>
  <c r="A25" i="1"/>
  <c r="D160" i="1"/>
  <c r="D462" i="1"/>
  <c r="D401" i="1"/>
  <c r="A19" i="1"/>
  <c r="D217" i="1"/>
  <c r="D4" i="1"/>
  <c r="D202" i="1"/>
  <c r="A285" i="1"/>
  <c r="D192" i="1"/>
  <c r="C7" i="3"/>
  <c r="D296" i="1"/>
  <c r="D394" i="1"/>
  <c r="D169" i="1"/>
  <c r="D158" i="1"/>
  <c r="D484" i="1"/>
  <c r="D181" i="1"/>
  <c r="A222" i="1"/>
  <c r="D423" i="1"/>
  <c r="D447" i="1"/>
  <c r="D154" i="1"/>
  <c r="D425" i="1"/>
  <c r="D277" i="1"/>
  <c r="D233" i="1"/>
  <c r="D426" i="1"/>
  <c r="A312" i="1"/>
  <c r="A324" i="1"/>
  <c r="D146" i="1"/>
  <c r="D59" i="1"/>
  <c r="D482" i="1"/>
  <c r="D437" i="1"/>
  <c r="D113" i="1"/>
  <c r="D375" i="1"/>
  <c r="A273" i="1"/>
  <c r="D289" i="1"/>
  <c r="D310" i="1"/>
  <c r="D282" i="1"/>
  <c r="D259" i="1"/>
  <c r="D251" i="1"/>
  <c r="D135" i="1"/>
  <c r="D347" i="1"/>
  <c r="D286" i="1"/>
  <c r="D123" i="1"/>
  <c r="A172" i="1"/>
  <c r="A239" i="1"/>
  <c r="A266" i="1"/>
  <c r="A403" i="1"/>
  <c r="C12" i="3"/>
  <c r="D75" i="1"/>
  <c r="D68" i="1"/>
  <c r="D30" i="1"/>
  <c r="A170" i="1"/>
  <c r="D206" i="1"/>
  <c r="D358" i="1"/>
  <c r="A348" i="1"/>
  <c r="A478" i="1"/>
  <c r="D16" i="1"/>
  <c r="A190" i="1"/>
  <c r="D392" i="1"/>
  <c r="A119" i="1"/>
  <c r="D128" i="1"/>
  <c r="D314" i="1"/>
  <c r="D263" i="1"/>
  <c r="D480" i="1"/>
  <c r="D448" i="1"/>
  <c r="A130" i="1"/>
  <c r="D118" i="1"/>
  <c r="D266" i="1"/>
  <c r="D142" i="1"/>
  <c r="D77" i="1"/>
  <c r="A385" i="1"/>
  <c r="D255" i="1"/>
  <c r="D114" i="1"/>
  <c r="A315" i="1"/>
  <c r="D328" i="1"/>
  <c r="A230" i="1"/>
  <c r="D459" i="1"/>
  <c r="D479" i="1"/>
  <c r="D242" i="1"/>
  <c r="A210" i="1"/>
  <c r="D173" i="1"/>
  <c r="A2" i="1"/>
  <c r="A31" i="1"/>
  <c r="A134" i="1"/>
  <c r="A71" i="1"/>
  <c r="A467" i="1"/>
  <c r="D97" i="1"/>
  <c r="A258" i="1"/>
  <c r="C10" i="3"/>
  <c r="E272" i="1"/>
  <c r="D221" i="1"/>
  <c r="E170" i="1"/>
  <c r="E200" i="1"/>
  <c r="D494" i="1"/>
  <c r="E155" i="1"/>
  <c r="D250" i="1"/>
  <c r="E92" i="1"/>
  <c r="D497" i="1"/>
  <c r="A28" i="1"/>
  <c r="D51" i="1"/>
  <c r="E89" i="1"/>
  <c r="A171" i="1"/>
  <c r="A205" i="1"/>
  <c r="D216" i="1"/>
  <c r="D44" i="1"/>
  <c r="D224" i="1"/>
  <c r="D33" i="1"/>
  <c r="E469" i="1"/>
  <c r="E376" i="1"/>
  <c r="D340" i="1"/>
  <c r="D350" i="1"/>
  <c r="E233" i="1"/>
  <c r="A39" i="1"/>
  <c r="A68" i="1"/>
  <c r="D309" i="1"/>
  <c r="A182" i="1"/>
  <c r="A447" i="1"/>
  <c r="A480" i="1"/>
  <c r="D57" i="1"/>
  <c r="E67" i="1"/>
  <c r="D466" i="1"/>
  <c r="D157" i="1"/>
  <c r="E208" i="1"/>
  <c r="D474" i="1"/>
  <c r="E191" i="1"/>
  <c r="D317" i="1"/>
  <c r="D422" i="1"/>
  <c r="E96" i="1"/>
  <c r="E231" i="1"/>
  <c r="E107" i="1"/>
  <c r="D235" i="1"/>
  <c r="D435" i="1"/>
  <c r="E301" i="1"/>
  <c r="E88" i="1"/>
  <c r="E37" i="1"/>
  <c r="D363" i="1"/>
  <c r="A94" i="1"/>
  <c r="E302" i="1"/>
  <c r="A425" i="1"/>
  <c r="D182" i="1"/>
  <c r="E223" i="1"/>
  <c r="A272" i="1"/>
  <c r="A452" i="1"/>
  <c r="A151" i="1"/>
  <c r="D416" i="1"/>
  <c r="E224" i="1"/>
  <c r="D98" i="1"/>
  <c r="A267" i="1"/>
  <c r="D25" i="1"/>
  <c r="D360" i="1"/>
  <c r="E99" i="1"/>
  <c r="E21" i="1"/>
  <c r="A378" i="1"/>
  <c r="A443" i="1"/>
  <c r="D199" i="1"/>
  <c r="D470" i="1"/>
  <c r="E424" i="1"/>
  <c r="A38" i="1"/>
  <c r="E234" i="1"/>
  <c r="E7" i="1"/>
  <c r="D188" i="1"/>
  <c r="A392" i="1"/>
  <c r="A8" i="1"/>
  <c r="D175" i="1"/>
  <c r="D287" i="1"/>
  <c r="E189" i="1"/>
  <c r="A380" i="1"/>
  <c r="D119" i="1"/>
  <c r="D121" i="1"/>
  <c r="D406" i="1"/>
  <c r="A414" i="1"/>
  <c r="D404" i="1"/>
  <c r="D364" i="1"/>
  <c r="D237" i="1"/>
  <c r="D478" i="1"/>
  <c r="A106" i="1"/>
  <c r="D355" i="1"/>
  <c r="A263" i="1"/>
  <c r="E490" i="1"/>
  <c r="E241" i="1"/>
  <c r="C8" i="3"/>
  <c r="D460" i="1"/>
  <c r="E319" i="1"/>
  <c r="D301" i="1"/>
  <c r="A487" i="1"/>
  <c r="E181" i="1"/>
  <c r="C458" i="1"/>
  <c r="C434" i="1"/>
  <c r="C76" i="1"/>
  <c r="C52" i="1"/>
  <c r="C6" i="1"/>
  <c r="C488" i="1"/>
  <c r="D311" i="1"/>
  <c r="E258" i="1"/>
  <c r="D299" i="1"/>
  <c r="C254" i="1"/>
  <c r="E468" i="1"/>
  <c r="A362" i="1"/>
  <c r="C191" i="1"/>
  <c r="A367" i="1"/>
  <c r="A187" i="1"/>
  <c r="D330" i="1"/>
  <c r="E372" i="1"/>
  <c r="A188" i="1"/>
  <c r="A162" i="1"/>
  <c r="E384" i="1"/>
  <c r="C2" i="1"/>
  <c r="A114" i="1"/>
  <c r="D111" i="1"/>
  <c r="D101" i="1"/>
  <c r="A446" i="1"/>
  <c r="D87" i="1"/>
  <c r="E374" i="1"/>
  <c r="C483" i="1"/>
  <c r="C391" i="1"/>
  <c r="C294" i="1"/>
  <c r="A48" i="1"/>
  <c r="C427" i="1"/>
  <c r="E325" i="1"/>
  <c r="D441" i="1"/>
  <c r="A198" i="1"/>
  <c r="A131" i="1"/>
  <c r="D207" i="1"/>
  <c r="E314" i="1"/>
  <c r="A83" i="1"/>
  <c r="C346" i="1"/>
  <c r="D50" i="1"/>
  <c r="C267" i="1"/>
  <c r="E280" i="1"/>
  <c r="A161" i="1"/>
  <c r="E429" i="1"/>
  <c r="E296" i="1"/>
  <c r="A27" i="1"/>
  <c r="D14" i="1"/>
  <c r="A413" i="1"/>
  <c r="A365" i="1"/>
  <c r="E113" i="1"/>
  <c r="E119" i="1"/>
  <c r="C49" i="1"/>
  <c r="A456" i="1"/>
  <c r="A323" i="1"/>
  <c r="A243" i="1"/>
  <c r="C158" i="1"/>
  <c r="A430" i="1"/>
  <c r="E269" i="1"/>
  <c r="A100" i="1"/>
  <c r="A132" i="1"/>
  <c r="A423" i="1"/>
  <c r="E221" i="1"/>
  <c r="A444" i="1"/>
  <c r="E2" i="1"/>
  <c r="A26" i="1"/>
  <c r="E418" i="1"/>
  <c r="D380" i="1"/>
  <c r="C421" i="1"/>
  <c r="E94" i="1"/>
  <c r="D80" i="1"/>
  <c r="C280" i="1"/>
  <c r="C44" i="1"/>
  <c r="E185" i="1"/>
  <c r="C413" i="1"/>
  <c r="D488" i="1"/>
  <c r="C142" i="1"/>
  <c r="D71" i="1"/>
  <c r="C354" i="1"/>
  <c r="A126" i="1"/>
  <c r="A361" i="1"/>
  <c r="C463" i="1"/>
  <c r="C249" i="1"/>
  <c r="E39" i="1"/>
  <c r="E114" i="1"/>
  <c r="A306" i="1"/>
  <c r="A331" i="1"/>
  <c r="C389" i="1"/>
  <c r="A124" i="1"/>
  <c r="D60" i="1"/>
  <c r="C420" i="1"/>
  <c r="A180" i="1"/>
  <c r="C180" i="1"/>
  <c r="D116" i="1"/>
  <c r="A241" i="1"/>
  <c r="E209" i="1"/>
  <c r="D99" i="1"/>
  <c r="A150" i="1"/>
  <c r="A102" i="1"/>
  <c r="D260" i="1"/>
  <c r="A387" i="1"/>
  <c r="E172" i="1"/>
  <c r="A485" i="1"/>
  <c r="D386" i="1"/>
  <c r="D468" i="1"/>
  <c r="A179" i="1"/>
  <c r="A60" i="1"/>
  <c r="C331" i="1"/>
  <c r="E460" i="1"/>
  <c r="A32" i="1"/>
  <c r="C69" i="1"/>
  <c r="D112" i="1"/>
  <c r="D183" i="1"/>
  <c r="A77" i="1"/>
  <c r="D95" i="1"/>
  <c r="C293" i="1"/>
  <c r="A499" i="1"/>
  <c r="D365" i="1"/>
  <c r="D256" i="1"/>
  <c r="E353" i="1"/>
  <c r="D198" i="1"/>
  <c r="E316" i="1"/>
  <c r="D493" i="1"/>
  <c r="C193" i="1"/>
  <c r="C298" i="1"/>
  <c r="E31" i="1"/>
  <c r="A146" i="1"/>
  <c r="E357" i="1"/>
  <c r="A349" i="1"/>
  <c r="E297" i="1"/>
  <c r="C430" i="1"/>
  <c r="A199" i="1"/>
  <c r="E212" i="1"/>
  <c r="D213" i="1"/>
  <c r="E253" i="1"/>
  <c r="E448" i="1"/>
  <c r="A55" i="1"/>
  <c r="E438" i="1"/>
  <c r="E452" i="1"/>
  <c r="E419" i="1"/>
  <c r="D86" i="1"/>
  <c r="E131" i="1"/>
  <c r="C19" i="1"/>
  <c r="E399" i="1"/>
  <c r="C51" i="1"/>
  <c r="D449" i="1"/>
  <c r="D209" i="1"/>
  <c r="A86" i="1"/>
  <c r="C151" i="1"/>
  <c r="E202" i="1"/>
  <c r="E162" i="1"/>
  <c r="A133" i="1"/>
  <c r="A350" i="1"/>
  <c r="D174" i="1"/>
  <c r="C473" i="1"/>
  <c r="E183" i="1"/>
  <c r="A457" i="1"/>
  <c r="C377" i="1"/>
  <c r="C316" i="1"/>
  <c r="A227" i="1"/>
  <c r="A69" i="1"/>
  <c r="D419" i="1"/>
  <c r="C87" i="1"/>
  <c r="C309" i="1"/>
  <c r="D351" i="1"/>
  <c r="A360" i="1"/>
  <c r="E408" i="1"/>
  <c r="C14" i="1"/>
  <c r="A290" i="1"/>
  <c r="A65" i="1"/>
  <c r="A219" i="1"/>
  <c r="A292" i="1"/>
  <c r="A36" i="1"/>
  <c r="A420" i="1"/>
  <c r="E16" i="1"/>
  <c r="A459" i="1"/>
  <c r="D483" i="1"/>
  <c r="A409" i="1"/>
  <c r="A207" i="1"/>
  <c r="A316" i="1"/>
  <c r="A35" i="1"/>
  <c r="E480" i="1"/>
  <c r="A491" i="1"/>
  <c r="E262" i="1"/>
  <c r="D61" i="1"/>
  <c r="C235" i="1"/>
  <c r="C239" i="1"/>
  <c r="E11" i="1"/>
  <c r="A206" i="1"/>
  <c r="C271" i="1"/>
  <c r="A138" i="1"/>
  <c r="E299" i="1"/>
  <c r="D46" i="1"/>
  <c r="A379" i="1"/>
  <c r="E390" i="1"/>
  <c r="A54" i="1"/>
  <c r="C252" i="1"/>
  <c r="D105" i="1"/>
  <c r="A451" i="1"/>
  <c r="E394" i="1"/>
  <c r="D249" i="1"/>
  <c r="E472" i="1"/>
  <c r="D84" i="1"/>
  <c r="D27" i="1"/>
  <c r="C10" i="1"/>
  <c r="C192" i="1"/>
  <c r="C355" i="1"/>
  <c r="D5" i="1"/>
  <c r="C308" i="1"/>
  <c r="E489" i="1"/>
  <c r="E85" i="1"/>
  <c r="A296" i="1"/>
  <c r="D472" i="1"/>
  <c r="C243" i="1"/>
  <c r="A500" i="1"/>
  <c r="D63" i="1"/>
  <c r="E278" i="1"/>
  <c r="E321" i="1"/>
  <c r="E324" i="1"/>
  <c r="D195" i="1"/>
  <c r="E49" i="1"/>
  <c r="A481" i="1"/>
  <c r="D378" i="1"/>
  <c r="D164" i="1"/>
  <c r="D374" i="1"/>
  <c r="A382" i="1"/>
  <c r="E128" i="1"/>
  <c r="A235" i="1"/>
  <c r="A313" i="1"/>
  <c r="C317" i="1"/>
  <c r="D475" i="1"/>
  <c r="D93" i="1"/>
  <c r="E318" i="1"/>
  <c r="A484" i="1"/>
  <c r="C410" i="1"/>
  <c r="D145" i="1"/>
  <c r="A3" i="1"/>
  <c r="C321" i="1"/>
  <c r="D70" i="1"/>
  <c r="A244" i="1"/>
  <c r="D152" i="1"/>
  <c r="D297" i="1"/>
  <c r="C41" i="1"/>
  <c r="C166" i="1"/>
  <c r="E93" i="1"/>
  <c r="A495" i="1"/>
  <c r="D424" i="1"/>
  <c r="C319" i="1"/>
  <c r="E298" i="1"/>
  <c r="E388" i="1"/>
  <c r="C343" i="1"/>
  <c r="C141" i="1"/>
  <c r="D498" i="1"/>
  <c r="A434" i="1"/>
  <c r="A141" i="1"/>
  <c r="E495" i="1"/>
  <c r="A245" i="1"/>
  <c r="E276" i="1"/>
  <c r="A250" i="1"/>
  <c r="E33" i="1"/>
  <c r="D170" i="1"/>
  <c r="A321" i="1"/>
  <c r="A320" i="1"/>
  <c r="D131" i="1"/>
  <c r="E146" i="1"/>
  <c r="C313" i="1"/>
  <c r="D294" i="1"/>
  <c r="A44" i="1"/>
  <c r="C387" i="1"/>
  <c r="D214" i="1"/>
  <c r="E327" i="1"/>
  <c r="C177" i="1"/>
  <c r="E64" i="1"/>
  <c r="E287" i="1"/>
  <c r="A468" i="1"/>
  <c r="C485" i="1"/>
  <c r="D438" i="1"/>
  <c r="E15" i="1"/>
  <c r="C378" i="1"/>
  <c r="D31" i="1"/>
  <c r="C220" i="1"/>
  <c r="E354" i="1"/>
  <c r="D456" i="1"/>
  <c r="D138" i="1"/>
  <c r="A92" i="1"/>
  <c r="C45" i="1"/>
  <c r="E307" i="1"/>
  <c r="C255" i="1"/>
  <c r="D110" i="1"/>
  <c r="D212" i="1"/>
  <c r="A200" i="1"/>
  <c r="E145" i="1"/>
  <c r="A76" i="1"/>
  <c r="A66" i="1"/>
  <c r="E105" i="1"/>
  <c r="E494" i="1"/>
  <c r="D463" i="1"/>
  <c r="E6" i="1"/>
  <c r="E432" i="1"/>
  <c r="E257" i="1"/>
  <c r="C121" i="1"/>
  <c r="D303" i="1"/>
  <c r="C329" i="1"/>
  <c r="C335" i="1"/>
  <c r="E454" i="1"/>
  <c r="A268" i="1"/>
  <c r="E458" i="1"/>
  <c r="E492" i="1"/>
  <c r="A135" i="1"/>
  <c r="A30" i="1"/>
  <c r="C467" i="1"/>
  <c r="A93" i="1"/>
  <c r="E340" i="1"/>
  <c r="C55" i="1"/>
  <c r="A233" i="1"/>
  <c r="E187" i="1"/>
  <c r="A281" i="1"/>
  <c r="C89" i="1"/>
  <c r="D196" i="1"/>
  <c r="A402" i="1"/>
  <c r="C358" i="1"/>
  <c r="C160" i="1"/>
  <c r="D308" i="1"/>
  <c r="C383" i="1"/>
  <c r="C124" i="1"/>
  <c r="A10" i="1"/>
  <c r="E377" i="1"/>
  <c r="C143" i="1"/>
  <c r="D293" i="1"/>
  <c r="C328" i="1"/>
  <c r="C137" i="1"/>
  <c r="A289" i="1"/>
  <c r="E201" i="1"/>
  <c r="A240" i="1"/>
  <c r="E8" i="1"/>
  <c r="E334" i="1"/>
  <c r="D322" i="1"/>
  <c r="A56" i="1"/>
  <c r="C441" i="1"/>
  <c r="A213" i="1"/>
  <c r="E9" i="1"/>
  <c r="E392" i="1"/>
  <c r="D334" i="1"/>
  <c r="E106" i="1"/>
  <c r="C226" i="1"/>
  <c r="E485" i="1"/>
  <c r="A322" i="1"/>
  <c r="C357" i="1"/>
  <c r="C305" i="1"/>
  <c r="D420" i="1"/>
  <c r="D312" i="1"/>
  <c r="D79" i="1"/>
  <c r="A275" i="1"/>
  <c r="C281" i="1"/>
  <c r="E115" i="1"/>
  <c r="A278" i="1"/>
  <c r="C436" i="1"/>
  <c r="D316" i="1"/>
  <c r="D279" i="1"/>
  <c r="E205" i="1"/>
  <c r="E331" i="1"/>
  <c r="C284" i="1"/>
  <c r="E148" i="1"/>
  <c r="A143" i="1"/>
  <c r="E38" i="1"/>
  <c r="D165" i="1"/>
  <c r="C53" i="1"/>
  <c r="D396" i="1"/>
  <c r="D185" i="1"/>
  <c r="A217" i="1"/>
  <c r="D106" i="1"/>
  <c r="A112" i="1"/>
  <c r="C245" i="1"/>
  <c r="C491" i="1"/>
  <c r="E203" i="1"/>
  <c r="A252" i="1"/>
  <c r="D49" i="1"/>
  <c r="A191" i="1"/>
  <c r="D125" i="1"/>
  <c r="A283" i="1"/>
  <c r="A391" i="1"/>
  <c r="D78" i="1"/>
  <c r="C373" i="1"/>
  <c r="D307" i="1"/>
  <c r="E74" i="1"/>
  <c r="E95" i="1"/>
  <c r="D236" i="1"/>
  <c r="C495" i="1"/>
  <c r="A33" i="1"/>
  <c r="C27" i="1"/>
  <c r="D155" i="1"/>
  <c r="A429" i="1"/>
  <c r="C61" i="1"/>
  <c r="E446" i="1"/>
  <c r="C398" i="1"/>
  <c r="C112" i="1"/>
  <c r="A168" i="1"/>
  <c r="E134" i="1"/>
  <c r="A463" i="1"/>
  <c r="E47" i="1"/>
  <c r="C359" i="1"/>
  <c r="D348" i="1"/>
  <c r="E481" i="1"/>
  <c r="D43" i="1"/>
  <c r="C380" i="1"/>
  <c r="D305" i="1"/>
  <c r="E138" i="1"/>
  <c r="C403" i="1"/>
  <c r="D2" i="1"/>
  <c r="C299" i="1"/>
  <c r="E26" i="1"/>
  <c r="A332" i="1"/>
  <c r="D230" i="1"/>
  <c r="A16" i="1"/>
  <c r="E315" i="1"/>
  <c r="A113" i="1"/>
  <c r="A415" i="1"/>
  <c r="A440" i="1"/>
  <c r="D440" i="1"/>
  <c r="C236" i="1"/>
  <c r="C64" i="1"/>
  <c r="D361" i="1"/>
  <c r="D94" i="1"/>
  <c r="A477" i="1"/>
  <c r="A375" i="1"/>
  <c r="E87" i="1"/>
  <c r="E487" i="1"/>
  <c r="A351" i="1"/>
  <c r="C161" i="1"/>
  <c r="D399" i="1"/>
  <c r="E186" i="1"/>
  <c r="E355" i="1"/>
  <c r="D359" i="1"/>
  <c r="C295" i="1"/>
  <c r="C390" i="1"/>
  <c r="D295" i="1"/>
  <c r="D285" i="1"/>
  <c r="A79" i="1"/>
  <c r="C445" i="1"/>
  <c r="E100" i="1"/>
  <c r="D366" i="1"/>
  <c r="C266" i="1"/>
  <c r="A189" i="1"/>
  <c r="C92" i="1"/>
  <c r="E477" i="1"/>
  <c r="C133" i="1"/>
  <c r="D326" i="1"/>
  <c r="C17" i="1"/>
  <c r="A421" i="1"/>
  <c r="A356" i="1"/>
  <c r="A399" i="1"/>
  <c r="C449" i="1"/>
  <c r="A4" i="1"/>
  <c r="E435" i="1"/>
  <c r="E104" i="1"/>
  <c r="D370" i="1"/>
  <c r="C440" i="1"/>
  <c r="A108" i="1"/>
  <c r="E78" i="1"/>
  <c r="C115" i="1"/>
  <c r="E500" i="1"/>
  <c r="D162" i="1"/>
  <c r="D400" i="1"/>
  <c r="E84" i="1"/>
  <c r="C487" i="1"/>
  <c r="A489" i="1"/>
  <c r="C40" i="1"/>
  <c r="E97" i="1"/>
  <c r="E277" i="1"/>
  <c r="C101" i="1"/>
  <c r="A261" i="1"/>
  <c r="C435" i="1"/>
  <c r="D168" i="1"/>
  <c r="D232" i="1"/>
  <c r="C402" i="1"/>
  <c r="E295" i="1"/>
  <c r="E142" i="1"/>
  <c r="E478" i="1"/>
  <c r="A304" i="1"/>
  <c r="E68" i="1"/>
  <c r="D37" i="1"/>
  <c r="E343" i="1"/>
  <c r="C97" i="1"/>
  <c r="E342" i="1"/>
  <c r="E43" i="1"/>
  <c r="C275" i="1"/>
  <c r="C129" i="1"/>
  <c r="D190" i="1"/>
  <c r="D24" i="1"/>
  <c r="C12" i="1"/>
  <c r="D395" i="1"/>
  <c r="C196" i="1"/>
  <c r="D156" i="1"/>
  <c r="C100" i="1"/>
  <c r="A22" i="1"/>
  <c r="C65" i="1"/>
  <c r="D273" i="1"/>
  <c r="E82" i="1"/>
  <c r="E471" i="1"/>
  <c r="A492" i="1"/>
  <c r="E210" i="1"/>
  <c r="E237" i="1"/>
  <c r="E109" i="1"/>
  <c r="A41" i="1"/>
  <c r="D465" i="1"/>
  <c r="E214" i="1"/>
  <c r="E90" i="1"/>
  <c r="D333" i="1"/>
  <c r="A253" i="1"/>
  <c r="C114" i="1"/>
  <c r="E475" i="1"/>
  <c r="A426" i="1"/>
  <c r="D115" i="1"/>
  <c r="E462" i="1"/>
  <c r="E199" i="1"/>
  <c r="E339" i="1"/>
  <c r="A498" i="1"/>
  <c r="A115" i="1"/>
  <c r="E395" i="1"/>
  <c r="E249" i="1"/>
  <c r="E407" i="1"/>
  <c r="E359" i="1"/>
  <c r="D144" i="1"/>
  <c r="E168" i="1"/>
  <c r="D327" i="1"/>
  <c r="A454" i="1"/>
  <c r="A238" i="1"/>
  <c r="A424" i="1"/>
  <c r="A196" i="1"/>
  <c r="C23" i="1"/>
  <c r="D241" i="1"/>
  <c r="D69" i="1"/>
  <c r="D222" i="1"/>
  <c r="C397" i="1"/>
  <c r="E290" i="1"/>
  <c r="E60" i="1"/>
  <c r="A13" i="1"/>
  <c r="E232" i="1"/>
  <c r="D318" i="1"/>
  <c r="A98" i="1"/>
  <c r="A142" i="1"/>
  <c r="D191" i="1"/>
  <c r="E57" i="1"/>
  <c r="A393" i="1"/>
  <c r="C217" i="1"/>
  <c r="D490" i="1"/>
  <c r="D487" i="1"/>
  <c r="E431" i="1"/>
  <c r="E70" i="1"/>
  <c r="E473" i="1"/>
  <c r="A195" i="1"/>
  <c r="A441" i="1"/>
  <c r="D411" i="1"/>
  <c r="E158" i="1"/>
  <c r="C451" i="1"/>
  <c r="C447" i="1"/>
  <c r="A75" i="1"/>
  <c r="C394" i="1"/>
  <c r="D107" i="1"/>
  <c r="C116" i="1"/>
  <c r="D381" i="1"/>
  <c r="A445" i="1"/>
  <c r="E254" i="1"/>
  <c r="E19" i="1"/>
  <c r="D21" i="1"/>
  <c r="D32" i="1"/>
  <c r="D457" i="1"/>
  <c r="D219" i="1"/>
  <c r="A412" i="1"/>
  <c r="E45" i="1"/>
  <c r="E497" i="1"/>
  <c r="A204" i="1"/>
  <c r="E266" i="1"/>
  <c r="E132" i="1"/>
  <c r="E17" i="1"/>
  <c r="D500" i="1"/>
  <c r="D248" i="1"/>
  <c r="E264" i="1"/>
  <c r="C497" i="1"/>
  <c r="A89" i="1"/>
  <c r="E175" i="1"/>
  <c r="C215" i="1"/>
  <c r="C470" i="1"/>
  <c r="E499" i="1"/>
  <c r="E81" i="1"/>
  <c r="E456" i="1"/>
  <c r="E207" i="1"/>
  <c r="C291" i="1"/>
  <c r="A377" i="1"/>
  <c r="E259" i="1"/>
  <c r="D430" i="1"/>
  <c r="D258" i="1"/>
  <c r="E83" i="1"/>
  <c r="C301" i="1"/>
  <c r="E383" i="1"/>
  <c r="C147" i="1"/>
  <c r="C63" i="1"/>
  <c r="D108" i="1"/>
  <c r="E143" i="1"/>
  <c r="E86" i="1"/>
  <c r="C381" i="1"/>
  <c r="E352" i="1"/>
  <c r="E188" i="1"/>
  <c r="A211" i="1"/>
  <c r="D288" i="1"/>
  <c r="A384" i="1"/>
  <c r="E127" i="1"/>
  <c r="E129" i="1"/>
  <c r="A310" i="1"/>
  <c r="E194" i="1"/>
  <c r="D20" i="1"/>
  <c r="E349" i="1"/>
  <c r="D177" i="1"/>
  <c r="D272" i="1"/>
  <c r="C439" i="1"/>
  <c r="C203" i="1"/>
  <c r="C288" i="1"/>
  <c r="C372" i="1"/>
  <c r="C375" i="1"/>
  <c r="C480" i="1"/>
  <c r="A280" i="1"/>
  <c r="A173" i="1"/>
  <c r="A125" i="1"/>
  <c r="A405" i="1"/>
  <c r="A325" i="1"/>
  <c r="A122" i="1"/>
  <c r="D323" i="1"/>
  <c r="E464" i="1"/>
  <c r="E108" i="1"/>
  <c r="A61" i="1"/>
  <c r="D335" i="1"/>
  <c r="E179" i="1"/>
  <c r="A87" i="1"/>
  <c r="C261" i="1"/>
  <c r="A176" i="1"/>
  <c r="A203" i="1"/>
  <c r="E110" i="1"/>
  <c r="E335" i="1"/>
  <c r="E498" i="1"/>
  <c r="D321" i="1"/>
  <c r="E144" i="1"/>
  <c r="E426" i="1"/>
  <c r="E409" i="1"/>
  <c r="D402" i="1"/>
  <c r="C70" i="1"/>
  <c r="A144" i="1"/>
  <c r="E14" i="1"/>
  <c r="E152" i="1"/>
  <c r="E330" i="1"/>
  <c r="D476" i="1"/>
  <c r="E180" i="1"/>
  <c r="C386" i="1"/>
  <c r="E153" i="1"/>
  <c r="A23" i="1"/>
  <c r="A496" i="1"/>
  <c r="A24" i="1"/>
  <c r="E294" i="1"/>
  <c r="D205" i="1"/>
  <c r="E204" i="1"/>
  <c r="C149" i="1"/>
  <c r="D184" i="1"/>
  <c r="E308" i="1"/>
  <c r="C422" i="1"/>
  <c r="C442" i="1"/>
  <c r="D439" i="1"/>
  <c r="D284" i="1"/>
  <c r="C168" i="1"/>
  <c r="D382" i="1"/>
  <c r="A422" i="1"/>
  <c r="C163" i="1"/>
  <c r="A411" i="1"/>
  <c r="C492" i="1"/>
  <c r="D331" i="1"/>
  <c r="D346" i="1"/>
  <c r="C4" i="1"/>
  <c r="E3" i="1"/>
  <c r="D458" i="1"/>
  <c r="A417" i="1"/>
  <c r="A11" i="1"/>
  <c r="D102" i="1"/>
  <c r="E361" i="1"/>
  <c r="C418" i="1"/>
  <c r="E48" i="1"/>
  <c r="D291" i="1"/>
  <c r="A372" i="1"/>
  <c r="E309" i="1"/>
  <c r="D469" i="1"/>
  <c r="E136" i="1"/>
  <c r="A432" i="1"/>
  <c r="C43" i="1"/>
  <c r="C165" i="1"/>
  <c r="C18" i="1"/>
  <c r="C353" i="1"/>
  <c r="D234" i="1"/>
  <c r="A473" i="1"/>
  <c r="D431" i="1"/>
  <c r="C223" i="1"/>
  <c r="E116" i="1"/>
  <c r="C333" i="1"/>
  <c r="D39" i="1"/>
  <c r="D362" i="1"/>
  <c r="E467" i="1"/>
  <c r="E417" i="1"/>
  <c r="E427" i="1"/>
  <c r="E326" i="1"/>
  <c r="C263" i="1"/>
  <c r="C39" i="1"/>
  <c r="C363" i="1"/>
  <c r="E306" i="1"/>
  <c r="E151" i="1"/>
  <c r="E396" i="1"/>
  <c r="C189" i="1"/>
  <c r="A449" i="1"/>
  <c r="A6" i="1"/>
  <c r="E140" i="1"/>
  <c r="D485" i="1"/>
  <c r="E389" i="1"/>
  <c r="E386" i="1"/>
  <c r="A346" i="1"/>
  <c r="A462" i="1"/>
  <c r="E40" i="1"/>
  <c r="D275" i="1"/>
  <c r="D3" i="1"/>
  <c r="E103" i="1"/>
  <c r="E449" i="1"/>
  <c r="A303" i="1"/>
  <c r="E156" i="1"/>
  <c r="D229" i="1"/>
  <c r="E423" i="1"/>
  <c r="E328" i="1"/>
  <c r="A390" i="1"/>
  <c r="D130" i="1"/>
  <c r="E69" i="1"/>
  <c r="C172" i="1"/>
  <c r="E126" i="1"/>
  <c r="C108" i="1"/>
  <c r="D180" i="1"/>
  <c r="D252" i="1"/>
  <c r="E77" i="1"/>
  <c r="D244" i="1"/>
  <c r="D371" i="1"/>
  <c r="C213" i="1"/>
  <c r="C265" i="1"/>
  <c r="C138" i="1"/>
  <c r="C419" i="1"/>
  <c r="C98" i="1"/>
  <c r="C31" i="1"/>
  <c r="A352" i="1"/>
  <c r="A78" i="1"/>
  <c r="A149" i="1"/>
  <c r="A105" i="1"/>
  <c r="A466" i="1"/>
  <c r="A226" i="1"/>
  <c r="A386" i="1"/>
  <c r="A482" i="1"/>
  <c r="D405" i="1"/>
  <c r="C75" i="1"/>
  <c r="E12" i="1"/>
  <c r="A333" i="1"/>
  <c r="C322" i="1"/>
  <c r="E486" i="1"/>
  <c r="C47" i="1"/>
  <c r="D495" i="1"/>
  <c r="A373" i="1"/>
  <c r="A254" i="1"/>
  <c r="E405" i="1"/>
  <c r="E311" i="1"/>
  <c r="E4" i="1"/>
  <c r="D352" i="1"/>
  <c r="E150" i="1"/>
  <c r="E52" i="1"/>
  <c r="C302" i="1"/>
  <c r="D337" i="1"/>
  <c r="E313" i="1"/>
  <c r="D271" i="1"/>
  <c r="E434" i="1"/>
  <c r="E165" i="1"/>
  <c r="C471" i="1"/>
  <c r="C481" i="1"/>
  <c r="C178" i="1"/>
  <c r="A381" i="1"/>
  <c r="A301" i="1"/>
  <c r="D127" i="1"/>
  <c r="C462" i="1"/>
  <c r="A229" i="1"/>
  <c r="D22" i="1"/>
  <c r="D143" i="1"/>
  <c r="A166" i="1"/>
  <c r="C85" i="1"/>
  <c r="C332" i="1"/>
  <c r="C170" i="1"/>
  <c r="A314" i="1"/>
  <c r="C90" i="1"/>
  <c r="D176" i="1"/>
  <c r="D412" i="1"/>
  <c r="A442" i="1"/>
  <c r="E412" i="1"/>
  <c r="D149" i="1"/>
  <c r="A139" i="1"/>
  <c r="A260" i="1"/>
  <c r="C244" i="1"/>
  <c r="D186" i="1"/>
  <c r="C368" i="1"/>
  <c r="A21" i="1"/>
  <c r="A129" i="1"/>
  <c r="A64" i="1"/>
  <c r="C84" i="1"/>
  <c r="E164" i="1"/>
  <c r="C326" i="1"/>
  <c r="E18" i="1"/>
  <c r="E76" i="1"/>
  <c r="C176" i="1"/>
  <c r="D8" i="1"/>
  <c r="E216" i="1"/>
  <c r="C376" i="1"/>
  <c r="D132" i="1"/>
  <c r="D124" i="1"/>
  <c r="D397" i="1"/>
  <c r="A84" i="1"/>
  <c r="E378" i="1"/>
  <c r="D290" i="1"/>
  <c r="E443" i="1"/>
  <c r="D434" i="1"/>
  <c r="C323" i="1"/>
  <c r="E406" i="1"/>
  <c r="D253" i="1"/>
  <c r="A475" i="1"/>
  <c r="E444" i="1"/>
  <c r="E46" i="1"/>
  <c r="E242" i="1"/>
  <c r="C232" i="1"/>
  <c r="D320" i="1"/>
  <c r="D81" i="1"/>
  <c r="A428" i="1"/>
  <c r="A110" i="1"/>
  <c r="D492" i="1"/>
  <c r="E112" i="1"/>
  <c r="D194" i="1"/>
  <c r="D148" i="1"/>
  <c r="A52" i="1"/>
  <c r="D408" i="1"/>
  <c r="E428" i="1"/>
  <c r="A90" i="1"/>
  <c r="A305" i="1"/>
  <c r="A358" i="1"/>
  <c r="E123" i="1"/>
  <c r="E71" i="1"/>
  <c r="C415" i="1"/>
  <c r="D336" i="1"/>
  <c r="E62" i="1"/>
  <c r="A201" i="1"/>
  <c r="A242" i="1"/>
  <c r="D385" i="1"/>
  <c r="A111" i="1"/>
  <c r="E13" i="1"/>
  <c r="A431" i="1"/>
  <c r="D450" i="1"/>
  <c r="A246" i="1"/>
  <c r="C102" i="1"/>
  <c r="A270" i="1"/>
  <c r="D65" i="1"/>
  <c r="C260" i="1"/>
  <c r="E416" i="1"/>
  <c r="E98" i="1"/>
  <c r="C56" i="1"/>
  <c r="D223" i="1"/>
  <c r="D13" i="1"/>
  <c r="E267" i="1"/>
  <c r="D240" i="1"/>
  <c r="C498" i="1"/>
  <c r="C157" i="1"/>
  <c r="C469" i="1"/>
  <c r="C230" i="1"/>
  <c r="C429" i="1"/>
  <c r="C60" i="1"/>
  <c r="A493" i="1"/>
  <c r="A338" i="1"/>
  <c r="A174" i="1"/>
  <c r="A97" i="1"/>
  <c r="A345" i="1"/>
  <c r="A461" i="1"/>
  <c r="E227" i="1"/>
  <c r="E413" i="1"/>
  <c r="E360" i="1"/>
  <c r="A85" i="1"/>
  <c r="E450" i="1"/>
  <c r="E442" i="1"/>
  <c r="E474" i="1"/>
  <c r="A458" i="1"/>
  <c r="D26" i="1"/>
  <c r="E72" i="1"/>
  <c r="E317" i="1"/>
  <c r="A50" i="1"/>
  <c r="D481" i="1"/>
  <c r="E248" i="1"/>
  <c r="A302" i="1"/>
  <c r="D220" i="1"/>
  <c r="A154" i="1"/>
  <c r="E351" i="1"/>
  <c r="D38" i="1"/>
  <c r="E447" i="1"/>
  <c r="A497" i="1"/>
  <c r="E34" i="1"/>
  <c r="E440" i="1"/>
  <c r="A148" i="1"/>
  <c r="A279" i="1"/>
  <c r="A74" i="1"/>
  <c r="A471" i="1"/>
  <c r="D40" i="1"/>
  <c r="C379" i="1"/>
  <c r="D179" i="1"/>
  <c r="D100" i="1"/>
  <c r="E439" i="1"/>
  <c r="A224" i="1"/>
  <c r="E159" i="1"/>
  <c r="E363" i="1"/>
  <c r="A202" i="1"/>
  <c r="C494" i="1"/>
  <c r="D89" i="1"/>
  <c r="E430" i="1"/>
  <c r="E121" i="1"/>
  <c r="D227" i="1"/>
  <c r="D129" i="1"/>
  <c r="C242" i="1"/>
  <c r="A271" i="1"/>
  <c r="D10" i="1"/>
  <c r="D161" i="1"/>
  <c r="E415" i="1"/>
  <c r="E463" i="1"/>
  <c r="E130" i="1"/>
  <c r="E154" i="1"/>
  <c r="A437" i="1"/>
  <c r="D257" i="1"/>
  <c r="D76" i="1"/>
  <c r="E122" i="1"/>
  <c r="C206" i="1"/>
  <c r="D126" i="1"/>
  <c r="D104" i="1"/>
  <c r="D436" i="1"/>
  <c r="E373" i="1"/>
  <c r="A327" i="1"/>
  <c r="D477" i="1"/>
  <c r="E80" i="1"/>
  <c r="E303" i="1"/>
  <c r="D62" i="1"/>
  <c r="D413" i="1"/>
  <c r="A343" i="1"/>
  <c r="E182" i="1"/>
  <c r="E465" i="1"/>
  <c r="A136" i="1"/>
  <c r="D367" i="1"/>
  <c r="E271" i="1"/>
  <c r="D73" i="1"/>
  <c r="D140" i="1"/>
  <c r="A47" i="1"/>
  <c r="C478" i="1"/>
  <c r="E466" i="1"/>
  <c r="E117" i="1"/>
  <c r="E54" i="1"/>
  <c r="C107" i="1"/>
  <c r="E436" i="1"/>
  <c r="D304" i="1"/>
  <c r="E338" i="1"/>
  <c r="E24" i="1"/>
  <c r="D491" i="1"/>
  <c r="D7" i="1"/>
  <c r="A353" i="1"/>
  <c r="C493" i="1"/>
  <c r="E421" i="1"/>
  <c r="E198" i="1"/>
  <c r="C424" i="1"/>
  <c r="C77" i="1"/>
  <c r="E496" i="1"/>
  <c r="A341" i="1"/>
  <c r="E347" i="1"/>
  <c r="D117" i="1"/>
  <c r="A73" i="1"/>
  <c r="D467" i="1"/>
  <c r="E260" i="1"/>
  <c r="E58" i="1"/>
  <c r="C257" i="1"/>
  <c r="D306" i="1"/>
  <c r="E20" i="1"/>
  <c r="D302" i="1"/>
  <c r="C117" i="1"/>
  <c r="D47" i="1"/>
  <c r="C350" i="1"/>
  <c r="A287" i="1"/>
  <c r="A63" i="1"/>
  <c r="C135" i="1"/>
  <c r="D197" i="1"/>
  <c r="D18" i="1"/>
  <c r="E268" i="1"/>
  <c r="D231" i="1"/>
  <c r="C285" i="1"/>
  <c r="C99" i="1"/>
  <c r="C269" i="1"/>
  <c r="C204" i="1"/>
  <c r="C184" i="1"/>
  <c r="C80" i="1"/>
  <c r="A29" i="1"/>
  <c r="A53" i="1"/>
  <c r="A319" i="1"/>
  <c r="A247" i="1"/>
  <c r="A9" i="1"/>
  <c r="A218" i="1"/>
  <c r="A416" i="1"/>
  <c r="A95" i="1"/>
  <c r="A340" i="1"/>
  <c r="E30" i="1"/>
  <c r="A433" i="1"/>
  <c r="C219" i="1"/>
  <c r="C146" i="1"/>
  <c r="D339" i="1"/>
  <c r="D52" i="1"/>
  <c r="A326" i="1"/>
  <c r="A436" i="1"/>
  <c r="E348" i="1"/>
  <c r="C344" i="1"/>
  <c r="D403" i="1"/>
  <c r="C474" i="1"/>
  <c r="E387" i="1"/>
  <c r="E184" i="1"/>
  <c r="E27" i="1"/>
  <c r="D189" i="1"/>
  <c r="E274" i="1"/>
  <c r="D415" i="1"/>
  <c r="A297" i="1"/>
  <c r="D264" i="1"/>
  <c r="E285" i="1"/>
  <c r="A476" i="1"/>
  <c r="D64" i="1"/>
  <c r="D292" i="1"/>
  <c r="E288" i="1"/>
  <c r="D122" i="1"/>
  <c r="D496" i="1"/>
  <c r="C351" i="1"/>
  <c r="C103" i="1"/>
  <c r="C224" i="1"/>
  <c r="C396" i="1"/>
  <c r="C459" i="1"/>
  <c r="C276" i="1"/>
  <c r="A236" i="1"/>
  <c r="A186" i="1"/>
  <c r="A225" i="1"/>
  <c r="A184" i="1"/>
  <c r="A286" i="1"/>
  <c r="A307" i="1"/>
  <c r="A435" i="1"/>
  <c r="A46" i="1"/>
  <c r="E293" i="1"/>
  <c r="D353" i="1"/>
  <c r="E398" i="1"/>
  <c r="E365" i="1"/>
  <c r="A397" i="1"/>
  <c r="E167" i="1"/>
  <c r="C253" i="1"/>
  <c r="A72" i="1"/>
  <c r="C214" i="1"/>
  <c r="A156" i="1"/>
  <c r="D278" i="1"/>
  <c r="A123" i="1"/>
  <c r="E337" i="1"/>
  <c r="A81" i="1"/>
  <c r="D276" i="1"/>
  <c r="E470" i="1"/>
  <c r="C36" i="1"/>
  <c r="C290" i="1"/>
  <c r="D187" i="1"/>
  <c r="E120" i="1"/>
  <c r="E229" i="1"/>
  <c r="A157" i="1"/>
  <c r="C264" i="1"/>
  <c r="D349" i="1"/>
  <c r="D443" i="1"/>
  <c r="E215" i="1"/>
  <c r="D324" i="1"/>
  <c r="C29" i="1"/>
  <c r="C68" i="1"/>
  <c r="C374" i="1"/>
  <c r="C154" i="1"/>
  <c r="C109" i="1"/>
  <c r="C42" i="1"/>
  <c r="A410" i="1"/>
  <c r="A364" i="1"/>
  <c r="A282" i="1"/>
  <c r="A160" i="1"/>
  <c r="A152" i="1"/>
  <c r="A256" i="1"/>
  <c r="A220" i="1"/>
  <c r="A291" i="1"/>
  <c r="A103" i="1"/>
  <c r="E292" i="1"/>
  <c r="C452" i="1"/>
  <c r="C156" i="1"/>
  <c r="D35" i="1"/>
  <c r="D274" i="1"/>
  <c r="C86" i="1"/>
  <c r="E50" i="1"/>
  <c r="A483" i="1"/>
  <c r="E346" i="1"/>
  <c r="C50" i="1"/>
  <c r="D66" i="1"/>
  <c r="E235" i="1"/>
  <c r="C444" i="1"/>
  <c r="D344" i="1"/>
  <c r="C496" i="1"/>
  <c r="E193" i="1"/>
  <c r="E44" i="1"/>
  <c r="D120" i="1"/>
  <c r="A121" i="1"/>
  <c r="A419" i="1"/>
  <c r="E255" i="1"/>
  <c r="A209" i="1"/>
  <c r="D53" i="1"/>
  <c r="D280" i="1"/>
  <c r="E197" i="1"/>
  <c r="D82" i="1"/>
  <c r="D451" i="1"/>
  <c r="C404" i="1"/>
  <c r="C423" i="1"/>
  <c r="C119" i="1"/>
  <c r="C35" i="1"/>
  <c r="C152" i="1"/>
  <c r="C106" i="1"/>
  <c r="A37" i="1"/>
  <c r="A401" i="1"/>
  <c r="A470" i="1"/>
  <c r="A118" i="1"/>
  <c r="A208" i="1"/>
  <c r="A298" i="1"/>
  <c r="A185" i="1"/>
  <c r="A294" i="1"/>
  <c r="A395" i="1"/>
  <c r="A216" i="1"/>
  <c r="A147" i="1"/>
  <c r="D471" i="1"/>
  <c r="C8" i="1"/>
  <c r="E147" i="1"/>
  <c r="C426" i="1"/>
  <c r="E230" i="1"/>
  <c r="D11" i="1"/>
  <c r="A159" i="1"/>
  <c r="A407" i="1"/>
  <c r="D379" i="1"/>
  <c r="E402" i="1"/>
  <c r="C54" i="1"/>
  <c r="E289" i="1"/>
  <c r="D254" i="1"/>
  <c r="C15" i="1"/>
  <c r="E118" i="1"/>
  <c r="A342" i="1"/>
  <c r="D247" i="1"/>
  <c r="D218" i="1"/>
  <c r="C465" i="1"/>
  <c r="E425" i="1"/>
  <c r="C307" i="1"/>
  <c r="D171" i="1"/>
  <c r="D300" i="1"/>
  <c r="E484" i="1"/>
  <c r="D41" i="1"/>
  <c r="D407" i="1"/>
  <c r="C456" i="1"/>
  <c r="C71" i="1"/>
  <c r="C431" i="1"/>
  <c r="C169" i="1"/>
  <c r="C340" i="1"/>
  <c r="C167" i="1"/>
  <c r="A376" i="1"/>
  <c r="A472" i="1"/>
  <c r="A293" i="1"/>
  <c r="A231" i="1"/>
  <c r="A91" i="1"/>
  <c r="A453" i="1"/>
  <c r="A140" i="1"/>
  <c r="A288" i="1"/>
  <c r="A479" i="1"/>
  <c r="E245" i="1"/>
  <c r="E410" i="1"/>
  <c r="A334" i="1"/>
  <c r="C231" i="1"/>
  <c r="E171" i="1"/>
  <c r="A194" i="1"/>
  <c r="C256" i="1"/>
  <c r="A99" i="1"/>
  <c r="C477" i="1"/>
  <c r="D42" i="1"/>
  <c r="E226" i="1"/>
  <c r="E261" i="1"/>
  <c r="C454" i="1"/>
  <c r="D373" i="1"/>
  <c r="C461" i="1"/>
  <c r="D211" i="1"/>
  <c r="E206" i="1"/>
  <c r="D268" i="1"/>
  <c r="D446" i="1"/>
  <c r="C330" i="1"/>
  <c r="A299" i="1"/>
  <c r="C48" i="1"/>
  <c r="D442" i="1"/>
  <c r="E441" i="1"/>
  <c r="E401" i="1"/>
  <c r="D56" i="1"/>
  <c r="C432" i="1"/>
  <c r="C443" i="1"/>
  <c r="C234" i="1"/>
  <c r="C59" i="1"/>
  <c r="C33" i="1"/>
  <c r="C188" i="1"/>
  <c r="A178" i="1"/>
  <c r="A490" i="1"/>
  <c r="A486" i="1"/>
  <c r="A394" i="1"/>
  <c r="A318" i="1"/>
  <c r="A311" i="1"/>
  <c r="A406" i="1"/>
  <c r="A438" i="1"/>
  <c r="A117" i="1"/>
  <c r="E176" i="1"/>
  <c r="D453" i="1"/>
  <c r="C62" i="1"/>
  <c r="E256" i="1"/>
  <c r="E55" i="1"/>
  <c r="D429" i="1"/>
  <c r="D92" i="1"/>
  <c r="A43" i="1"/>
  <c r="C200" i="1"/>
  <c r="D486" i="1"/>
  <c r="E263" i="1"/>
  <c r="A109" i="1"/>
  <c r="A192" i="1"/>
  <c r="D204" i="1"/>
  <c r="E397" i="1"/>
  <c r="D48" i="1"/>
  <c r="A255" i="1"/>
  <c r="D90" i="1"/>
  <c r="C134" i="1"/>
  <c r="E149" i="1"/>
  <c r="E404" i="1"/>
  <c r="C314" i="1"/>
  <c r="D269" i="1"/>
  <c r="D267" i="1"/>
  <c r="E75" i="1"/>
  <c r="D178" i="1"/>
  <c r="C479" i="1"/>
  <c r="C216" i="1"/>
  <c r="C187" i="1"/>
  <c r="C127" i="1"/>
  <c r="C148" i="1"/>
  <c r="C93" i="1"/>
  <c r="A212" i="1"/>
  <c r="A153" i="1"/>
  <c r="A167" i="1"/>
  <c r="A347" i="1"/>
  <c r="A439" i="1"/>
  <c r="A469" i="1"/>
  <c r="A450" i="1"/>
  <c r="A427" i="1"/>
  <c r="A221" i="1"/>
  <c r="A344" i="1"/>
  <c r="C367" i="1"/>
  <c r="A17" i="1"/>
  <c r="C311" i="1"/>
  <c r="A264" i="1"/>
  <c r="C279" i="1"/>
  <c r="E356" i="1"/>
  <c r="A223" i="1"/>
  <c r="E137" i="1"/>
  <c r="D19" i="1"/>
  <c r="A368" i="1"/>
  <c r="D387" i="1"/>
  <c r="C304" i="1"/>
  <c r="E218" i="1"/>
  <c r="A371" i="1"/>
  <c r="D315" i="1"/>
  <c r="A62" i="1"/>
  <c r="C292" i="1"/>
  <c r="A330" i="1"/>
  <c r="D201" i="1"/>
  <c r="E51" i="1"/>
  <c r="C201" i="1"/>
  <c r="C38" i="1"/>
  <c r="C144" i="1"/>
  <c r="D215" i="1"/>
  <c r="D342" i="1"/>
  <c r="E310" i="1"/>
  <c r="D203" i="1"/>
  <c r="C409" i="1"/>
  <c r="C392" i="1"/>
  <c r="C345" i="1"/>
  <c r="C174" i="1"/>
  <c r="C393" i="1"/>
  <c r="C411" i="1"/>
  <c r="A328" i="1"/>
  <c r="A80" i="1"/>
  <c r="A14" i="1"/>
  <c r="A137" i="1"/>
  <c r="A259" i="1"/>
  <c r="A257" i="1"/>
  <c r="A357" i="1"/>
  <c r="A396" i="1"/>
  <c r="A40" i="1"/>
  <c r="E133" i="1"/>
  <c r="E322" i="1"/>
  <c r="D147" i="1"/>
  <c r="C136" i="1"/>
  <c r="C472" i="1"/>
  <c r="C312" i="1"/>
  <c r="A370" i="1"/>
  <c r="E370" i="1"/>
  <c r="D151" i="1"/>
  <c r="C282" i="1"/>
  <c r="A355" i="1"/>
  <c r="C270" i="1"/>
  <c r="A215" i="1"/>
  <c r="D489" i="1"/>
  <c r="E163" i="1"/>
  <c r="E101" i="1"/>
  <c r="C150" i="1"/>
  <c r="D226" i="1"/>
  <c r="E246" i="1"/>
  <c r="E414" i="1"/>
  <c r="E213" i="1"/>
  <c r="A455" i="1"/>
  <c r="D261" i="1"/>
  <c r="D384" i="1"/>
  <c r="E345" i="1"/>
  <c r="D281" i="1"/>
  <c r="D377" i="1"/>
  <c r="C446" i="1"/>
  <c r="C175" i="1"/>
  <c r="C181" i="1"/>
  <c r="C499" i="1"/>
  <c r="C145" i="1"/>
  <c r="C7" i="1"/>
  <c r="A12" i="1"/>
  <c r="A67" i="1"/>
  <c r="A277" i="1"/>
  <c r="A398" i="1"/>
  <c r="A494" i="1"/>
  <c r="A276" i="1"/>
  <c r="A7" i="1"/>
  <c r="A155" i="1"/>
  <c r="E369" i="1"/>
  <c r="A163" i="1"/>
  <c r="D391" i="1"/>
  <c r="A101" i="1"/>
  <c r="D455" i="1"/>
  <c r="E178" i="1"/>
  <c r="D91" i="1"/>
  <c r="A339" i="1"/>
  <c r="A49" i="1"/>
  <c r="A34" i="1"/>
  <c r="D136" i="1"/>
  <c r="A57" i="1"/>
  <c r="E273" i="1"/>
  <c r="A51" i="1"/>
  <c r="D343" i="1"/>
  <c r="D398" i="1"/>
  <c r="A58" i="1"/>
  <c r="C246" i="1"/>
  <c r="D354" i="1"/>
  <c r="E111" i="1"/>
  <c r="E371" i="1"/>
  <c r="A335" i="1"/>
  <c r="C365" i="1"/>
  <c r="D139" i="1"/>
  <c r="D23" i="1"/>
  <c r="E102" i="1"/>
  <c r="D159" i="1"/>
  <c r="C11" i="1"/>
  <c r="C268" i="1"/>
  <c r="C248" i="1"/>
  <c r="C500" i="1"/>
  <c r="C185" i="1"/>
  <c r="C198" i="1"/>
  <c r="A232" i="1"/>
  <c r="A193" i="1"/>
  <c r="A175" i="1"/>
  <c r="A42" i="1"/>
  <c r="A183" i="1"/>
  <c r="A237" i="1"/>
  <c r="A45" i="1"/>
  <c r="A251" i="1"/>
  <c r="A284" i="1"/>
  <c r="A488" i="1"/>
  <c r="C194" i="1"/>
  <c r="D6" i="1"/>
  <c r="E381" i="1"/>
  <c r="A107" i="1"/>
  <c r="A448" i="1"/>
  <c r="E445" i="1"/>
  <c r="C486" i="1"/>
  <c r="A82" i="1"/>
  <c r="A400" i="1"/>
  <c r="A383" i="1"/>
  <c r="D376" i="1"/>
  <c r="D454" i="1"/>
  <c r="C83" i="1"/>
  <c r="C250" i="1"/>
  <c r="D265" i="1"/>
  <c r="D96" i="1"/>
  <c r="A274" i="1"/>
  <c r="C336" i="1"/>
  <c r="D319" i="1"/>
  <c r="C457" i="1"/>
  <c r="C32" i="1"/>
  <c r="A234" i="1"/>
  <c r="C72" i="1"/>
  <c r="D67" i="1"/>
  <c r="E341" i="1"/>
  <c r="E305" i="1"/>
  <c r="D243" i="1"/>
  <c r="C460" i="1"/>
  <c r="C125" i="1"/>
  <c r="C385" i="1"/>
  <c r="C57" i="1"/>
  <c r="C238" i="1"/>
  <c r="C382" i="1"/>
  <c r="A366" i="1"/>
  <c r="A374" i="1"/>
  <c r="A197" i="1"/>
  <c r="A300" i="1"/>
  <c r="A262" i="1"/>
  <c r="A18" i="1"/>
  <c r="A317" i="1"/>
  <c r="A464" i="1"/>
  <c r="A388" i="1"/>
  <c r="E252" i="1"/>
  <c r="C113" i="1"/>
  <c r="D383" i="1"/>
  <c r="C286" i="1"/>
  <c r="E125" i="1"/>
  <c r="C233" i="1"/>
  <c r="A329" i="1"/>
  <c r="E177" i="1"/>
  <c r="A127" i="1"/>
  <c r="D166" i="1"/>
  <c r="C395" i="1"/>
  <c r="A15" i="1"/>
  <c r="A354" i="1"/>
  <c r="D433" i="1"/>
  <c r="C207" i="1"/>
  <c r="C278" i="1"/>
  <c r="A145" i="1"/>
  <c r="D9" i="1"/>
  <c r="C277" i="1"/>
  <c r="D368" i="1"/>
  <c r="E457" i="1"/>
  <c r="C20" i="1"/>
  <c r="D141" i="1"/>
  <c r="D499" i="1"/>
  <c r="E217" i="1"/>
  <c r="D445" i="1"/>
  <c r="C104" i="1"/>
  <c r="C347" i="1"/>
  <c r="C476" i="1"/>
  <c r="C211" i="1"/>
  <c r="C179" i="1"/>
  <c r="C324" i="1"/>
  <c r="A70" i="1"/>
  <c r="A269" i="1"/>
  <c r="A214" i="1"/>
  <c r="A389" i="1"/>
  <c r="A418" i="1"/>
  <c r="A460" i="1"/>
  <c r="A128" i="1"/>
  <c r="A20" i="1"/>
  <c r="A295" i="1"/>
  <c r="E265" i="1"/>
  <c r="A5" i="1"/>
  <c r="C348" i="1"/>
  <c r="E279" i="1"/>
  <c r="D298" i="1"/>
  <c r="E196" i="1"/>
  <c r="D72" i="1"/>
  <c r="C464" i="1"/>
  <c r="C21" i="1"/>
  <c r="C202" i="1"/>
  <c r="D28" i="1"/>
  <c r="C247" i="1"/>
  <c r="E403" i="1"/>
  <c r="C13" i="1"/>
  <c r="D410" i="1"/>
  <c r="A59" i="1"/>
  <c r="A265" i="1"/>
  <c r="E53" i="1"/>
  <c r="A165" i="1"/>
  <c r="D393" i="1"/>
  <c r="E380" i="1"/>
  <c r="A88" i="1"/>
  <c r="E437" i="1"/>
  <c r="D17" i="1"/>
  <c r="E286" i="1"/>
  <c r="D29" i="1"/>
  <c r="D390" i="1"/>
  <c r="C369" i="1"/>
  <c r="C94" i="1"/>
  <c r="C400" i="1"/>
  <c r="C306" i="1"/>
  <c r="C455" i="1"/>
  <c r="C428" i="1"/>
  <c r="A228" i="1"/>
  <c r="A249" i="1"/>
  <c r="A248" i="1"/>
  <c r="A169" i="1"/>
  <c r="A120" i="1"/>
  <c r="A116" i="1"/>
  <c r="A404" i="1"/>
  <c r="A363" i="1"/>
  <c r="A474" i="1"/>
  <c r="A465" i="1"/>
  <c r="D54" i="1"/>
  <c r="D153" i="1"/>
  <c r="D357" i="1"/>
  <c r="D262" i="1"/>
  <c r="D414" i="1"/>
  <c r="D85" i="1"/>
  <c r="E483" i="1"/>
  <c r="E366" i="1"/>
  <c r="E251" i="1"/>
  <c r="E488" i="1"/>
  <c r="E368" i="1"/>
  <c r="E36" i="1"/>
  <c r="E420" i="1"/>
  <c r="E382" i="1"/>
  <c r="E63" i="1"/>
  <c r="E124" i="1"/>
  <c r="E391" i="1"/>
  <c r="E166" i="1"/>
  <c r="E344" i="1"/>
  <c r="E422" i="1"/>
  <c r="E228" i="1"/>
  <c r="E79" i="1"/>
  <c r="E238" i="1"/>
  <c r="E358" i="1"/>
  <c r="E453" i="1"/>
  <c r="E291" i="1"/>
  <c r="E42" i="1"/>
  <c r="E65" i="1"/>
  <c r="E56" i="1"/>
  <c r="E141" i="1"/>
  <c r="C450" i="1"/>
  <c r="C73" i="1"/>
  <c r="C482" i="1"/>
  <c r="C315" i="1"/>
  <c r="C95" i="1"/>
  <c r="C16" i="1"/>
  <c r="C310" i="1"/>
  <c r="C412" i="1"/>
  <c r="C327" i="1"/>
  <c r="C448" i="1"/>
  <c r="C388" i="1"/>
  <c r="C259" i="1"/>
  <c r="C81" i="1"/>
  <c r="C208" i="1"/>
  <c r="C484" i="1"/>
  <c r="C407" i="1"/>
  <c r="C468" i="1"/>
  <c r="C489" i="1"/>
  <c r="C82" i="1"/>
  <c r="C46" i="1"/>
  <c r="C197" i="1"/>
  <c r="C272" i="1"/>
  <c r="C287" i="1"/>
  <c r="C414" i="1"/>
  <c r="C384" i="1"/>
  <c r="C437" i="1"/>
  <c r="C227" i="1"/>
  <c r="C91" i="1"/>
  <c r="D103" i="1"/>
  <c r="D332" i="1"/>
  <c r="D345" i="1"/>
  <c r="D45" i="1"/>
  <c r="D389" i="1"/>
  <c r="D239" i="1"/>
  <c r="E281" i="1"/>
  <c r="E91" i="1"/>
  <c r="E482" i="1"/>
  <c r="E333" i="1"/>
  <c r="E332" i="1"/>
  <c r="E35" i="1"/>
  <c r="E244" i="1"/>
  <c r="E61" i="1"/>
  <c r="E455" i="1"/>
  <c r="E236" i="1"/>
  <c r="E323" i="1"/>
  <c r="E451" i="1"/>
  <c r="E283" i="1"/>
  <c r="E284" i="1"/>
  <c r="E32" i="1"/>
  <c r="E459" i="1"/>
  <c r="E66" i="1"/>
  <c r="E461" i="1"/>
  <c r="E195" i="1"/>
  <c r="E476" i="1"/>
  <c r="E479" i="1"/>
  <c r="E219" i="1"/>
  <c r="E222" i="1"/>
  <c r="E211" i="1"/>
  <c r="C360" i="1"/>
  <c r="C132" i="1"/>
  <c r="C199" i="1"/>
  <c r="C237" i="1"/>
  <c r="C205" i="1"/>
  <c r="C399" i="1"/>
  <c r="C28" i="1"/>
  <c r="C416" i="1"/>
  <c r="C241" i="1"/>
  <c r="C162" i="1"/>
  <c r="C195" i="1"/>
  <c r="C74" i="1"/>
  <c r="C22" i="1"/>
  <c r="C475" i="1"/>
  <c r="C66" i="1"/>
  <c r="C229" i="1"/>
  <c r="C337" i="1"/>
  <c r="C222" i="1"/>
  <c r="C173" i="1"/>
  <c r="C366" i="1"/>
  <c r="C182" i="1"/>
  <c r="C334" i="1"/>
  <c r="C300" i="1"/>
  <c r="C325" i="1"/>
  <c r="C111" i="1"/>
  <c r="C139" i="1"/>
  <c r="C490" i="1"/>
  <c r="C338" i="1"/>
  <c r="C349" i="1"/>
  <c r="C228" i="1"/>
  <c r="C159" i="1"/>
  <c r="C401" i="1"/>
  <c r="C110" i="1"/>
  <c r="C364" i="1"/>
  <c r="C433" i="1"/>
  <c r="C209" i="1"/>
  <c r="C297" i="1"/>
  <c r="C406" i="1"/>
  <c r="C352" i="1"/>
  <c r="D133" i="1"/>
  <c r="D329" i="1"/>
  <c r="D341" i="1"/>
  <c r="D246" i="1"/>
  <c r="D372" i="1"/>
  <c r="D238" i="1"/>
  <c r="E393" i="1"/>
  <c r="E25" i="1"/>
  <c r="E225" i="1"/>
  <c r="E304" i="1"/>
  <c r="E282" i="1"/>
  <c r="E275" i="1"/>
  <c r="E240" i="1"/>
  <c r="E385" i="1"/>
  <c r="E250" i="1"/>
  <c r="E270" i="1"/>
  <c r="E433" i="1"/>
  <c r="E350" i="1"/>
  <c r="E23" i="1"/>
  <c r="E367" i="1"/>
  <c r="E300" i="1"/>
  <c r="E161" i="1"/>
  <c r="E28" i="1"/>
  <c r="E169" i="1"/>
  <c r="E157" i="1"/>
  <c r="E247" i="1"/>
  <c r="E192" i="1"/>
  <c r="E362" i="1"/>
  <c r="E73" i="1"/>
  <c r="E379" i="1"/>
  <c r="C339" i="1"/>
  <c r="C303" i="1"/>
  <c r="C105" i="1"/>
  <c r="C164" i="1"/>
  <c r="C283" i="1"/>
  <c r="C186" i="1"/>
  <c r="C318" i="1"/>
  <c r="C251" i="1"/>
  <c r="C155" i="1"/>
  <c r="C453" i="1"/>
  <c r="C371" i="1"/>
  <c r="C408" i="1"/>
  <c r="C37" i="1"/>
  <c r="C356" i="1"/>
  <c r="C417" i="1"/>
  <c r="C26" i="1"/>
  <c r="C370" i="1"/>
  <c r="C221" i="1"/>
  <c r="C183" i="1"/>
  <c r="C425" i="1"/>
  <c r="C96" i="1"/>
  <c r="C126" i="1"/>
  <c r="C30" i="1"/>
  <c r="C405" i="1"/>
  <c r="C362" i="1"/>
  <c r="C466" i="1"/>
  <c r="C153" i="1"/>
  <c r="C3" i="1"/>
  <c r="D418" i="1"/>
  <c r="D428" i="1"/>
  <c r="D356" i="1"/>
  <c r="D83" i="1"/>
  <c r="D36" i="1"/>
  <c r="E174" i="1"/>
  <c r="E41" i="1"/>
  <c r="E139" i="1"/>
  <c r="E135" i="1"/>
  <c r="E5" i="1"/>
  <c r="E22" i="1"/>
  <c r="E10" i="1"/>
  <c r="E491" i="1"/>
  <c r="E190" i="1"/>
  <c r="E336" i="1"/>
  <c r="E411" i="1"/>
  <c r="E312" i="1"/>
  <c r="E160" i="1"/>
  <c r="E29" i="1"/>
  <c r="E220" i="1"/>
  <c r="E239" i="1"/>
  <c r="E173" i="1"/>
  <c r="E375" i="1"/>
  <c r="E59" i="1"/>
  <c r="E400" i="1"/>
  <c r="E320" i="1"/>
  <c r="E364" i="1"/>
  <c r="E243" i="1"/>
  <c r="E493" i="1"/>
  <c r="E329" i="1"/>
  <c r="C25" i="1"/>
  <c r="C34" i="1"/>
  <c r="C225" i="1"/>
  <c r="C240" i="1"/>
  <c r="C171" i="1"/>
  <c r="C58" i="1"/>
  <c r="C190" i="1"/>
  <c r="C274" i="1"/>
  <c r="C218" i="1"/>
  <c r="C438" i="1"/>
  <c r="C212" i="1"/>
  <c r="C128" i="1"/>
  <c r="C5" i="1"/>
  <c r="C120" i="1"/>
  <c r="C131" i="1"/>
  <c r="C342" i="1"/>
  <c r="C122" i="1"/>
  <c r="C289" i="1"/>
  <c r="C210" i="1"/>
  <c r="C88" i="1"/>
  <c r="C130" i="1"/>
  <c r="C140" i="1"/>
  <c r="C296" i="1"/>
  <c r="C320" i="1"/>
  <c r="C24" i="1"/>
  <c r="C262" i="1"/>
  <c r="C258" i="1"/>
  <c r="C118" i="1"/>
  <c r="C361" i="1"/>
  <c r="C123" i="1"/>
  <c r="C341" i="1"/>
  <c r="C273" i="1"/>
  <c r="C78" i="1"/>
  <c r="C67" i="1"/>
  <c r="C9" i="1"/>
  <c r="C79" i="1"/>
  <c r="B36" i="1"/>
  <c r="B418" i="1"/>
  <c r="B341" i="1"/>
  <c r="B389" i="1"/>
  <c r="B103" i="1"/>
  <c r="B357" i="1"/>
  <c r="B29" i="1"/>
  <c r="B28" i="1"/>
  <c r="B499" i="1"/>
  <c r="B433" i="1"/>
  <c r="B67" i="1"/>
  <c r="B454" i="1"/>
  <c r="B23" i="1"/>
  <c r="B343" i="1"/>
  <c r="B391" i="1"/>
  <c r="B261" i="1"/>
  <c r="B147" i="1"/>
  <c r="B201" i="1"/>
  <c r="B178" i="1"/>
  <c r="B48" i="1"/>
  <c r="B429" i="1"/>
  <c r="B446" i="1"/>
  <c r="B42" i="1"/>
  <c r="B171" i="1"/>
  <c r="B379" i="1"/>
  <c r="B82" i="1"/>
  <c r="B344" i="1"/>
  <c r="B324" i="1"/>
  <c r="B276" i="1"/>
  <c r="B122" i="1"/>
  <c r="B415" i="1"/>
  <c r="B339" i="1"/>
  <c r="B47" i="1"/>
  <c r="B117" i="1"/>
  <c r="B140" i="1"/>
  <c r="B62" i="1"/>
  <c r="B126" i="1"/>
  <c r="B10" i="1"/>
  <c r="B100" i="1"/>
  <c r="B220" i="1"/>
  <c r="B223" i="1"/>
  <c r="B336" i="1"/>
  <c r="B492" i="1"/>
  <c r="B434" i="1"/>
  <c r="B132" i="1"/>
  <c r="B412" i="1"/>
  <c r="B127" i="1"/>
  <c r="B495" i="1"/>
  <c r="B252" i="1"/>
  <c r="B3" i="1"/>
  <c r="B431" i="1"/>
  <c r="B102" i="1"/>
  <c r="B382" i="1"/>
  <c r="B205" i="1"/>
  <c r="B335" i="1"/>
  <c r="B20" i="1"/>
  <c r="B430" i="1"/>
  <c r="B457" i="1"/>
  <c r="B107" i="1"/>
  <c r="B191" i="1"/>
  <c r="B241" i="1"/>
  <c r="B333" i="1"/>
  <c r="B395" i="1"/>
  <c r="B232" i="1"/>
  <c r="B370" i="1"/>
  <c r="B295" i="1"/>
  <c r="B361" i="1"/>
  <c r="B305" i="1"/>
  <c r="B236" i="1"/>
  <c r="B49" i="1"/>
  <c r="B165" i="1"/>
  <c r="B312" i="1"/>
  <c r="B293" i="1"/>
  <c r="B463" i="1"/>
  <c r="B456" i="1"/>
  <c r="B294" i="1"/>
  <c r="B424" i="1"/>
  <c r="B145" i="1"/>
  <c r="B164" i="1"/>
  <c r="B472" i="1"/>
  <c r="B249" i="1"/>
  <c r="B351" i="1"/>
  <c r="B449" i="1"/>
  <c r="B198" i="1"/>
  <c r="B183" i="1"/>
  <c r="B260" i="1"/>
  <c r="B71" i="1"/>
  <c r="B14" i="1"/>
  <c r="B87" i="1"/>
  <c r="B299" i="1"/>
  <c r="B355" i="1"/>
  <c r="B406" i="1"/>
  <c r="B175" i="1"/>
  <c r="B360" i="1"/>
  <c r="B182" i="1"/>
  <c r="B422" i="1"/>
  <c r="B466" i="1"/>
  <c r="B340" i="1"/>
  <c r="B216" i="1"/>
  <c r="B494" i="1"/>
  <c r="B242" i="1"/>
  <c r="B114" i="1"/>
  <c r="B266" i="1"/>
  <c r="B263" i="1"/>
  <c r="B16" i="1"/>
  <c r="B68" i="1"/>
  <c r="B347" i="1"/>
  <c r="B282" i="1"/>
  <c r="B113" i="1"/>
  <c r="B426" i="1"/>
  <c r="B154" i="1"/>
  <c r="B158" i="1"/>
  <c r="B192" i="1"/>
  <c r="B401" i="1"/>
  <c r="B464" i="1"/>
  <c r="B325" i="1"/>
  <c r="B200" i="1"/>
  <c r="B163" i="1"/>
  <c r="B452" i="1"/>
  <c r="B313" i="1"/>
  <c r="B193" i="1"/>
  <c r="B417" i="1"/>
  <c r="B15" i="1"/>
  <c r="B228" i="1"/>
  <c r="B83" i="1"/>
  <c r="B238" i="1"/>
  <c r="B329" i="1"/>
  <c r="B45" i="1"/>
  <c r="B85" i="1"/>
  <c r="B153" i="1"/>
  <c r="B17" i="1"/>
  <c r="B72" i="1"/>
  <c r="B141" i="1"/>
  <c r="B166" i="1"/>
  <c r="B319" i="1"/>
  <c r="B376" i="1"/>
  <c r="B139" i="1"/>
  <c r="B136" i="1"/>
  <c r="B377" i="1"/>
  <c r="B226" i="1"/>
  <c r="B203" i="1"/>
  <c r="B315" i="1"/>
  <c r="B267" i="1"/>
  <c r="B204" i="1"/>
  <c r="B453" i="1"/>
  <c r="B268" i="1"/>
  <c r="B407" i="1"/>
  <c r="B218" i="1"/>
  <c r="B11" i="1"/>
  <c r="B280" i="1"/>
  <c r="B66" i="1"/>
  <c r="B443" i="1"/>
  <c r="B278" i="1"/>
  <c r="B292" i="1"/>
  <c r="B189" i="1"/>
  <c r="B231" i="1"/>
  <c r="B302" i="1"/>
  <c r="B7" i="1"/>
  <c r="B73" i="1"/>
  <c r="B477" i="1"/>
  <c r="B76" i="1"/>
  <c r="B129" i="1"/>
  <c r="B179" i="1"/>
  <c r="B26" i="1"/>
  <c r="B65" i="1"/>
  <c r="B408" i="1"/>
  <c r="B81" i="1"/>
  <c r="B290" i="1"/>
  <c r="B8" i="1"/>
  <c r="B176" i="1"/>
  <c r="B271" i="1"/>
  <c r="B405" i="1"/>
  <c r="B180" i="1"/>
  <c r="B275" i="1"/>
  <c r="B234" i="1"/>
  <c r="B458" i="1"/>
  <c r="B284" i="1"/>
  <c r="B476" i="1"/>
  <c r="B323" i="1"/>
  <c r="B288" i="1"/>
  <c r="B248" i="1"/>
  <c r="B32" i="1"/>
  <c r="B411" i="1"/>
  <c r="B318" i="1"/>
  <c r="B327" i="1"/>
  <c r="B465" i="1"/>
  <c r="B24" i="1"/>
  <c r="B168" i="1"/>
  <c r="B326" i="1"/>
  <c r="B359" i="1"/>
  <c r="B440" i="1"/>
  <c r="B43" i="1"/>
  <c r="B307" i="1"/>
  <c r="B106" i="1"/>
  <c r="B279" i="1"/>
  <c r="B420" i="1"/>
  <c r="B308" i="1"/>
  <c r="B212" i="1"/>
  <c r="B31" i="1"/>
  <c r="B131" i="1"/>
  <c r="B297" i="1"/>
  <c r="B93" i="1"/>
  <c r="B378" i="1"/>
  <c r="B5" i="1"/>
  <c r="B105" i="1"/>
  <c r="B419" i="1"/>
  <c r="B86" i="1"/>
  <c r="B256" i="1"/>
  <c r="B112" i="1"/>
  <c r="B99" i="1"/>
  <c r="B488" i="1"/>
  <c r="B50" i="1"/>
  <c r="B101" i="1"/>
  <c r="B311" i="1"/>
  <c r="B237" i="1"/>
  <c r="B121" i="1"/>
  <c r="B188" i="1"/>
  <c r="B25" i="1"/>
  <c r="B363" i="1"/>
  <c r="B317" i="1"/>
  <c r="B57" i="1"/>
  <c r="B33" i="1"/>
  <c r="B51" i="1"/>
  <c r="B221" i="1"/>
  <c r="B479" i="1"/>
  <c r="B255" i="1"/>
  <c r="B118" i="1"/>
  <c r="B314" i="1"/>
  <c r="B358" i="1"/>
  <c r="B75" i="1"/>
  <c r="B135" i="1"/>
  <c r="B310" i="1"/>
  <c r="B437" i="1"/>
  <c r="B233" i="1"/>
  <c r="B447" i="1"/>
  <c r="B169" i="1"/>
  <c r="B202" i="1"/>
  <c r="B462" i="1"/>
  <c r="B432" i="1"/>
  <c r="B283" i="1"/>
  <c r="B88" i="1"/>
  <c r="B34" i="1"/>
  <c r="B210" i="1"/>
  <c r="B461" i="1"/>
  <c r="B388" i="1"/>
  <c r="B172" i="1"/>
  <c r="B137" i="1"/>
  <c r="B356" i="1"/>
  <c r="B372" i="1"/>
  <c r="B133" i="1"/>
  <c r="B345" i="1"/>
  <c r="B414" i="1"/>
  <c r="B54" i="1"/>
  <c r="B393" i="1"/>
  <c r="B298" i="1"/>
  <c r="B368" i="1"/>
  <c r="B383" i="1"/>
  <c r="B96" i="1"/>
  <c r="B6" i="1"/>
  <c r="B354" i="1"/>
  <c r="B91" i="1"/>
  <c r="B281" i="1"/>
  <c r="B489" i="1"/>
  <c r="B342" i="1"/>
  <c r="B387" i="1"/>
  <c r="B269" i="1"/>
  <c r="B486" i="1"/>
  <c r="B56" i="1"/>
  <c r="B211" i="1"/>
  <c r="B41" i="1"/>
  <c r="B247" i="1"/>
  <c r="B471" i="1"/>
  <c r="B53" i="1"/>
  <c r="B274" i="1"/>
  <c r="B349" i="1"/>
  <c r="B353" i="1"/>
  <c r="B64" i="1"/>
  <c r="B403" i="1"/>
  <c r="B18" i="1"/>
  <c r="B306" i="1"/>
  <c r="B491" i="1"/>
  <c r="B367" i="1"/>
  <c r="B436" i="1"/>
  <c r="B257" i="1"/>
  <c r="B227" i="1"/>
  <c r="B40" i="1"/>
  <c r="B240" i="1"/>
  <c r="B450" i="1"/>
  <c r="B148" i="1"/>
  <c r="B320" i="1"/>
  <c r="B397" i="1"/>
  <c r="B186" i="1"/>
  <c r="B143" i="1"/>
  <c r="B337" i="1"/>
  <c r="B371" i="1"/>
  <c r="B130" i="1"/>
  <c r="B362" i="1"/>
  <c r="B469" i="1"/>
  <c r="B346" i="1"/>
  <c r="B439" i="1"/>
  <c r="B402" i="1"/>
  <c r="B272" i="1"/>
  <c r="B108" i="1"/>
  <c r="B500" i="1"/>
  <c r="B21" i="1"/>
  <c r="B487" i="1"/>
  <c r="B222" i="1"/>
  <c r="B144" i="1"/>
  <c r="B273" i="1"/>
  <c r="B190" i="1"/>
  <c r="B400" i="1"/>
  <c r="B366" i="1"/>
  <c r="B399" i="1"/>
  <c r="B230" i="1"/>
  <c r="B348" i="1"/>
  <c r="B78" i="1"/>
  <c r="B185" i="1"/>
  <c r="B316" i="1"/>
  <c r="B334" i="1"/>
  <c r="B196" i="1"/>
  <c r="B110" i="1"/>
  <c r="B438" i="1"/>
  <c r="B170" i="1"/>
  <c r="B152" i="1"/>
  <c r="B475" i="1"/>
  <c r="B195" i="1"/>
  <c r="B27" i="1"/>
  <c r="B46" i="1"/>
  <c r="B174" i="1"/>
  <c r="B213" i="1"/>
  <c r="B365" i="1"/>
  <c r="B468" i="1"/>
  <c r="B116" i="1"/>
  <c r="B80" i="1"/>
  <c r="B207" i="1"/>
  <c r="B111" i="1"/>
  <c r="B301" i="1"/>
  <c r="B364" i="1"/>
  <c r="B119" i="1"/>
  <c r="B470" i="1"/>
  <c r="B98" i="1"/>
  <c r="B435" i="1"/>
  <c r="B474" i="1"/>
  <c r="B309" i="1"/>
  <c r="B224" i="1"/>
  <c r="B497" i="1"/>
  <c r="B97" i="1"/>
  <c r="B459" i="1"/>
  <c r="B77" i="1"/>
  <c r="B448" i="1"/>
  <c r="B128" i="1"/>
  <c r="B206" i="1"/>
  <c r="B123" i="1"/>
  <c r="B251" i="1"/>
  <c r="B289" i="1"/>
  <c r="B59" i="1"/>
  <c r="B277" i="1"/>
  <c r="B423" i="1"/>
  <c r="B394" i="1"/>
  <c r="B4" i="1"/>
  <c r="B160" i="1"/>
  <c r="B109" i="1"/>
  <c r="B270" i="1"/>
  <c r="B150" i="1"/>
  <c r="B421" i="1"/>
  <c r="B55" i="1"/>
  <c r="B473" i="1"/>
  <c r="B409" i="1"/>
  <c r="B444" i="1"/>
  <c r="B74" i="1"/>
  <c r="B428" i="1"/>
  <c r="B246" i="1"/>
  <c r="B239" i="1"/>
  <c r="B332" i="1"/>
  <c r="B262" i="1"/>
  <c r="B390" i="1"/>
  <c r="B410" i="1"/>
  <c r="B445" i="1"/>
  <c r="B9" i="1"/>
  <c r="B243" i="1"/>
  <c r="B265" i="1"/>
  <c r="B159" i="1"/>
  <c r="B398" i="1"/>
  <c r="B455" i="1"/>
  <c r="B384" i="1"/>
  <c r="B151" i="1"/>
  <c r="B215" i="1"/>
  <c r="B19" i="1"/>
  <c r="B90" i="1"/>
  <c r="B92" i="1"/>
  <c r="B442" i="1"/>
  <c r="B373" i="1"/>
  <c r="B300" i="1"/>
  <c r="B254" i="1"/>
  <c r="B451" i="1"/>
  <c r="B120" i="1"/>
  <c r="B35" i="1"/>
  <c r="B187" i="1"/>
  <c r="B496" i="1"/>
  <c r="B264" i="1"/>
  <c r="B52" i="1"/>
  <c r="B197" i="1"/>
  <c r="B467" i="1"/>
  <c r="B304" i="1"/>
  <c r="B413" i="1"/>
  <c r="B104" i="1"/>
  <c r="B161" i="1"/>
  <c r="B89" i="1"/>
  <c r="B38" i="1"/>
  <c r="B13" i="1"/>
  <c r="B385" i="1"/>
  <c r="B194" i="1"/>
  <c r="B253" i="1"/>
  <c r="B124" i="1"/>
  <c r="B149" i="1"/>
  <c r="B22" i="1"/>
  <c r="B352" i="1"/>
  <c r="B244" i="1"/>
  <c r="B229" i="1"/>
  <c r="B39" i="1"/>
  <c r="B291" i="1"/>
  <c r="B331" i="1"/>
  <c r="B184" i="1"/>
  <c r="B321" i="1"/>
  <c r="B177" i="1"/>
  <c r="B258" i="1"/>
  <c r="B219" i="1"/>
  <c r="B381" i="1"/>
  <c r="B490" i="1"/>
  <c r="B69" i="1"/>
  <c r="B115" i="1"/>
  <c r="B156" i="1"/>
  <c r="B37" i="1"/>
  <c r="B162" i="1"/>
  <c r="B285" i="1"/>
  <c r="B94" i="1"/>
  <c r="B2" i="1"/>
  <c r="B155" i="1"/>
  <c r="B125" i="1"/>
  <c r="B396" i="1"/>
  <c r="B79" i="1"/>
  <c r="B322" i="1"/>
  <c r="B303" i="1"/>
  <c r="B138" i="1"/>
  <c r="B214" i="1"/>
  <c r="B498" i="1"/>
  <c r="B70" i="1"/>
  <c r="B374" i="1"/>
  <c r="B63" i="1"/>
  <c r="B84" i="1"/>
  <c r="B61" i="1"/>
  <c r="B209" i="1"/>
  <c r="B493" i="1"/>
  <c r="B95" i="1"/>
  <c r="B386" i="1"/>
  <c r="B60" i="1"/>
  <c r="B380" i="1"/>
  <c r="B441" i="1"/>
  <c r="B330" i="1"/>
  <c r="B460" i="1"/>
  <c r="B404" i="1"/>
  <c r="B287" i="1"/>
  <c r="B199" i="1"/>
  <c r="B416" i="1"/>
  <c r="B235" i="1"/>
  <c r="B157" i="1"/>
  <c r="B350" i="1"/>
  <c r="B44" i="1"/>
  <c r="B250" i="1"/>
  <c r="B173" i="1"/>
  <c r="B328" i="1"/>
  <c r="B142" i="1"/>
  <c r="B480" i="1"/>
  <c r="B392" i="1"/>
  <c r="B30" i="1"/>
  <c r="B286" i="1"/>
  <c r="B259" i="1"/>
  <c r="B375" i="1"/>
  <c r="B146" i="1"/>
  <c r="B425" i="1"/>
  <c r="B181" i="1"/>
  <c r="B296" i="1"/>
  <c r="B217" i="1"/>
  <c r="B134" i="1"/>
  <c r="B167" i="1"/>
  <c r="B338" i="1"/>
  <c r="B369" i="1"/>
  <c r="B245" i="1"/>
  <c r="B208" i="1"/>
  <c r="B427" i="1"/>
  <c r="B12" i="1"/>
  <c r="B225" i="1"/>
  <c r="B58" i="1"/>
  <c r="B481" i="1"/>
  <c r="B482" i="1"/>
  <c r="B485" i="1"/>
  <c r="B484" i="1"/>
  <c r="B483" i="1"/>
  <c r="B478" i="1"/>
  <c r="N465" i="1" l="1"/>
  <c r="N474" i="1"/>
  <c r="N363" i="1"/>
  <c r="N404" i="1"/>
  <c r="N116" i="1"/>
  <c r="N120" i="1"/>
  <c r="N169" i="1"/>
  <c r="N248" i="1"/>
  <c r="N249" i="1"/>
  <c r="N228" i="1"/>
  <c r="N88" i="1"/>
  <c r="N165" i="1"/>
  <c r="N265" i="1"/>
  <c r="N43" i="1"/>
  <c r="N74" i="1"/>
  <c r="N295" i="1"/>
  <c r="N63" i="1"/>
  <c r="N128" i="1"/>
  <c r="N460" i="1"/>
  <c r="N418" i="1"/>
  <c r="N389" i="1"/>
  <c r="N214" i="1"/>
  <c r="N269" i="1"/>
  <c r="N54" i="1"/>
  <c r="N145" i="1"/>
  <c r="N354" i="1"/>
  <c r="N37" i="1"/>
  <c r="N127" i="1"/>
  <c r="N329" i="1"/>
  <c r="N388" i="1"/>
  <c r="N464" i="1"/>
  <c r="N317" i="1"/>
  <c r="N39" i="1"/>
  <c r="N262" i="1"/>
  <c r="N300" i="1"/>
  <c r="N197" i="1"/>
  <c r="N374" i="1"/>
  <c r="N366" i="1"/>
  <c r="N234" i="1"/>
  <c r="N274" i="1"/>
  <c r="N383" i="1"/>
  <c r="N400" i="1"/>
  <c r="N82" i="1"/>
  <c r="N448" i="1"/>
  <c r="N107" i="1"/>
  <c r="N488" i="1"/>
  <c r="N284" i="1"/>
  <c r="N251" i="1"/>
  <c r="N23" i="1"/>
  <c r="N237" i="1"/>
  <c r="N183" i="1"/>
  <c r="N4" i="1"/>
  <c r="N175" i="1"/>
  <c r="N193" i="1"/>
  <c r="N232" i="1"/>
  <c r="N335" i="1"/>
  <c r="N42" i="1"/>
  <c r="N62" i="1"/>
  <c r="N41" i="1"/>
  <c r="N31" i="1"/>
  <c r="N60" i="1"/>
  <c r="N339" i="1"/>
  <c r="N101" i="1"/>
  <c r="N163" i="1"/>
  <c r="N155" i="1"/>
  <c r="N64" i="1"/>
  <c r="N276" i="1"/>
  <c r="N494" i="1"/>
  <c r="N398" i="1"/>
  <c r="N277" i="1"/>
  <c r="N70" i="1"/>
  <c r="N14" i="1"/>
  <c r="N455" i="1"/>
  <c r="N215" i="1"/>
  <c r="N355" i="1"/>
  <c r="N370" i="1"/>
  <c r="N18" i="1"/>
  <c r="N396" i="1"/>
  <c r="N357" i="1"/>
  <c r="N257" i="1"/>
  <c r="N259" i="1"/>
  <c r="N137" i="1"/>
  <c r="N6" i="1"/>
  <c r="N80" i="1"/>
  <c r="N328" i="1"/>
  <c r="N330" i="1"/>
  <c r="N72" i="1"/>
  <c r="N371" i="1"/>
  <c r="N368" i="1"/>
  <c r="N223" i="1"/>
  <c r="N264" i="1"/>
  <c r="N15" i="1"/>
  <c r="N344" i="1"/>
  <c r="N221" i="1"/>
  <c r="N427" i="1"/>
  <c r="N450" i="1"/>
  <c r="N469" i="1"/>
  <c r="N439" i="1"/>
  <c r="N347" i="1"/>
  <c r="N167" i="1"/>
  <c r="N153" i="1"/>
  <c r="N212" i="1"/>
  <c r="N255" i="1"/>
  <c r="N192" i="1"/>
  <c r="N109" i="1"/>
  <c r="N47" i="1"/>
  <c r="N117" i="1"/>
  <c r="N438" i="1"/>
  <c r="N406" i="1"/>
  <c r="N311" i="1"/>
  <c r="N318" i="1"/>
  <c r="N394" i="1"/>
  <c r="N486" i="1"/>
  <c r="N490" i="1"/>
  <c r="N178" i="1"/>
  <c r="N299" i="1"/>
  <c r="N99" i="1"/>
  <c r="N194" i="1"/>
  <c r="N334" i="1"/>
  <c r="N479" i="1"/>
  <c r="N288" i="1"/>
  <c r="N140" i="1"/>
  <c r="N453" i="1"/>
  <c r="N91" i="1"/>
  <c r="N231" i="1"/>
  <c r="N293" i="1"/>
  <c r="N472" i="1"/>
  <c r="N376" i="1"/>
  <c r="N342" i="1"/>
  <c r="N407" i="1"/>
  <c r="N159" i="1"/>
  <c r="N147" i="1"/>
  <c r="N216" i="1"/>
  <c r="N395" i="1"/>
  <c r="N294" i="1"/>
  <c r="N185" i="1"/>
  <c r="N298" i="1"/>
  <c r="N208" i="1"/>
  <c r="N118" i="1"/>
  <c r="N470" i="1"/>
  <c r="N401" i="1"/>
  <c r="N48" i="1"/>
  <c r="N209" i="1"/>
  <c r="N419" i="1"/>
  <c r="N121" i="1"/>
  <c r="N483" i="1"/>
  <c r="N103" i="1"/>
  <c r="N291" i="1"/>
  <c r="N220" i="1"/>
  <c r="N256" i="1"/>
  <c r="N152" i="1"/>
  <c r="N160" i="1"/>
  <c r="N282" i="1"/>
  <c r="N364" i="1"/>
  <c r="N410" i="1"/>
  <c r="N157" i="1"/>
  <c r="N81" i="1"/>
  <c r="N123" i="1"/>
  <c r="N156" i="1"/>
  <c r="N56" i="1"/>
  <c r="N397" i="1"/>
  <c r="N7" i="1"/>
  <c r="N435" i="1"/>
  <c r="N307" i="1"/>
  <c r="N286" i="1"/>
  <c r="N184" i="1"/>
  <c r="N225" i="1"/>
  <c r="N186" i="1"/>
  <c r="N236" i="1"/>
  <c r="N476" i="1"/>
  <c r="N297" i="1"/>
  <c r="N436" i="1"/>
  <c r="N326" i="1"/>
  <c r="N433" i="1"/>
  <c r="N340" i="1"/>
  <c r="N95" i="1"/>
  <c r="N416" i="1"/>
  <c r="N218" i="1"/>
  <c r="N66" i="1"/>
  <c r="N247" i="1"/>
  <c r="N319" i="1"/>
  <c r="N45" i="1"/>
  <c r="N26" i="1"/>
  <c r="N73" i="1"/>
  <c r="N287" i="1"/>
  <c r="N9" i="1"/>
  <c r="N341" i="1"/>
  <c r="N353" i="1"/>
  <c r="N8" i="1"/>
  <c r="N136" i="1"/>
  <c r="N343" i="1"/>
  <c r="N327" i="1"/>
  <c r="N437" i="1"/>
  <c r="N271" i="1"/>
  <c r="N202" i="1"/>
  <c r="N224" i="1"/>
  <c r="N471" i="1"/>
  <c r="N10" i="1"/>
  <c r="N279" i="1"/>
  <c r="N148" i="1"/>
  <c r="N497" i="1"/>
  <c r="N154" i="1"/>
  <c r="N302" i="1"/>
  <c r="N61" i="1"/>
  <c r="N458" i="1"/>
  <c r="N85" i="1"/>
  <c r="N461" i="1"/>
  <c r="N345" i="1"/>
  <c r="N97" i="1"/>
  <c r="N174" i="1"/>
  <c r="N338" i="1"/>
  <c r="N493" i="1"/>
  <c r="N270" i="1"/>
  <c r="N246" i="1"/>
  <c r="N431" i="1"/>
  <c r="N111" i="1"/>
  <c r="N242" i="1"/>
  <c r="N201" i="1"/>
  <c r="N358" i="1"/>
  <c r="N305" i="1"/>
  <c r="N90" i="1"/>
  <c r="N19" i="1"/>
  <c r="N110" i="1"/>
  <c r="N428" i="1"/>
  <c r="N475" i="1"/>
  <c r="N84" i="1"/>
  <c r="N20" i="1"/>
  <c r="N129" i="1"/>
  <c r="N12" i="1"/>
  <c r="N260" i="1"/>
  <c r="N139" i="1"/>
  <c r="N442" i="1"/>
  <c r="N314" i="1"/>
  <c r="N166" i="1"/>
  <c r="N229" i="1"/>
  <c r="N301" i="1"/>
  <c r="N381" i="1"/>
  <c r="N254" i="1"/>
  <c r="N373" i="1"/>
  <c r="N333" i="1"/>
  <c r="N482" i="1"/>
  <c r="N386" i="1"/>
  <c r="N226" i="1"/>
  <c r="N466" i="1"/>
  <c r="N105" i="1"/>
  <c r="N149" i="1"/>
  <c r="N78" i="1"/>
  <c r="N352" i="1"/>
  <c r="N390" i="1"/>
  <c r="N303" i="1"/>
  <c r="N462" i="1"/>
  <c r="N346" i="1"/>
  <c r="N2" i="1"/>
  <c r="N449" i="1"/>
  <c r="N473" i="1"/>
  <c r="N432" i="1"/>
  <c r="N372" i="1"/>
  <c r="N33" i="1"/>
  <c r="N417" i="1"/>
  <c r="N411" i="1"/>
  <c r="N422" i="1"/>
  <c r="N22" i="1"/>
  <c r="N496" i="1"/>
  <c r="N17" i="1"/>
  <c r="N144" i="1"/>
  <c r="N203" i="1"/>
  <c r="N176" i="1"/>
  <c r="N87" i="1"/>
  <c r="N71" i="1"/>
  <c r="N122" i="1"/>
  <c r="N325" i="1"/>
  <c r="N405" i="1"/>
  <c r="N125" i="1"/>
  <c r="N173" i="1"/>
  <c r="N280" i="1"/>
  <c r="N310" i="1"/>
  <c r="N384" i="1"/>
  <c r="N211" i="1"/>
  <c r="N377" i="1"/>
  <c r="N89" i="1"/>
  <c r="N204" i="1"/>
  <c r="N412" i="1"/>
  <c r="N445" i="1"/>
  <c r="N11" i="1"/>
  <c r="N441" i="1"/>
  <c r="N195" i="1"/>
  <c r="N393" i="1"/>
  <c r="N142" i="1"/>
  <c r="N98" i="1"/>
  <c r="N5" i="1"/>
  <c r="N196" i="1"/>
  <c r="N424" i="1"/>
  <c r="N238" i="1"/>
  <c r="N454" i="1"/>
  <c r="N115" i="1"/>
  <c r="N498" i="1"/>
  <c r="N426" i="1"/>
  <c r="N253" i="1"/>
  <c r="N3" i="1"/>
  <c r="N492" i="1"/>
  <c r="N75" i="1"/>
  <c r="N304" i="1"/>
  <c r="N261" i="1"/>
  <c r="N489" i="1"/>
  <c r="N108" i="1"/>
  <c r="N69" i="1"/>
  <c r="N399" i="1"/>
  <c r="N356" i="1"/>
  <c r="N421" i="1"/>
  <c r="N189" i="1"/>
  <c r="N79" i="1"/>
  <c r="N351" i="1"/>
  <c r="N375" i="1"/>
  <c r="N477" i="1"/>
  <c r="N440" i="1"/>
  <c r="N415" i="1"/>
  <c r="N113" i="1"/>
  <c r="N38" i="1"/>
  <c r="N332" i="1"/>
  <c r="N463" i="1"/>
  <c r="N168" i="1"/>
  <c r="N429" i="1"/>
  <c r="N27" i="1"/>
  <c r="N391" i="1"/>
  <c r="N283" i="1"/>
  <c r="N191" i="1"/>
  <c r="N252" i="1"/>
  <c r="N112" i="1"/>
  <c r="N217" i="1"/>
  <c r="N143" i="1"/>
  <c r="N278" i="1"/>
  <c r="N275" i="1"/>
  <c r="N322" i="1"/>
  <c r="N213" i="1"/>
  <c r="N40" i="1"/>
  <c r="N240" i="1"/>
  <c r="N289" i="1"/>
  <c r="N67" i="1"/>
  <c r="N402" i="1"/>
  <c r="N281" i="1"/>
  <c r="N233" i="1"/>
  <c r="N93" i="1"/>
  <c r="N34" i="1"/>
  <c r="N135" i="1"/>
  <c r="N268" i="1"/>
  <c r="N58" i="1"/>
  <c r="N76" i="1"/>
  <c r="N200" i="1"/>
  <c r="N92" i="1"/>
  <c r="N468" i="1"/>
  <c r="N16" i="1"/>
  <c r="N320" i="1"/>
  <c r="N321" i="1"/>
  <c r="N250" i="1"/>
  <c r="N245" i="1"/>
  <c r="N141" i="1"/>
  <c r="N434" i="1"/>
  <c r="N495" i="1"/>
  <c r="N244" i="1"/>
  <c r="N68" i="1"/>
  <c r="N484" i="1"/>
  <c r="N313" i="1"/>
  <c r="N235" i="1"/>
  <c r="N382" i="1"/>
  <c r="N481" i="1"/>
  <c r="N500" i="1"/>
  <c r="N296" i="1"/>
  <c r="N451" i="1"/>
  <c r="N46" i="1"/>
  <c r="N379" i="1"/>
  <c r="N138" i="1"/>
  <c r="N206" i="1"/>
  <c r="N491" i="1"/>
  <c r="N32" i="1"/>
  <c r="N316" i="1"/>
  <c r="N207" i="1"/>
  <c r="N409" i="1"/>
  <c r="N459" i="1"/>
  <c r="N420" i="1"/>
  <c r="N30" i="1"/>
  <c r="N292" i="1"/>
  <c r="N219" i="1"/>
  <c r="N57" i="1"/>
  <c r="N290" i="1"/>
  <c r="N360" i="1"/>
  <c r="N53" i="1"/>
  <c r="N227" i="1"/>
  <c r="N457" i="1"/>
  <c r="N350" i="1"/>
  <c r="N133" i="1"/>
  <c r="N86" i="1"/>
  <c r="N59" i="1"/>
  <c r="N199" i="1"/>
  <c r="N349" i="1"/>
  <c r="N146" i="1"/>
  <c r="N499" i="1"/>
  <c r="N77" i="1"/>
  <c r="N29" i="1"/>
  <c r="N179" i="1"/>
  <c r="N485" i="1"/>
  <c r="N387" i="1"/>
  <c r="N102" i="1"/>
  <c r="N150" i="1"/>
  <c r="N241" i="1"/>
  <c r="N180" i="1"/>
  <c r="N124" i="1"/>
  <c r="N331" i="1"/>
  <c r="N306" i="1"/>
  <c r="N361" i="1"/>
  <c r="N126" i="1"/>
  <c r="N36" i="1"/>
  <c r="N444" i="1"/>
  <c r="N423" i="1"/>
  <c r="N132" i="1"/>
  <c r="N100" i="1"/>
  <c r="N430" i="1"/>
  <c r="N243" i="1"/>
  <c r="N323" i="1"/>
  <c r="N456" i="1"/>
  <c r="N365" i="1"/>
  <c r="N413" i="1"/>
  <c r="N24" i="1"/>
  <c r="N161" i="1"/>
  <c r="N83" i="1"/>
  <c r="N131" i="1"/>
  <c r="N198" i="1"/>
  <c r="N13" i="1"/>
  <c r="N446" i="1"/>
  <c r="N114" i="1"/>
  <c r="N162" i="1"/>
  <c r="N188" i="1"/>
  <c r="N187" i="1"/>
  <c r="N367" i="1"/>
  <c r="N362" i="1"/>
  <c r="N487" i="1"/>
  <c r="N263" i="1"/>
  <c r="N106" i="1"/>
  <c r="N414" i="1"/>
  <c r="N380" i="1"/>
  <c r="N65" i="1"/>
  <c r="N392" i="1"/>
  <c r="N49" i="1"/>
  <c r="N443" i="1"/>
  <c r="N378" i="1"/>
  <c r="N267" i="1"/>
  <c r="N151" i="1"/>
  <c r="N452" i="1"/>
  <c r="N272" i="1"/>
  <c r="N425" i="1"/>
  <c r="N94" i="1"/>
  <c r="N480" i="1"/>
  <c r="N447" i="1"/>
  <c r="N182" i="1"/>
  <c r="N52" i="1"/>
  <c r="N50" i="1"/>
  <c r="N205" i="1"/>
  <c r="N171" i="1"/>
  <c r="N25" i="1"/>
  <c r="N258" i="1"/>
  <c r="N467" i="1"/>
  <c r="N55" i="1"/>
  <c r="N134" i="1"/>
  <c r="N28" i="1"/>
  <c r="N21" i="1"/>
  <c r="N210" i="1"/>
  <c r="N230" i="1"/>
  <c r="N315" i="1"/>
  <c r="N385" i="1"/>
  <c r="N130" i="1"/>
  <c r="N119" i="1"/>
  <c r="N190" i="1"/>
  <c r="N478" i="1"/>
  <c r="N348" i="1"/>
  <c r="N170" i="1"/>
  <c r="N403" i="1"/>
  <c r="N266" i="1"/>
  <c r="N239" i="1"/>
  <c r="N172" i="1"/>
  <c r="N273" i="1"/>
  <c r="N324" i="1"/>
  <c r="N312" i="1"/>
  <c r="N222" i="1"/>
  <c r="N285" i="1"/>
  <c r="N51" i="1"/>
  <c r="N35" i="1"/>
  <c r="N359" i="1"/>
  <c r="N104" i="1"/>
  <c r="N408" i="1"/>
  <c r="N177" i="1"/>
  <c r="N308" i="1"/>
  <c r="N337" i="1"/>
  <c r="N164" i="1"/>
  <c r="N158" i="1"/>
  <c r="N181" i="1"/>
  <c r="N369" i="1"/>
  <c r="N336" i="1"/>
  <c r="N309" i="1"/>
  <c r="N96" i="1"/>
  <c r="G11" i="1"/>
  <c r="G83" i="1"/>
  <c r="G356" i="1"/>
  <c r="G428" i="1"/>
  <c r="G418" i="1"/>
  <c r="G238" i="1"/>
  <c r="G372" i="1"/>
  <c r="G246" i="1"/>
  <c r="G341" i="1"/>
  <c r="G329" i="1"/>
  <c r="G133" i="1"/>
  <c r="G239" i="1"/>
  <c r="G389" i="1"/>
  <c r="G56" i="1"/>
  <c r="G345" i="1"/>
  <c r="G332" i="1"/>
  <c r="G103" i="1"/>
  <c r="G85" i="1"/>
  <c r="G414" i="1"/>
  <c r="G262" i="1"/>
  <c r="G357" i="1"/>
  <c r="G153" i="1"/>
  <c r="G66" i="1"/>
  <c r="G390" i="1"/>
  <c r="G32" i="1"/>
  <c r="G16" i="1"/>
  <c r="G393" i="1"/>
  <c r="G410" i="1"/>
  <c r="G31" i="1"/>
  <c r="G3" i="1"/>
  <c r="G298" i="1"/>
  <c r="G445" i="1"/>
  <c r="G499" i="1"/>
  <c r="G141" i="1"/>
  <c r="G368" i="1"/>
  <c r="G42" i="1"/>
  <c r="G433" i="1"/>
  <c r="G166" i="1"/>
  <c r="G383" i="1"/>
  <c r="G243" i="1"/>
  <c r="G47" i="1"/>
  <c r="G319" i="1"/>
  <c r="G96" i="1"/>
  <c r="G265" i="1"/>
  <c r="G454" i="1"/>
  <c r="G376" i="1"/>
  <c r="G60" i="1"/>
  <c r="G159" i="1"/>
  <c r="G40" i="1"/>
  <c r="G139" i="1"/>
  <c r="G354" i="1"/>
  <c r="G398" i="1"/>
  <c r="G343" i="1"/>
  <c r="G136" i="1"/>
  <c r="G91" i="1"/>
  <c r="G455" i="1"/>
  <c r="G391" i="1"/>
  <c r="G377" i="1"/>
  <c r="G281" i="1"/>
  <c r="G384" i="1"/>
  <c r="G261" i="1"/>
  <c r="G226" i="1"/>
  <c r="G489" i="1"/>
  <c r="G151" i="1"/>
  <c r="G147" i="1"/>
  <c r="G203" i="1"/>
  <c r="G342" i="1"/>
  <c r="G215" i="1"/>
  <c r="G201" i="1"/>
  <c r="G315" i="1"/>
  <c r="G387" i="1"/>
  <c r="G20" i="1"/>
  <c r="G178" i="1"/>
  <c r="G267" i="1"/>
  <c r="G269" i="1"/>
  <c r="G90" i="1"/>
  <c r="G59" i="1"/>
  <c r="G204" i="1"/>
  <c r="G486" i="1"/>
  <c r="G92" i="1"/>
  <c r="G429" i="1"/>
  <c r="G453" i="1"/>
  <c r="G68" i="1"/>
  <c r="G442" i="1"/>
  <c r="G446" i="1"/>
  <c r="G268" i="1"/>
  <c r="G211" i="1"/>
  <c r="G373" i="1"/>
  <c r="G54" i="1"/>
  <c r="G407" i="1"/>
  <c r="G53" i="1"/>
  <c r="G300" i="1"/>
  <c r="G171" i="1"/>
  <c r="G218" i="1"/>
  <c r="G247" i="1"/>
  <c r="G254" i="1"/>
  <c r="G379" i="1"/>
  <c r="G26" i="1"/>
  <c r="G471" i="1"/>
  <c r="G451" i="1"/>
  <c r="G82" i="1"/>
  <c r="G280" i="1"/>
  <c r="G65" i="1"/>
  <c r="G120" i="1"/>
  <c r="G344" i="1"/>
  <c r="G67" i="1"/>
  <c r="G274" i="1"/>
  <c r="G25" i="1"/>
  <c r="G324" i="1"/>
  <c r="G443" i="1"/>
  <c r="G349" i="1"/>
  <c r="G187" i="1"/>
  <c r="G276" i="1"/>
  <c r="G278" i="1"/>
  <c r="G353" i="1"/>
  <c r="G496" i="1"/>
  <c r="G122" i="1"/>
  <c r="G292" i="1"/>
  <c r="G2" i="1"/>
  <c r="G264" i="1"/>
  <c r="G415" i="1"/>
  <c r="G189" i="1"/>
  <c r="G403" i="1"/>
  <c r="G64" i="1"/>
  <c r="G339" i="1"/>
  <c r="G231" i="1"/>
  <c r="G19" i="1"/>
  <c r="G197" i="1"/>
  <c r="G58" i="1"/>
  <c r="G302" i="1"/>
  <c r="G306" i="1"/>
  <c r="G467" i="1"/>
  <c r="G117" i="1"/>
  <c r="G6" i="1"/>
  <c r="G491" i="1"/>
  <c r="G304" i="1"/>
  <c r="G140" i="1"/>
  <c r="G48" i="1"/>
  <c r="G367" i="1"/>
  <c r="G413" i="1"/>
  <c r="G74" i="1"/>
  <c r="G477" i="1"/>
  <c r="G436" i="1"/>
  <c r="G104" i="1"/>
  <c r="G126" i="1"/>
  <c r="G76" i="1"/>
  <c r="G257" i="1"/>
  <c r="G161" i="1"/>
  <c r="G13" i="1"/>
  <c r="G129" i="1"/>
  <c r="G227" i="1"/>
  <c r="G89" i="1"/>
  <c r="G100" i="1"/>
  <c r="G179" i="1"/>
  <c r="G52" i="1"/>
  <c r="G50" i="1"/>
  <c r="G220" i="1"/>
  <c r="G481" i="1"/>
  <c r="G29" i="1"/>
  <c r="G240" i="1"/>
  <c r="G43" i="1"/>
  <c r="G223" i="1"/>
  <c r="G4" i="1"/>
  <c r="G450" i="1"/>
  <c r="G385" i="1"/>
  <c r="G336" i="1"/>
  <c r="G408" i="1"/>
  <c r="G148" i="1"/>
  <c r="G194" i="1"/>
  <c r="G492" i="1"/>
  <c r="G81" i="1"/>
  <c r="G320" i="1"/>
  <c r="G253" i="1"/>
  <c r="G434" i="1"/>
  <c r="G290" i="1"/>
  <c r="G397" i="1"/>
  <c r="G124" i="1"/>
  <c r="G132" i="1"/>
  <c r="G41" i="1"/>
  <c r="G186" i="1"/>
  <c r="G149" i="1"/>
  <c r="G412" i="1"/>
  <c r="G176" i="1"/>
  <c r="G143" i="1"/>
  <c r="G23" i="1"/>
  <c r="G127" i="1"/>
  <c r="G271" i="1"/>
  <c r="G337" i="1"/>
  <c r="G352" i="1"/>
  <c r="G495" i="1"/>
  <c r="G405" i="1"/>
  <c r="G371" i="1"/>
  <c r="G244" i="1"/>
  <c r="G252" i="1"/>
  <c r="G180" i="1"/>
  <c r="G130" i="1"/>
  <c r="G229" i="1"/>
  <c r="G14" i="1"/>
  <c r="G275" i="1"/>
  <c r="G485" i="1"/>
  <c r="G362" i="1"/>
  <c r="G51" i="1"/>
  <c r="G431" i="1"/>
  <c r="G234" i="1"/>
  <c r="G469" i="1"/>
  <c r="G291" i="1"/>
  <c r="G102" i="1"/>
  <c r="G458" i="1"/>
  <c r="G346" i="1"/>
  <c r="G331" i="1"/>
  <c r="G382" i="1"/>
  <c r="G284" i="1"/>
  <c r="G439" i="1"/>
  <c r="G184" i="1"/>
  <c r="G205" i="1"/>
  <c r="G476" i="1"/>
  <c r="G402" i="1"/>
  <c r="G321" i="1"/>
  <c r="G335" i="1"/>
  <c r="G323" i="1"/>
  <c r="G272" i="1"/>
  <c r="G177" i="1"/>
  <c r="G22" i="1"/>
  <c r="G288" i="1"/>
  <c r="G108" i="1"/>
  <c r="G258" i="1"/>
  <c r="G430" i="1"/>
  <c r="G248" i="1"/>
  <c r="G500" i="1"/>
  <c r="G219" i="1"/>
  <c r="G457" i="1"/>
  <c r="G35" i="1"/>
  <c r="G44" i="1"/>
  <c r="G381" i="1"/>
  <c r="G107" i="1"/>
  <c r="G411" i="1"/>
  <c r="G487" i="1"/>
  <c r="G490" i="1"/>
  <c r="G191" i="1"/>
  <c r="G318" i="1"/>
  <c r="G222" i="1"/>
  <c r="G8" i="1"/>
  <c r="G241" i="1"/>
  <c r="G327" i="1"/>
  <c r="G144" i="1"/>
  <c r="G115" i="1"/>
  <c r="G333" i="1"/>
  <c r="G465" i="1"/>
  <c r="G273" i="1"/>
  <c r="G156" i="1"/>
  <c r="G395" i="1"/>
  <c r="G45" i="1"/>
  <c r="G190" i="1"/>
  <c r="G49" i="1"/>
  <c r="G232" i="1"/>
  <c r="G168" i="1"/>
  <c r="G400" i="1"/>
  <c r="G162" i="1"/>
  <c r="G370" i="1"/>
  <c r="G326" i="1"/>
  <c r="G366" i="1"/>
  <c r="G285" i="1"/>
  <c r="G295" i="1"/>
  <c r="G359" i="1"/>
  <c r="G399" i="1"/>
  <c r="G94" i="1"/>
  <c r="G361" i="1"/>
  <c r="G440" i="1"/>
  <c r="G230" i="1"/>
  <c r="G24" i="1"/>
  <c r="G305" i="1"/>
  <c r="G55" i="1"/>
  <c r="G348" i="1"/>
  <c r="G155" i="1"/>
  <c r="G236" i="1"/>
  <c r="G307" i="1"/>
  <c r="G78" i="1"/>
  <c r="G125" i="1"/>
  <c r="G62" i="1"/>
  <c r="G106" i="1"/>
  <c r="G185" i="1"/>
  <c r="G396" i="1"/>
  <c r="G165" i="1"/>
  <c r="G279" i="1"/>
  <c r="G316" i="1"/>
  <c r="G79" i="1"/>
  <c r="G312" i="1"/>
  <c r="G420" i="1"/>
  <c r="G334" i="1"/>
  <c r="G322" i="1"/>
  <c r="G293" i="1"/>
  <c r="G308" i="1"/>
  <c r="G196" i="1"/>
  <c r="G303" i="1"/>
  <c r="G463" i="1"/>
  <c r="G212" i="1"/>
  <c r="G110" i="1"/>
  <c r="G138" i="1"/>
  <c r="G456" i="1"/>
  <c r="G34" i="1"/>
  <c r="G438" i="1"/>
  <c r="G214" i="1"/>
  <c r="G294" i="1"/>
  <c r="G131" i="1"/>
  <c r="G170" i="1"/>
  <c r="G498" i="1"/>
  <c r="G424" i="1"/>
  <c r="G297" i="1"/>
  <c r="G152" i="1"/>
  <c r="G9" i="1"/>
  <c r="G145" i="1"/>
  <c r="G93" i="1"/>
  <c r="G475" i="1"/>
  <c r="G374" i="1"/>
  <c r="G164" i="1"/>
  <c r="G378" i="1"/>
  <c r="G195" i="1"/>
  <c r="G75" i="1"/>
  <c r="G472" i="1"/>
  <c r="G21" i="1"/>
  <c r="G27" i="1"/>
  <c r="G84" i="1"/>
  <c r="G249" i="1"/>
  <c r="G105" i="1"/>
  <c r="G57" i="1"/>
  <c r="G73" i="1"/>
  <c r="G483" i="1"/>
  <c r="G351" i="1"/>
  <c r="G419" i="1"/>
  <c r="G174" i="1"/>
  <c r="G209" i="1"/>
  <c r="G449" i="1"/>
  <c r="G86" i="1"/>
  <c r="G213" i="1"/>
  <c r="G493" i="1"/>
  <c r="G198" i="1"/>
  <c r="G256" i="1"/>
  <c r="G365" i="1"/>
  <c r="G95" i="1"/>
  <c r="G183" i="1"/>
  <c r="G112" i="1"/>
  <c r="G468" i="1"/>
  <c r="G386" i="1"/>
  <c r="G260" i="1"/>
  <c r="G99" i="1"/>
  <c r="G116" i="1"/>
  <c r="G72" i="1"/>
  <c r="G10" i="1"/>
  <c r="G488" i="1"/>
  <c r="G80" i="1"/>
  <c r="G380" i="1"/>
  <c r="G37" i="1"/>
  <c r="G63" i="1"/>
  <c r="G207" i="1"/>
  <c r="G441" i="1"/>
  <c r="G87" i="1"/>
  <c r="G101" i="1"/>
  <c r="G111" i="1"/>
  <c r="G330" i="1"/>
  <c r="G299" i="1"/>
  <c r="G311" i="1"/>
  <c r="G301" i="1"/>
  <c r="G460" i="1"/>
  <c r="G355" i="1"/>
  <c r="G478" i="1"/>
  <c r="G237" i="1"/>
  <c r="G364" i="1"/>
  <c r="G404" i="1"/>
  <c r="G406" i="1"/>
  <c r="G121" i="1"/>
  <c r="G119" i="1"/>
  <c r="G287" i="1"/>
  <c r="G175" i="1"/>
  <c r="G188" i="1"/>
  <c r="G470" i="1"/>
  <c r="G199" i="1"/>
  <c r="G360" i="1"/>
  <c r="G28" i="1"/>
  <c r="G98" i="1"/>
  <c r="G416" i="1"/>
  <c r="G182" i="1"/>
  <c r="G363" i="1"/>
  <c r="G435" i="1"/>
  <c r="G235" i="1"/>
  <c r="G422" i="1"/>
  <c r="G317" i="1"/>
  <c r="G474" i="1"/>
  <c r="G157" i="1"/>
  <c r="G466" i="1"/>
  <c r="G69" i="1"/>
  <c r="G309" i="1"/>
  <c r="G350" i="1"/>
  <c r="G340" i="1"/>
  <c r="G36" i="1"/>
  <c r="G224" i="1"/>
  <c r="G18" i="1"/>
  <c r="G216" i="1"/>
  <c r="G5" i="1"/>
  <c r="G497" i="1"/>
  <c r="G250" i="1"/>
  <c r="G494" i="1"/>
  <c r="G221" i="1"/>
  <c r="G97" i="1"/>
  <c r="G173" i="1"/>
  <c r="G242" i="1"/>
  <c r="G479" i="1"/>
  <c r="G459" i="1"/>
  <c r="G328" i="1"/>
  <c r="G114" i="1"/>
  <c r="G255" i="1"/>
  <c r="G77" i="1"/>
  <c r="G142" i="1"/>
  <c r="G266" i="1"/>
  <c r="G118" i="1"/>
  <c r="G448" i="1"/>
  <c r="G480" i="1"/>
  <c r="G263" i="1"/>
  <c r="G314" i="1"/>
  <c r="G128" i="1"/>
  <c r="G392" i="1"/>
  <c r="G39" i="1"/>
  <c r="G358" i="1"/>
  <c r="G206" i="1"/>
  <c r="G33" i="1"/>
  <c r="G7" i="1"/>
  <c r="G17" i="1"/>
  <c r="G123" i="1"/>
  <c r="G286" i="1"/>
  <c r="G347" i="1"/>
  <c r="G135" i="1"/>
  <c r="G251" i="1"/>
  <c r="G259" i="1"/>
  <c r="G282" i="1"/>
  <c r="G310" i="1"/>
  <c r="G289" i="1"/>
  <c r="G375" i="1"/>
  <c r="G113" i="1"/>
  <c r="G437" i="1"/>
  <c r="G482" i="1"/>
  <c r="G71" i="1"/>
  <c r="G146" i="1"/>
  <c r="G426" i="1"/>
  <c r="G233" i="1"/>
  <c r="G277" i="1"/>
  <c r="G425" i="1"/>
  <c r="G154" i="1"/>
  <c r="G447" i="1"/>
  <c r="G423" i="1"/>
  <c r="G181" i="1"/>
  <c r="G484" i="1"/>
  <c r="G158" i="1"/>
  <c r="G169" i="1"/>
  <c r="G394" i="1"/>
  <c r="G296" i="1"/>
  <c r="G192" i="1"/>
  <c r="G202" i="1"/>
  <c r="G46" i="1"/>
  <c r="G217" i="1"/>
  <c r="G401" i="1"/>
  <c r="G462" i="1"/>
  <c r="G160" i="1"/>
  <c r="G134" i="1"/>
  <c r="G464" i="1"/>
  <c r="G432" i="1"/>
  <c r="G109" i="1"/>
  <c r="G167" i="1"/>
  <c r="G325" i="1"/>
  <c r="G283" i="1"/>
  <c r="G270" i="1"/>
  <c r="G338" i="1"/>
  <c r="G200" i="1"/>
  <c r="G88" i="1"/>
  <c r="G150" i="1"/>
  <c r="G369" i="1"/>
  <c r="G163" i="1"/>
  <c r="G30" i="1"/>
  <c r="G421" i="1"/>
  <c r="G245" i="1"/>
  <c r="G452" i="1"/>
  <c r="G210" i="1"/>
  <c r="G61" i="1"/>
  <c r="G208" i="1"/>
  <c r="G313" i="1"/>
  <c r="G461" i="1"/>
  <c r="G473" i="1"/>
  <c r="G427" i="1"/>
  <c r="G193" i="1"/>
  <c r="G388" i="1"/>
  <c r="G409" i="1"/>
  <c r="G15" i="1"/>
  <c r="G417" i="1"/>
  <c r="G172" i="1"/>
  <c r="G444" i="1"/>
  <c r="G225" i="1"/>
  <c r="G38" i="1"/>
  <c r="G137" i="1"/>
  <c r="G12" i="1"/>
  <c r="G70" i="1"/>
  <c r="G228" i="1"/>
  <c r="H36" i="1"/>
  <c r="H418" i="1"/>
  <c r="H341" i="1"/>
  <c r="H389" i="1"/>
  <c r="H103" i="1"/>
  <c r="H357" i="1"/>
  <c r="H29" i="1"/>
  <c r="H28" i="1"/>
  <c r="H499" i="1"/>
  <c r="H433" i="1"/>
  <c r="H67" i="1"/>
  <c r="H454" i="1"/>
  <c r="H23" i="1"/>
  <c r="H343" i="1"/>
  <c r="H391" i="1"/>
  <c r="H261" i="1"/>
  <c r="H147" i="1"/>
  <c r="H201" i="1"/>
  <c r="H178" i="1"/>
  <c r="H48" i="1"/>
  <c r="H429" i="1"/>
  <c r="H446" i="1"/>
  <c r="H42" i="1"/>
  <c r="H171" i="1"/>
  <c r="H379" i="1"/>
  <c r="H82" i="1"/>
  <c r="H344" i="1"/>
  <c r="H324" i="1"/>
  <c r="H276" i="1"/>
  <c r="H122" i="1"/>
  <c r="H415" i="1"/>
  <c r="H339" i="1"/>
  <c r="H47" i="1"/>
  <c r="H117" i="1"/>
  <c r="H140" i="1"/>
  <c r="H62" i="1"/>
  <c r="H126" i="1"/>
  <c r="H10" i="1"/>
  <c r="H100" i="1"/>
  <c r="H220" i="1"/>
  <c r="H13" i="1"/>
  <c r="H385" i="1"/>
  <c r="H194" i="1"/>
  <c r="H253" i="1"/>
  <c r="H124" i="1"/>
  <c r="H149" i="1"/>
  <c r="H22" i="1"/>
  <c r="H352" i="1"/>
  <c r="H244" i="1"/>
  <c r="H229" i="1"/>
  <c r="H362" i="1"/>
  <c r="H469" i="1"/>
  <c r="H346" i="1"/>
  <c r="H439" i="1"/>
  <c r="H402" i="1"/>
  <c r="H272" i="1"/>
  <c r="H108" i="1"/>
  <c r="H500" i="1"/>
  <c r="H21" i="1"/>
  <c r="H487" i="1"/>
  <c r="H222" i="1"/>
  <c r="H144" i="1"/>
  <c r="H273" i="1"/>
  <c r="H190" i="1"/>
  <c r="H400" i="1"/>
  <c r="H366" i="1"/>
  <c r="H399" i="1"/>
  <c r="H230" i="1"/>
  <c r="H348" i="1"/>
  <c r="H78" i="1"/>
  <c r="H185" i="1"/>
  <c r="H316" i="1"/>
  <c r="H334" i="1"/>
  <c r="H196" i="1"/>
  <c r="H110" i="1"/>
  <c r="H438" i="1"/>
  <c r="H170" i="1"/>
  <c r="H152" i="1"/>
  <c r="H475" i="1"/>
  <c r="H195" i="1"/>
  <c r="H27" i="1"/>
  <c r="H46" i="1"/>
  <c r="H419" i="1"/>
  <c r="H86" i="1"/>
  <c r="H256" i="1"/>
  <c r="H112" i="1"/>
  <c r="H99" i="1"/>
  <c r="H488" i="1"/>
  <c r="H50" i="1"/>
  <c r="H101" i="1"/>
  <c r="H311" i="1"/>
  <c r="H478" i="1"/>
  <c r="H406" i="1"/>
  <c r="H175" i="1"/>
  <c r="H360" i="1"/>
  <c r="H182" i="1"/>
  <c r="H422" i="1"/>
  <c r="H466" i="1"/>
  <c r="H340" i="1"/>
  <c r="H216" i="1"/>
  <c r="H494" i="1"/>
  <c r="H242" i="1"/>
  <c r="H114" i="1"/>
  <c r="H266" i="1"/>
  <c r="H263" i="1"/>
  <c r="H16" i="1"/>
  <c r="H68" i="1"/>
  <c r="H347" i="1"/>
  <c r="H282" i="1"/>
  <c r="H113" i="1"/>
  <c r="H146" i="1"/>
  <c r="H425" i="1"/>
  <c r="H181" i="1"/>
  <c r="H394" i="1"/>
  <c r="H4" i="1"/>
  <c r="H160" i="1"/>
  <c r="H109" i="1"/>
  <c r="H270" i="1"/>
  <c r="H150" i="1"/>
  <c r="H421" i="1"/>
  <c r="H55" i="1"/>
  <c r="H473" i="1"/>
  <c r="H409" i="1"/>
  <c r="H444" i="1"/>
  <c r="H74" i="1"/>
  <c r="H83" i="1"/>
  <c r="H238" i="1"/>
  <c r="H329" i="1"/>
  <c r="H45" i="1"/>
  <c r="H85" i="1"/>
  <c r="H153" i="1"/>
  <c r="H17" i="1"/>
  <c r="H72" i="1"/>
  <c r="H141" i="1"/>
  <c r="H166" i="1"/>
  <c r="H319" i="1"/>
  <c r="H376" i="1"/>
  <c r="H139" i="1"/>
  <c r="H136" i="1"/>
  <c r="H377" i="1"/>
  <c r="H226" i="1"/>
  <c r="H203" i="1"/>
  <c r="H315" i="1"/>
  <c r="H267" i="1"/>
  <c r="H204" i="1"/>
  <c r="H453" i="1"/>
  <c r="H268" i="1"/>
  <c r="H407" i="1"/>
  <c r="H218" i="1"/>
  <c r="H11" i="1"/>
  <c r="H280" i="1"/>
  <c r="H66" i="1"/>
  <c r="H443" i="1"/>
  <c r="H278" i="1"/>
  <c r="H292" i="1"/>
  <c r="H189" i="1"/>
  <c r="H231" i="1"/>
  <c r="H302" i="1"/>
  <c r="H7" i="1"/>
  <c r="H73" i="1"/>
  <c r="H477" i="1"/>
  <c r="H76" i="1"/>
  <c r="H129" i="1"/>
  <c r="H179" i="1"/>
  <c r="H481" i="1"/>
  <c r="H223" i="1"/>
  <c r="H336" i="1"/>
  <c r="H492" i="1"/>
  <c r="H434" i="1"/>
  <c r="H132" i="1"/>
  <c r="H412" i="1"/>
  <c r="H127" i="1"/>
  <c r="H495" i="1"/>
  <c r="H252" i="1"/>
  <c r="H3" i="1"/>
  <c r="H39" i="1"/>
  <c r="H291" i="1"/>
  <c r="H331" i="1"/>
  <c r="H184" i="1"/>
  <c r="H321" i="1"/>
  <c r="H177" i="1"/>
  <c r="H258" i="1"/>
  <c r="H219" i="1"/>
  <c r="H381" i="1"/>
  <c r="H490" i="1"/>
  <c r="H69" i="1"/>
  <c r="H115" i="1"/>
  <c r="H156" i="1"/>
  <c r="H37" i="1"/>
  <c r="H162" i="1"/>
  <c r="H285" i="1"/>
  <c r="H94" i="1"/>
  <c r="H2" i="1"/>
  <c r="H155" i="1"/>
  <c r="H125" i="1"/>
  <c r="H396" i="1"/>
  <c r="H79" i="1"/>
  <c r="H322" i="1"/>
  <c r="H303" i="1"/>
  <c r="H138" i="1"/>
  <c r="H214" i="1"/>
  <c r="H498" i="1"/>
  <c r="H70" i="1"/>
  <c r="H374" i="1"/>
  <c r="H63" i="1"/>
  <c r="H84" i="1"/>
  <c r="H61" i="1"/>
  <c r="H174" i="1"/>
  <c r="H213" i="1"/>
  <c r="H365" i="1"/>
  <c r="H468" i="1"/>
  <c r="H116" i="1"/>
  <c r="H80" i="1"/>
  <c r="H207" i="1"/>
  <c r="H111" i="1"/>
  <c r="H301" i="1"/>
  <c r="H237" i="1"/>
  <c r="H121" i="1"/>
  <c r="H188" i="1"/>
  <c r="H25" i="1"/>
  <c r="H363" i="1"/>
  <c r="H317" i="1"/>
  <c r="H57" i="1"/>
  <c r="H33" i="1"/>
  <c r="H51" i="1"/>
  <c r="H221" i="1"/>
  <c r="H479" i="1"/>
  <c r="H255" i="1"/>
  <c r="H118" i="1"/>
  <c r="H314" i="1"/>
  <c r="H358" i="1"/>
  <c r="H75" i="1"/>
  <c r="H135" i="1"/>
  <c r="H310" i="1"/>
  <c r="H437" i="1"/>
  <c r="H426" i="1"/>
  <c r="H154" i="1"/>
  <c r="H484" i="1"/>
  <c r="H296" i="1"/>
  <c r="H217" i="1"/>
  <c r="H134" i="1"/>
  <c r="H167" i="1"/>
  <c r="H338" i="1"/>
  <c r="H369" i="1"/>
  <c r="H245" i="1"/>
  <c r="H208" i="1"/>
  <c r="H427" i="1"/>
  <c r="H12" i="1"/>
  <c r="H225" i="1"/>
  <c r="H58" i="1"/>
  <c r="H356" i="1"/>
  <c r="H372" i="1"/>
  <c r="H133" i="1"/>
  <c r="H345" i="1"/>
  <c r="H414" i="1"/>
  <c r="H54" i="1"/>
  <c r="H393" i="1"/>
  <c r="H298" i="1"/>
  <c r="H368" i="1"/>
  <c r="H383" i="1"/>
  <c r="H96" i="1"/>
  <c r="H6" i="1"/>
  <c r="H354" i="1"/>
  <c r="H91" i="1"/>
  <c r="H281" i="1"/>
  <c r="H489" i="1"/>
  <c r="H342" i="1"/>
  <c r="H387" i="1"/>
  <c r="H269" i="1"/>
  <c r="H486" i="1"/>
  <c r="H56" i="1"/>
  <c r="H211" i="1"/>
  <c r="H41" i="1"/>
  <c r="H247" i="1"/>
  <c r="H471" i="1"/>
  <c r="H53" i="1"/>
  <c r="H274" i="1"/>
  <c r="H349" i="1"/>
  <c r="H353" i="1"/>
  <c r="H64" i="1"/>
  <c r="H403" i="1"/>
  <c r="H18" i="1"/>
  <c r="H306" i="1"/>
  <c r="H491" i="1"/>
  <c r="H367" i="1"/>
  <c r="H436" i="1"/>
  <c r="H257" i="1"/>
  <c r="H227" i="1"/>
  <c r="H40" i="1"/>
  <c r="H26" i="1"/>
  <c r="H65" i="1"/>
  <c r="H408" i="1"/>
  <c r="H81" i="1"/>
  <c r="H290" i="1"/>
  <c r="H8" i="1"/>
  <c r="H176" i="1"/>
  <c r="H271" i="1"/>
  <c r="H405" i="1"/>
  <c r="H180" i="1"/>
  <c r="H275" i="1"/>
  <c r="H431" i="1"/>
  <c r="H102" i="1"/>
  <c r="H382" i="1"/>
  <c r="H205" i="1"/>
  <c r="H335" i="1"/>
  <c r="H20" i="1"/>
  <c r="H430" i="1"/>
  <c r="H457" i="1"/>
  <c r="H107" i="1"/>
  <c r="H191" i="1"/>
  <c r="H241" i="1"/>
  <c r="H333" i="1"/>
  <c r="H395" i="1"/>
  <c r="H232" i="1"/>
  <c r="H370" i="1"/>
  <c r="H295" i="1"/>
  <c r="H361" i="1"/>
  <c r="H305" i="1"/>
  <c r="H236" i="1"/>
  <c r="H49" i="1"/>
  <c r="H165" i="1"/>
  <c r="H312" i="1"/>
  <c r="H293" i="1"/>
  <c r="H463" i="1"/>
  <c r="H456" i="1"/>
  <c r="H294" i="1"/>
  <c r="H424" i="1"/>
  <c r="H145" i="1"/>
  <c r="H164" i="1"/>
  <c r="H472" i="1"/>
  <c r="H249" i="1"/>
  <c r="H483" i="1"/>
  <c r="H209" i="1"/>
  <c r="H493" i="1"/>
  <c r="H95" i="1"/>
  <c r="H386" i="1"/>
  <c r="H60" i="1"/>
  <c r="H380" i="1"/>
  <c r="H441" i="1"/>
  <c r="H330" i="1"/>
  <c r="H460" i="1"/>
  <c r="H364" i="1"/>
  <c r="H119" i="1"/>
  <c r="H470" i="1"/>
  <c r="H98" i="1"/>
  <c r="H435" i="1"/>
  <c r="H474" i="1"/>
  <c r="H309" i="1"/>
  <c r="H224" i="1"/>
  <c r="H497" i="1"/>
  <c r="H97" i="1"/>
  <c r="H459" i="1"/>
  <c r="H77" i="1"/>
  <c r="H448" i="1"/>
  <c r="H128" i="1"/>
  <c r="H206" i="1"/>
  <c r="H123" i="1"/>
  <c r="H251" i="1"/>
  <c r="H289" i="1"/>
  <c r="H482" i="1"/>
  <c r="H233" i="1"/>
  <c r="H447" i="1"/>
  <c r="H158" i="1"/>
  <c r="H192" i="1"/>
  <c r="H401" i="1"/>
  <c r="H464" i="1"/>
  <c r="H325" i="1"/>
  <c r="H200" i="1"/>
  <c r="H163" i="1"/>
  <c r="H452" i="1"/>
  <c r="H313" i="1"/>
  <c r="H193" i="1"/>
  <c r="H417" i="1"/>
  <c r="H15" i="1"/>
  <c r="H228" i="1"/>
  <c r="H428" i="1"/>
  <c r="H246" i="1"/>
  <c r="H239" i="1"/>
  <c r="H332" i="1"/>
  <c r="H262" i="1"/>
  <c r="H390" i="1"/>
  <c r="H410" i="1"/>
  <c r="H445" i="1"/>
  <c r="H9" i="1"/>
  <c r="H243" i="1"/>
  <c r="H265" i="1"/>
  <c r="H159" i="1"/>
  <c r="H398" i="1"/>
  <c r="H455" i="1"/>
  <c r="H384" i="1"/>
  <c r="H151" i="1"/>
  <c r="H215" i="1"/>
  <c r="H19" i="1"/>
  <c r="H90" i="1"/>
  <c r="H92" i="1"/>
  <c r="H442" i="1"/>
  <c r="H373" i="1"/>
  <c r="H300" i="1"/>
  <c r="H254" i="1"/>
  <c r="H451" i="1"/>
  <c r="H120" i="1"/>
  <c r="H35" i="1"/>
  <c r="H187" i="1"/>
  <c r="H496" i="1"/>
  <c r="H264" i="1"/>
  <c r="H52" i="1"/>
  <c r="H197" i="1"/>
  <c r="H467" i="1"/>
  <c r="H304" i="1"/>
  <c r="H413" i="1"/>
  <c r="H104" i="1"/>
  <c r="H161" i="1"/>
  <c r="H89" i="1"/>
  <c r="H38" i="1"/>
  <c r="H240" i="1"/>
  <c r="H450" i="1"/>
  <c r="H148" i="1"/>
  <c r="H320" i="1"/>
  <c r="H397" i="1"/>
  <c r="H186" i="1"/>
  <c r="H143" i="1"/>
  <c r="H337" i="1"/>
  <c r="H371" i="1"/>
  <c r="H130" i="1"/>
  <c r="H485" i="1"/>
  <c r="H234" i="1"/>
  <c r="H458" i="1"/>
  <c r="H284" i="1"/>
  <c r="H476" i="1"/>
  <c r="H323" i="1"/>
  <c r="H288" i="1"/>
  <c r="H248" i="1"/>
  <c r="H32" i="1"/>
  <c r="H411" i="1"/>
  <c r="H318" i="1"/>
  <c r="H327" i="1"/>
  <c r="H465" i="1"/>
  <c r="H24" i="1"/>
  <c r="H168" i="1"/>
  <c r="H326" i="1"/>
  <c r="H359" i="1"/>
  <c r="H440" i="1"/>
  <c r="H43" i="1"/>
  <c r="H307" i="1"/>
  <c r="H106" i="1"/>
  <c r="H279" i="1"/>
  <c r="H420" i="1"/>
  <c r="H308" i="1"/>
  <c r="H212" i="1"/>
  <c r="H31" i="1"/>
  <c r="H131" i="1"/>
  <c r="H297" i="1"/>
  <c r="H93" i="1"/>
  <c r="H378" i="1"/>
  <c r="H5" i="1"/>
  <c r="H105" i="1"/>
  <c r="H351" i="1"/>
  <c r="H449" i="1"/>
  <c r="H198" i="1"/>
  <c r="H183" i="1"/>
  <c r="H260" i="1"/>
  <c r="H71" i="1"/>
  <c r="H14" i="1"/>
  <c r="H87" i="1"/>
  <c r="H299" i="1"/>
  <c r="H355" i="1"/>
  <c r="H404" i="1"/>
  <c r="H287" i="1"/>
  <c r="H199" i="1"/>
  <c r="H416" i="1"/>
  <c r="H235" i="1"/>
  <c r="H157" i="1"/>
  <c r="H350" i="1"/>
  <c r="H44" i="1"/>
  <c r="H250" i="1"/>
  <c r="H173" i="1"/>
  <c r="H328" i="1"/>
  <c r="H142" i="1"/>
  <c r="H480" i="1"/>
  <c r="H392" i="1"/>
  <c r="H30" i="1"/>
  <c r="H286" i="1"/>
  <c r="H259" i="1"/>
  <c r="H375" i="1"/>
  <c r="H59" i="1"/>
  <c r="H277" i="1"/>
  <c r="H423" i="1"/>
  <c r="H169" i="1"/>
  <c r="H202" i="1"/>
  <c r="H462" i="1"/>
  <c r="H432" i="1"/>
  <c r="H283" i="1"/>
  <c r="H88" i="1"/>
  <c r="H34" i="1"/>
  <c r="H210" i="1"/>
  <c r="H461" i="1"/>
  <c r="H388" i="1"/>
  <c r="H172" i="1"/>
  <c r="H137" i="1"/>
</calcChain>
</file>

<file path=xl/sharedStrings.xml><?xml version="1.0" encoding="utf-8"?>
<sst xmlns="http://schemas.openxmlformats.org/spreadsheetml/2006/main" count="812" uniqueCount="150">
  <si>
    <t>First Sort by Custom List</t>
  </si>
  <si>
    <t>CollectionName</t>
  </si>
  <si>
    <t>CallNumber</t>
  </si>
  <si>
    <t>Title</t>
  </si>
  <si>
    <t>tabname</t>
  </si>
  <si>
    <t>Polaris RTF Report metadata</t>
  </si>
  <si>
    <t>Row Offset (number of empty rows before column headings)</t>
  </si>
  <si>
    <t>Column Number Bar</t>
  </si>
  <si>
    <t>Column Number Loc</t>
  </si>
  <si>
    <t>Column Number Call</t>
  </si>
  <si>
    <t>Column Number Title</t>
  </si>
  <si>
    <t>Column Number Coll</t>
  </si>
  <si>
    <t>Column Number Year</t>
  </si>
  <si>
    <t>Column Number Auth</t>
  </si>
  <si>
    <t>Column Number Pub</t>
  </si>
  <si>
    <t>link</t>
  </si>
  <si>
    <t>Descriptor</t>
  </si>
  <si>
    <t>Readers</t>
  </si>
  <si>
    <t xml:space="preserve">Readers </t>
  </si>
  <si>
    <t>Fiction Mystery</t>
  </si>
  <si>
    <t xml:space="preserve">Mystery </t>
  </si>
  <si>
    <t>ESL</t>
  </si>
  <si>
    <t xml:space="preserve">ESL </t>
  </si>
  <si>
    <t>Fiction Fantasy</t>
  </si>
  <si>
    <t xml:space="preserve">Fantasy </t>
  </si>
  <si>
    <t>Graphic Novel</t>
  </si>
  <si>
    <t xml:space="preserve">GNOVL </t>
  </si>
  <si>
    <t>Fiction Sci Fi</t>
  </si>
  <si>
    <t xml:space="preserve">Sci Fi </t>
  </si>
  <si>
    <t>DVD Action</t>
  </si>
  <si>
    <t xml:space="preserve">Action </t>
  </si>
  <si>
    <t>DVD Comedy</t>
  </si>
  <si>
    <t xml:space="preserve">Comedy </t>
  </si>
  <si>
    <t>DVD Musical</t>
  </si>
  <si>
    <t xml:space="preserve">Musical </t>
  </si>
  <si>
    <t>DVD Drama</t>
  </si>
  <si>
    <t xml:space="preserve">Drama </t>
  </si>
  <si>
    <t>DVD Family</t>
  </si>
  <si>
    <t xml:space="preserve">Family </t>
  </si>
  <si>
    <t>DVD Fantasy</t>
  </si>
  <si>
    <t>DVD Foreign</t>
  </si>
  <si>
    <t xml:space="preserve">Foreign </t>
  </si>
  <si>
    <t>DVD Horror</t>
  </si>
  <si>
    <t xml:space="preserve">Horror </t>
  </si>
  <si>
    <t>DVD Mystery</t>
  </si>
  <si>
    <t>DVD Science Fiction</t>
  </si>
  <si>
    <t>DVD Suspense</t>
  </si>
  <si>
    <t xml:space="preserve">Suspense </t>
  </si>
  <si>
    <t>DVD Television Series</t>
  </si>
  <si>
    <t xml:space="preserve">TV </t>
  </si>
  <si>
    <t>DVD War</t>
  </si>
  <si>
    <t xml:space="preserve">War </t>
  </si>
  <si>
    <t>DVD Western</t>
  </si>
  <si>
    <t xml:space="preserve">Western </t>
  </si>
  <si>
    <t>Location</t>
  </si>
  <si>
    <t>Year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</si>
  <si>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</si>
  <si>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</si>
  <si>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</si>
  <si>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</si>
  <si>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</si>
  <si>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</si>
  <si>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</si>
  <si>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</si>
  <si>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</si>
  <si>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</si>
  <si>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</si>
  <si>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</si>
  <si>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</si>
  <si>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</si>
  <si>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</si>
  <si>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</si>
  <si>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Tagalog</t>
  </si>
  <si>
    <t>International Vietnamese</t>
  </si>
  <si>
    <t>Compact Disc</t>
  </si>
  <si>
    <t>Magazine</t>
  </si>
  <si>
    <t>Teen Magazines</t>
  </si>
  <si>
    <t>Juvenile Audiobook</t>
  </si>
  <si>
    <t>International Russian</t>
  </si>
  <si>
    <t>New Books</t>
  </si>
  <si>
    <t>In Library Use Only</t>
  </si>
  <si>
    <t>Rank</t>
  </si>
  <si>
    <t>Audiobook</t>
  </si>
  <si>
    <t>Board Books</t>
  </si>
  <si>
    <t xml:space="preserve">Childcare </t>
  </si>
  <si>
    <t>Children's Paperbacks</t>
  </si>
  <si>
    <t>DVD Educational</t>
  </si>
  <si>
    <t>Easy Non-Fiction</t>
  </si>
  <si>
    <t>English as a second language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</si>
  <si>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</si>
  <si>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</si>
  <si>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</si>
  <si>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</si>
  <si>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</si>
  <si>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</si>
  <si>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Spanish Language Paperbacks</t>
  </si>
  <si>
    <t>Teen Biography</t>
  </si>
  <si>
    <t>Teen Classics Paperbacks</t>
  </si>
  <si>
    <t>Teen Explore</t>
  </si>
  <si>
    <t>Teen Large Type</t>
  </si>
  <si>
    <t>Teen Nonfiction</t>
  </si>
  <si>
    <t>Teen Paperbacks</t>
  </si>
  <si>
    <t/>
  </si>
  <si>
    <t>Join</t>
  </si>
  <si>
    <t>CollectionName
Primary</t>
  </si>
  <si>
    <t>CollectionName
Secondary</t>
  </si>
  <si>
    <t>DVD</t>
  </si>
  <si>
    <t xml:space="preserve"> Action</t>
  </si>
  <si>
    <t xml:space="preserve"> Comedy</t>
  </si>
  <si>
    <t xml:space="preserve"> Drama</t>
  </si>
  <si>
    <t xml:space="preserve"> Educational</t>
  </si>
  <si>
    <t xml:space="preserve"> Family</t>
  </si>
  <si>
    <t xml:space="preserve"> Fantasy</t>
  </si>
  <si>
    <t xml:space="preserve"> Foreign</t>
  </si>
  <si>
    <t xml:space="preserve"> Horror</t>
  </si>
  <si>
    <t xml:space="preserve"> Musical</t>
  </si>
  <si>
    <t xml:space="preserve"> Mystery</t>
  </si>
  <si>
    <t xml:space="preserve"> Science Fiction</t>
  </si>
  <si>
    <t xml:space="preserve"> Suspense</t>
  </si>
  <si>
    <t xml:space="preserve"> Television Series</t>
  </si>
  <si>
    <t xml:space="preserve"> War</t>
  </si>
  <si>
    <t xml:space="preserve"> Western</t>
  </si>
  <si>
    <t xml:space="preserve"> Audiobook</t>
  </si>
  <si>
    <t xml:space="preserve"> Countdown</t>
  </si>
  <si>
    <t xml:space="preserve"> Non-Fiction</t>
  </si>
  <si>
    <t xml:space="preserve"> Sci Fi</t>
  </si>
  <si>
    <t>International</t>
  </si>
  <si>
    <t xml:space="preserve"> Chinese</t>
  </si>
  <si>
    <t xml:space="preserve"> Japanese</t>
  </si>
  <si>
    <t xml:space="preserve"> Korean</t>
  </si>
  <si>
    <t xml:space="preserve"> Russian</t>
  </si>
  <si>
    <t xml:space="preserve"> Spanish</t>
  </si>
  <si>
    <t xml:space="preserve"> Tagalog</t>
  </si>
  <si>
    <t xml:space="preserve"> Vietnamese</t>
  </si>
  <si>
    <t>Juvenile</t>
  </si>
  <si>
    <t xml:space="preserve"> Biography</t>
  </si>
  <si>
    <t xml:space="preserve"> Compact Disc</t>
  </si>
  <si>
    <t xml:space="preserve"> DVD</t>
  </si>
  <si>
    <t xml:space="preserve"> DVD Educational</t>
  </si>
  <si>
    <t xml:space="preserve"> Fiction</t>
  </si>
  <si>
    <t xml:space="preserve"> Large Type</t>
  </si>
  <si>
    <t xml:space="preserve"> Magazine</t>
  </si>
  <si>
    <t xml:space="preserve"> Nonfiction</t>
  </si>
  <si>
    <t>Teen</t>
  </si>
  <si>
    <t xml:space="preserve"> Classics Paperbacks</t>
  </si>
  <si>
    <t xml:space="preserve"> Explore</t>
  </si>
  <si>
    <t xml:space="preserve"> Magazines</t>
  </si>
  <si>
    <t xml:space="preserve"> Paperbacks</t>
  </si>
  <si>
    <t>Sort by Rank</t>
  </si>
  <si>
    <t>Sort A-Z (0-9)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</si>
</sst>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Border="1" applyAlignment="1">
      <alignment horizontal="right"/>
    </xf>
    <xf numFmtId="0" fontId="4" fillId="0" borderId="4" xfId="0" applyFont="1" applyBorder="1" applyAlignment="1">
      <alignment wrapText="1"/>
    </xf>
    <xf numFmtId="0" fontId="3" fillId="2" borderId="2" xfId="0" applyFont="1" applyFill="1" applyBorder="1" applyAlignment="1" applyProtection="1">
      <alignment horizontal="left" vertical="top" wrapText="1" readingOrder="1"/>
    </xf>
    <xf numFmtId="0" fontId="4" fillId="2" borderId="0" xfId="0" applyFont="1" applyFill="1" applyBorder="1" applyAlignment="1" applyProtection="1">
      <alignment vertical="top" wrapText="1"/>
    </xf>
    <xf numFmtId="0" fontId="4" fillId="2" borderId="0" xfId="0" applyFont="1" applyFill="1" applyAlignment="1" applyProtection="1"/>
    <xf numFmtId="0" fontId="2" fillId="0" borderId="1" xfId="0" applyFont="1" applyBorder="1" applyAlignment="1" applyProtection="1">
      <alignment horizontal="left" vertical="top" wrapText="1" readingOrder="1"/>
    </xf>
    <xf numFmtId="0" fontId="0" fillId="0" borderId="0" xfId="0" applyAlignment="1" applyProtection="1"/>
    <xf numFmtId="0" fontId="0" fillId="0" borderId="0" xfId="0" applyAlignment="1" applyProtection="1">
      <alignment wrapText="1" readingOrder="1"/>
    </xf>
    <xf numFmtId="0" fontId="5" fillId="3" borderId="9" xfId="0" applyFont="1" applyFill="1" applyBorder="1" applyAlignment="1" applyProtection="1">
      <alignment horizontal="center" vertical="center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0" fillId="0" borderId="10" xfId="0" applyBorder="1" applyAlignment="1" applyProtection="1"/>
    <xf numFmtId="0" fontId="0" fillId="0" borderId="0" xfId="0" applyBorder="1"/>
    <xf numFmtId="0" fontId="4" fillId="0" borderId="11" xfId="0" applyFont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 applyProtection="1"/>
    <xf numFmtId="0" fontId="8" fillId="0" borderId="0" xfId="0" applyFont="1" applyAlignment="1">
      <alignment horizontal="right" wrapText="1"/>
    </xf>
    <xf numFmtId="0" fontId="0" fillId="0" borderId="0" xfId="0" applyAlignment="1">
      <alignment wrapText="1"/>
    </xf>
    <xf numFmtId="0" fontId="8" fillId="0" borderId="12" xfId="0" applyFont="1" applyBorder="1" applyAlignment="1">
      <alignment horizontal="right" wrapText="1"/>
    </xf>
    <xf numFmtId="0" fontId="8" fillId="0" borderId="12" xfId="0" applyFon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2" xfId="0" applyBorder="1"/>
  </cellXfs>
  <cellStyles count="2">
    <cellStyle name="Normal" xfId="0" builtinId="0"/>
    <cellStyle name="Normal 2" xfId="1"/>
  </cellStyles>
  <dxfs count="10"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bottom" textRotation="0" wrapText="1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</xdr:row>
          <xdr:rowOff>38100</xdr:rowOff>
        </xdr:from>
        <xdr:to>
          <xdr:col>10</xdr:col>
          <xdr:colOff>289560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4</xdr:row>
      <xdr:rowOff>85725</xdr:rowOff>
    </xdr:from>
    <xdr:to>
      <xdr:col>10</xdr:col>
      <xdr:colOff>447675</xdr:colOff>
      <xdr:row>6</xdr:row>
      <xdr:rowOff>76200</xdr:rowOff>
    </xdr:to>
    <xdr:sp macro="" textlink="">
      <xdr:nvSpPr>
        <xdr:cNvPr id="1027" name="Text Box 3"/>
        <xdr:cNvSpPr txBox="1">
          <a:spLocks noChangeArrowheads="1"/>
        </xdr:cNvSpPr>
      </xdr:nvSpPr>
      <xdr:spPr bwMode="auto">
        <a:xfrm>
          <a:off x="8069580" y="1457325"/>
          <a:ext cx="1697355" cy="6762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Click SORT to sort the list.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Press F9 to refresh data and start over.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lake\Desktop\Copy%20of%20SNO%20RTF%20daily%20report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NO RTF daily report1"/>
    </sheetNames>
    <sheetDataSet>
      <sheetData sheetId="0">
        <row r="2">
          <cell r="A2" t="str">
            <v>SNO RTF daily report1</v>
          </cell>
        </row>
        <row r="5">
          <cell r="A5" t="str">
            <v>CollectionName</v>
          </cell>
          <cell r="B5" t="str">
            <v>Item Barcode</v>
          </cell>
          <cell r="C5" t="str">
            <v>Shelf Location</v>
          </cell>
          <cell r="D5" t="str">
            <v>CallNumber</v>
          </cell>
          <cell r="E5" t="str">
            <v>Author</v>
          </cell>
          <cell r="F5" t="str">
            <v>Title</v>
          </cell>
          <cell r="G5" t="str">
            <v>PublicationYear</v>
          </cell>
        </row>
        <row r="6">
          <cell r="A6" t="str">
            <v>Compact Disc</v>
          </cell>
          <cell r="D6" t="str">
            <v>CD H FRA906</v>
          </cell>
          <cell r="E6" t="str">
            <v>Franklin, Aretha.</v>
          </cell>
          <cell r="F6" t="str">
            <v>Amazing grace</v>
          </cell>
          <cell r="G6">
            <v>2000</v>
          </cell>
        </row>
        <row r="7">
          <cell r="A7" t="str">
            <v>Compact Disc</v>
          </cell>
          <cell r="D7" t="str">
            <v>CD K FRE42</v>
          </cell>
          <cell r="F7" t="str">
            <v>Freaky Friday original soundtrack.</v>
          </cell>
          <cell r="G7">
            <v>2003</v>
          </cell>
        </row>
        <row r="8">
          <cell r="A8" t="str">
            <v>Compact Disc</v>
          </cell>
          <cell r="D8" t="str">
            <v>CD M MCC2470</v>
          </cell>
          <cell r="E8" t="str">
            <v>McCartney, Jesse, 1987-</v>
          </cell>
          <cell r="F8" t="str">
            <v>Beautiful soul</v>
          </cell>
          <cell r="G8">
            <v>2004</v>
          </cell>
        </row>
        <row r="9">
          <cell r="A9" t="str">
            <v>Compact Disc</v>
          </cell>
          <cell r="D9" t="str">
            <v>CD MA NEO6578</v>
          </cell>
          <cell r="E9" t="str">
            <v>Neon Trees (Musical group)</v>
          </cell>
          <cell r="F9" t="str">
            <v>Picture show</v>
          </cell>
          <cell r="G9">
            <v>2012</v>
          </cell>
        </row>
        <row r="10">
          <cell r="A10" t="str">
            <v>Compact Disc</v>
          </cell>
          <cell r="D10" t="str">
            <v>CD U CHE7445</v>
          </cell>
          <cell r="E10" t="str">
            <v>Chesney, Kenny.</v>
          </cell>
          <cell r="F10" t="str">
            <v>Hemingway's whiskey</v>
          </cell>
          <cell r="G10">
            <v>2010</v>
          </cell>
        </row>
        <row r="11">
          <cell r="A11" t="str">
            <v>DVD Drama</v>
          </cell>
          <cell r="D11" t="str">
            <v>DVD BEHINDT</v>
          </cell>
          <cell r="F11" t="str">
            <v>Behind the candelabra</v>
          </cell>
          <cell r="G11">
            <v>2013</v>
          </cell>
        </row>
        <row r="12">
          <cell r="A12" t="str">
            <v>DVD Drama</v>
          </cell>
          <cell r="D12" t="str">
            <v>DVD HUNTER</v>
          </cell>
          <cell r="F12" t="str">
            <v>The hunter</v>
          </cell>
          <cell r="G12">
            <v>2012</v>
          </cell>
        </row>
        <row r="13">
          <cell r="A13" t="str">
            <v>DVD Educational</v>
          </cell>
          <cell r="D13" t="str">
            <v>DVD-ED 209 CUL3490</v>
          </cell>
          <cell r="F13" t="str">
            <v>Cults dangerous devotion</v>
          </cell>
          <cell r="G13">
            <v>2009</v>
          </cell>
        </row>
        <row r="14">
          <cell r="A14" t="str">
            <v>DVD Educational</v>
          </cell>
          <cell r="D14" t="str">
            <v>DVD-ED 338.4762 SIL601</v>
          </cell>
          <cell r="F14" t="str">
            <v>Silicon Valley</v>
          </cell>
          <cell r="G14">
            <v>2013</v>
          </cell>
        </row>
        <row r="15">
          <cell r="A15" t="str">
            <v>DVD Educational</v>
          </cell>
          <cell r="D15" t="str">
            <v>DVD-ED 512 ALG108</v>
          </cell>
          <cell r="F15" t="str">
            <v>Algebra I DVD series. A1, Introduction to real numbers and variables</v>
          </cell>
          <cell r="G15">
            <v>2007</v>
          </cell>
        </row>
        <row r="16">
          <cell r="A16" t="str">
            <v>DVD Educational</v>
          </cell>
          <cell r="D16" t="str">
            <v>DVD-ED 782.4216 HEA559</v>
          </cell>
          <cell r="F16" t="str">
            <v>Heart, alive in Seattle</v>
          </cell>
          <cell r="G16">
            <v>2003</v>
          </cell>
        </row>
        <row r="17">
          <cell r="A17" t="str">
            <v>DVD Television Series</v>
          </cell>
          <cell r="D17" t="str">
            <v>DVD DOC5706</v>
          </cell>
          <cell r="F17" t="str">
            <v>Doctor Who. Dalek war</v>
          </cell>
          <cell r="G17">
            <v>2010</v>
          </cell>
        </row>
        <row r="18">
          <cell r="A18" t="str">
            <v>Easy Countdown</v>
          </cell>
          <cell r="D18" t="str">
            <v>E 398.8 MY VERY</v>
          </cell>
          <cell r="F18" t="str">
            <v>My very first Mother Goose</v>
          </cell>
          <cell r="G18">
            <v>1996</v>
          </cell>
        </row>
        <row r="19">
          <cell r="A19" t="str">
            <v>Easy Countdown</v>
          </cell>
          <cell r="D19" t="str">
            <v>E BURNING</v>
          </cell>
          <cell r="E19" t="str">
            <v>Burningham, John.</v>
          </cell>
          <cell r="F19" t="str">
            <v>Mr. Gumpy's outing</v>
          </cell>
          <cell r="G19">
            <v>1970</v>
          </cell>
        </row>
        <row r="20">
          <cell r="A20" t="str">
            <v>Easy Countdown</v>
          </cell>
          <cell r="D20" t="str">
            <v>E SHANNON</v>
          </cell>
          <cell r="E20" t="str">
            <v>Shannon, David, 1959-</v>
          </cell>
          <cell r="F20" t="str">
            <v>No, David!</v>
          </cell>
          <cell r="G20">
            <v>1998</v>
          </cell>
        </row>
        <row r="21">
          <cell r="A21" t="str">
            <v>Fiction</v>
          </cell>
          <cell r="D21" t="str">
            <v>FIC FITZGER</v>
          </cell>
          <cell r="E21" t="str">
            <v>Fitzgerald, F. Scott (Francis Scott), 1896-1940.</v>
          </cell>
          <cell r="F21" t="str">
            <v>This side of paradise</v>
          </cell>
          <cell r="G21">
            <v>1996</v>
          </cell>
        </row>
        <row r="22">
          <cell r="A22" t="str">
            <v>Fiction</v>
          </cell>
          <cell r="D22" t="str">
            <v>FIC GALENOR</v>
          </cell>
          <cell r="E22" t="str">
            <v>Galenorn, Yasmine, 1961-</v>
          </cell>
          <cell r="F22" t="str">
            <v>Night seeker</v>
          </cell>
          <cell r="G22">
            <v>2012</v>
          </cell>
        </row>
        <row r="23">
          <cell r="A23" t="str">
            <v>Fiction</v>
          </cell>
          <cell r="D23" t="str">
            <v>FIC JOHNSON</v>
          </cell>
          <cell r="E23" t="str">
            <v>Johnson, Dorothy M.</v>
          </cell>
          <cell r="F23" t="str">
            <v>Indian country</v>
          </cell>
          <cell r="G23">
            <v>1995</v>
          </cell>
        </row>
        <row r="24">
          <cell r="A24" t="str">
            <v>Fiction</v>
          </cell>
          <cell r="D24" t="str">
            <v>FIC PANZERA</v>
          </cell>
          <cell r="E24" t="str">
            <v>Panzera, Darlene.</v>
          </cell>
          <cell r="F24" t="str">
            <v>Sweet on you</v>
          </cell>
          <cell r="G24">
            <v>2013</v>
          </cell>
        </row>
        <row r="25">
          <cell r="A25" t="str">
            <v>Fiction</v>
          </cell>
          <cell r="D25" t="str">
            <v>FIC SHORS</v>
          </cell>
          <cell r="E25" t="str">
            <v>Shors, John, 1969-</v>
          </cell>
          <cell r="F25" t="str">
            <v>Beside a burning sea</v>
          </cell>
          <cell r="G25">
            <v>2008</v>
          </cell>
        </row>
        <row r="26">
          <cell r="A26" t="str">
            <v>Fiction Mystery</v>
          </cell>
          <cell r="D26" t="str">
            <v>FIC BENN</v>
          </cell>
          <cell r="E26" t="str">
            <v>Benn, James R.</v>
          </cell>
          <cell r="F26" t="str">
            <v>A blind goddess</v>
          </cell>
          <cell r="G26">
            <v>2013</v>
          </cell>
        </row>
        <row r="27">
          <cell r="A27" t="str">
            <v>Fiction Mystery</v>
          </cell>
          <cell r="C27" t="str">
            <v>New Books</v>
          </cell>
          <cell r="D27" t="str">
            <v>FIC DAHEIM</v>
          </cell>
          <cell r="E27" t="str">
            <v>Daheim, Mary.</v>
          </cell>
          <cell r="F27" t="str">
            <v>The Alpine yeoman</v>
          </cell>
          <cell r="G27">
            <v>2014</v>
          </cell>
        </row>
        <row r="28">
          <cell r="A28" t="str">
            <v>Fiction Mystery</v>
          </cell>
          <cell r="D28" t="str">
            <v>FIC FRENCH</v>
          </cell>
          <cell r="E28" t="str">
            <v>French, Tana.</v>
          </cell>
          <cell r="F28" t="str">
            <v>Faithful Place</v>
          </cell>
          <cell r="G28">
            <v>2010</v>
          </cell>
        </row>
        <row r="29">
          <cell r="A29" t="str">
            <v>Juvenile Compact Disc</v>
          </cell>
          <cell r="D29" t="str">
            <v>J CD OM ACO307</v>
          </cell>
          <cell r="F29" t="str">
            <v>Acoustic dreamland Putumayo kids.</v>
          </cell>
          <cell r="G29">
            <v>2011</v>
          </cell>
        </row>
        <row r="30">
          <cell r="A30" t="str">
            <v>Juvenile Compact Disc</v>
          </cell>
          <cell r="D30" t="str">
            <v>J CD OM BERKNER</v>
          </cell>
          <cell r="E30" t="str">
            <v>Berkner, Laurie, composer, performer.</v>
          </cell>
          <cell r="F30" t="str">
            <v>Laurie Berkner lullabies.</v>
          </cell>
          <cell r="G30">
            <v>2014</v>
          </cell>
        </row>
        <row r="31">
          <cell r="A31" t="str">
            <v>Juvenile Compact Disc</v>
          </cell>
          <cell r="D31" t="str">
            <v>J CD OM CAL2419</v>
          </cell>
          <cell r="F31" t="str">
            <v>Calming world lullabies</v>
          </cell>
          <cell r="G31">
            <v>2012</v>
          </cell>
        </row>
        <row r="32">
          <cell r="A32" t="str">
            <v>Juvenile Compact Disc</v>
          </cell>
          <cell r="D32" t="str">
            <v>J CD OM HOT1120</v>
          </cell>
          <cell r="E32" t="str">
            <v>Hot Peas 'n Butter (Musical group), performer.</v>
          </cell>
          <cell r="F32" t="str">
            <v>Hot peas 'n butter. Volume 6, Catchin' some peaz the lullabies.</v>
          </cell>
          <cell r="G32">
            <v>2012</v>
          </cell>
        </row>
        <row r="33">
          <cell r="A33" t="str">
            <v>Juvenile Compact Disc</v>
          </cell>
          <cell r="D33" t="str">
            <v>J CD OM JON638</v>
          </cell>
          <cell r="E33" t="str">
            <v>Jones, Dean, musician.</v>
          </cell>
          <cell r="F33" t="str">
            <v>Napper's delight</v>
          </cell>
          <cell r="G33">
            <v>2007</v>
          </cell>
        </row>
        <row r="34">
          <cell r="A34" t="str">
            <v>Juvenile Compact Disc</v>
          </cell>
          <cell r="D34" t="str">
            <v>J CD OM MY FIRS</v>
          </cell>
          <cell r="F34" t="str">
            <v>My first orchestra album</v>
          </cell>
          <cell r="G34">
            <v>2013</v>
          </cell>
        </row>
        <row r="35">
          <cell r="A35" t="str">
            <v>Juvenile Compact Disc</v>
          </cell>
          <cell r="D35" t="str">
            <v>J CD OM MYF8213</v>
          </cell>
          <cell r="F35" t="str">
            <v>My first lullaby album</v>
          </cell>
          <cell r="G35">
            <v>2012</v>
          </cell>
        </row>
        <row r="36">
          <cell r="A36" t="str">
            <v>Juvenile Compact Disc</v>
          </cell>
          <cell r="D36" t="str">
            <v>J CD OM PALMER</v>
          </cell>
          <cell r="E36" t="str">
            <v>Palmer, Hap, 1942-</v>
          </cell>
          <cell r="F36" t="str">
            <v>So big activity songs for little ones</v>
          </cell>
          <cell r="G36">
            <v>1994</v>
          </cell>
        </row>
        <row r="37">
          <cell r="A37" t="str">
            <v>Juvenile Compact Disc</v>
          </cell>
          <cell r="D37" t="str">
            <v>J CD OM ROC9693</v>
          </cell>
          <cell r="F37" t="str">
            <v>Rockabye baby!. more lullaby renditions of U2</v>
          </cell>
          <cell r="G37">
            <v>2012</v>
          </cell>
        </row>
        <row r="38">
          <cell r="A38" t="str">
            <v>Juvenile DVD</v>
          </cell>
          <cell r="D38" t="str">
            <v>J DVD THO1694</v>
          </cell>
          <cell r="F38" t="str">
            <v>Thomas &amp; friends. Merry Christmas Thomas</v>
          </cell>
          <cell r="G38">
            <v>2011</v>
          </cell>
        </row>
        <row r="39">
          <cell r="A39" t="str">
            <v>Juvenile Fiction</v>
          </cell>
          <cell r="D39" t="str">
            <v>J NAPOLI</v>
          </cell>
          <cell r="E39" t="str">
            <v>Napoli, Donna Jo, 1948-</v>
          </cell>
          <cell r="F39" t="str">
            <v>Ugly</v>
          </cell>
          <cell r="G39">
            <v>2006</v>
          </cell>
        </row>
        <row r="40">
          <cell r="A40" t="str">
            <v>Juvenile Fiction</v>
          </cell>
          <cell r="D40" t="str">
            <v>J SUTHERL</v>
          </cell>
          <cell r="E40" t="str">
            <v>Sutherland, Tui, 1978-</v>
          </cell>
          <cell r="F40" t="str">
            <v>The hidden kingdom</v>
          </cell>
          <cell r="G40">
            <v>2013</v>
          </cell>
        </row>
        <row r="41">
          <cell r="A41" t="str">
            <v>Juvenile Magazine</v>
          </cell>
          <cell r="C41" t="str">
            <v>In Library Use Only</v>
          </cell>
          <cell r="F41" t="str">
            <v>Discovery girls. v. 14 no. 5  (Aug./Sep. 2014)</v>
          </cell>
          <cell r="G41">
            <v>2000</v>
          </cell>
        </row>
        <row r="42">
          <cell r="A42" t="str">
            <v>Magazine</v>
          </cell>
          <cell r="C42" t="str">
            <v>In Library Use Only</v>
          </cell>
          <cell r="F42" t="str">
            <v>Elle. Vol. 29 No. 12  (August 2014)</v>
          </cell>
          <cell r="G42">
            <v>1985</v>
          </cell>
        </row>
        <row r="43">
          <cell r="A43" t="str">
            <v>Magazine</v>
          </cell>
          <cell r="C43" t="str">
            <v>In Library Use Only</v>
          </cell>
          <cell r="F43" t="str">
            <v>Print. v. 68 no. 4  (Aug. 2014)</v>
          </cell>
          <cell r="G43">
            <v>1940</v>
          </cell>
        </row>
        <row r="44">
          <cell r="A44" t="str">
            <v>Magazine</v>
          </cell>
          <cell r="C44" t="str">
            <v>In Library Use Only</v>
          </cell>
          <cell r="F44" t="str">
            <v>Arts and activities. v. 155 no. 5  (June 2014)</v>
          </cell>
          <cell r="G44">
            <v>1955</v>
          </cell>
        </row>
        <row r="45">
          <cell r="A45" t="str">
            <v>Magazine</v>
          </cell>
          <cell r="C45" t="str">
            <v>In Library Use Only</v>
          </cell>
          <cell r="F45" t="str">
            <v>Birds &amp; blooms. Vol. 20 No. 4  (August/September 2014)</v>
          </cell>
          <cell r="G45">
            <v>1995</v>
          </cell>
        </row>
        <row r="46">
          <cell r="A46" t="str">
            <v>Magazine</v>
          </cell>
          <cell r="C46" t="str">
            <v>In Library Use Only</v>
          </cell>
          <cell r="F46" t="str">
            <v>Taunton's fine cooking. Issue 130  (August/September 2014)</v>
          </cell>
          <cell r="G46">
            <v>1994</v>
          </cell>
        </row>
        <row r="47">
          <cell r="A47" t="str">
            <v>Magazine</v>
          </cell>
          <cell r="C47" t="str">
            <v>In Library Use Only</v>
          </cell>
          <cell r="F47" t="str">
            <v>Puget Sound consumers' checkbook. v. 5 no. 4  (Spring/Summer 2014)</v>
          </cell>
          <cell r="G47">
            <v>2003</v>
          </cell>
        </row>
        <row r="48">
          <cell r="A48" t="str">
            <v>Magazine</v>
          </cell>
          <cell r="C48" t="str">
            <v>In Library Use Only</v>
          </cell>
          <cell r="F48" t="str">
            <v>Beadwork. v. 17 no. 5  (Aug./Sep. 2014)</v>
          </cell>
          <cell r="G48">
            <v>1998</v>
          </cell>
        </row>
        <row r="49">
          <cell r="A49" t="str">
            <v>Magazine</v>
          </cell>
          <cell r="C49" t="str">
            <v>In Library Use Only</v>
          </cell>
          <cell r="F49" t="str">
            <v>Discover Britain. no. 177  (July/Aug. 2014)</v>
          </cell>
          <cell r="G49">
            <v>2011</v>
          </cell>
        </row>
        <row r="50">
          <cell r="A50" t="str">
            <v>Magazine</v>
          </cell>
          <cell r="C50" t="str">
            <v>In Library Use Only</v>
          </cell>
          <cell r="F50" t="str">
            <v>Vogue. Vol. 204 No. 8  (Aug. 2014)</v>
          </cell>
          <cell r="G50">
            <v>1892</v>
          </cell>
        </row>
        <row r="51">
          <cell r="A51" t="str">
            <v>Magazine</v>
          </cell>
          <cell r="C51" t="str">
            <v>In Library Use Only</v>
          </cell>
          <cell r="F51" t="str">
            <v>Northwest fly fishing. v. 16 no. 4  (July/Aug. 2014)</v>
          </cell>
        </row>
        <row r="52">
          <cell r="A52" t="str">
            <v>Magazine</v>
          </cell>
          <cell r="C52" t="str">
            <v>In Library Use Only</v>
          </cell>
          <cell r="F52" t="str">
            <v>Washington trails : a publication of Washington Trails Association. v. 49 no. 4  (July/Aug. 2014)</v>
          </cell>
          <cell r="G52">
            <v>2001</v>
          </cell>
        </row>
        <row r="53">
          <cell r="A53" t="str">
            <v>Magazine</v>
          </cell>
          <cell r="C53" t="str">
            <v>In Library Use Only</v>
          </cell>
          <cell r="F53" t="str">
            <v>Natural solutions. no. 164  (June 2014)</v>
          </cell>
          <cell r="G53">
            <v>2008</v>
          </cell>
        </row>
        <row r="54">
          <cell r="A54" t="str">
            <v>Magazine</v>
          </cell>
          <cell r="C54" t="str">
            <v>In Library Use Only</v>
          </cell>
          <cell r="F54" t="str">
            <v>Urban farm. Volume 6 Number 4  (July/August 2014)</v>
          </cell>
          <cell r="G54">
            <v>2009</v>
          </cell>
        </row>
        <row r="55">
          <cell r="A55" t="str">
            <v>Magazine</v>
          </cell>
          <cell r="C55" t="str">
            <v>In Library Use Only</v>
          </cell>
          <cell r="F55" t="str">
            <v>Horse &amp; rider v. 53 no. 8  (Aug. 2014)</v>
          </cell>
          <cell r="G55">
            <v>1968</v>
          </cell>
        </row>
        <row r="56">
          <cell r="A56" t="str">
            <v>Magazine</v>
          </cell>
          <cell r="C56" t="str">
            <v>In Library Use Only</v>
          </cell>
          <cell r="F56" t="str">
            <v>Shape v. 33 no. 10  (July/Aug. 2014)</v>
          </cell>
        </row>
        <row r="57">
          <cell r="A57" t="str">
            <v>Magazine</v>
          </cell>
          <cell r="C57" t="str">
            <v>In Library Use Only</v>
          </cell>
          <cell r="F57" t="str">
            <v>Fine homebuilding no. 245  (Aug./Sep. 2014)</v>
          </cell>
          <cell r="G57">
            <v>1981</v>
          </cell>
        </row>
        <row r="58">
          <cell r="A58" t="str">
            <v>Magazine</v>
          </cell>
          <cell r="C58" t="str">
            <v>In Library Use Only</v>
          </cell>
          <cell r="F58" t="str">
            <v>House beautiful. v. 156 no. 6  (July/Aug. 2014)</v>
          </cell>
          <cell r="G58">
            <v>1896</v>
          </cell>
        </row>
        <row r="59">
          <cell r="A59" t="str">
            <v>Magazine</v>
          </cell>
          <cell r="C59" t="str">
            <v>In Library Use Only</v>
          </cell>
          <cell r="F59" t="str">
            <v>Men's health. v. 29 no. 7  (Sep. 2014)</v>
          </cell>
          <cell r="G59">
            <v>1987</v>
          </cell>
        </row>
        <row r="60">
          <cell r="A60" t="str">
            <v>Magazine</v>
          </cell>
          <cell r="C60" t="str">
            <v>In Library Use Only</v>
          </cell>
          <cell r="F60" t="str">
            <v>Altered couture. v. 9 no. 3  (Aug./Oct. 2014)</v>
          </cell>
          <cell r="G60">
            <v>2006</v>
          </cell>
        </row>
        <row r="61">
          <cell r="A61" t="str">
            <v>Magazine</v>
          </cell>
          <cell r="C61" t="str">
            <v>In Library Use Only</v>
          </cell>
          <cell r="F61" t="str">
            <v>Fons and Porter's for the love of quilting. v. 19 no. 3  (July/Aug. 2014)</v>
          </cell>
          <cell r="G61">
            <v>1999</v>
          </cell>
        </row>
        <row r="62">
          <cell r="A62" t="str">
            <v>Magazine</v>
          </cell>
          <cell r="C62" t="str">
            <v>In Library Use Only</v>
          </cell>
          <cell r="F62" t="str">
            <v>Salmon trout steelheader v. 47 no. 10  (Aug. 2014)</v>
          </cell>
          <cell r="G62">
            <v>1967</v>
          </cell>
        </row>
        <row r="63">
          <cell r="A63" t="str">
            <v>Magazine</v>
          </cell>
          <cell r="C63" t="str">
            <v>In Library Use Only</v>
          </cell>
          <cell r="F63" t="str">
            <v>Model airplane news Vol. 142 No. 10  (October 2014)</v>
          </cell>
          <cell r="G63">
            <v>1935</v>
          </cell>
        </row>
        <row r="64">
          <cell r="A64" t="str">
            <v>Magazine</v>
          </cell>
          <cell r="C64" t="str">
            <v>In Library Use Only</v>
          </cell>
          <cell r="F64" t="str">
            <v>People. v. 82 no. 7  (Aug. 18 2014)</v>
          </cell>
          <cell r="G64">
            <v>1974</v>
          </cell>
        </row>
        <row r="65">
          <cell r="A65" t="str">
            <v>Magazine</v>
          </cell>
          <cell r="C65" t="str">
            <v>In Library Use Only</v>
          </cell>
          <cell r="F65" t="str">
            <v>Travel smart. (Apr. 15 2014)</v>
          </cell>
          <cell r="G65">
            <v>1976</v>
          </cell>
        </row>
        <row r="66">
          <cell r="A66" t="str">
            <v>Magazine</v>
          </cell>
          <cell r="C66" t="str">
            <v>In Library Use Only</v>
          </cell>
          <cell r="F66" t="str">
            <v>Bookmarks. No. 71  (July/August 2014)</v>
          </cell>
          <cell r="G66">
            <v>2002</v>
          </cell>
        </row>
        <row r="67">
          <cell r="A67" t="str">
            <v>Magazine</v>
          </cell>
          <cell r="C67" t="str">
            <v>In Library Use Only</v>
          </cell>
          <cell r="F67" t="str">
            <v>Health. v. 28 no. 6  (July/Aug. 2014)</v>
          </cell>
          <cell r="G67">
            <v>1992</v>
          </cell>
        </row>
        <row r="68">
          <cell r="A68" t="str">
            <v>Nonfiction</v>
          </cell>
          <cell r="D68" t="str">
            <v>234.5 SMEDES</v>
          </cell>
          <cell r="E68" t="str">
            <v>Smedes, Lewis B.</v>
          </cell>
          <cell r="F68" t="str">
            <v>Forgive and forget : healing the hurts we don't deserve</v>
          </cell>
          <cell r="G68">
            <v>1996</v>
          </cell>
        </row>
        <row r="69">
          <cell r="A69" t="str">
            <v>Nonfiction</v>
          </cell>
          <cell r="D69" t="str">
            <v>296.72 KEDAR</v>
          </cell>
          <cell r="E69" t="str">
            <v>Kedar, Karyn D., 1957-</v>
          </cell>
          <cell r="F69" t="str">
            <v>The bridge to forgiveness : stories and prayers for finding God and restoring wholeness</v>
          </cell>
          <cell r="G69">
            <v>2007</v>
          </cell>
        </row>
        <row r="70">
          <cell r="A70" t="str">
            <v>Nonfiction</v>
          </cell>
          <cell r="D70" t="str">
            <v>516 BHATT</v>
          </cell>
          <cell r="E70" t="str">
            <v>Bhatt, Sonal, author.</v>
          </cell>
          <cell r="F70" t="str">
            <v>Geometry</v>
          </cell>
          <cell r="G70">
            <v>2014</v>
          </cell>
        </row>
        <row r="71">
          <cell r="A71" t="str">
            <v>Nonfiction</v>
          </cell>
          <cell r="D71" t="str">
            <v>598.0723 ZALESKY</v>
          </cell>
          <cell r="E71" t="str">
            <v>Zalesky, Philip H.</v>
          </cell>
          <cell r="F71" t="str">
            <v>Birding in Snohomish County</v>
          </cell>
          <cell r="G71">
            <v>2001</v>
          </cell>
        </row>
        <row r="72">
          <cell r="A72" t="str">
            <v>Nonfiction</v>
          </cell>
          <cell r="D72" t="str">
            <v>641.5 MCGEE</v>
          </cell>
          <cell r="E72" t="str">
            <v>McGee, Harold.</v>
          </cell>
          <cell r="F72" t="str">
            <v>On food and cooking : the science and lore of the kitchen</v>
          </cell>
          <cell r="G72">
            <v>2004</v>
          </cell>
        </row>
        <row r="73">
          <cell r="A73" t="str">
            <v>Nonfiction</v>
          </cell>
          <cell r="D73" t="str">
            <v>641.5638 HEALTHY</v>
          </cell>
          <cell r="F73" t="str">
            <v>Healthy slow cooker cookbook : 200 low-fuss, good-for-you recipes</v>
          </cell>
          <cell r="G73">
            <v>2012</v>
          </cell>
        </row>
        <row r="74">
          <cell r="A74" t="str">
            <v>Nonfiction</v>
          </cell>
          <cell r="D74" t="str">
            <v>759.13 VALLEJO</v>
          </cell>
          <cell r="E74" t="str">
            <v>Vallejo, Boris.</v>
          </cell>
          <cell r="F74" t="str">
            <v>Imaginistix : the art of Boris Vallejo and Julie Bell</v>
          </cell>
          <cell r="G74">
            <v>2007</v>
          </cell>
        </row>
        <row r="75">
          <cell r="A75" t="str">
            <v>Nonfiction</v>
          </cell>
          <cell r="D75" t="str">
            <v>781.11 CAMPBEL</v>
          </cell>
          <cell r="E75" t="str">
            <v>Campbell, Don G., 1946-</v>
          </cell>
          <cell r="F75" t="str">
            <v>Healing at the speed of sound : how what we hear transforms our brains and our lives</v>
          </cell>
          <cell r="G75">
            <v>2011</v>
          </cell>
        </row>
        <row r="76">
          <cell r="A76" t="str">
            <v>Nonfiction</v>
          </cell>
          <cell r="D76" t="str">
            <v>910.9164 BENEDET</v>
          </cell>
          <cell r="E76" t="str">
            <v>Benedetto, William R.</v>
          </cell>
          <cell r="F76" t="str">
            <v>Sailing into the abyss : a true story of extreme heroism on the high seas</v>
          </cell>
          <cell r="G76">
            <v>2005</v>
          </cell>
        </row>
        <row r="77">
          <cell r="A77" t="str">
            <v>Nonfiction</v>
          </cell>
          <cell r="D77" t="str">
            <v>938.0709 WATERFI</v>
          </cell>
          <cell r="E77" t="str">
            <v>Waterfield, Robin, 1952-</v>
          </cell>
          <cell r="F77" t="str">
            <v>Dividing the spoils : the war for Alexander the Great's empire</v>
          </cell>
          <cell r="G77">
            <v>2011</v>
          </cell>
        </row>
        <row r="78">
          <cell r="A78" t="str">
            <v>Nonfiction</v>
          </cell>
          <cell r="D78" t="str">
            <v>973.932 SASLOW</v>
          </cell>
          <cell r="E78" t="str">
            <v>Saslow, Eli.</v>
          </cell>
          <cell r="F78" t="str">
            <v>Ten letters : the stories Americans tell their president</v>
          </cell>
          <cell r="G78">
            <v>2011</v>
          </cell>
        </row>
        <row r="79">
          <cell r="A79" t="str">
            <v>Teen Fiction</v>
          </cell>
          <cell r="D79" t="str">
            <v>TEEN ZUSAK</v>
          </cell>
          <cell r="E79" t="str">
            <v>Zusak, Markus.</v>
          </cell>
          <cell r="F79" t="str">
            <v>Getting the girl</v>
          </cell>
          <cell r="G79">
            <v>2004</v>
          </cell>
        </row>
      </sheetData>
    </sheetDataSet>
  </externalBook>
</externalLink>
</file>

<file path=xl/tables/table1.xml><?xml version="1.0" encoding="utf-8"?>
<table xmlns="http://schemas.openxmlformats.org/spreadsheetml/2006/main" id="3" name="CollName_Simplifier_Table" displayName="CollName_Simplifier_Table" ref="B15:C35" totalsRowShown="0" headerRowDxfId="9" headerRowBorderDxfId="8" tableBorderDxfId="7">
  <autoFilter ref="B15:C35"/>
  <tableColumns count="2">
    <tableColumn id="1" name="CollectionName"/>
    <tableColumn id="2" name="Descript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B1:F187" totalsRowShown="0" headerRowDxfId="5">
  <tableColumns count="5">
    <tableColumn id="3" name="CollectionName" dataDxfId="4"/>
    <tableColumn id="6" name="CollectionName_x000a_Primary" dataDxfId="3"/>
    <tableColumn id="7" name="CollectionName_x000a_Secondary" dataDxfId="2"/>
    <tableColumn id="5" name="Join" dataDxfId="1">
      <calculatedColumnFormula>Table4[[#This Row],[CollectionName]]&amp;Table4[[#This Row],[Location]]</calculatedColumnFormula>
    </tableColumn>
    <tableColumn id="4" name="Location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Rank_Table" displayName="Rank_Table" ref="I1:I187" totalsRowShown="0" headerRowDxfId="6">
  <autoFilter ref="I1:I187">
    <filterColumn colId="0" hiddenButton="1"/>
  </autoFilter>
  <tableColumns count="1">
    <tableColumn id="1" name="Ran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500"/>
  <sheetViews>
    <sheetView showGridLines="0" showZeros="0" tabSelected="1" workbookViewId="0">
      <pane ySplit="1" topLeftCell="A2" activePane="bottomLeft" state="frozenSplit"/>
      <selection pane="bottomLeft" activeCell="H7" sqref="H7"/>
    </sheetView>
  </sheetViews>
  <sheetFormatPr defaultColWidth="9.109375" defaultRowHeight="27" customHeight="1" x14ac:dyDescent="0.25"/>
  <cols>
    <col min="1" max="1" width="13.109375" style="11" bestFit="1" customWidth="1"/>
    <col min="2" max="2" width="25.5546875" style="12" bestFit="1" customWidth="1"/>
    <col min="3" max="3" width="55.6640625" style="12" customWidth="1"/>
    <col min="4" max="4" width="22.5546875" style="12" customWidth="1"/>
    <col min="5" max="5" width="5.109375" style="12" bestFit="1" customWidth="1"/>
    <col min="6" max="6" width="9.109375" style="11"/>
    <col min="7" max="7" width="12.44140625" style="11" bestFit="1" customWidth="1"/>
    <col min="8" max="8" width="19.44140625" style="11" bestFit="1" customWidth="1"/>
    <col min="9" max="13" width="9.109375" style="11"/>
    <col min="14" max="14" width="23.44140625" style="11" customWidth="1"/>
    <col min="15" max="16384" width="9.109375" style="11"/>
  </cols>
  <sheetData>
    <row r="1" spans="1:14" s="9" customFormat="1" ht="27" customHeight="1" x14ac:dyDescent="0.25">
      <c r="A1" s="7" t="s">
        <v>54</v>
      </c>
      <c r="B1" s="7" t="s">
        <v>2</v>
      </c>
      <c r="C1" s="7" t="s">
        <v>3</v>
      </c>
      <c r="D1" s="7" t="s">
        <v>1</v>
      </c>
      <c r="E1" s="7" t="s">
        <v>55</v>
      </c>
      <c r="F1" s="8"/>
      <c r="G1" s="9" t="s">
        <v>148</v>
      </c>
      <c r="H1" s="9" t="s">
        <v>149</v>
      </c>
      <c r="N1" s="9" t="s">
        <v>0</v>
      </c>
    </row>
    <row r="2" spans="1:14" ht="27" customHeight="1" x14ac:dyDescent="0.25">
      <c r="A2" s="10" t="str">
        <f ca="1">TEXT( INDIRECT( ADDRESS( ROW() + Row_Offset, INDIRECT( "Column_Number_" &amp; A$1), 4,1, tabname) ), "")</f>
        <v/>
      </c>
      <c r="B2" s="10" t="str">
        <f ca="1">TEXT(  IFERROR( VLOOKUP( $D2, CollName_Simplifier_Table[], 2, FALSE),"") &amp;
        INDIRECT( ADDRESS( ROW() + Row_Offset, INDIRECT( "Column_Number_" &amp; $B$1), 4,1, tabname) ), "")</f>
        <v>234.5 SMEDES</v>
      </c>
      <c r="C2" s="10" t="str">
        <f ca="1">TEXT( INDIRECT( ADDRESS( ROW() + Row_Offset, INDIRECT( "Column_Number_" &amp; C$1), 4,1, tabname) ), "")</f>
        <v>Forgive and forget : healing the hurts we don't deserve</v>
      </c>
      <c r="D2" s="10" t="str">
        <f ca="1">TEXT( INDIRECT( ADDRESS( ROW() + Row_Offset, INDIRECT( "Column_Number_" &amp; D$1), 4,1, tabname) ), "")</f>
        <v>Nonfiction</v>
      </c>
      <c r="E2" s="10" t="str">
        <f ca="1">TEXT( INDIRECT( ADDRESS( ROW() + Row_Offset, INDIRECT( "Column_Number_" &amp; E$1), 4,1, tabname) ), "####")</f>
        <v>1996</v>
      </c>
      <c r="F2" s="15"/>
      <c r="G2" s="22">
        <f ca="1">IFERROR(INDEX(Rank_Table[],MATCH($D2&amp;$A2,Table4[Join],0)),"")</f>
        <v>5</v>
      </c>
      <c r="H2" s="11" t="str">
        <f ca="1">IF(AND(D2="Juvenile Audiobook",LEFT(B2,8)="J CD BIO"),RIGHT(B2,LEN(B2)-9),
IF(AND(D2="Juvenile Audiobook",LEFT(B2,8)="J CD FIC"),B2,
IF(D2="Juvenile Audiobook",RIGHT(B2,LEN(B2)-5),
IF(AND(D2="Teen Audiobook",LEFT(B2,11)="TEEN CD BIO"),RIGHT(B2,LEN(B2)-12),
IF(AND(D2="Teen Audiobook",LEFT(B2,11)="TEEN CD FIC"),B2,
IF(D2="Juvenile Audiobook",RIGHT(B2,LEN(B2)-8),
IF(D2="Juvenile Nonfiction",RIGHT(B2,LEN(B2)-2),
IF(D2="Teen Nonfiction",RIGHT(B2,LEN(B2)-5),
IF(AND(D2="Audiobook",
              NOT(OR(Contains($B2,"CD BIO"),Contains($B2,"CD FIC")))),RIGHT(B2,LEN(B2)-3),
IF(D2="Juvenile Biography",RIGHT(B2,LEN(B2)-2),
IF(D2="Teen Biography",RIGHT(B2,LEN(B2)-5),
IF(AND(D2="Audiobook",
              IFERROR(FIND("BIO",$B2)&gt;0,FALSE)),RIGHT(B2,LEN(B2)-3),
IF(D2="Juvenile Large Type","J "&amp;RIGHT(B2,LEN(B2)-11),
IF(D2="Teen Large Type","TEEN "&amp;RIGHT(B2,LEN(B2)-14),
IF(D2="Reference",RIGHT(B2,LEN(B2)-4),
IF(D2="DVD Educational",RIGHT(B2,LEN(B2)-7),
IF(D2="Juvenile DVD Educational",RIGHT(B2,LEN(B2)-9),
B2)))))))))))))))))</f>
        <v>234.5 SMEDES</v>
      </c>
      <c r="N2" s="11" t="str">
        <f ca="1">IF(IFERROR(FIND("New",$A2)&gt;0,FALSE),"New ","") &amp; IF(IFERROR(FIND("In Lib",$A2)&gt;0,FALSE),"Reference ","") &amp;
IF(AND(D2="Audiobook",LEFT(B2,6)="CD BIO"),"Biography",
IF(AND(D2="Teen Audiobook",LEFT(B2,11)="TEEN CD BIO"),"Biography",
IF(AND(D2="Juvenile Audiobook",LEFT(B2,8)="J CD BIO"),"Biography",
IF(AND(D2="Audiobook",LEFT(B2,6)="CD FIC"),"Audiobook Fiction",
IF(AND(D2="Teen Audiobook",LEFT(B2,11)="TEEN CD FIC"),"Teen Audiobook",
IF(AND(D2="Juvenile Audiobook",LEFT(B2,8)="J CD FIC"),"Juvenile Audiobook",
IF(D2="Audiobook","Nonfiction",
IF(D2="Juvenile Audiobook","Nonfiction",
IF(D2="Teen Audiobook","Nonfiction",
IF(D2="Juvenile Nonfiction","Nonfiction",
IF(D2="Teen Nonfiction","Nonfiction",
IF(D2="Juvenile Biography","Biography",
IF(D2="Teen Biography","Biography",
IF(D2="ESL","Nonfiction",
IF(LEFT(B2,11)="INTL-VIE J ","International Juvenile",IF(LEFT(B2,11)="INTL-TAG J ","International Juvenile",IF(LEFT(B2,11)="INTL-RUS J ","International Juvenile",IF(LEFT(B2,11)="INTL-KOR J ","International Juvenile",IF(LEFT(B2,11)="INTL-JAP J ","International Juvenile",IF(LEFT(B2,11)="INTL-CHI J ","International Juvenile",IF(LEFT(B2,11)="INTL-SPA J ","International Juvenile",IF(LEFT(B2,14)="INTL-VIE TEEN ","International Teen",IF(LEFT(B2,14)="INTL-TAG TEEN ","International Teen",IF(LEFT(B2,14)="INTL-RUS TEEN ","International Teen",IF(LEFT(B2,14)="INTL-KOR TEEN ","International Teen",IF(LEFT(B2,14)="INTL-JAP TEEN ","International Teen",IF(LEFT(B2,14)="INTL-CHI TEEN ","International Teen",IF(LEFT(B2,14)="INTL-SPA TEEN ","International Teen",IF(LEFT(B2,11)="INTL-VIE E ","International Easy",IF(LEFT(B2,11)="INTL-TAG E ","International Easy",IF(LEFT(B2,11)="INTL-RUS E ","International Easy",IF(LEFT(B2,11)="INTL-JAP E ","International Easy",IF(LEFT(B2,11)="INTL-KOR E ","International Easy",IF(LEFT(B2,11)="INTL-CHI E ","International Easy",IF(LEFT(B2,11)="INTL-SPA E ","International Easy",
IF(D2="Teen Large Type","Teen Fiction",
IF(D2="Juvenile Large Type","Juvenile Fiction",
IF(LEFT(B2,6)="J CD O","Juvenile Compact Disc",
IF(AND(LEFT(B2,4)="TEEN",D2="Fiction"),"Teen Fiction",
IF(D2="DVD Educational","Nonfiction",
IF(D2="Juvenile DVD Educational","Nonfiction",
IF(D2="Reference","Nonfiction",
D2))))))))))))))))))))))))))))))))))))))))))</f>
        <v>Compact Disc</v>
      </c>
    </row>
    <row r="3" spans="1:14" ht="27" customHeight="1" x14ac:dyDescent="0.25">
      <c r="A3" s="10" t="str">
        <f ca="1">TEXT( INDIRECT( ADDRESS( ROW() + Row_Offset, INDIRECT( "Column_Number_" &amp; A$1), 4,1, tabname) ), "")</f>
        <v/>
      </c>
      <c r="B3" s="10" t="str">
        <f ca="1">TEXT(  IFERROR( VLOOKUP( $D3, CollName_Simplifier_Table[], 2, FALSE),"") &amp;
        INDIRECT( ADDRESS( ROW() + Row_Offset, INDIRECT( "Column_Number_" &amp; $B$1), 4,1, tabname) ), "")</f>
        <v>296.72 KEDAR</v>
      </c>
      <c r="C3" s="10" t="str">
        <f ca="1">TEXT( INDIRECT( ADDRESS( ROW() + Row_Offset, INDIRECT( "Column_Number_" &amp; C$1), 4,1, tabname) ), "")</f>
        <v>The bridge to forgiveness : stories and prayers for finding God and restoring wholeness</v>
      </c>
      <c r="D3" s="10" t="str">
        <f ca="1">TEXT( INDIRECT( ADDRESS( ROW() + Row_Offset, INDIRECT( "Column_Number_" &amp; D$1), 4,1, tabname) ), "")</f>
        <v>Nonfiction</v>
      </c>
      <c r="E3" s="10" t="str">
        <f ca="1">TEXT( INDIRECT( ADDRESS( ROW() + Row_Offset, INDIRECT( "Column_Number_" &amp; E$1), 4,1, tabname) ), "####")</f>
        <v>2007</v>
      </c>
      <c r="F3" s="15"/>
      <c r="G3" s="22">
        <f ca="1">IFERROR(INDEX(Rank_Table[],MATCH($D3&amp;$A3,Table4[Join],0)),"")</f>
        <v>5</v>
      </c>
      <c r="H3" s="11" t="str">
        <f ca="1">IF(AND(D3="Juvenile Audiobook",LEFT(B3,8)="J CD BIO"),RIGHT(B3,LEN(B3)-9),
IF(AND(D3="Juvenile Audiobook",LEFT(B3,8)="J CD FIC"),B3,
IF(D3="Juvenile Audiobook",RIGHT(B3,LEN(B3)-5),
IF(AND(D3="Teen Audiobook",LEFT(B3,11)="TEEN CD BIO"),RIGHT(B3,LEN(B3)-12),
IF(AND(D3="Teen Audiobook",LEFT(B3,11)="TEEN CD FIC"),B3,
IF(D3="Juvenile Audiobook",RIGHT(B3,LEN(B3)-8),
IF(D3="Juvenile Nonfiction",RIGHT(B3,LEN(B3)-2),
IF(D3="Teen Nonfiction",RIGHT(B3,LEN(B3)-5),
IF(AND(D3="Audiobook",
              NOT(OR(Contains($B3,"CD BIO"),Contains($B3,"CD FIC")))),RIGHT(B3,LEN(B3)-3),
IF(D3="Juvenile Biography",RIGHT(B3,LEN(B3)-2),
IF(D3="Teen Biography",RIGHT(B3,LEN(B3)-5),
IF(AND(D3="Audiobook",
              IFERROR(FIND("BIO",$B3)&gt;0,FALSE)),RIGHT(B3,LEN(B3)-3),
IF(D3="Juvenile Large Type","J "&amp;RIGHT(B3,LEN(B3)-11),
IF(D3="Teen Large Type","TEEN "&amp;RIGHT(B3,LEN(B3)-14),
IF(D3="Reference",RIGHT(B3,LEN(B3)-4),
IF(D3="DVD Educational",RIGHT(B3,LEN(B3)-7),
IF(D3="Juvenile DVD Educational",RIGHT(B3,LEN(B3)-9),
B3)))))))))))))))))</f>
        <v>296.72 KEDAR</v>
      </c>
      <c r="N3" s="11" t="str">
        <f ca="1">IF(IFERROR(FIND("New",$A3)&gt;0,FALSE),"New ","") &amp; IF(IFERROR(FIND("In Lib",$A3)&gt;0,FALSE),"Reference ","") &amp;
IF(AND(D3="Audiobook",LEFT(B3,6)="CD BIO"),"Biography",
IF(AND(D3="Teen Audiobook",LEFT(B3,11)="TEEN CD BIO"),"Biography",
IF(AND(D3="Juvenile Audiobook",LEFT(B3,8)="J CD BIO"),"Biography",
IF(AND(D3="Audiobook",LEFT(B3,6)="CD FIC"),"Audiobook Fiction",
IF(AND(D3="Teen Audiobook",LEFT(B3,11)="TEEN CD FIC"),"Teen Audiobook",
IF(AND(D3="Juvenile Audiobook",LEFT(B3,8)="J CD FIC"),"Juvenile Audiobook",
IF(D3="Audiobook","Nonfiction",
IF(D3="Juvenile Audiobook","Nonfiction",
IF(D3="Teen Audiobook","Nonfiction",
IF(D3="Juvenile Nonfiction","Nonfiction",
IF(D3="Teen Nonfiction","Nonfiction",
IF(D3="Juvenile Biography","Biography",
IF(D3="Teen Biography","Biography",
IF(D3="ESL","Nonfiction",
IF(LEFT(B3,11)="INTL-VIE J ","International Juvenile",IF(LEFT(B3,11)="INTL-TAG J ","International Juvenile",IF(LEFT(B3,11)="INTL-RUS J ","International Juvenile",IF(LEFT(B3,11)="INTL-KOR J ","International Juvenile",IF(LEFT(B3,11)="INTL-JAP J ","International Juvenile",IF(LEFT(B3,11)="INTL-CHI J ","International Juvenile",IF(LEFT(B3,11)="INTL-SPA J ","International Juvenile",IF(LEFT(B3,14)="INTL-VIE TEEN ","International Teen",IF(LEFT(B3,14)="INTL-TAG TEEN ","International Teen",IF(LEFT(B3,14)="INTL-RUS TEEN ","International Teen",IF(LEFT(B3,14)="INTL-KOR TEEN ","International Teen",IF(LEFT(B3,14)="INTL-JAP TEEN ","International Teen",IF(LEFT(B3,14)="INTL-CHI TEEN ","International Teen",IF(LEFT(B3,14)="INTL-SPA TEEN ","International Teen",IF(LEFT(B3,11)="INTL-VIE E ","International Easy",IF(LEFT(B3,11)="INTL-TAG E ","International Easy",IF(LEFT(B3,11)="INTL-RUS E ","International Easy",IF(LEFT(B3,11)="INTL-JAP E ","International Easy",IF(LEFT(B3,11)="INTL-KOR E ","International Easy",IF(LEFT(B3,11)="INTL-CHI E ","International Easy",IF(LEFT(B3,11)="INTL-SPA E ","International Easy",
IF(D3="Teen Large Type","Teen Fiction",
IF(D3="Juvenile Large Type","Juvenile Fiction",
IF(LEFT(B3,6)="J CD O","Juvenile Compact Disc",
IF(AND(LEFT(B3,4)="TEEN",D3="Fiction"),"Teen Fiction",
IF(D3="DVD Educational","Nonfiction",
IF(D3="Juvenile DVD Educational","Nonfiction",
IF(D3="Reference","Nonfiction",
D3))))))))))))))))))))))))))))))))))))))))))</f>
        <v>Compact Disc</v>
      </c>
    </row>
    <row r="4" spans="1:14" ht="27" customHeight="1" x14ac:dyDescent="0.25">
      <c r="A4" s="10" t="str">
        <f ca="1">TEXT( INDIRECT( ADDRESS( ROW() + Row_Offset, INDIRECT( "Column_Number_" &amp; A$1), 4,1, tabname) ), "")</f>
        <v/>
      </c>
      <c r="B4" s="10" t="str">
        <f ca="1">TEXT(  IFERROR( VLOOKUP( $D4, CollName_Simplifier_Table[], 2, FALSE),"") &amp;
        INDIRECT( ADDRESS( ROW() + Row_Offset, INDIRECT( "Column_Number_" &amp; $B$1), 4,1, tabname) ), "")</f>
        <v>516 BHATT</v>
      </c>
      <c r="C4" s="10" t="str">
        <f ca="1">TEXT( INDIRECT( ADDRESS( ROW() + Row_Offset, INDIRECT( "Column_Number_" &amp; C$1), 4,1, tabname) ), "")</f>
        <v>Geometry</v>
      </c>
      <c r="D4" s="10" t="str">
        <f ca="1">TEXT( INDIRECT( ADDRESS( ROW() + Row_Offset, INDIRECT( "Column_Number_" &amp; D$1), 4,1, tabname) ), "")</f>
        <v>Nonfiction</v>
      </c>
      <c r="E4" s="10" t="str">
        <f ca="1">TEXT( INDIRECT( ADDRESS( ROW() + Row_Offset, INDIRECT( "Column_Number_" &amp; E$1), 4,1, tabname) ), "####")</f>
        <v>2014</v>
      </c>
      <c r="F4" s="15"/>
      <c r="G4" s="22">
        <f ca="1">IFERROR(INDEX(Rank_Table[],MATCH($D4&amp;$A4,Table4[Join],0)),"")</f>
        <v>5</v>
      </c>
      <c r="H4" s="11" t="str">
        <f ca="1">IF(AND(D4="Juvenile Audiobook",LEFT(B4,8)="J CD BIO"),RIGHT(B4,LEN(B4)-9),
IF(AND(D4="Juvenile Audiobook",LEFT(B4,8)="J CD FIC"),B4,
IF(D4="Juvenile Audiobook",RIGHT(B4,LEN(B4)-5),
IF(AND(D4="Teen Audiobook",LEFT(B4,11)="TEEN CD BIO"),RIGHT(B4,LEN(B4)-12),
IF(AND(D4="Teen Audiobook",LEFT(B4,11)="TEEN CD FIC"),B4,
IF(D4="Juvenile Audiobook",RIGHT(B4,LEN(B4)-8),
IF(D4="Juvenile Nonfiction",RIGHT(B4,LEN(B4)-2),
IF(D4="Teen Nonfiction",RIGHT(B4,LEN(B4)-5),
IF(AND(D4="Audiobook",
              NOT(OR(Contains($B4,"CD BIO"),Contains($B4,"CD FIC")))),RIGHT(B4,LEN(B4)-3),
IF(D4="Juvenile Biography",RIGHT(B4,LEN(B4)-2),
IF(D4="Teen Biography",RIGHT(B4,LEN(B4)-5),
IF(AND(D4="Audiobook",
              IFERROR(FIND("BIO",$B4)&gt;0,FALSE)),RIGHT(B4,LEN(B4)-3),
IF(D4="Juvenile Large Type","J "&amp;RIGHT(B4,LEN(B4)-11),
IF(D4="Teen Large Type","TEEN "&amp;RIGHT(B4,LEN(B4)-14),
IF(D4="Reference",RIGHT(B4,LEN(B4)-4),
IF(D4="DVD Educational",RIGHT(B4,LEN(B4)-7),
IF(D4="Juvenile DVD Educational",RIGHT(B4,LEN(B4)-9),
B4)))))))))))))))))</f>
        <v>516 BHATT</v>
      </c>
      <c r="N4" s="11" t="str">
        <f ca="1">IF(IFERROR(FIND("New",$A4)&gt;0,FALSE),"New ","") &amp; IF(IFERROR(FIND("In Lib",$A4)&gt;0,FALSE),"Reference ","") &amp;
IF(AND(D4="Audiobook",LEFT(B4,6)="CD BIO"),"Biography",
IF(AND(D4="Teen Audiobook",LEFT(B4,11)="TEEN CD BIO"),"Biography",
IF(AND(D4="Juvenile Audiobook",LEFT(B4,8)="J CD BIO"),"Biography",
IF(AND(D4="Audiobook",LEFT(B4,6)="CD FIC"),"Audiobook Fiction",
IF(AND(D4="Teen Audiobook",LEFT(B4,11)="TEEN CD FIC"),"Teen Audiobook",
IF(AND(D4="Juvenile Audiobook",LEFT(B4,8)="J CD FIC"),"Juvenile Audiobook",
IF(D4="Audiobook","Nonfiction",
IF(D4="Juvenile Audiobook","Nonfiction",
IF(D4="Teen Audiobook","Nonfiction",
IF(D4="Juvenile Nonfiction","Nonfiction",
IF(D4="Teen Nonfiction","Nonfiction",
IF(D4="Juvenile Biography","Biography",
IF(D4="Teen Biography","Biography",
IF(D4="ESL","Nonfiction",
IF(LEFT(B4,11)="INTL-VIE J ","International Juvenile",IF(LEFT(B4,11)="INTL-TAG J ","International Juvenile",IF(LEFT(B4,11)="INTL-RUS J ","International Juvenile",IF(LEFT(B4,11)="INTL-KOR J ","International Juvenile",IF(LEFT(B4,11)="INTL-JAP J ","International Juvenile",IF(LEFT(B4,11)="INTL-CHI J ","International Juvenile",IF(LEFT(B4,11)="INTL-SPA J ","International Juvenile",IF(LEFT(B4,14)="INTL-VIE TEEN ","International Teen",IF(LEFT(B4,14)="INTL-TAG TEEN ","International Teen",IF(LEFT(B4,14)="INTL-RUS TEEN ","International Teen",IF(LEFT(B4,14)="INTL-KOR TEEN ","International Teen",IF(LEFT(B4,14)="INTL-JAP TEEN ","International Teen",IF(LEFT(B4,14)="INTL-CHI TEEN ","International Teen",IF(LEFT(B4,14)="INTL-SPA TEEN ","International Teen",IF(LEFT(B4,11)="INTL-VIE E ","International Easy",IF(LEFT(B4,11)="INTL-TAG E ","International Easy",IF(LEFT(B4,11)="INTL-RUS E ","International Easy",IF(LEFT(B4,11)="INTL-JAP E ","International Easy",IF(LEFT(B4,11)="INTL-KOR E ","International Easy",IF(LEFT(B4,11)="INTL-CHI E ","International Easy",IF(LEFT(B4,11)="INTL-SPA E ","International Easy",
IF(D4="Teen Large Type","Teen Fiction",
IF(D4="Juvenile Large Type","Juvenile Fiction",
IF(LEFT(B4,6)="J CD O","Juvenile Compact Disc",
IF(AND(LEFT(B4,4)="TEEN",D4="Fiction"),"Teen Fiction",
IF(D4="DVD Educational","Nonfiction",
IF(D4="Juvenile DVD Educational","Nonfiction",
IF(D4="Reference","Nonfiction",
D4))))))))))))))))))))))))))))))))))))))))))</f>
        <v>Compact Disc</v>
      </c>
    </row>
    <row r="5" spans="1:14" ht="27" customHeight="1" x14ac:dyDescent="0.25">
      <c r="A5" s="10" t="str">
        <f ca="1">TEXT( INDIRECT( ADDRESS( ROW() + Row_Offset, INDIRECT( "Column_Number_" &amp; A$1), 4,1, tabname) ), "")</f>
        <v/>
      </c>
      <c r="B5" s="10" t="str">
        <f ca="1">TEXT(  IFERROR( VLOOKUP( $D5, CollName_Simplifier_Table[], 2, FALSE),"") &amp;
        INDIRECT( ADDRESS( ROW() + Row_Offset, INDIRECT( "Column_Number_" &amp; $B$1), 4,1, tabname) ), "")</f>
        <v>598.0723 ZALESKY</v>
      </c>
      <c r="C5" s="10" t="str">
        <f ca="1">TEXT( INDIRECT( ADDRESS( ROW() + Row_Offset, INDIRECT( "Column_Number_" &amp; C$1), 4,1, tabname) ), "")</f>
        <v>Birding in Snohomish County</v>
      </c>
      <c r="D5" s="10" t="str">
        <f ca="1">TEXT( INDIRECT( ADDRESS( ROW() + Row_Offset, INDIRECT( "Column_Number_" &amp; D$1), 4,1, tabname) ), "")</f>
        <v>Nonfiction</v>
      </c>
      <c r="E5" s="10" t="str">
        <f ca="1">TEXT( INDIRECT( ADDRESS( ROW() + Row_Offset, INDIRECT( "Column_Number_" &amp; E$1), 4,1, tabname) ), "####")</f>
        <v>2001</v>
      </c>
      <c r="F5" s="15"/>
      <c r="G5" s="22">
        <f ca="1">IFERROR(INDEX(Rank_Table[],MATCH($D5&amp;$A5,Table4[Join],0)),"")</f>
        <v>5</v>
      </c>
      <c r="H5" s="11" t="str">
        <f ca="1">IF(AND(D5="Juvenile Audiobook",LEFT(B5,8)="J CD BIO"),RIGHT(B5,LEN(B5)-9),
IF(AND(D5="Juvenile Audiobook",LEFT(B5,8)="J CD FIC"),B5,
IF(D5="Juvenile Audiobook",RIGHT(B5,LEN(B5)-5),
IF(AND(D5="Teen Audiobook",LEFT(B5,11)="TEEN CD BIO"),RIGHT(B5,LEN(B5)-12),
IF(AND(D5="Teen Audiobook",LEFT(B5,11)="TEEN CD FIC"),B5,
IF(D5="Juvenile Audiobook",RIGHT(B5,LEN(B5)-8),
IF(D5="Juvenile Nonfiction",RIGHT(B5,LEN(B5)-2),
IF(D5="Teen Nonfiction",RIGHT(B5,LEN(B5)-5),
IF(AND(D5="Audiobook",
              NOT(OR(Contains($B5,"CD BIO"),Contains($B5,"CD FIC")))),RIGHT(B5,LEN(B5)-3),
IF(D5="Juvenile Biography",RIGHT(B5,LEN(B5)-2),
IF(D5="Teen Biography",RIGHT(B5,LEN(B5)-5),
IF(AND(D5="Audiobook",
              IFERROR(FIND("BIO",$B5)&gt;0,FALSE)),RIGHT(B5,LEN(B5)-3),
IF(D5="Juvenile Large Type","J "&amp;RIGHT(B5,LEN(B5)-11),
IF(D5="Teen Large Type","TEEN "&amp;RIGHT(B5,LEN(B5)-14),
IF(D5="Reference",RIGHT(B5,LEN(B5)-4),
IF(D5="DVD Educational",RIGHT(B5,LEN(B5)-7),
IF(D5="Juvenile DVD Educational",RIGHT(B5,LEN(B5)-9),
B5)))))))))))))))))</f>
        <v>598.0723 ZALESKY</v>
      </c>
      <c r="N5" s="11" t="str">
        <f ca="1">IF(IFERROR(FIND("New",$A5)&gt;0,FALSE),"New ","") &amp; IF(IFERROR(FIND("In Lib",$A5)&gt;0,FALSE),"Reference ","") &amp;
IF(AND(D5="Audiobook",LEFT(B5,6)="CD BIO"),"Biography",
IF(AND(D5="Teen Audiobook",LEFT(B5,11)="TEEN CD BIO"),"Biography",
IF(AND(D5="Juvenile Audiobook",LEFT(B5,8)="J CD BIO"),"Biography",
IF(AND(D5="Audiobook",LEFT(B5,6)="CD FIC"),"Audiobook Fiction",
IF(AND(D5="Teen Audiobook",LEFT(B5,11)="TEEN CD FIC"),"Teen Audiobook",
IF(AND(D5="Juvenile Audiobook",LEFT(B5,8)="J CD FIC"),"Juvenile Audiobook",
IF(D5="Audiobook","Nonfiction",
IF(D5="Juvenile Audiobook","Nonfiction",
IF(D5="Teen Audiobook","Nonfiction",
IF(D5="Juvenile Nonfiction","Nonfiction",
IF(D5="Teen Nonfiction","Nonfiction",
IF(D5="Juvenile Biography","Biography",
IF(D5="Teen Biography","Biography",
IF(D5="ESL","Nonfiction",
IF(LEFT(B5,11)="INTL-VIE J ","International Juvenile",IF(LEFT(B5,11)="INTL-TAG J ","International Juvenile",IF(LEFT(B5,11)="INTL-RUS J ","International Juvenile",IF(LEFT(B5,11)="INTL-KOR J ","International Juvenile",IF(LEFT(B5,11)="INTL-JAP J ","International Juvenile",IF(LEFT(B5,11)="INTL-CHI J ","International Juvenile",IF(LEFT(B5,11)="INTL-SPA J ","International Juvenile",IF(LEFT(B5,14)="INTL-VIE TEEN ","International Teen",IF(LEFT(B5,14)="INTL-TAG TEEN ","International Teen",IF(LEFT(B5,14)="INTL-RUS TEEN ","International Teen",IF(LEFT(B5,14)="INTL-KOR TEEN ","International Teen",IF(LEFT(B5,14)="INTL-JAP TEEN ","International Teen",IF(LEFT(B5,14)="INTL-CHI TEEN ","International Teen",IF(LEFT(B5,14)="INTL-SPA TEEN ","International Teen",IF(LEFT(B5,11)="INTL-VIE E ","International Easy",IF(LEFT(B5,11)="INTL-TAG E ","International Easy",IF(LEFT(B5,11)="INTL-RUS E ","International Easy",IF(LEFT(B5,11)="INTL-JAP E ","International Easy",IF(LEFT(B5,11)="INTL-KOR E ","International Easy",IF(LEFT(B5,11)="INTL-CHI E ","International Easy",IF(LEFT(B5,11)="INTL-SPA E ","International Easy",
IF(D5="Teen Large Type","Teen Fiction",
IF(D5="Juvenile Large Type","Juvenile Fiction",
IF(LEFT(B5,6)="J CD O","Juvenile Compact Disc",
IF(AND(LEFT(B5,4)="TEEN",D5="Fiction"),"Teen Fiction",
IF(D5="DVD Educational","Nonfiction",
IF(D5="Juvenile DVD Educational","Nonfiction",
IF(D5="Reference","Nonfiction",
D5))))))))))))))))))))))))))))))))))))))))))</f>
        <v>Compact Disc</v>
      </c>
    </row>
    <row r="6" spans="1:14" ht="27" customHeight="1" x14ac:dyDescent="0.25">
      <c r="A6" s="10" t="str">
        <f ca="1">TEXT( INDIRECT( ADDRESS( ROW() + Row_Offset, INDIRECT( "Column_Number_" &amp; A$1), 4,1, tabname) ), "")</f>
        <v/>
      </c>
      <c r="B6" s="10" t="str">
        <f ca="1">TEXT(  IFERROR( VLOOKUP( $D6, CollName_Simplifier_Table[], 2, FALSE),"") &amp;
        INDIRECT( ADDRESS( ROW() + Row_Offset, INDIRECT( "Column_Number_" &amp; $B$1), 4,1, tabname) ), "")</f>
        <v>641.5 MCGEE</v>
      </c>
      <c r="C6" s="10" t="str">
        <f ca="1">TEXT( INDIRECT( ADDRESS( ROW() + Row_Offset, INDIRECT( "Column_Number_" &amp; C$1), 4,1, tabname) ), "")</f>
        <v>On food and cooking : the science and lore of the kitchen</v>
      </c>
      <c r="D6" s="10" t="str">
        <f ca="1">TEXT( INDIRECT( ADDRESS( ROW() + Row_Offset, INDIRECT( "Column_Number_" &amp; D$1), 4,1, tabname) ), "")</f>
        <v>Nonfiction</v>
      </c>
      <c r="E6" s="10" t="str">
        <f ca="1">TEXT( INDIRECT( ADDRESS( ROW() + Row_Offset, INDIRECT( "Column_Number_" &amp; E$1), 4,1, tabname) ), "####")</f>
        <v>2004</v>
      </c>
      <c r="F6" s="15"/>
      <c r="G6" s="22">
        <f ca="1">IFERROR(INDEX(Rank_Table[],MATCH($D6&amp;$A6,Table4[Join],0)),"")</f>
        <v>5</v>
      </c>
      <c r="H6" s="11" t="str">
        <f ca="1">IF(AND(D6="Juvenile Audiobook",LEFT(B6,8)="J CD BIO"),RIGHT(B6,LEN(B6)-9),
IF(AND(D6="Juvenile Audiobook",LEFT(B6,8)="J CD FIC"),B6,
IF(D6="Juvenile Audiobook",RIGHT(B6,LEN(B6)-5),
IF(AND(D6="Teen Audiobook",LEFT(B6,11)="TEEN CD BIO"),RIGHT(B6,LEN(B6)-12),
IF(AND(D6="Teen Audiobook",LEFT(B6,11)="TEEN CD FIC"),B6,
IF(D6="Juvenile Audiobook",RIGHT(B6,LEN(B6)-8),
IF(D6="Juvenile Nonfiction",RIGHT(B6,LEN(B6)-2),
IF(D6="Teen Nonfiction",RIGHT(B6,LEN(B6)-5),
IF(AND(D6="Audiobook",
              NOT(OR(Contains($B6,"CD BIO"),Contains($B6,"CD FIC")))),RIGHT(B6,LEN(B6)-3),
IF(D6="Juvenile Biography",RIGHT(B6,LEN(B6)-2),
IF(D6="Teen Biography",RIGHT(B6,LEN(B6)-5),
IF(AND(D6="Audiobook",
              IFERROR(FIND("BIO",$B6)&gt;0,FALSE)),RIGHT(B6,LEN(B6)-3),
IF(D6="Juvenile Large Type","J "&amp;RIGHT(B6,LEN(B6)-11),
IF(D6="Teen Large Type","TEEN "&amp;RIGHT(B6,LEN(B6)-14),
IF(D6="Reference",RIGHT(B6,LEN(B6)-4),
IF(D6="DVD Educational",RIGHT(B6,LEN(B6)-7),
IF(D6="Juvenile DVD Educational",RIGHT(B6,LEN(B6)-9),
B6)))))))))))))))))</f>
        <v>641.5 MCGEE</v>
      </c>
      <c r="N6" s="11" t="str">
        <f ca="1">IF(IFERROR(FIND("New",$A6)&gt;0,FALSE),"New ","") &amp; IF(IFERROR(FIND("In Lib",$A6)&gt;0,FALSE),"Reference ","") &amp;
IF(AND(D6="Audiobook",LEFT(B6,6)="CD BIO"),"Biography",
IF(AND(D6="Teen Audiobook",LEFT(B6,11)="TEEN CD BIO"),"Biography",
IF(AND(D6="Juvenile Audiobook",LEFT(B6,8)="J CD BIO"),"Biography",
IF(AND(D6="Audiobook",LEFT(B6,6)="CD FIC"),"Audiobook Fiction",
IF(AND(D6="Teen Audiobook",LEFT(B6,11)="TEEN CD FIC"),"Teen Audiobook",
IF(AND(D6="Juvenile Audiobook",LEFT(B6,8)="J CD FIC"),"Juvenile Audiobook",
IF(D6="Audiobook","Nonfiction",
IF(D6="Juvenile Audiobook","Nonfiction",
IF(D6="Teen Audiobook","Nonfiction",
IF(D6="Juvenile Nonfiction","Nonfiction",
IF(D6="Teen Nonfiction","Nonfiction",
IF(D6="Juvenile Biography","Biography",
IF(D6="Teen Biography","Biography",
IF(D6="ESL","Nonfiction",
IF(LEFT(B6,11)="INTL-VIE J ","International Juvenile",IF(LEFT(B6,11)="INTL-TAG J ","International Juvenile",IF(LEFT(B6,11)="INTL-RUS J ","International Juvenile",IF(LEFT(B6,11)="INTL-KOR J ","International Juvenile",IF(LEFT(B6,11)="INTL-JAP J ","International Juvenile",IF(LEFT(B6,11)="INTL-CHI J ","International Juvenile",IF(LEFT(B6,11)="INTL-SPA J ","International Juvenile",IF(LEFT(B6,14)="INTL-VIE TEEN ","International Teen",IF(LEFT(B6,14)="INTL-TAG TEEN ","International Teen",IF(LEFT(B6,14)="INTL-RUS TEEN ","International Teen",IF(LEFT(B6,14)="INTL-KOR TEEN ","International Teen",IF(LEFT(B6,14)="INTL-JAP TEEN ","International Teen",IF(LEFT(B6,14)="INTL-CHI TEEN ","International Teen",IF(LEFT(B6,14)="INTL-SPA TEEN ","International Teen",IF(LEFT(B6,11)="INTL-VIE E ","International Easy",IF(LEFT(B6,11)="INTL-TAG E ","International Easy",IF(LEFT(B6,11)="INTL-RUS E ","International Easy",IF(LEFT(B6,11)="INTL-JAP E ","International Easy",IF(LEFT(B6,11)="INTL-KOR E ","International Easy",IF(LEFT(B6,11)="INTL-CHI E ","International Easy",IF(LEFT(B6,11)="INTL-SPA E ","International Easy",
IF(D6="Teen Large Type","Teen Fiction",
IF(D6="Juvenile Large Type","Juvenile Fiction",
IF(LEFT(B6,6)="J CD O","Juvenile Compact Disc",
IF(AND(LEFT(B6,4)="TEEN",D6="Fiction"),"Teen Fiction",
IF(D6="DVD Educational","Nonfiction",
IF(D6="Juvenile DVD Educational","Nonfiction",
IF(D6="Reference","Nonfiction",
D6))))))))))))))))))))))))))))))))))))))))))</f>
        <v>Compact Disc</v>
      </c>
    </row>
    <row r="7" spans="1:14" ht="27" customHeight="1" x14ac:dyDescent="0.25">
      <c r="A7" s="10" t="str">
        <f ca="1">TEXT( INDIRECT( ADDRESS( ROW() + Row_Offset, INDIRECT( "Column_Number_" &amp; A$1), 4,1, tabname) ), "")</f>
        <v/>
      </c>
      <c r="B7" s="10" t="str">
        <f ca="1">TEXT(  IFERROR( VLOOKUP( $D7, CollName_Simplifier_Table[], 2, FALSE),"") &amp;
        INDIRECT( ADDRESS( ROW() + Row_Offset, INDIRECT( "Column_Number_" &amp; $B$1), 4,1, tabname) ), "")</f>
        <v>641.5638 HEALTHY</v>
      </c>
      <c r="C7" s="10" t="str">
        <f ca="1">TEXT( INDIRECT( ADDRESS( ROW() + Row_Offset, INDIRECT( "Column_Number_" &amp; C$1), 4,1, tabname) ), "")</f>
        <v>Healthy slow cooker cookbook : 200 low-fuss, good-for-you recipes</v>
      </c>
      <c r="D7" s="10" t="str">
        <f ca="1">TEXT( INDIRECT( ADDRESS( ROW() + Row_Offset, INDIRECT( "Column_Number_" &amp; D$1), 4,1, tabname) ), "")</f>
        <v>Nonfiction</v>
      </c>
      <c r="E7" s="10" t="str">
        <f ca="1">TEXT( INDIRECT( ADDRESS( ROW() + Row_Offset, INDIRECT( "Column_Number_" &amp; E$1), 4,1, tabname) ), "####")</f>
        <v>2012</v>
      </c>
      <c r="F7" s="15"/>
      <c r="G7" s="22">
        <f ca="1">IFERROR(INDEX(Rank_Table[],MATCH($D7&amp;$A7,Table4[Join],0)),"")</f>
        <v>5</v>
      </c>
      <c r="H7" s="11" t="str">
        <f ca="1">IF(AND(D7="Juvenile Audiobook",LEFT(B7,8)="J CD BIO"),RIGHT(B7,LEN(B7)-9),
IF(AND(D7="Juvenile Audiobook",LEFT(B7,8)="J CD FIC"),B7,
IF(D7="Juvenile Audiobook",RIGHT(B7,LEN(B7)-5),
IF(AND(D7="Teen Audiobook",LEFT(B7,11)="TEEN CD BIO"),RIGHT(B7,LEN(B7)-12),
IF(AND(D7="Teen Audiobook",LEFT(B7,11)="TEEN CD FIC"),B7,
IF(D7="Juvenile Audiobook",RIGHT(B7,LEN(B7)-8),
IF(D7="Juvenile Nonfiction",RIGHT(B7,LEN(B7)-2),
IF(D7="Teen Nonfiction",RIGHT(B7,LEN(B7)-5),
IF(AND(D7="Audiobook",
              NOT(OR(Contains($B7,"CD BIO"),Contains($B7,"CD FIC")))),RIGHT(B7,LEN(B7)-3),
IF(D7="Juvenile Biography",RIGHT(B7,LEN(B7)-2),
IF(D7="Teen Biography",RIGHT(B7,LEN(B7)-5),
IF(AND(D7="Audiobook",
              IFERROR(FIND("BIO",$B7)&gt;0,FALSE)),RIGHT(B7,LEN(B7)-3),
IF(D7="Juvenile Large Type","J "&amp;RIGHT(B7,LEN(B7)-11),
IF(D7="Teen Large Type","TEEN "&amp;RIGHT(B7,LEN(B7)-14),
IF(D7="Reference",RIGHT(B7,LEN(B7)-4),
IF(D7="DVD Educational",RIGHT(B7,LEN(B7)-7),
IF(D7="Juvenile DVD Educational",RIGHT(B7,LEN(B7)-9),
B7)))))))))))))))))</f>
        <v>641.5638 HEALTHY</v>
      </c>
      <c r="N7" s="11" t="str">
        <f ca="1">IF(IFERROR(FIND("New",$A7)&gt;0,FALSE),"New ","") &amp; IF(IFERROR(FIND("In Lib",$A7)&gt;0,FALSE),"Reference ","") &amp;
IF(AND(D7="Audiobook",LEFT(B7,6)="CD BIO"),"Biography",
IF(AND(D7="Teen Audiobook",LEFT(B7,11)="TEEN CD BIO"),"Biography",
IF(AND(D7="Juvenile Audiobook",LEFT(B7,8)="J CD BIO"),"Biography",
IF(AND(D7="Audiobook",LEFT(B7,6)="CD FIC"),"Audiobook Fiction",
IF(AND(D7="Teen Audiobook",LEFT(B7,11)="TEEN CD FIC"),"Teen Audiobook",
IF(AND(D7="Juvenile Audiobook",LEFT(B7,8)="J CD FIC"),"Juvenile Audiobook",
IF(D7="Audiobook","Nonfiction",
IF(D7="Juvenile Audiobook","Nonfiction",
IF(D7="Teen Audiobook","Nonfiction",
IF(D7="Juvenile Nonfiction","Nonfiction",
IF(D7="Teen Nonfiction","Nonfiction",
IF(D7="Juvenile Biography","Biography",
IF(D7="Teen Biography","Biography",
IF(D7="ESL","Nonfiction",
IF(LEFT(B7,11)="INTL-VIE J ","International Juvenile",IF(LEFT(B7,11)="INTL-TAG J ","International Juvenile",IF(LEFT(B7,11)="INTL-RUS J ","International Juvenile",IF(LEFT(B7,11)="INTL-KOR J ","International Juvenile",IF(LEFT(B7,11)="INTL-JAP J ","International Juvenile",IF(LEFT(B7,11)="INTL-CHI J ","International Juvenile",IF(LEFT(B7,11)="INTL-SPA J ","International Juvenile",IF(LEFT(B7,14)="INTL-VIE TEEN ","International Teen",IF(LEFT(B7,14)="INTL-TAG TEEN ","International Teen",IF(LEFT(B7,14)="INTL-RUS TEEN ","International Teen",IF(LEFT(B7,14)="INTL-KOR TEEN ","International Teen",IF(LEFT(B7,14)="INTL-JAP TEEN ","International Teen",IF(LEFT(B7,14)="INTL-CHI TEEN ","International Teen",IF(LEFT(B7,14)="INTL-SPA TEEN ","International Teen",IF(LEFT(B7,11)="INTL-VIE E ","International Easy",IF(LEFT(B7,11)="INTL-TAG E ","International Easy",IF(LEFT(B7,11)="INTL-RUS E ","International Easy",IF(LEFT(B7,11)="INTL-JAP E ","International Easy",IF(LEFT(B7,11)="INTL-KOR E ","International Easy",IF(LEFT(B7,11)="INTL-CHI E ","International Easy",IF(LEFT(B7,11)="INTL-SPA E ","International Easy",
IF(D7="Teen Large Type","Teen Fiction",
IF(D7="Juvenile Large Type","Juvenile Fiction",
IF(LEFT(B7,6)="J CD O","Juvenile Compact Disc",
IF(AND(LEFT(B7,4)="TEEN",D7="Fiction"),"Teen Fiction",
IF(D7="DVD Educational","Nonfiction",
IF(D7="Juvenile DVD Educational","Nonfiction",
IF(D7="Reference","Nonfiction",
D7))))))))))))))))))))))))))))))))))))))))))</f>
        <v>DVD Drama</v>
      </c>
    </row>
    <row r="8" spans="1:14" ht="27" customHeight="1" x14ac:dyDescent="0.25">
      <c r="A8" s="10" t="str">
        <f ca="1">TEXT( INDIRECT( ADDRESS( ROW() + Row_Offset, INDIRECT( "Column_Number_" &amp; A$1), 4,1, tabname) ), "")</f>
        <v/>
      </c>
      <c r="B8" s="10" t="str">
        <f ca="1">TEXT(  IFERROR( VLOOKUP( $D8, CollName_Simplifier_Table[], 2, FALSE),"") &amp;
        INDIRECT( ADDRESS( ROW() + Row_Offset, INDIRECT( "Column_Number_" &amp; $B$1), 4,1, tabname) ), "")</f>
        <v>759.13 VALLEJO</v>
      </c>
      <c r="C8" s="10" t="str">
        <f ca="1">TEXT( INDIRECT( ADDRESS( ROW() + Row_Offset, INDIRECT( "Column_Number_" &amp; C$1), 4,1, tabname) ), "")</f>
        <v>Imaginistix : the art of Boris Vallejo and Julie Bell</v>
      </c>
      <c r="D8" s="10" t="str">
        <f ca="1">TEXT( INDIRECT( ADDRESS( ROW() + Row_Offset, INDIRECT( "Column_Number_" &amp; D$1), 4,1, tabname) ), "")</f>
        <v>Nonfiction</v>
      </c>
      <c r="E8" s="10" t="str">
        <f ca="1">TEXT( INDIRECT( ADDRESS( ROW() + Row_Offset, INDIRECT( "Column_Number_" &amp; E$1), 4,1, tabname) ), "####")</f>
        <v>2007</v>
      </c>
      <c r="F8" s="15"/>
      <c r="G8" s="22">
        <f ca="1">IFERROR(INDEX(Rank_Table[],MATCH($D8&amp;$A8,Table4[Join],0)),"")</f>
        <v>5</v>
      </c>
      <c r="H8" s="11" t="str">
        <f ca="1">IF(AND(D8="Juvenile Audiobook",LEFT(B8,8)="J CD BIO"),RIGHT(B8,LEN(B8)-9),
IF(AND(D8="Juvenile Audiobook",LEFT(B8,8)="J CD FIC"),B8,
IF(D8="Juvenile Audiobook",RIGHT(B8,LEN(B8)-5),
IF(AND(D8="Teen Audiobook",LEFT(B8,11)="TEEN CD BIO"),RIGHT(B8,LEN(B8)-12),
IF(AND(D8="Teen Audiobook",LEFT(B8,11)="TEEN CD FIC"),B8,
IF(D8="Juvenile Audiobook",RIGHT(B8,LEN(B8)-8),
IF(D8="Juvenile Nonfiction",RIGHT(B8,LEN(B8)-2),
IF(D8="Teen Nonfiction",RIGHT(B8,LEN(B8)-5),
IF(AND(D8="Audiobook",
              NOT(OR(Contains($B8,"CD BIO"),Contains($B8,"CD FIC")))),RIGHT(B8,LEN(B8)-3),
IF(D8="Juvenile Biography",RIGHT(B8,LEN(B8)-2),
IF(D8="Teen Biography",RIGHT(B8,LEN(B8)-5),
IF(AND(D8="Audiobook",
              IFERROR(FIND("BIO",$B8)&gt;0,FALSE)),RIGHT(B8,LEN(B8)-3),
IF(D8="Juvenile Large Type","J "&amp;RIGHT(B8,LEN(B8)-11),
IF(D8="Teen Large Type","TEEN "&amp;RIGHT(B8,LEN(B8)-14),
IF(D8="Reference",RIGHT(B8,LEN(B8)-4),
IF(D8="DVD Educational",RIGHT(B8,LEN(B8)-7),
IF(D8="Juvenile DVD Educational",RIGHT(B8,LEN(B8)-9),
B8)))))))))))))))))</f>
        <v>759.13 VALLEJO</v>
      </c>
      <c r="N8" s="11" t="str">
        <f ca="1">IF(IFERROR(FIND("New",$A8)&gt;0,FALSE),"New ","") &amp; IF(IFERROR(FIND("In Lib",$A8)&gt;0,FALSE),"Reference ","") &amp;
IF(AND(D8="Audiobook",LEFT(B8,6)="CD BIO"),"Biography",
IF(AND(D8="Teen Audiobook",LEFT(B8,11)="TEEN CD BIO"),"Biography",
IF(AND(D8="Juvenile Audiobook",LEFT(B8,8)="J CD BIO"),"Biography",
IF(AND(D8="Audiobook",LEFT(B8,6)="CD FIC"),"Audiobook Fiction",
IF(AND(D8="Teen Audiobook",LEFT(B8,11)="TEEN CD FIC"),"Teen Audiobook",
IF(AND(D8="Juvenile Audiobook",LEFT(B8,8)="J CD FIC"),"Juvenile Audiobook",
IF(D8="Audiobook","Nonfiction",
IF(D8="Juvenile Audiobook","Nonfiction",
IF(D8="Teen Audiobook","Nonfiction",
IF(D8="Juvenile Nonfiction","Nonfiction",
IF(D8="Teen Nonfiction","Nonfiction",
IF(D8="Juvenile Biography","Biography",
IF(D8="Teen Biography","Biography",
IF(D8="ESL","Nonfiction",
IF(LEFT(B8,11)="INTL-VIE J ","International Juvenile",IF(LEFT(B8,11)="INTL-TAG J ","International Juvenile",IF(LEFT(B8,11)="INTL-RUS J ","International Juvenile",IF(LEFT(B8,11)="INTL-KOR J ","International Juvenile",IF(LEFT(B8,11)="INTL-JAP J ","International Juvenile",IF(LEFT(B8,11)="INTL-CHI J ","International Juvenile",IF(LEFT(B8,11)="INTL-SPA J ","International Juvenile",IF(LEFT(B8,14)="INTL-VIE TEEN ","International Teen",IF(LEFT(B8,14)="INTL-TAG TEEN ","International Teen",IF(LEFT(B8,14)="INTL-RUS TEEN ","International Teen",IF(LEFT(B8,14)="INTL-KOR TEEN ","International Teen",IF(LEFT(B8,14)="INTL-JAP TEEN ","International Teen",IF(LEFT(B8,14)="INTL-CHI TEEN ","International Teen",IF(LEFT(B8,14)="INTL-SPA TEEN ","International Teen",IF(LEFT(B8,11)="INTL-VIE E ","International Easy",IF(LEFT(B8,11)="INTL-TAG E ","International Easy",IF(LEFT(B8,11)="INTL-RUS E ","International Easy",IF(LEFT(B8,11)="INTL-JAP E ","International Easy",IF(LEFT(B8,11)="INTL-KOR E ","International Easy",IF(LEFT(B8,11)="INTL-CHI E ","International Easy",IF(LEFT(B8,11)="INTL-SPA E ","International Easy",
IF(D8="Teen Large Type","Teen Fiction",
IF(D8="Juvenile Large Type","Juvenile Fiction",
IF(LEFT(B8,6)="J CD O","Juvenile Compact Disc",
IF(AND(LEFT(B8,4)="TEEN",D8="Fiction"),"Teen Fiction",
IF(D8="DVD Educational","Nonfiction",
IF(D8="Juvenile DVD Educational","Nonfiction",
IF(D8="Reference","Nonfiction",
D8))))))))))))))))))))))))))))))))))))))))))</f>
        <v>DVD Drama</v>
      </c>
    </row>
    <row r="9" spans="1:14" ht="27" customHeight="1" x14ac:dyDescent="0.25">
      <c r="A9" s="10" t="str">
        <f ca="1">TEXT( INDIRECT( ADDRESS( ROW() + Row_Offset, INDIRECT( "Column_Number_" &amp; A$1), 4,1, tabname) ), "")</f>
        <v/>
      </c>
      <c r="B9" s="10" t="str">
        <f ca="1">TEXT(  IFERROR( VLOOKUP( $D9, CollName_Simplifier_Table[], 2, FALSE),"") &amp;
        INDIRECT( ADDRESS( ROW() + Row_Offset, INDIRECT( "Column_Number_" &amp; $B$1), 4,1, tabname) ), "")</f>
        <v>781.11 CAMPBEL</v>
      </c>
      <c r="C9" s="10" t="str">
        <f ca="1">TEXT( INDIRECT( ADDRESS( ROW() + Row_Offset, INDIRECT( "Column_Number_" &amp; C$1), 4,1, tabname) ), "")</f>
        <v>Healing at the speed of sound : how what we hear transforms our brains and our lives</v>
      </c>
      <c r="D9" s="10" t="str">
        <f ca="1">TEXT( INDIRECT( ADDRESS( ROW() + Row_Offset, INDIRECT( "Column_Number_" &amp; D$1), 4,1, tabname) ), "")</f>
        <v>Nonfiction</v>
      </c>
      <c r="E9" s="10" t="str">
        <f ca="1">TEXT( INDIRECT( ADDRESS( ROW() + Row_Offset, INDIRECT( "Column_Number_" &amp; E$1), 4,1, tabname) ), "####")</f>
        <v>2011</v>
      </c>
      <c r="F9" s="15"/>
      <c r="G9" s="22">
        <f ca="1">IFERROR(INDEX(Rank_Table[],MATCH($D9&amp;$A9,Table4[Join],0)),"")</f>
        <v>5</v>
      </c>
      <c r="H9" s="11" t="str">
        <f ca="1">IF(AND(D9="Juvenile Audiobook",LEFT(B9,8)="J CD BIO"),RIGHT(B9,LEN(B9)-9),
IF(AND(D9="Juvenile Audiobook",LEFT(B9,8)="J CD FIC"),B9,
IF(D9="Juvenile Audiobook",RIGHT(B9,LEN(B9)-5),
IF(AND(D9="Teen Audiobook",LEFT(B9,11)="TEEN CD BIO"),RIGHT(B9,LEN(B9)-12),
IF(AND(D9="Teen Audiobook",LEFT(B9,11)="TEEN CD FIC"),B9,
IF(D9="Juvenile Audiobook",RIGHT(B9,LEN(B9)-8),
IF(D9="Juvenile Nonfiction",RIGHT(B9,LEN(B9)-2),
IF(D9="Teen Nonfiction",RIGHT(B9,LEN(B9)-5),
IF(AND(D9="Audiobook",
              NOT(OR(Contains($B9,"CD BIO"),Contains($B9,"CD FIC")))),RIGHT(B9,LEN(B9)-3),
IF(D9="Juvenile Biography",RIGHT(B9,LEN(B9)-2),
IF(D9="Teen Biography",RIGHT(B9,LEN(B9)-5),
IF(AND(D9="Audiobook",
              IFERROR(FIND("BIO",$B9)&gt;0,FALSE)),RIGHT(B9,LEN(B9)-3),
IF(D9="Juvenile Large Type","J "&amp;RIGHT(B9,LEN(B9)-11),
IF(D9="Teen Large Type","TEEN "&amp;RIGHT(B9,LEN(B9)-14),
IF(D9="Reference",RIGHT(B9,LEN(B9)-4),
IF(D9="DVD Educational",RIGHT(B9,LEN(B9)-7),
IF(D9="Juvenile DVD Educational",RIGHT(B9,LEN(B9)-9),
B9)))))))))))))))))</f>
        <v>781.11 CAMPBEL</v>
      </c>
      <c r="N9" s="11" t="str">
        <f ca="1">IF(IFERROR(FIND("New",$A9)&gt;0,FALSE),"New ","") &amp; IF(IFERROR(FIND("In Lib",$A9)&gt;0,FALSE),"Reference ","") &amp;
IF(AND(D9="Audiobook",LEFT(B9,6)="CD BIO"),"Biography",
IF(AND(D9="Teen Audiobook",LEFT(B9,11)="TEEN CD BIO"),"Biography",
IF(AND(D9="Juvenile Audiobook",LEFT(B9,8)="J CD BIO"),"Biography",
IF(AND(D9="Audiobook",LEFT(B9,6)="CD FIC"),"Audiobook Fiction",
IF(AND(D9="Teen Audiobook",LEFT(B9,11)="TEEN CD FIC"),"Teen Audiobook",
IF(AND(D9="Juvenile Audiobook",LEFT(B9,8)="J CD FIC"),"Juvenile Audiobook",
IF(D9="Audiobook","Nonfiction",
IF(D9="Juvenile Audiobook","Nonfiction",
IF(D9="Teen Audiobook","Nonfiction",
IF(D9="Juvenile Nonfiction","Nonfiction",
IF(D9="Teen Nonfiction","Nonfiction",
IF(D9="Juvenile Biography","Biography",
IF(D9="Teen Biography","Biography",
IF(D9="ESL","Nonfiction",
IF(LEFT(B9,11)="INTL-VIE J ","International Juvenile",IF(LEFT(B9,11)="INTL-TAG J ","International Juvenile",IF(LEFT(B9,11)="INTL-RUS J ","International Juvenile",IF(LEFT(B9,11)="INTL-KOR J ","International Juvenile",IF(LEFT(B9,11)="INTL-JAP J ","International Juvenile",IF(LEFT(B9,11)="INTL-CHI J ","International Juvenile",IF(LEFT(B9,11)="INTL-SPA J ","International Juvenile",IF(LEFT(B9,14)="INTL-VIE TEEN ","International Teen",IF(LEFT(B9,14)="INTL-TAG TEEN ","International Teen",IF(LEFT(B9,14)="INTL-RUS TEEN ","International Teen",IF(LEFT(B9,14)="INTL-KOR TEEN ","International Teen",IF(LEFT(B9,14)="INTL-JAP TEEN ","International Teen",IF(LEFT(B9,14)="INTL-CHI TEEN ","International Teen",IF(LEFT(B9,14)="INTL-SPA TEEN ","International Teen",IF(LEFT(B9,11)="INTL-VIE E ","International Easy",IF(LEFT(B9,11)="INTL-TAG E ","International Easy",IF(LEFT(B9,11)="INTL-RUS E ","International Easy",IF(LEFT(B9,11)="INTL-JAP E ","International Easy",IF(LEFT(B9,11)="INTL-KOR E ","International Easy",IF(LEFT(B9,11)="INTL-CHI E ","International Easy",IF(LEFT(B9,11)="INTL-SPA E ","International Easy",
IF(D9="Teen Large Type","Teen Fiction",
IF(D9="Juvenile Large Type","Juvenile Fiction",
IF(LEFT(B9,6)="J CD O","Juvenile Compact Disc",
IF(AND(LEFT(B9,4)="TEEN",D9="Fiction"),"Teen Fiction",
IF(D9="DVD Educational","Nonfiction",
IF(D9="Juvenile DVD Educational","Nonfiction",
IF(D9="Reference","Nonfiction",
D9))))))))))))))))))))))))))))))))))))))))))</f>
        <v>Nonfiction</v>
      </c>
    </row>
    <row r="10" spans="1:14" ht="27" customHeight="1" x14ac:dyDescent="0.25">
      <c r="A10" s="10" t="str">
        <f ca="1">TEXT( INDIRECT( ADDRESS( ROW() + Row_Offset, INDIRECT( "Column_Number_" &amp; A$1), 4,1, tabname) ), "")</f>
        <v/>
      </c>
      <c r="B10" s="10" t="str">
        <f ca="1">TEXT(  IFERROR( VLOOKUP( $D10, CollName_Simplifier_Table[], 2, FALSE),"") &amp;
        INDIRECT( ADDRESS( ROW() + Row_Offset, INDIRECT( "Column_Number_" &amp; $B$1), 4,1, tabname) ), "")</f>
        <v>910.9164 BENEDET</v>
      </c>
      <c r="C10" s="10" t="str">
        <f ca="1">TEXT( INDIRECT( ADDRESS( ROW() + Row_Offset, INDIRECT( "Column_Number_" &amp; C$1), 4,1, tabname) ), "")</f>
        <v>Sailing into the abyss : a true story of extreme heroism on the high seas</v>
      </c>
      <c r="D10" s="10" t="str">
        <f ca="1">TEXT( INDIRECT( ADDRESS( ROW() + Row_Offset, INDIRECT( "Column_Number_" &amp; D$1), 4,1, tabname) ), "")</f>
        <v>Nonfiction</v>
      </c>
      <c r="E10" s="10" t="str">
        <f ca="1">TEXT( INDIRECT( ADDRESS( ROW() + Row_Offset, INDIRECT( "Column_Number_" &amp; E$1), 4,1, tabname) ), "####")</f>
        <v>2005</v>
      </c>
      <c r="F10" s="15"/>
      <c r="G10" s="22">
        <f ca="1">IFERROR(INDEX(Rank_Table[],MATCH($D10&amp;$A10,Table4[Join],0)),"")</f>
        <v>5</v>
      </c>
      <c r="H10" s="11" t="str">
        <f ca="1">IF(AND(D10="Juvenile Audiobook",LEFT(B10,8)="J CD BIO"),RIGHT(B10,LEN(B10)-9),
IF(AND(D10="Juvenile Audiobook",LEFT(B10,8)="J CD FIC"),B10,
IF(D10="Juvenile Audiobook",RIGHT(B10,LEN(B10)-5),
IF(AND(D10="Teen Audiobook",LEFT(B10,11)="TEEN CD BIO"),RIGHT(B10,LEN(B10)-12),
IF(AND(D10="Teen Audiobook",LEFT(B10,11)="TEEN CD FIC"),B10,
IF(D10="Juvenile Audiobook",RIGHT(B10,LEN(B10)-8),
IF(D10="Juvenile Nonfiction",RIGHT(B10,LEN(B10)-2),
IF(D10="Teen Nonfiction",RIGHT(B10,LEN(B10)-5),
IF(AND(D10="Audiobook",
              NOT(OR(Contains($B10,"CD BIO"),Contains($B10,"CD FIC")))),RIGHT(B10,LEN(B10)-3),
IF(D10="Juvenile Biography",RIGHT(B10,LEN(B10)-2),
IF(D10="Teen Biography",RIGHT(B10,LEN(B10)-5),
IF(AND(D10="Audiobook",
              IFERROR(FIND("BIO",$B10)&gt;0,FALSE)),RIGHT(B10,LEN(B10)-3),
IF(D10="Juvenile Large Type","J "&amp;RIGHT(B10,LEN(B10)-11),
IF(D10="Teen Large Type","TEEN "&amp;RIGHT(B10,LEN(B10)-14),
IF(D10="Reference",RIGHT(B10,LEN(B10)-4),
IF(D10="DVD Educational",RIGHT(B10,LEN(B10)-7),
IF(D10="Juvenile DVD Educational",RIGHT(B10,LEN(B10)-9),
B10)))))))))))))))))</f>
        <v>910.9164 BENEDET</v>
      </c>
      <c r="N10" s="11" t="str">
        <f ca="1">IF(IFERROR(FIND("New",$A10)&gt;0,FALSE),"New ","") &amp; IF(IFERROR(FIND("In Lib",$A10)&gt;0,FALSE),"Reference ","") &amp;
IF(AND(D10="Audiobook",LEFT(B10,6)="CD BIO"),"Biography",
IF(AND(D10="Teen Audiobook",LEFT(B10,11)="TEEN CD BIO"),"Biography",
IF(AND(D10="Juvenile Audiobook",LEFT(B10,8)="J CD BIO"),"Biography",
IF(AND(D10="Audiobook",LEFT(B10,6)="CD FIC"),"Audiobook Fiction",
IF(AND(D10="Teen Audiobook",LEFT(B10,11)="TEEN CD FIC"),"Teen Audiobook",
IF(AND(D10="Juvenile Audiobook",LEFT(B10,8)="J CD FIC"),"Juvenile Audiobook",
IF(D10="Audiobook","Nonfiction",
IF(D10="Juvenile Audiobook","Nonfiction",
IF(D10="Teen Audiobook","Nonfiction",
IF(D10="Juvenile Nonfiction","Nonfiction",
IF(D10="Teen Nonfiction","Nonfiction",
IF(D10="Juvenile Biography","Biography",
IF(D10="Teen Biography","Biography",
IF(D10="ESL","Nonfiction",
IF(LEFT(B10,11)="INTL-VIE J ","International Juvenile",IF(LEFT(B10,11)="INTL-TAG J ","International Juvenile",IF(LEFT(B10,11)="INTL-RUS J ","International Juvenile",IF(LEFT(B10,11)="INTL-KOR J ","International Juvenile",IF(LEFT(B10,11)="INTL-JAP J ","International Juvenile",IF(LEFT(B10,11)="INTL-CHI J ","International Juvenile",IF(LEFT(B10,11)="INTL-SPA J ","International Juvenile",IF(LEFT(B10,14)="INTL-VIE TEEN ","International Teen",IF(LEFT(B10,14)="INTL-TAG TEEN ","International Teen",IF(LEFT(B10,14)="INTL-RUS TEEN ","International Teen",IF(LEFT(B10,14)="INTL-KOR TEEN ","International Teen",IF(LEFT(B10,14)="INTL-JAP TEEN ","International Teen",IF(LEFT(B10,14)="INTL-CHI TEEN ","International Teen",IF(LEFT(B10,14)="INTL-SPA TEEN ","International Teen",IF(LEFT(B10,11)="INTL-VIE E ","International Easy",IF(LEFT(B10,11)="INTL-TAG E ","International Easy",IF(LEFT(B10,11)="INTL-RUS E ","International Easy",IF(LEFT(B10,11)="INTL-JAP E ","International Easy",IF(LEFT(B10,11)="INTL-KOR E ","International Easy",IF(LEFT(B10,11)="INTL-CHI E ","International Easy",IF(LEFT(B10,11)="INTL-SPA E ","International Easy",
IF(D10="Teen Large Type","Teen Fiction",
IF(D10="Juvenile Large Type","Juvenile Fiction",
IF(LEFT(B10,6)="J CD O","Juvenile Compact Disc",
IF(AND(LEFT(B10,4)="TEEN",D10="Fiction"),"Teen Fiction",
IF(D10="DVD Educational","Nonfiction",
IF(D10="Juvenile DVD Educational","Nonfiction",
IF(D10="Reference","Nonfiction",
D10))))))))))))))))))))))))))))))))))))))))))</f>
        <v>Nonfiction</v>
      </c>
    </row>
    <row r="11" spans="1:14" ht="27" customHeight="1" x14ac:dyDescent="0.25">
      <c r="A11" s="10" t="str">
        <f ca="1">TEXT( INDIRECT( ADDRESS( ROW() + Row_Offset, INDIRECT( "Column_Number_" &amp; A$1), 4,1, tabname) ), "")</f>
        <v/>
      </c>
      <c r="B11" s="10" t="str">
        <f ca="1">TEXT(  IFERROR( VLOOKUP( $D11, CollName_Simplifier_Table[], 2, FALSE),"") &amp;
        INDIRECT( ADDRESS( ROW() + Row_Offset, INDIRECT( "Column_Number_" &amp; $B$1), 4,1, tabname) ), "")</f>
        <v>938.0709 WATERFI</v>
      </c>
      <c r="C11" s="10" t="str">
        <f ca="1">TEXT( INDIRECT( ADDRESS( ROW() + Row_Offset, INDIRECT( "Column_Number_" &amp; C$1), 4,1, tabname) ), "")</f>
        <v>Dividing the spoils : the war for Alexander the Great's empire</v>
      </c>
      <c r="D11" s="10" t="str">
        <f ca="1">TEXT( INDIRECT( ADDRESS( ROW() + Row_Offset, INDIRECT( "Column_Number_" &amp; D$1), 4,1, tabname) ), "")</f>
        <v>Nonfiction</v>
      </c>
      <c r="E11" s="10" t="str">
        <f ca="1">TEXT( INDIRECT( ADDRESS( ROW() + Row_Offset, INDIRECT( "Column_Number_" &amp; E$1), 4,1, tabname) ), "####")</f>
        <v>2011</v>
      </c>
      <c r="F11" s="15"/>
      <c r="G11" s="22">
        <f ca="1">IFERROR(INDEX(Rank_Table[],MATCH($D11&amp;$A11,Table4[Join],0)),"")</f>
        <v>5</v>
      </c>
      <c r="H11" s="11" t="str">
        <f ca="1">IF(AND(D11="Juvenile Audiobook",LEFT(B11,8)="J CD BIO"),RIGHT(B11,LEN(B11)-9),
IF(AND(D11="Juvenile Audiobook",LEFT(B11,8)="J CD FIC"),B11,
IF(D11="Juvenile Audiobook",RIGHT(B11,LEN(B11)-5),
IF(AND(D11="Teen Audiobook",LEFT(B11,11)="TEEN CD BIO"),RIGHT(B11,LEN(B11)-12),
IF(AND(D11="Teen Audiobook",LEFT(B11,11)="TEEN CD FIC"),B11,
IF(D11="Juvenile Audiobook",RIGHT(B11,LEN(B11)-8),
IF(D11="Juvenile Nonfiction",RIGHT(B11,LEN(B11)-2),
IF(D11="Teen Nonfiction",RIGHT(B11,LEN(B11)-5),
IF(AND(D11="Audiobook",
              NOT(OR(Contains($B11,"CD BIO"),Contains($B11,"CD FIC")))),RIGHT(B11,LEN(B11)-3),
IF(D11="Juvenile Biography",RIGHT(B11,LEN(B11)-2),
IF(D11="Teen Biography",RIGHT(B11,LEN(B11)-5),
IF(AND(D11="Audiobook",
              IFERROR(FIND("BIO",$B11)&gt;0,FALSE)),RIGHT(B11,LEN(B11)-3),
IF(D11="Juvenile Large Type","J "&amp;RIGHT(B11,LEN(B11)-11),
IF(D11="Teen Large Type","TEEN "&amp;RIGHT(B11,LEN(B11)-14),
IF(D11="Reference",RIGHT(B11,LEN(B11)-4),
IF(D11="DVD Educational",RIGHT(B11,LEN(B11)-7),
IF(D11="Juvenile DVD Educational",RIGHT(B11,LEN(B11)-9),
B11)))))))))))))))))</f>
        <v>938.0709 WATERFI</v>
      </c>
      <c r="N11" s="11" t="str">
        <f ca="1">IF(IFERROR(FIND("New",$A11)&gt;0,FALSE),"New ","") &amp; IF(IFERROR(FIND("In Lib",$A11)&gt;0,FALSE),"Reference ","") &amp;
IF(AND(D11="Audiobook",LEFT(B11,6)="CD BIO"),"Biography",
IF(AND(D11="Teen Audiobook",LEFT(B11,11)="TEEN CD BIO"),"Biography",
IF(AND(D11="Juvenile Audiobook",LEFT(B11,8)="J CD BIO"),"Biography",
IF(AND(D11="Audiobook",LEFT(B11,6)="CD FIC"),"Audiobook Fiction",
IF(AND(D11="Teen Audiobook",LEFT(B11,11)="TEEN CD FIC"),"Teen Audiobook",
IF(AND(D11="Juvenile Audiobook",LEFT(B11,8)="J CD FIC"),"Juvenile Audiobook",
IF(D11="Audiobook","Nonfiction",
IF(D11="Juvenile Audiobook","Nonfiction",
IF(D11="Teen Audiobook","Nonfiction",
IF(D11="Juvenile Nonfiction","Nonfiction",
IF(D11="Teen Nonfiction","Nonfiction",
IF(D11="Juvenile Biography","Biography",
IF(D11="Teen Biography","Biography",
IF(D11="ESL","Nonfiction",
IF(LEFT(B11,11)="INTL-VIE J ","International Juvenile",IF(LEFT(B11,11)="INTL-TAG J ","International Juvenile",IF(LEFT(B11,11)="INTL-RUS J ","International Juvenile",IF(LEFT(B11,11)="INTL-KOR J ","International Juvenile",IF(LEFT(B11,11)="INTL-JAP J ","International Juvenile",IF(LEFT(B11,11)="INTL-CHI J ","International Juvenile",IF(LEFT(B11,11)="INTL-SPA J ","International Juvenile",IF(LEFT(B11,14)="INTL-VIE TEEN ","International Teen",IF(LEFT(B11,14)="INTL-TAG TEEN ","International Teen",IF(LEFT(B11,14)="INTL-RUS TEEN ","International Teen",IF(LEFT(B11,14)="INTL-KOR TEEN ","International Teen",IF(LEFT(B11,14)="INTL-JAP TEEN ","International Teen",IF(LEFT(B11,14)="INTL-CHI TEEN ","International Teen",IF(LEFT(B11,14)="INTL-SPA TEEN ","International Teen",IF(LEFT(B11,11)="INTL-VIE E ","International Easy",IF(LEFT(B11,11)="INTL-TAG E ","International Easy",IF(LEFT(B11,11)="INTL-RUS E ","International Easy",IF(LEFT(B11,11)="INTL-JAP E ","International Easy",IF(LEFT(B11,11)="INTL-KOR E ","International Easy",IF(LEFT(B11,11)="INTL-CHI E ","International Easy",IF(LEFT(B11,11)="INTL-SPA E ","International Easy",
IF(D11="Teen Large Type","Teen Fiction",
IF(D11="Juvenile Large Type","Juvenile Fiction",
IF(LEFT(B11,6)="J CD O","Juvenile Compact Disc",
IF(AND(LEFT(B11,4)="TEEN",D11="Fiction"),"Teen Fiction",
IF(D11="DVD Educational","Nonfiction",
IF(D11="Juvenile DVD Educational","Nonfiction",
IF(D11="Reference","Nonfiction",
D11))))))))))))))))))))))))))))))))))))))))))</f>
        <v>Nonfiction</v>
      </c>
    </row>
    <row r="12" spans="1:14" ht="27" customHeight="1" x14ac:dyDescent="0.25">
      <c r="A12" s="10" t="str">
        <f ca="1">TEXT( INDIRECT( ADDRESS( ROW() + Row_Offset, INDIRECT( "Column_Number_" &amp; A$1), 4,1, tabname) ), "")</f>
        <v/>
      </c>
      <c r="B12" s="10" t="str">
        <f ca="1">TEXT(  IFERROR( VLOOKUP( $D12, CollName_Simplifier_Table[], 2, FALSE),"") &amp;
        INDIRECT( ADDRESS( ROW() + Row_Offset, INDIRECT( "Column_Number_" &amp; $B$1), 4,1, tabname) ), "")</f>
        <v>973.932 SASLOW</v>
      </c>
      <c r="C12" s="10" t="str">
        <f ca="1">TEXT( INDIRECT( ADDRESS( ROW() + Row_Offset, INDIRECT( "Column_Number_" &amp; C$1), 4,1, tabname) ), "")</f>
        <v>Ten letters : the stories Americans tell their president</v>
      </c>
      <c r="D12" s="10" t="str">
        <f ca="1">TEXT( INDIRECT( ADDRESS( ROW() + Row_Offset, INDIRECT( "Column_Number_" &amp; D$1), 4,1, tabname) ), "")</f>
        <v>Nonfiction</v>
      </c>
      <c r="E12" s="10" t="str">
        <f ca="1">TEXT( INDIRECT( ADDRESS( ROW() + Row_Offset, INDIRECT( "Column_Number_" &amp; E$1), 4,1, tabname) ), "####")</f>
        <v>2011</v>
      </c>
      <c r="F12" s="15"/>
      <c r="G12" s="22">
        <f ca="1">IFERROR(INDEX(Rank_Table[],MATCH($D12&amp;$A12,Table4[Join],0)),"")</f>
        <v>5</v>
      </c>
      <c r="H12" s="11" t="str">
        <f ca="1">IF(AND(D12="Juvenile Audiobook",LEFT(B12,8)="J CD BIO"),RIGHT(B12,LEN(B12)-9),
IF(AND(D12="Juvenile Audiobook",LEFT(B12,8)="J CD FIC"),B12,
IF(D12="Juvenile Audiobook",RIGHT(B12,LEN(B12)-5),
IF(AND(D12="Teen Audiobook",LEFT(B12,11)="TEEN CD BIO"),RIGHT(B12,LEN(B12)-12),
IF(AND(D12="Teen Audiobook",LEFT(B12,11)="TEEN CD FIC"),B12,
IF(D12="Juvenile Audiobook",RIGHT(B12,LEN(B12)-8),
IF(D12="Juvenile Nonfiction",RIGHT(B12,LEN(B12)-2),
IF(D12="Teen Nonfiction",RIGHT(B12,LEN(B12)-5),
IF(AND(D12="Audiobook",
              NOT(OR(Contains($B12,"CD BIO"),Contains($B12,"CD FIC")))),RIGHT(B12,LEN(B12)-3),
IF(D12="Juvenile Biography",RIGHT(B12,LEN(B12)-2),
IF(D12="Teen Biography",RIGHT(B12,LEN(B12)-5),
IF(AND(D12="Audiobook",
              IFERROR(FIND("BIO",$B12)&gt;0,FALSE)),RIGHT(B12,LEN(B12)-3),
IF(D12="Juvenile Large Type","J "&amp;RIGHT(B12,LEN(B12)-11),
IF(D12="Teen Large Type","TEEN "&amp;RIGHT(B12,LEN(B12)-14),
IF(D12="Reference",RIGHT(B12,LEN(B12)-4),
IF(D12="DVD Educational",RIGHT(B12,LEN(B12)-7),
IF(D12="Juvenile DVD Educational",RIGHT(B12,LEN(B12)-9),
B12)))))))))))))))))</f>
        <v>973.932 SASLOW</v>
      </c>
      <c r="N12" s="11" t="str">
        <f ca="1">IF(IFERROR(FIND("New",$A12)&gt;0,FALSE),"New ","") &amp; IF(IFERROR(FIND("In Lib",$A12)&gt;0,FALSE),"Reference ","") &amp;
IF(AND(D12="Audiobook",LEFT(B12,6)="CD BIO"),"Biography",
IF(AND(D12="Teen Audiobook",LEFT(B12,11)="TEEN CD BIO"),"Biography",
IF(AND(D12="Juvenile Audiobook",LEFT(B12,8)="J CD BIO"),"Biography",
IF(AND(D12="Audiobook",LEFT(B12,6)="CD FIC"),"Audiobook Fiction",
IF(AND(D12="Teen Audiobook",LEFT(B12,11)="TEEN CD FIC"),"Teen Audiobook",
IF(AND(D12="Juvenile Audiobook",LEFT(B12,8)="J CD FIC"),"Juvenile Audiobook",
IF(D12="Audiobook","Nonfiction",
IF(D12="Juvenile Audiobook","Nonfiction",
IF(D12="Teen Audiobook","Nonfiction",
IF(D12="Juvenile Nonfiction","Nonfiction",
IF(D12="Teen Nonfiction","Nonfiction",
IF(D12="Juvenile Biography","Biography",
IF(D12="Teen Biography","Biography",
IF(D12="ESL","Nonfiction",
IF(LEFT(B12,11)="INTL-VIE J ","International Juvenile",IF(LEFT(B12,11)="INTL-TAG J ","International Juvenile",IF(LEFT(B12,11)="INTL-RUS J ","International Juvenile",IF(LEFT(B12,11)="INTL-KOR J ","International Juvenile",IF(LEFT(B12,11)="INTL-JAP J ","International Juvenile",IF(LEFT(B12,11)="INTL-CHI J ","International Juvenile",IF(LEFT(B12,11)="INTL-SPA J ","International Juvenile",IF(LEFT(B12,14)="INTL-VIE TEEN ","International Teen",IF(LEFT(B12,14)="INTL-TAG TEEN ","International Teen",IF(LEFT(B12,14)="INTL-RUS TEEN ","International Teen",IF(LEFT(B12,14)="INTL-KOR TEEN ","International Teen",IF(LEFT(B12,14)="INTL-JAP TEEN ","International Teen",IF(LEFT(B12,14)="INTL-CHI TEEN ","International Teen",IF(LEFT(B12,14)="INTL-SPA TEEN ","International Teen",IF(LEFT(B12,11)="INTL-VIE E ","International Easy",IF(LEFT(B12,11)="INTL-TAG E ","International Easy",IF(LEFT(B12,11)="INTL-RUS E ","International Easy",IF(LEFT(B12,11)="INTL-JAP E ","International Easy",IF(LEFT(B12,11)="INTL-KOR E ","International Easy",IF(LEFT(B12,11)="INTL-CHI E ","International Easy",IF(LEFT(B12,11)="INTL-SPA E ","International Easy",
IF(D12="Teen Large Type","Teen Fiction",
IF(D12="Juvenile Large Type","Juvenile Fiction",
IF(LEFT(B12,6)="J CD O","Juvenile Compact Disc",
IF(AND(LEFT(B12,4)="TEEN",D12="Fiction"),"Teen Fiction",
IF(D12="DVD Educational","Nonfiction",
IF(D12="Juvenile DVD Educational","Nonfiction",
IF(D12="Reference","Nonfiction",
D12))))))))))))))))))))))))))))))))))))))))))</f>
        <v>Nonfiction</v>
      </c>
    </row>
    <row r="13" spans="1:14" ht="27" customHeight="1" x14ac:dyDescent="0.25">
      <c r="A13" s="10" t="str">
        <f ca="1">TEXT( INDIRECT( ADDRESS( ROW() + Row_Offset, INDIRECT( "Column_Number_" &amp; A$1), 4,1, tabname) ), "")</f>
        <v/>
      </c>
      <c r="B13" s="10" t="str">
        <f ca="1">TEXT(  IFERROR( VLOOKUP( $D13, CollName_Simplifier_Table[], 2, FALSE),"") &amp;
        INDIRECT( ADDRESS( ROW() + Row_Offset, INDIRECT( "Column_Number_" &amp; $B$1), 4,1, tabname) ), "")</f>
        <v>DVD-ED 209 CUL3490</v>
      </c>
      <c r="C13" s="10" t="str">
        <f ca="1">TEXT( INDIRECT( ADDRESS( ROW() + Row_Offset, INDIRECT( "Column_Number_" &amp; C$1), 4,1, tabname) ), "")</f>
        <v>Cults dangerous devotion</v>
      </c>
      <c r="D13" s="10" t="str">
        <f ca="1">TEXT( INDIRECT( ADDRESS( ROW() + Row_Offset, INDIRECT( "Column_Number_" &amp; D$1), 4,1, tabname) ), "")</f>
        <v>DVD Educational</v>
      </c>
      <c r="E13" s="10" t="str">
        <f ca="1">TEXT( INDIRECT( ADDRESS( ROW() + Row_Offset, INDIRECT( "Column_Number_" &amp; E$1), 4,1, tabname) ), "####")</f>
        <v>2009</v>
      </c>
      <c r="F13" s="15"/>
      <c r="G13" s="22">
        <f ca="1">IFERROR(INDEX(Rank_Table[],MATCH($D13&amp;$A13,Table4[Join],0)),"")</f>
        <v>9</v>
      </c>
      <c r="H13" s="11" t="str">
        <f ca="1">IF(AND(D13="Juvenile Audiobook",LEFT(B13,8)="J CD BIO"),RIGHT(B13,LEN(B13)-9),
IF(AND(D13="Juvenile Audiobook",LEFT(B13,8)="J CD FIC"),B13,
IF(D13="Juvenile Audiobook",RIGHT(B13,LEN(B13)-5),
IF(AND(D13="Teen Audiobook",LEFT(B13,11)="TEEN CD BIO"),RIGHT(B13,LEN(B13)-12),
IF(AND(D13="Teen Audiobook",LEFT(B13,11)="TEEN CD FIC"),B13,
IF(D13="Juvenile Audiobook",RIGHT(B13,LEN(B13)-8),
IF(D13="Juvenile Nonfiction",RIGHT(B13,LEN(B13)-2),
IF(D13="Teen Nonfiction",RIGHT(B13,LEN(B13)-5),
IF(AND(D13="Audiobook",
              NOT(OR(Contains($B13,"CD BIO"),Contains($B13,"CD FIC")))),RIGHT(B13,LEN(B13)-3),
IF(D13="Juvenile Biography",RIGHT(B13,LEN(B13)-2),
IF(D13="Teen Biography",RIGHT(B13,LEN(B13)-5),
IF(AND(D13="Audiobook",
              IFERROR(FIND("BIO",$B13)&gt;0,FALSE)),RIGHT(B13,LEN(B13)-3),
IF(D13="Juvenile Large Type","J "&amp;RIGHT(B13,LEN(B13)-11),
IF(D13="Teen Large Type","TEEN "&amp;RIGHT(B13,LEN(B13)-14),
IF(D13="Reference",RIGHT(B13,LEN(B13)-4),
IF(D13="DVD Educational",RIGHT(B13,LEN(B13)-7),
IF(D13="Juvenile DVD Educational",RIGHT(B13,LEN(B13)-9),
B13)))))))))))))))))</f>
        <v>209 CUL3490</v>
      </c>
      <c r="N13" s="11" t="str">
        <f ca="1">IF(IFERROR(FIND("New",$A13)&gt;0,FALSE),"New ","") &amp; IF(IFERROR(FIND("In Lib",$A13)&gt;0,FALSE),"Reference ","") &amp;
IF(AND(D13="Audiobook",LEFT(B13,6)="CD BIO"),"Biography",
IF(AND(D13="Teen Audiobook",LEFT(B13,11)="TEEN CD BIO"),"Biography",
IF(AND(D13="Juvenile Audiobook",LEFT(B13,8)="J CD BIO"),"Biography",
IF(AND(D13="Audiobook",LEFT(B13,6)="CD FIC"),"Audiobook Fiction",
IF(AND(D13="Teen Audiobook",LEFT(B13,11)="TEEN CD FIC"),"Teen Audiobook",
IF(AND(D13="Juvenile Audiobook",LEFT(B13,8)="J CD FIC"),"Juvenile Audiobook",
IF(D13="Audiobook","Nonfiction",
IF(D13="Juvenile Audiobook","Nonfiction",
IF(D13="Teen Audiobook","Nonfiction",
IF(D13="Juvenile Nonfiction","Nonfiction",
IF(D13="Teen Nonfiction","Nonfiction",
IF(D13="Juvenile Biography","Biography",
IF(D13="Teen Biography","Biography",
IF(D13="ESL","Nonfiction",
IF(LEFT(B13,11)="INTL-VIE J ","International Juvenile",IF(LEFT(B13,11)="INTL-TAG J ","International Juvenile",IF(LEFT(B13,11)="INTL-RUS J ","International Juvenile",IF(LEFT(B13,11)="INTL-KOR J ","International Juvenile",IF(LEFT(B13,11)="INTL-JAP J ","International Juvenile",IF(LEFT(B13,11)="INTL-CHI J ","International Juvenile",IF(LEFT(B13,11)="INTL-SPA J ","International Juvenile",IF(LEFT(B13,14)="INTL-VIE TEEN ","International Teen",IF(LEFT(B13,14)="INTL-TAG TEEN ","International Teen",IF(LEFT(B13,14)="INTL-RUS TEEN ","International Teen",IF(LEFT(B13,14)="INTL-KOR TEEN ","International Teen",IF(LEFT(B13,14)="INTL-JAP TEEN ","International Teen",IF(LEFT(B13,14)="INTL-CHI TEEN ","International Teen",IF(LEFT(B13,14)="INTL-SPA TEEN ","International Teen",IF(LEFT(B13,11)="INTL-VIE E ","International Easy",IF(LEFT(B13,11)="INTL-TAG E ","International Easy",IF(LEFT(B13,11)="INTL-RUS E ","International Easy",IF(LEFT(B13,11)="INTL-JAP E ","International Easy",IF(LEFT(B13,11)="INTL-KOR E ","International Easy",IF(LEFT(B13,11)="INTL-CHI E ","International Easy",IF(LEFT(B13,11)="INTL-SPA E ","International Easy",
IF(D13="Teen Large Type","Teen Fiction",
IF(D13="Juvenile Large Type","Juvenile Fiction",
IF(LEFT(B13,6)="J CD O","Juvenile Compact Disc",
IF(AND(LEFT(B13,4)="TEEN",D13="Fiction"),"Teen Fiction",
IF(D13="DVD Educational","Nonfiction",
IF(D13="Juvenile DVD Educational","Nonfiction",
IF(D13="Reference","Nonfiction",
D13))))))))))))))))))))))))))))))))))))))))))</f>
        <v>DVD Television Series</v>
      </c>
    </row>
    <row r="14" spans="1:14" ht="27" customHeight="1" x14ac:dyDescent="0.25">
      <c r="A14" s="10" t="str">
        <f ca="1">TEXT( INDIRECT( ADDRESS( ROW() + Row_Offset, INDIRECT( "Column_Number_" &amp; A$1), 4,1, tabname) ), "")</f>
        <v/>
      </c>
      <c r="B14" s="10" t="str">
        <f ca="1">TEXT(  IFERROR( VLOOKUP( $D14, CollName_Simplifier_Table[], 2, FALSE),"") &amp;
        INDIRECT( ADDRESS( ROW() + Row_Offset, INDIRECT( "Column_Number_" &amp; $B$1), 4,1, tabname) ), "")</f>
        <v>DVD-ED 338.4762 SIL601</v>
      </c>
      <c r="C14" s="10" t="str">
        <f ca="1">TEXT( INDIRECT( ADDRESS( ROW() + Row_Offset, INDIRECT( "Column_Number_" &amp; C$1), 4,1, tabname) ), "")</f>
        <v>Silicon Valley</v>
      </c>
      <c r="D14" s="10" t="str">
        <f ca="1">TEXT( INDIRECT( ADDRESS( ROW() + Row_Offset, INDIRECT( "Column_Number_" &amp; D$1), 4,1, tabname) ), "")</f>
        <v>DVD Educational</v>
      </c>
      <c r="E14" s="10" t="str">
        <f ca="1">TEXT( INDIRECT( ADDRESS( ROW() + Row_Offset, INDIRECT( "Column_Number_" &amp; E$1), 4,1, tabname) ), "####")</f>
        <v>2013</v>
      </c>
      <c r="F14" s="15"/>
      <c r="G14" s="22">
        <f ca="1">IFERROR(INDEX(Rank_Table[],MATCH($D14&amp;$A14,Table4[Join],0)),"")</f>
        <v>9</v>
      </c>
      <c r="H14" s="11" t="str">
        <f ca="1">IF(AND(D14="Juvenile Audiobook",LEFT(B14,8)="J CD BIO"),RIGHT(B14,LEN(B14)-9),
IF(AND(D14="Juvenile Audiobook",LEFT(B14,8)="J CD FIC"),B14,
IF(D14="Juvenile Audiobook",RIGHT(B14,LEN(B14)-5),
IF(AND(D14="Teen Audiobook",LEFT(B14,11)="TEEN CD BIO"),RIGHT(B14,LEN(B14)-12),
IF(AND(D14="Teen Audiobook",LEFT(B14,11)="TEEN CD FIC"),B14,
IF(D14="Juvenile Audiobook",RIGHT(B14,LEN(B14)-8),
IF(D14="Juvenile Nonfiction",RIGHT(B14,LEN(B14)-2),
IF(D14="Teen Nonfiction",RIGHT(B14,LEN(B14)-5),
IF(AND(D14="Audiobook",
              NOT(OR(Contains($B14,"CD BIO"),Contains($B14,"CD FIC")))),RIGHT(B14,LEN(B14)-3),
IF(D14="Juvenile Biography",RIGHT(B14,LEN(B14)-2),
IF(D14="Teen Biography",RIGHT(B14,LEN(B14)-5),
IF(AND(D14="Audiobook",
              IFERROR(FIND("BIO",$B14)&gt;0,FALSE)),RIGHT(B14,LEN(B14)-3),
IF(D14="Juvenile Large Type","J "&amp;RIGHT(B14,LEN(B14)-11),
IF(D14="Teen Large Type","TEEN "&amp;RIGHT(B14,LEN(B14)-14),
IF(D14="Reference",RIGHT(B14,LEN(B14)-4),
IF(D14="DVD Educational",RIGHT(B14,LEN(B14)-7),
IF(D14="Juvenile DVD Educational",RIGHT(B14,LEN(B14)-9),
B14)))))))))))))))))</f>
        <v>338.4762 SIL601</v>
      </c>
      <c r="N14" s="11" t="str">
        <f ca="1">IF(IFERROR(FIND("New",$A14)&gt;0,FALSE),"New ","") &amp; IF(IFERROR(FIND("In Lib",$A14)&gt;0,FALSE),"Reference ","") &amp;
IF(AND(D14="Audiobook",LEFT(B14,6)="CD BIO"),"Biography",
IF(AND(D14="Teen Audiobook",LEFT(B14,11)="TEEN CD BIO"),"Biography",
IF(AND(D14="Juvenile Audiobook",LEFT(B14,8)="J CD BIO"),"Biography",
IF(AND(D14="Audiobook",LEFT(B14,6)="CD FIC"),"Audiobook Fiction",
IF(AND(D14="Teen Audiobook",LEFT(B14,11)="TEEN CD FIC"),"Teen Audiobook",
IF(AND(D14="Juvenile Audiobook",LEFT(B14,8)="J CD FIC"),"Juvenile Audiobook",
IF(D14="Audiobook","Nonfiction",
IF(D14="Juvenile Audiobook","Nonfiction",
IF(D14="Teen Audiobook","Nonfiction",
IF(D14="Juvenile Nonfiction","Nonfiction",
IF(D14="Teen Nonfiction","Nonfiction",
IF(D14="Juvenile Biography","Biography",
IF(D14="Teen Biography","Biography",
IF(D14="ESL","Nonfiction",
IF(LEFT(B14,11)="INTL-VIE J ","International Juvenile",IF(LEFT(B14,11)="INTL-TAG J ","International Juvenile",IF(LEFT(B14,11)="INTL-RUS J ","International Juvenile",IF(LEFT(B14,11)="INTL-KOR J ","International Juvenile",IF(LEFT(B14,11)="INTL-JAP J ","International Juvenile",IF(LEFT(B14,11)="INTL-CHI J ","International Juvenile",IF(LEFT(B14,11)="INTL-SPA J ","International Juvenile",IF(LEFT(B14,14)="INTL-VIE TEEN ","International Teen",IF(LEFT(B14,14)="INTL-TAG TEEN ","International Teen",IF(LEFT(B14,14)="INTL-RUS TEEN ","International Teen",IF(LEFT(B14,14)="INTL-KOR TEEN ","International Teen",IF(LEFT(B14,14)="INTL-JAP TEEN ","International Teen",IF(LEFT(B14,14)="INTL-CHI TEEN ","International Teen",IF(LEFT(B14,14)="INTL-SPA TEEN ","International Teen",IF(LEFT(B14,11)="INTL-VIE E ","International Easy",IF(LEFT(B14,11)="INTL-TAG E ","International Easy",IF(LEFT(B14,11)="INTL-RUS E ","International Easy",IF(LEFT(B14,11)="INTL-JAP E ","International Easy",IF(LEFT(B14,11)="INTL-KOR E ","International Easy",IF(LEFT(B14,11)="INTL-CHI E ","International Easy",IF(LEFT(B14,11)="INTL-SPA E ","International Easy",
IF(D14="Teen Large Type","Teen Fiction",
IF(D14="Juvenile Large Type","Juvenile Fiction",
IF(LEFT(B14,6)="J CD O","Juvenile Compact Disc",
IF(AND(LEFT(B14,4)="TEEN",D14="Fiction"),"Teen Fiction",
IF(D14="DVD Educational","Nonfiction",
IF(D14="Juvenile DVD Educational","Nonfiction",
IF(D14="Reference","Nonfiction",
D14))))))))))))))))))))))))))))))))))))))))))</f>
        <v>Easy Countdown</v>
      </c>
    </row>
    <row r="15" spans="1:14" ht="27" customHeight="1" x14ac:dyDescent="0.25">
      <c r="A15" s="10" t="str">
        <f ca="1">TEXT( INDIRECT( ADDRESS( ROW() + Row_Offset, INDIRECT( "Column_Number_" &amp; A$1), 4,1, tabname) ), "")</f>
        <v/>
      </c>
      <c r="B15" s="10" t="str">
        <f ca="1">TEXT(  IFERROR( VLOOKUP( $D15, CollName_Simplifier_Table[], 2, FALSE),"") &amp;
        INDIRECT( ADDRESS( ROW() + Row_Offset, INDIRECT( "Column_Number_" &amp; $B$1), 4,1, tabname) ), "")</f>
        <v>DVD-ED 512 ALG108</v>
      </c>
      <c r="C15" s="10" t="str">
        <f ca="1">TEXT( INDIRECT( ADDRESS( ROW() + Row_Offset, INDIRECT( "Column_Number_" &amp; C$1), 4,1, tabname) ), "")</f>
        <v>Algebra I DVD series. A1, Introduction to real numbers and variables</v>
      </c>
      <c r="D15" s="10" t="str">
        <f ca="1">TEXT( INDIRECT( ADDRESS( ROW() + Row_Offset, INDIRECT( "Column_Number_" &amp; D$1), 4,1, tabname) ), "")</f>
        <v>DVD Educational</v>
      </c>
      <c r="E15" s="10" t="str">
        <f ca="1">TEXT( INDIRECT( ADDRESS( ROW() + Row_Offset, INDIRECT( "Column_Number_" &amp; E$1), 4,1, tabname) ), "####")</f>
        <v>2007</v>
      </c>
      <c r="F15" s="15"/>
      <c r="G15" s="22">
        <f ca="1">IFERROR(INDEX(Rank_Table[],MATCH($D15&amp;$A15,Table4[Join],0)),"")</f>
        <v>9</v>
      </c>
      <c r="H15" s="11" t="str">
        <f ca="1">IF(AND(D15="Juvenile Audiobook",LEFT(B15,8)="J CD BIO"),RIGHT(B15,LEN(B15)-9),
IF(AND(D15="Juvenile Audiobook",LEFT(B15,8)="J CD FIC"),B15,
IF(D15="Juvenile Audiobook",RIGHT(B15,LEN(B15)-5),
IF(AND(D15="Teen Audiobook",LEFT(B15,11)="TEEN CD BIO"),RIGHT(B15,LEN(B15)-12),
IF(AND(D15="Teen Audiobook",LEFT(B15,11)="TEEN CD FIC"),B15,
IF(D15="Juvenile Audiobook",RIGHT(B15,LEN(B15)-8),
IF(D15="Juvenile Nonfiction",RIGHT(B15,LEN(B15)-2),
IF(D15="Teen Nonfiction",RIGHT(B15,LEN(B15)-5),
IF(AND(D15="Audiobook",
              NOT(OR(Contains($B15,"CD BIO"),Contains($B15,"CD FIC")))),RIGHT(B15,LEN(B15)-3),
IF(D15="Juvenile Biography",RIGHT(B15,LEN(B15)-2),
IF(D15="Teen Biography",RIGHT(B15,LEN(B15)-5),
IF(AND(D15="Audiobook",
              IFERROR(FIND("BIO",$B15)&gt;0,FALSE)),RIGHT(B15,LEN(B15)-3),
IF(D15="Juvenile Large Type","J "&amp;RIGHT(B15,LEN(B15)-11),
IF(D15="Teen Large Type","TEEN "&amp;RIGHT(B15,LEN(B15)-14),
IF(D15="Reference",RIGHT(B15,LEN(B15)-4),
IF(D15="DVD Educational",RIGHT(B15,LEN(B15)-7),
IF(D15="Juvenile DVD Educational",RIGHT(B15,LEN(B15)-9),
B15)))))))))))))))))</f>
        <v>512 ALG108</v>
      </c>
      <c r="N15" s="11" t="str">
        <f ca="1">IF(IFERROR(FIND("New",$A15)&gt;0,FALSE),"New ","") &amp; IF(IFERROR(FIND("In Lib",$A15)&gt;0,FALSE),"Reference ","") &amp;
IF(AND(D15="Audiobook",LEFT(B15,6)="CD BIO"),"Biography",
IF(AND(D15="Teen Audiobook",LEFT(B15,11)="TEEN CD BIO"),"Biography",
IF(AND(D15="Juvenile Audiobook",LEFT(B15,8)="J CD BIO"),"Biography",
IF(AND(D15="Audiobook",LEFT(B15,6)="CD FIC"),"Audiobook Fiction",
IF(AND(D15="Teen Audiobook",LEFT(B15,11)="TEEN CD FIC"),"Teen Audiobook",
IF(AND(D15="Juvenile Audiobook",LEFT(B15,8)="J CD FIC"),"Juvenile Audiobook",
IF(D15="Audiobook","Nonfiction",
IF(D15="Juvenile Audiobook","Nonfiction",
IF(D15="Teen Audiobook","Nonfiction",
IF(D15="Juvenile Nonfiction","Nonfiction",
IF(D15="Teen Nonfiction","Nonfiction",
IF(D15="Juvenile Biography","Biography",
IF(D15="Teen Biography","Biography",
IF(D15="ESL","Nonfiction",
IF(LEFT(B15,11)="INTL-VIE J ","International Juvenile",IF(LEFT(B15,11)="INTL-TAG J ","International Juvenile",IF(LEFT(B15,11)="INTL-RUS J ","International Juvenile",IF(LEFT(B15,11)="INTL-KOR J ","International Juvenile",IF(LEFT(B15,11)="INTL-JAP J ","International Juvenile",IF(LEFT(B15,11)="INTL-CHI J ","International Juvenile",IF(LEFT(B15,11)="INTL-SPA J ","International Juvenile",IF(LEFT(B15,14)="INTL-VIE TEEN ","International Teen",IF(LEFT(B15,14)="INTL-TAG TEEN ","International Teen",IF(LEFT(B15,14)="INTL-RUS TEEN ","International Teen",IF(LEFT(B15,14)="INTL-KOR TEEN ","International Teen",IF(LEFT(B15,14)="INTL-JAP TEEN ","International Teen",IF(LEFT(B15,14)="INTL-CHI TEEN ","International Teen",IF(LEFT(B15,14)="INTL-SPA TEEN ","International Teen",IF(LEFT(B15,11)="INTL-VIE E ","International Easy",IF(LEFT(B15,11)="INTL-TAG E ","International Easy",IF(LEFT(B15,11)="INTL-RUS E ","International Easy",IF(LEFT(B15,11)="INTL-JAP E ","International Easy",IF(LEFT(B15,11)="INTL-KOR E ","International Easy",IF(LEFT(B15,11)="INTL-CHI E ","International Easy",IF(LEFT(B15,11)="INTL-SPA E ","International Easy",
IF(D15="Teen Large Type","Teen Fiction",
IF(D15="Juvenile Large Type","Juvenile Fiction",
IF(LEFT(B15,6)="J CD O","Juvenile Compact Disc",
IF(AND(LEFT(B15,4)="TEEN",D15="Fiction"),"Teen Fiction",
IF(D15="DVD Educational","Nonfiction",
IF(D15="Juvenile DVD Educational","Nonfiction",
IF(D15="Reference","Nonfiction",
D15))))))))))))))))))))))))))))))))))))))))))</f>
        <v>Easy Countdown</v>
      </c>
    </row>
    <row r="16" spans="1:14" ht="27" customHeight="1" x14ac:dyDescent="0.25">
      <c r="A16" s="10" t="str">
        <f ca="1">TEXT( INDIRECT( ADDRESS( ROW() + Row_Offset, INDIRECT( "Column_Number_" &amp; A$1), 4,1, tabname) ), "")</f>
        <v/>
      </c>
      <c r="B16" s="10" t="str">
        <f ca="1">TEXT(  IFERROR( VLOOKUP( $D16, CollName_Simplifier_Table[], 2, FALSE),"") &amp;
        INDIRECT( ADDRESS( ROW() + Row_Offset, INDIRECT( "Column_Number_" &amp; $B$1), 4,1, tabname) ), "")</f>
        <v>DVD-ED 782.4216 HEA559</v>
      </c>
      <c r="C16" s="10" t="str">
        <f ca="1">TEXT( INDIRECT( ADDRESS( ROW() + Row_Offset, INDIRECT( "Column_Number_" &amp; C$1), 4,1, tabname) ), "")</f>
        <v>Heart, alive in Seattle</v>
      </c>
      <c r="D16" s="10" t="str">
        <f ca="1">TEXT( INDIRECT( ADDRESS( ROW() + Row_Offset, INDIRECT( "Column_Number_" &amp; D$1), 4,1, tabname) ), "")</f>
        <v>DVD Educational</v>
      </c>
      <c r="E16" s="10" t="str">
        <f ca="1">TEXT( INDIRECT( ADDRESS( ROW() + Row_Offset, INDIRECT( "Column_Number_" &amp; E$1), 4,1, tabname) ), "####")</f>
        <v>2003</v>
      </c>
      <c r="F16" s="15"/>
      <c r="G16" s="22">
        <f ca="1">IFERROR(INDEX(Rank_Table[],MATCH($D16&amp;$A16,Table4[Join],0)),"")</f>
        <v>9</v>
      </c>
      <c r="H16" s="11" t="str">
        <f ca="1">IF(AND(D16="Juvenile Audiobook",LEFT(B16,8)="J CD BIO"),RIGHT(B16,LEN(B16)-9),
IF(AND(D16="Juvenile Audiobook",LEFT(B16,8)="J CD FIC"),B16,
IF(D16="Juvenile Audiobook",RIGHT(B16,LEN(B16)-5),
IF(AND(D16="Teen Audiobook",LEFT(B16,11)="TEEN CD BIO"),RIGHT(B16,LEN(B16)-12),
IF(AND(D16="Teen Audiobook",LEFT(B16,11)="TEEN CD FIC"),B16,
IF(D16="Juvenile Audiobook",RIGHT(B16,LEN(B16)-8),
IF(D16="Juvenile Nonfiction",RIGHT(B16,LEN(B16)-2),
IF(D16="Teen Nonfiction",RIGHT(B16,LEN(B16)-5),
IF(AND(D16="Audiobook",
              NOT(OR(Contains($B16,"CD BIO"),Contains($B16,"CD FIC")))),RIGHT(B16,LEN(B16)-3),
IF(D16="Juvenile Biography",RIGHT(B16,LEN(B16)-2),
IF(D16="Teen Biography",RIGHT(B16,LEN(B16)-5),
IF(AND(D16="Audiobook",
              IFERROR(FIND("BIO",$B16)&gt;0,FALSE)),RIGHT(B16,LEN(B16)-3),
IF(D16="Juvenile Large Type","J "&amp;RIGHT(B16,LEN(B16)-11),
IF(D16="Teen Large Type","TEEN "&amp;RIGHT(B16,LEN(B16)-14),
IF(D16="Reference",RIGHT(B16,LEN(B16)-4),
IF(D16="DVD Educational",RIGHT(B16,LEN(B16)-7),
IF(D16="Juvenile DVD Educational",RIGHT(B16,LEN(B16)-9),
B16)))))))))))))))))</f>
        <v>782.4216 HEA559</v>
      </c>
      <c r="N16" s="11" t="str">
        <f ca="1">IF(IFERROR(FIND("New",$A16)&gt;0,FALSE),"New ","") &amp; IF(IFERROR(FIND("In Lib",$A16)&gt;0,FALSE),"Reference ","") &amp;
IF(AND(D16="Audiobook",LEFT(B16,6)="CD BIO"),"Biography",
IF(AND(D16="Teen Audiobook",LEFT(B16,11)="TEEN CD BIO"),"Biography",
IF(AND(D16="Juvenile Audiobook",LEFT(B16,8)="J CD BIO"),"Biography",
IF(AND(D16="Audiobook",LEFT(B16,6)="CD FIC"),"Audiobook Fiction",
IF(AND(D16="Teen Audiobook",LEFT(B16,11)="TEEN CD FIC"),"Teen Audiobook",
IF(AND(D16="Juvenile Audiobook",LEFT(B16,8)="J CD FIC"),"Juvenile Audiobook",
IF(D16="Audiobook","Nonfiction",
IF(D16="Juvenile Audiobook","Nonfiction",
IF(D16="Teen Audiobook","Nonfiction",
IF(D16="Juvenile Nonfiction","Nonfiction",
IF(D16="Teen Nonfiction","Nonfiction",
IF(D16="Juvenile Biography","Biography",
IF(D16="Teen Biography","Biography",
IF(D16="ESL","Nonfiction",
IF(LEFT(B16,11)="INTL-VIE J ","International Juvenile",IF(LEFT(B16,11)="INTL-TAG J ","International Juvenile",IF(LEFT(B16,11)="INTL-RUS J ","International Juvenile",IF(LEFT(B16,11)="INTL-KOR J ","International Juvenile",IF(LEFT(B16,11)="INTL-JAP J ","International Juvenile",IF(LEFT(B16,11)="INTL-CHI J ","International Juvenile",IF(LEFT(B16,11)="INTL-SPA J ","International Juvenile",IF(LEFT(B16,14)="INTL-VIE TEEN ","International Teen",IF(LEFT(B16,14)="INTL-TAG TEEN ","International Teen",IF(LEFT(B16,14)="INTL-RUS TEEN ","International Teen",IF(LEFT(B16,14)="INTL-KOR TEEN ","International Teen",IF(LEFT(B16,14)="INTL-JAP TEEN ","International Teen",IF(LEFT(B16,14)="INTL-CHI TEEN ","International Teen",IF(LEFT(B16,14)="INTL-SPA TEEN ","International Teen",IF(LEFT(B16,11)="INTL-VIE E ","International Easy",IF(LEFT(B16,11)="INTL-TAG E ","International Easy",IF(LEFT(B16,11)="INTL-RUS E ","International Easy",IF(LEFT(B16,11)="INTL-JAP E ","International Easy",IF(LEFT(B16,11)="INTL-KOR E ","International Easy",IF(LEFT(B16,11)="INTL-CHI E ","International Easy",IF(LEFT(B16,11)="INTL-SPA E ","International Easy",
IF(D16="Teen Large Type","Teen Fiction",
IF(D16="Juvenile Large Type","Juvenile Fiction",
IF(LEFT(B16,6)="J CD O","Juvenile Compact Disc",
IF(AND(LEFT(B16,4)="TEEN",D16="Fiction"),"Teen Fiction",
IF(D16="DVD Educational","Nonfiction",
IF(D16="Juvenile DVD Educational","Nonfiction",
IF(D16="Reference","Nonfiction",
D16))))))))))))))))))))))))))))))))))))))))))</f>
        <v>Easy Countdown</v>
      </c>
    </row>
    <row r="17" spans="1:14" ht="27" customHeight="1" x14ac:dyDescent="0.25">
      <c r="A17" s="10" t="str">
        <f ca="1">TEXT( INDIRECT( ADDRESS( ROW() + Row_Offset, INDIRECT( "Column_Number_" &amp; A$1), 4,1, tabname) ), "")</f>
        <v/>
      </c>
      <c r="B17" s="10" t="str">
        <f ca="1">TEXT(  IFERROR( VLOOKUP( $D17, CollName_Simplifier_Table[], 2, FALSE),"") &amp;
        INDIRECT( ADDRESS( ROW() + Row_Offset, INDIRECT( "Column_Number_" &amp; $B$1), 4,1, tabname) ), "")</f>
        <v>TEEN ZUSAK</v>
      </c>
      <c r="C17" s="10" t="str">
        <f ca="1">TEXT( INDIRECT( ADDRESS( ROW() + Row_Offset, INDIRECT( "Column_Number_" &amp; C$1), 4,1, tabname) ), "")</f>
        <v>Getting the girl</v>
      </c>
      <c r="D17" s="10" t="str">
        <f ca="1">TEXT( INDIRECT( ADDRESS( ROW() + Row_Offset, INDIRECT( "Column_Number_" &amp; D$1), 4,1, tabname) ), "")</f>
        <v>Teen Fiction</v>
      </c>
      <c r="E17" s="10" t="str">
        <f ca="1">TEXT( INDIRECT( ADDRESS( ROW() + Row_Offset, INDIRECT( "Column_Number_" &amp; E$1), 4,1, tabname) ), "####")</f>
        <v>2004</v>
      </c>
      <c r="F17" s="15"/>
      <c r="G17" s="22">
        <f ca="1">IFERROR(INDEX(Rank_Table[],MATCH($D17&amp;$A17,Table4[Join],0)),"")</f>
        <v>22</v>
      </c>
      <c r="H17" s="11" t="str">
        <f ca="1">IF(AND(D17="Juvenile Audiobook",LEFT(B17,8)="J CD BIO"),RIGHT(B17,LEN(B17)-9),
IF(AND(D17="Juvenile Audiobook",LEFT(B17,8)="J CD FIC"),B17,
IF(D17="Juvenile Audiobook",RIGHT(B17,LEN(B17)-5),
IF(AND(D17="Teen Audiobook",LEFT(B17,11)="TEEN CD BIO"),RIGHT(B17,LEN(B17)-12),
IF(AND(D17="Teen Audiobook",LEFT(B17,11)="TEEN CD FIC"),B17,
IF(D17="Juvenile Audiobook",RIGHT(B17,LEN(B17)-8),
IF(D17="Juvenile Nonfiction",RIGHT(B17,LEN(B17)-2),
IF(D17="Teen Nonfiction",RIGHT(B17,LEN(B17)-5),
IF(AND(D17="Audiobook",
              NOT(OR(Contains($B17,"CD BIO"),Contains($B17,"CD FIC")))),RIGHT(B17,LEN(B17)-3),
IF(D17="Juvenile Biography",RIGHT(B17,LEN(B17)-2),
IF(D17="Teen Biography",RIGHT(B17,LEN(B17)-5),
IF(AND(D17="Audiobook",
              IFERROR(FIND("BIO",$B17)&gt;0,FALSE)),RIGHT(B17,LEN(B17)-3),
IF(D17="Juvenile Large Type","J "&amp;RIGHT(B17,LEN(B17)-11),
IF(D17="Teen Large Type","TEEN "&amp;RIGHT(B17,LEN(B17)-14),
IF(D17="Reference",RIGHT(B17,LEN(B17)-4),
IF(D17="DVD Educational",RIGHT(B17,LEN(B17)-7),
IF(D17="Juvenile DVD Educational",RIGHT(B17,LEN(B17)-9),
B17)))))))))))))))))</f>
        <v>TEEN ZUSAK</v>
      </c>
      <c r="N17" s="11" t="str">
        <f ca="1">IF(IFERROR(FIND("New",$A17)&gt;0,FALSE),"New ","") &amp; IF(IFERROR(FIND("In Lib",$A17)&gt;0,FALSE),"Reference ","") &amp;
IF(AND(D17="Audiobook",LEFT(B17,6)="CD BIO"),"Biography",
IF(AND(D17="Teen Audiobook",LEFT(B17,11)="TEEN CD BIO"),"Biography",
IF(AND(D17="Juvenile Audiobook",LEFT(B17,8)="J CD BIO"),"Biography",
IF(AND(D17="Audiobook",LEFT(B17,6)="CD FIC"),"Audiobook Fiction",
IF(AND(D17="Teen Audiobook",LEFT(B17,11)="TEEN CD FIC"),"Teen Audiobook",
IF(AND(D17="Juvenile Audiobook",LEFT(B17,8)="J CD FIC"),"Juvenile Audiobook",
IF(D17="Audiobook","Nonfiction",
IF(D17="Juvenile Audiobook","Nonfiction",
IF(D17="Teen Audiobook","Nonfiction",
IF(D17="Juvenile Nonfiction","Nonfiction",
IF(D17="Teen Nonfiction","Nonfiction",
IF(D17="Juvenile Biography","Biography",
IF(D17="Teen Biography","Biography",
IF(D17="ESL","Nonfiction",
IF(LEFT(B17,11)="INTL-VIE J ","International Juvenile",IF(LEFT(B17,11)="INTL-TAG J ","International Juvenile",IF(LEFT(B17,11)="INTL-RUS J ","International Juvenile",IF(LEFT(B17,11)="INTL-KOR J ","International Juvenile",IF(LEFT(B17,11)="INTL-JAP J ","International Juvenile",IF(LEFT(B17,11)="INTL-CHI J ","International Juvenile",IF(LEFT(B17,11)="INTL-SPA J ","International Juvenile",IF(LEFT(B17,14)="INTL-VIE TEEN ","International Teen",IF(LEFT(B17,14)="INTL-TAG TEEN ","International Teen",IF(LEFT(B17,14)="INTL-RUS TEEN ","International Teen",IF(LEFT(B17,14)="INTL-KOR TEEN ","International Teen",IF(LEFT(B17,14)="INTL-JAP TEEN ","International Teen",IF(LEFT(B17,14)="INTL-CHI TEEN ","International Teen",IF(LEFT(B17,14)="INTL-SPA TEEN ","International Teen",IF(LEFT(B17,11)="INTL-VIE E ","International Easy",IF(LEFT(B17,11)="INTL-TAG E ","International Easy",IF(LEFT(B17,11)="INTL-RUS E ","International Easy",IF(LEFT(B17,11)="INTL-JAP E ","International Easy",IF(LEFT(B17,11)="INTL-KOR E ","International Easy",IF(LEFT(B17,11)="INTL-CHI E ","International Easy",IF(LEFT(B17,11)="INTL-SPA E ","International Easy",
IF(D17="Teen Large Type","Teen Fiction",
IF(D17="Juvenile Large Type","Juvenile Fiction",
IF(LEFT(B17,6)="J CD O","Juvenile Compact Disc",
IF(AND(LEFT(B17,4)="TEEN",D17="Fiction"),"Teen Fiction",
IF(D17="DVD Educational","Nonfiction",
IF(D17="Juvenile DVD Educational","Nonfiction",
IF(D17="Reference","Nonfiction",
D17))))))))))))))))))))))))))))))))))))))))))</f>
        <v>Fiction</v>
      </c>
    </row>
    <row r="18" spans="1:14" ht="27" customHeight="1" x14ac:dyDescent="0.25">
      <c r="A18" s="10" t="str">
        <f ca="1">TEXT( INDIRECT( ADDRESS( ROW() + Row_Offset, INDIRECT( "Column_Number_" &amp; A$1), 4,1, tabname) ), "")</f>
        <v/>
      </c>
      <c r="B18" s="10" t="str">
        <f ca="1">TEXT(  IFERROR( VLOOKUP( $D18, CollName_Simplifier_Table[], 2, FALSE),"") &amp;
        INDIRECT( ADDRESS( ROW() + Row_Offset, INDIRECT( "Column_Number_" &amp; $B$1), 4,1, tabname) ), "")</f>
        <v>FIC FITZGER</v>
      </c>
      <c r="C18" s="10" t="str">
        <f ca="1">TEXT( INDIRECT( ADDRESS( ROW() + Row_Offset, INDIRECT( "Column_Number_" &amp; C$1), 4,1, tabname) ), "")</f>
        <v>This side of paradise</v>
      </c>
      <c r="D18" s="10" t="str">
        <f ca="1">TEXT( INDIRECT( ADDRESS( ROW() + Row_Offset, INDIRECT( "Column_Number_" &amp; D$1), 4,1, tabname) ), "")</f>
        <v>Fiction</v>
      </c>
      <c r="E18" s="10" t="str">
        <f ca="1">TEXT( INDIRECT( ADDRESS( ROW() + Row_Offset, INDIRECT( "Column_Number_" &amp; E$1), 4,1, tabname) ), "####")</f>
        <v>1996</v>
      </c>
      <c r="F18" s="15"/>
      <c r="G18" s="22">
        <f ca="1">IFERROR(INDEX(Rank_Table[],MATCH($D18&amp;$A18,Table4[Join],0)),"")</f>
        <v>36</v>
      </c>
      <c r="H18" s="11" t="str">
        <f ca="1">IF(AND(D18="Juvenile Audiobook",LEFT(B18,8)="J CD BIO"),RIGHT(B18,LEN(B18)-9),
IF(AND(D18="Juvenile Audiobook",LEFT(B18,8)="J CD FIC"),B18,
IF(D18="Juvenile Audiobook",RIGHT(B18,LEN(B18)-5),
IF(AND(D18="Teen Audiobook",LEFT(B18,11)="TEEN CD BIO"),RIGHT(B18,LEN(B18)-12),
IF(AND(D18="Teen Audiobook",LEFT(B18,11)="TEEN CD FIC"),B18,
IF(D18="Juvenile Audiobook",RIGHT(B18,LEN(B18)-8),
IF(D18="Juvenile Nonfiction",RIGHT(B18,LEN(B18)-2),
IF(D18="Teen Nonfiction",RIGHT(B18,LEN(B18)-5),
IF(AND(D18="Audiobook",
              NOT(OR(Contains($B18,"CD BIO"),Contains($B18,"CD FIC")))),RIGHT(B18,LEN(B18)-3),
IF(D18="Juvenile Biography",RIGHT(B18,LEN(B18)-2),
IF(D18="Teen Biography",RIGHT(B18,LEN(B18)-5),
IF(AND(D18="Audiobook",
              IFERROR(FIND("BIO",$B18)&gt;0,FALSE)),RIGHT(B18,LEN(B18)-3),
IF(D18="Juvenile Large Type","J "&amp;RIGHT(B18,LEN(B18)-11),
IF(D18="Teen Large Type","TEEN "&amp;RIGHT(B18,LEN(B18)-14),
IF(D18="Reference",RIGHT(B18,LEN(B18)-4),
IF(D18="DVD Educational",RIGHT(B18,LEN(B18)-7),
IF(D18="Juvenile DVD Educational",RIGHT(B18,LEN(B18)-9),
B18)))))))))))))))))</f>
        <v>FIC FITZGER</v>
      </c>
      <c r="N18" s="11" t="str">
        <f ca="1">IF(IFERROR(FIND("New",$A18)&gt;0,FALSE),"New ","") &amp; IF(IFERROR(FIND("In Lib",$A18)&gt;0,FALSE),"Reference ","") &amp;
IF(AND(D18="Audiobook",LEFT(B18,6)="CD BIO"),"Biography",
IF(AND(D18="Teen Audiobook",LEFT(B18,11)="TEEN CD BIO"),"Biography",
IF(AND(D18="Juvenile Audiobook",LEFT(B18,8)="J CD BIO"),"Biography",
IF(AND(D18="Audiobook",LEFT(B18,6)="CD FIC"),"Audiobook Fiction",
IF(AND(D18="Teen Audiobook",LEFT(B18,11)="TEEN CD FIC"),"Teen Audiobook",
IF(AND(D18="Juvenile Audiobook",LEFT(B18,8)="J CD FIC"),"Juvenile Audiobook",
IF(D18="Audiobook","Nonfiction",
IF(D18="Juvenile Audiobook","Nonfiction",
IF(D18="Teen Audiobook","Nonfiction",
IF(D18="Juvenile Nonfiction","Nonfiction",
IF(D18="Teen Nonfiction","Nonfiction",
IF(D18="Juvenile Biography","Biography",
IF(D18="Teen Biography","Biography",
IF(D18="ESL","Nonfiction",
IF(LEFT(B18,11)="INTL-VIE J ","International Juvenile",IF(LEFT(B18,11)="INTL-TAG J ","International Juvenile",IF(LEFT(B18,11)="INTL-RUS J ","International Juvenile",IF(LEFT(B18,11)="INTL-KOR J ","International Juvenile",IF(LEFT(B18,11)="INTL-JAP J ","International Juvenile",IF(LEFT(B18,11)="INTL-CHI J ","International Juvenile",IF(LEFT(B18,11)="INTL-SPA J ","International Juvenile",IF(LEFT(B18,14)="INTL-VIE TEEN ","International Teen",IF(LEFT(B18,14)="INTL-TAG TEEN ","International Teen",IF(LEFT(B18,14)="INTL-RUS TEEN ","International Teen",IF(LEFT(B18,14)="INTL-KOR TEEN ","International Teen",IF(LEFT(B18,14)="INTL-JAP TEEN ","International Teen",IF(LEFT(B18,14)="INTL-CHI TEEN ","International Teen",IF(LEFT(B18,14)="INTL-SPA TEEN ","International Teen",IF(LEFT(B18,11)="INTL-VIE E ","International Easy",IF(LEFT(B18,11)="INTL-TAG E ","International Easy",IF(LEFT(B18,11)="INTL-RUS E ","International Easy",IF(LEFT(B18,11)="INTL-JAP E ","International Easy",IF(LEFT(B18,11)="INTL-KOR E ","International Easy",IF(LEFT(B18,11)="INTL-CHI E ","International Easy",IF(LEFT(B18,11)="INTL-SPA E ","International Easy",
IF(D18="Teen Large Type","Teen Fiction",
IF(D18="Juvenile Large Type","Juvenile Fiction",
IF(LEFT(B18,6)="J CD O","Juvenile Compact Disc",
IF(AND(LEFT(B18,4)="TEEN",D18="Fiction"),"Teen Fiction",
IF(D18="DVD Educational","Nonfiction",
IF(D18="Juvenile DVD Educational","Nonfiction",
IF(D18="Reference","Nonfiction",
D18))))))))))))))))))))))))))))))))))))))))))</f>
        <v>Fiction</v>
      </c>
    </row>
    <row r="19" spans="1:14" ht="27" customHeight="1" x14ac:dyDescent="0.25">
      <c r="A19" s="10" t="str">
        <f ca="1">TEXT( INDIRECT( ADDRESS( ROW() + Row_Offset, INDIRECT( "Column_Number_" &amp; A$1), 4,1, tabname) ), "")</f>
        <v/>
      </c>
      <c r="B19" s="10" t="str">
        <f ca="1">TEXT(  IFERROR( VLOOKUP( $D19, CollName_Simplifier_Table[], 2, FALSE),"") &amp;
        INDIRECT( ADDRESS( ROW() + Row_Offset, INDIRECT( "Column_Number_" &amp; $B$1), 4,1, tabname) ), "")</f>
        <v>FIC GALENOR</v>
      </c>
      <c r="C19" s="10" t="str">
        <f ca="1">TEXT( INDIRECT( ADDRESS( ROW() + Row_Offset, INDIRECT( "Column_Number_" &amp; C$1), 4,1, tabname) ), "")</f>
        <v>Night seeker</v>
      </c>
      <c r="D19" s="10" t="str">
        <f ca="1">TEXT( INDIRECT( ADDRESS( ROW() + Row_Offset, INDIRECT( "Column_Number_" &amp; D$1), 4,1, tabname) ), "")</f>
        <v>Fiction</v>
      </c>
      <c r="E19" s="10" t="str">
        <f ca="1">TEXT( INDIRECT( ADDRESS( ROW() + Row_Offset, INDIRECT( "Column_Number_" &amp; E$1), 4,1, tabname) ), "####")</f>
        <v>2012</v>
      </c>
      <c r="F19" s="15"/>
      <c r="G19" s="22">
        <f ca="1">IFERROR(INDEX(Rank_Table[],MATCH($D19&amp;$A19,Table4[Join],0)),"")</f>
        <v>36</v>
      </c>
      <c r="H19" s="11" t="str">
        <f ca="1">IF(AND(D19="Juvenile Audiobook",LEFT(B19,8)="J CD BIO"),RIGHT(B19,LEN(B19)-9),
IF(AND(D19="Juvenile Audiobook",LEFT(B19,8)="J CD FIC"),B19,
IF(D19="Juvenile Audiobook",RIGHT(B19,LEN(B19)-5),
IF(AND(D19="Teen Audiobook",LEFT(B19,11)="TEEN CD BIO"),RIGHT(B19,LEN(B19)-12),
IF(AND(D19="Teen Audiobook",LEFT(B19,11)="TEEN CD FIC"),B19,
IF(D19="Juvenile Audiobook",RIGHT(B19,LEN(B19)-8),
IF(D19="Juvenile Nonfiction",RIGHT(B19,LEN(B19)-2),
IF(D19="Teen Nonfiction",RIGHT(B19,LEN(B19)-5),
IF(AND(D19="Audiobook",
              NOT(OR(Contains($B19,"CD BIO"),Contains($B19,"CD FIC")))),RIGHT(B19,LEN(B19)-3),
IF(D19="Juvenile Biography",RIGHT(B19,LEN(B19)-2),
IF(D19="Teen Biography",RIGHT(B19,LEN(B19)-5),
IF(AND(D19="Audiobook",
              IFERROR(FIND("BIO",$B19)&gt;0,FALSE)),RIGHT(B19,LEN(B19)-3),
IF(D19="Juvenile Large Type","J "&amp;RIGHT(B19,LEN(B19)-11),
IF(D19="Teen Large Type","TEEN "&amp;RIGHT(B19,LEN(B19)-14),
IF(D19="Reference",RIGHT(B19,LEN(B19)-4),
IF(D19="DVD Educational",RIGHT(B19,LEN(B19)-7),
IF(D19="Juvenile DVD Educational",RIGHT(B19,LEN(B19)-9),
B19)))))))))))))))))</f>
        <v>FIC GALENOR</v>
      </c>
      <c r="N19" s="11" t="str">
        <f ca="1">IF(IFERROR(FIND("New",$A19)&gt;0,FALSE),"New ","") &amp; IF(IFERROR(FIND("In Lib",$A19)&gt;0,FALSE),"Reference ","") &amp;
IF(AND(D19="Audiobook",LEFT(B19,6)="CD BIO"),"Biography",
IF(AND(D19="Teen Audiobook",LEFT(B19,11)="TEEN CD BIO"),"Biography",
IF(AND(D19="Juvenile Audiobook",LEFT(B19,8)="J CD BIO"),"Biography",
IF(AND(D19="Audiobook",LEFT(B19,6)="CD FIC"),"Audiobook Fiction",
IF(AND(D19="Teen Audiobook",LEFT(B19,11)="TEEN CD FIC"),"Teen Audiobook",
IF(AND(D19="Juvenile Audiobook",LEFT(B19,8)="J CD FIC"),"Juvenile Audiobook",
IF(D19="Audiobook","Nonfiction",
IF(D19="Juvenile Audiobook","Nonfiction",
IF(D19="Teen Audiobook","Nonfiction",
IF(D19="Juvenile Nonfiction","Nonfiction",
IF(D19="Teen Nonfiction","Nonfiction",
IF(D19="Juvenile Biography","Biography",
IF(D19="Teen Biography","Biography",
IF(D19="ESL","Nonfiction",
IF(LEFT(B19,11)="INTL-VIE J ","International Juvenile",IF(LEFT(B19,11)="INTL-TAG J ","International Juvenile",IF(LEFT(B19,11)="INTL-RUS J ","International Juvenile",IF(LEFT(B19,11)="INTL-KOR J ","International Juvenile",IF(LEFT(B19,11)="INTL-JAP J ","International Juvenile",IF(LEFT(B19,11)="INTL-CHI J ","International Juvenile",IF(LEFT(B19,11)="INTL-SPA J ","International Juvenile",IF(LEFT(B19,14)="INTL-VIE TEEN ","International Teen",IF(LEFT(B19,14)="INTL-TAG TEEN ","International Teen",IF(LEFT(B19,14)="INTL-RUS TEEN ","International Teen",IF(LEFT(B19,14)="INTL-KOR TEEN ","International Teen",IF(LEFT(B19,14)="INTL-JAP TEEN ","International Teen",IF(LEFT(B19,14)="INTL-CHI TEEN ","International Teen",IF(LEFT(B19,14)="INTL-SPA TEEN ","International Teen",IF(LEFT(B19,11)="INTL-VIE E ","International Easy",IF(LEFT(B19,11)="INTL-TAG E ","International Easy",IF(LEFT(B19,11)="INTL-RUS E ","International Easy",IF(LEFT(B19,11)="INTL-JAP E ","International Easy",IF(LEFT(B19,11)="INTL-KOR E ","International Easy",IF(LEFT(B19,11)="INTL-CHI E ","International Easy",IF(LEFT(B19,11)="INTL-SPA E ","International Easy",
IF(D19="Teen Large Type","Teen Fiction",
IF(D19="Juvenile Large Type","Juvenile Fiction",
IF(LEFT(B19,6)="J CD O","Juvenile Compact Disc",
IF(AND(LEFT(B19,4)="TEEN",D19="Fiction"),"Teen Fiction",
IF(D19="DVD Educational","Nonfiction",
IF(D19="Juvenile DVD Educational","Nonfiction",
IF(D19="Reference","Nonfiction",
D19))))))))))))))))))))))))))))))))))))))))))</f>
        <v>Fiction</v>
      </c>
    </row>
    <row r="20" spans="1:14" ht="27" customHeight="1" x14ac:dyDescent="0.25">
      <c r="A20" s="10" t="str">
        <f ca="1">TEXT( INDIRECT( ADDRESS( ROW() + Row_Offset, INDIRECT( "Column_Number_" &amp; A$1), 4,1, tabname) ), "")</f>
        <v/>
      </c>
      <c r="B20" s="10" t="str">
        <f ca="1">TEXT(  IFERROR( VLOOKUP( $D20, CollName_Simplifier_Table[], 2, FALSE),"") &amp;
        INDIRECT( ADDRESS( ROW() + Row_Offset, INDIRECT( "Column_Number_" &amp; $B$1), 4,1, tabname) ), "")</f>
        <v>FIC JOHNSON</v>
      </c>
      <c r="C20" s="10" t="str">
        <f ca="1">TEXT( INDIRECT( ADDRESS( ROW() + Row_Offset, INDIRECT( "Column_Number_" &amp; C$1), 4,1, tabname) ), "")</f>
        <v>Indian country</v>
      </c>
      <c r="D20" s="10" t="str">
        <f ca="1">TEXT( INDIRECT( ADDRESS( ROW() + Row_Offset, INDIRECT( "Column_Number_" &amp; D$1), 4,1, tabname) ), "")</f>
        <v>Fiction</v>
      </c>
      <c r="E20" s="10" t="str">
        <f ca="1">TEXT( INDIRECT( ADDRESS( ROW() + Row_Offset, INDIRECT( "Column_Number_" &amp; E$1), 4,1, tabname) ), "####")</f>
        <v>1995</v>
      </c>
      <c r="F20" s="15"/>
      <c r="G20" s="22">
        <f ca="1">IFERROR(INDEX(Rank_Table[],MATCH($D20&amp;$A20,Table4[Join],0)),"")</f>
        <v>36</v>
      </c>
      <c r="H20" s="11" t="str">
        <f ca="1">IF(AND(D20="Juvenile Audiobook",LEFT(B20,8)="J CD BIO"),RIGHT(B20,LEN(B20)-9),
IF(AND(D20="Juvenile Audiobook",LEFT(B20,8)="J CD FIC"),B20,
IF(D20="Juvenile Audiobook",RIGHT(B20,LEN(B20)-5),
IF(AND(D20="Teen Audiobook",LEFT(B20,11)="TEEN CD BIO"),RIGHT(B20,LEN(B20)-12),
IF(AND(D20="Teen Audiobook",LEFT(B20,11)="TEEN CD FIC"),B20,
IF(D20="Juvenile Audiobook",RIGHT(B20,LEN(B20)-8),
IF(D20="Juvenile Nonfiction",RIGHT(B20,LEN(B20)-2),
IF(D20="Teen Nonfiction",RIGHT(B20,LEN(B20)-5),
IF(AND(D20="Audiobook",
              NOT(OR(Contains($B20,"CD BIO"),Contains($B20,"CD FIC")))),RIGHT(B20,LEN(B20)-3),
IF(D20="Juvenile Biography",RIGHT(B20,LEN(B20)-2),
IF(D20="Teen Biography",RIGHT(B20,LEN(B20)-5),
IF(AND(D20="Audiobook",
              IFERROR(FIND("BIO",$B20)&gt;0,FALSE)),RIGHT(B20,LEN(B20)-3),
IF(D20="Juvenile Large Type","J "&amp;RIGHT(B20,LEN(B20)-11),
IF(D20="Teen Large Type","TEEN "&amp;RIGHT(B20,LEN(B20)-14),
IF(D20="Reference",RIGHT(B20,LEN(B20)-4),
IF(D20="DVD Educational",RIGHT(B20,LEN(B20)-7),
IF(D20="Juvenile DVD Educational",RIGHT(B20,LEN(B20)-9),
B20)))))))))))))))))</f>
        <v>FIC JOHNSON</v>
      </c>
      <c r="N20" s="11" t="str">
        <f ca="1">IF(IFERROR(FIND("New",$A20)&gt;0,FALSE),"New ","") &amp; IF(IFERROR(FIND("In Lib",$A20)&gt;0,FALSE),"Reference ","") &amp;
IF(AND(D20="Audiobook",LEFT(B20,6)="CD BIO"),"Biography",
IF(AND(D20="Teen Audiobook",LEFT(B20,11)="TEEN CD BIO"),"Biography",
IF(AND(D20="Juvenile Audiobook",LEFT(B20,8)="J CD BIO"),"Biography",
IF(AND(D20="Audiobook",LEFT(B20,6)="CD FIC"),"Audiobook Fiction",
IF(AND(D20="Teen Audiobook",LEFT(B20,11)="TEEN CD FIC"),"Teen Audiobook",
IF(AND(D20="Juvenile Audiobook",LEFT(B20,8)="J CD FIC"),"Juvenile Audiobook",
IF(D20="Audiobook","Nonfiction",
IF(D20="Juvenile Audiobook","Nonfiction",
IF(D20="Teen Audiobook","Nonfiction",
IF(D20="Juvenile Nonfiction","Nonfiction",
IF(D20="Teen Nonfiction","Nonfiction",
IF(D20="Juvenile Biography","Biography",
IF(D20="Teen Biography","Biography",
IF(D20="ESL","Nonfiction",
IF(LEFT(B20,11)="INTL-VIE J ","International Juvenile",IF(LEFT(B20,11)="INTL-TAG J ","International Juvenile",IF(LEFT(B20,11)="INTL-RUS J ","International Juvenile",IF(LEFT(B20,11)="INTL-KOR J ","International Juvenile",IF(LEFT(B20,11)="INTL-JAP J ","International Juvenile",IF(LEFT(B20,11)="INTL-CHI J ","International Juvenile",IF(LEFT(B20,11)="INTL-SPA J ","International Juvenile",IF(LEFT(B20,14)="INTL-VIE TEEN ","International Teen",IF(LEFT(B20,14)="INTL-TAG TEEN ","International Teen",IF(LEFT(B20,14)="INTL-RUS TEEN ","International Teen",IF(LEFT(B20,14)="INTL-KOR TEEN ","International Teen",IF(LEFT(B20,14)="INTL-JAP TEEN ","International Teen",IF(LEFT(B20,14)="INTL-CHI TEEN ","International Teen",IF(LEFT(B20,14)="INTL-SPA TEEN ","International Teen",IF(LEFT(B20,11)="INTL-VIE E ","International Easy",IF(LEFT(B20,11)="INTL-TAG E ","International Easy",IF(LEFT(B20,11)="INTL-RUS E ","International Easy",IF(LEFT(B20,11)="INTL-JAP E ","International Easy",IF(LEFT(B20,11)="INTL-KOR E ","International Easy",IF(LEFT(B20,11)="INTL-CHI E ","International Easy",IF(LEFT(B20,11)="INTL-SPA E ","International Easy",
IF(D20="Teen Large Type","Teen Fiction",
IF(D20="Juvenile Large Type","Juvenile Fiction",
IF(LEFT(B20,6)="J CD O","Juvenile Compact Disc",
IF(AND(LEFT(B20,4)="TEEN",D20="Fiction"),"Teen Fiction",
IF(D20="DVD Educational","Nonfiction",
IF(D20="Juvenile DVD Educational","Nonfiction",
IF(D20="Reference","Nonfiction",
D20))))))))))))))))))))))))))))))))))))))))))</f>
        <v>Fiction</v>
      </c>
    </row>
    <row r="21" spans="1:14" ht="27" customHeight="1" x14ac:dyDescent="0.25">
      <c r="A21" s="10" t="str">
        <f ca="1">TEXT( INDIRECT( ADDRESS( ROW() + Row_Offset, INDIRECT( "Column_Number_" &amp; A$1), 4,1, tabname) ), "")</f>
        <v/>
      </c>
      <c r="B21" s="10" t="str">
        <f ca="1">TEXT(  IFERROR( VLOOKUP( $D21, CollName_Simplifier_Table[], 2, FALSE),"") &amp;
        INDIRECT( ADDRESS( ROW() + Row_Offset, INDIRECT( "Column_Number_" &amp; $B$1), 4,1, tabname) ), "")</f>
        <v>FIC PANZERA</v>
      </c>
      <c r="C21" s="10" t="str">
        <f ca="1">TEXT( INDIRECT( ADDRESS( ROW() + Row_Offset, INDIRECT( "Column_Number_" &amp; C$1), 4,1, tabname) ), "")</f>
        <v>Sweet on you</v>
      </c>
      <c r="D21" s="10" t="str">
        <f ca="1">TEXT( INDIRECT( ADDRESS( ROW() + Row_Offset, INDIRECT( "Column_Number_" &amp; D$1), 4,1, tabname) ), "")</f>
        <v>Fiction</v>
      </c>
      <c r="E21" s="10" t="str">
        <f ca="1">TEXT( INDIRECT( ADDRESS( ROW() + Row_Offset, INDIRECT( "Column_Number_" &amp; E$1), 4,1, tabname) ), "####")</f>
        <v>2013</v>
      </c>
      <c r="F21" s="15"/>
      <c r="G21" s="22">
        <f ca="1">IFERROR(INDEX(Rank_Table[],MATCH($D21&amp;$A21,Table4[Join],0)),"")</f>
        <v>36</v>
      </c>
      <c r="H21" s="11" t="str">
        <f ca="1">IF(AND(D21="Juvenile Audiobook",LEFT(B21,8)="J CD BIO"),RIGHT(B21,LEN(B21)-9),
IF(AND(D21="Juvenile Audiobook",LEFT(B21,8)="J CD FIC"),B21,
IF(D21="Juvenile Audiobook",RIGHT(B21,LEN(B21)-5),
IF(AND(D21="Teen Audiobook",LEFT(B21,11)="TEEN CD BIO"),RIGHT(B21,LEN(B21)-12),
IF(AND(D21="Teen Audiobook",LEFT(B21,11)="TEEN CD FIC"),B21,
IF(D21="Juvenile Audiobook",RIGHT(B21,LEN(B21)-8),
IF(D21="Juvenile Nonfiction",RIGHT(B21,LEN(B21)-2),
IF(D21="Teen Nonfiction",RIGHT(B21,LEN(B21)-5),
IF(AND(D21="Audiobook",
              NOT(OR(Contains($B21,"CD BIO"),Contains($B21,"CD FIC")))),RIGHT(B21,LEN(B21)-3),
IF(D21="Juvenile Biography",RIGHT(B21,LEN(B21)-2),
IF(D21="Teen Biography",RIGHT(B21,LEN(B21)-5),
IF(AND(D21="Audiobook",
              IFERROR(FIND("BIO",$B21)&gt;0,FALSE)),RIGHT(B21,LEN(B21)-3),
IF(D21="Juvenile Large Type","J "&amp;RIGHT(B21,LEN(B21)-11),
IF(D21="Teen Large Type","TEEN "&amp;RIGHT(B21,LEN(B21)-14),
IF(D21="Reference",RIGHT(B21,LEN(B21)-4),
IF(D21="DVD Educational",RIGHT(B21,LEN(B21)-7),
IF(D21="Juvenile DVD Educational",RIGHT(B21,LEN(B21)-9),
B21)))))))))))))))))</f>
        <v>FIC PANZERA</v>
      </c>
      <c r="N21" s="11" t="str">
        <f ca="1">IF(IFERROR(FIND("New",$A21)&gt;0,FALSE),"New ","") &amp; IF(IFERROR(FIND("In Lib",$A21)&gt;0,FALSE),"Reference ","") &amp;
IF(AND(D21="Audiobook",LEFT(B21,6)="CD BIO"),"Biography",
IF(AND(D21="Teen Audiobook",LEFT(B21,11)="TEEN CD BIO"),"Biography",
IF(AND(D21="Juvenile Audiobook",LEFT(B21,8)="J CD BIO"),"Biography",
IF(AND(D21="Audiobook",LEFT(B21,6)="CD FIC"),"Audiobook Fiction",
IF(AND(D21="Teen Audiobook",LEFT(B21,11)="TEEN CD FIC"),"Teen Audiobook",
IF(AND(D21="Juvenile Audiobook",LEFT(B21,8)="J CD FIC"),"Juvenile Audiobook",
IF(D21="Audiobook","Nonfiction",
IF(D21="Juvenile Audiobook","Nonfiction",
IF(D21="Teen Audiobook","Nonfiction",
IF(D21="Juvenile Nonfiction","Nonfiction",
IF(D21="Teen Nonfiction","Nonfiction",
IF(D21="Juvenile Biography","Biography",
IF(D21="Teen Biography","Biography",
IF(D21="ESL","Nonfiction",
IF(LEFT(B21,11)="INTL-VIE J ","International Juvenile",IF(LEFT(B21,11)="INTL-TAG J ","International Juvenile",IF(LEFT(B21,11)="INTL-RUS J ","International Juvenile",IF(LEFT(B21,11)="INTL-KOR J ","International Juvenile",IF(LEFT(B21,11)="INTL-JAP J ","International Juvenile",IF(LEFT(B21,11)="INTL-CHI J ","International Juvenile",IF(LEFT(B21,11)="INTL-SPA J ","International Juvenile",IF(LEFT(B21,14)="INTL-VIE TEEN ","International Teen",IF(LEFT(B21,14)="INTL-TAG TEEN ","International Teen",IF(LEFT(B21,14)="INTL-RUS TEEN ","International Teen",IF(LEFT(B21,14)="INTL-KOR TEEN ","International Teen",IF(LEFT(B21,14)="INTL-JAP TEEN ","International Teen",IF(LEFT(B21,14)="INTL-CHI TEEN ","International Teen",IF(LEFT(B21,14)="INTL-SPA TEEN ","International Teen",IF(LEFT(B21,11)="INTL-VIE E ","International Easy",IF(LEFT(B21,11)="INTL-TAG E ","International Easy",IF(LEFT(B21,11)="INTL-RUS E ","International Easy",IF(LEFT(B21,11)="INTL-JAP E ","International Easy",IF(LEFT(B21,11)="INTL-KOR E ","International Easy",IF(LEFT(B21,11)="INTL-CHI E ","International Easy",IF(LEFT(B21,11)="INTL-SPA E ","International Easy",
IF(D21="Teen Large Type","Teen Fiction",
IF(D21="Juvenile Large Type","Juvenile Fiction",
IF(LEFT(B21,6)="J CD O","Juvenile Compact Disc",
IF(AND(LEFT(B21,4)="TEEN",D21="Fiction"),"Teen Fiction",
IF(D21="DVD Educational","Nonfiction",
IF(D21="Juvenile DVD Educational","Nonfiction",
IF(D21="Reference","Nonfiction",
D21))))))))))))))))))))))))))))))))))))))))))</f>
        <v>Fiction</v>
      </c>
    </row>
    <row r="22" spans="1:14" ht="27" customHeight="1" x14ac:dyDescent="0.25">
      <c r="A22" s="10" t="str">
        <f ca="1">TEXT( INDIRECT( ADDRESS( ROW() + Row_Offset, INDIRECT( "Column_Number_" &amp; A$1), 4,1, tabname) ), "")</f>
        <v/>
      </c>
      <c r="B22" s="10" t="str">
        <f ca="1">TEXT(  IFERROR( VLOOKUP( $D22, CollName_Simplifier_Table[], 2, FALSE),"") &amp;
        INDIRECT( ADDRESS( ROW() + Row_Offset, INDIRECT( "Column_Number_" &amp; $B$1), 4,1, tabname) ), "")</f>
        <v>FIC SHORS</v>
      </c>
      <c r="C22" s="10" t="str">
        <f ca="1">TEXT( INDIRECT( ADDRESS( ROW() + Row_Offset, INDIRECT( "Column_Number_" &amp; C$1), 4,1, tabname) ), "")</f>
        <v>Beside a burning sea</v>
      </c>
      <c r="D22" s="10" t="str">
        <f ca="1">TEXT( INDIRECT( ADDRESS( ROW() + Row_Offset, INDIRECT( "Column_Number_" &amp; D$1), 4,1, tabname) ), "")</f>
        <v>Fiction</v>
      </c>
      <c r="E22" s="10" t="str">
        <f ca="1">TEXT( INDIRECT( ADDRESS( ROW() + Row_Offset, INDIRECT( "Column_Number_" &amp; E$1), 4,1, tabname) ), "####")</f>
        <v>2008</v>
      </c>
      <c r="F22" s="15"/>
      <c r="G22" s="22">
        <f ca="1">IFERROR(INDEX(Rank_Table[],MATCH($D22&amp;$A22,Table4[Join],0)),"")</f>
        <v>36</v>
      </c>
      <c r="H22" s="11" t="str">
        <f ca="1">IF(AND(D22="Juvenile Audiobook",LEFT(B22,8)="J CD BIO"),RIGHT(B22,LEN(B22)-9),
IF(AND(D22="Juvenile Audiobook",LEFT(B22,8)="J CD FIC"),B22,
IF(D22="Juvenile Audiobook",RIGHT(B22,LEN(B22)-5),
IF(AND(D22="Teen Audiobook",LEFT(B22,11)="TEEN CD BIO"),RIGHT(B22,LEN(B22)-12),
IF(AND(D22="Teen Audiobook",LEFT(B22,11)="TEEN CD FIC"),B22,
IF(D22="Juvenile Audiobook",RIGHT(B22,LEN(B22)-8),
IF(D22="Juvenile Nonfiction",RIGHT(B22,LEN(B22)-2),
IF(D22="Teen Nonfiction",RIGHT(B22,LEN(B22)-5),
IF(AND(D22="Audiobook",
              NOT(OR(Contains($B22,"CD BIO"),Contains($B22,"CD FIC")))),RIGHT(B22,LEN(B22)-3),
IF(D22="Juvenile Biography",RIGHT(B22,LEN(B22)-2),
IF(D22="Teen Biography",RIGHT(B22,LEN(B22)-5),
IF(AND(D22="Audiobook",
              IFERROR(FIND("BIO",$B22)&gt;0,FALSE)),RIGHT(B22,LEN(B22)-3),
IF(D22="Juvenile Large Type","J "&amp;RIGHT(B22,LEN(B22)-11),
IF(D22="Teen Large Type","TEEN "&amp;RIGHT(B22,LEN(B22)-14),
IF(D22="Reference",RIGHT(B22,LEN(B22)-4),
IF(D22="DVD Educational",RIGHT(B22,LEN(B22)-7),
IF(D22="Juvenile DVD Educational",RIGHT(B22,LEN(B22)-9),
B22)))))))))))))))))</f>
        <v>FIC SHORS</v>
      </c>
      <c r="N22" s="11" t="str">
        <f ca="1">IF(IFERROR(FIND("New",$A22)&gt;0,FALSE),"New ","") &amp; IF(IFERROR(FIND("In Lib",$A22)&gt;0,FALSE),"Reference ","") &amp;
IF(AND(D22="Audiobook",LEFT(B22,6)="CD BIO"),"Biography",
IF(AND(D22="Teen Audiobook",LEFT(B22,11)="TEEN CD BIO"),"Biography",
IF(AND(D22="Juvenile Audiobook",LEFT(B22,8)="J CD BIO"),"Biography",
IF(AND(D22="Audiobook",LEFT(B22,6)="CD FIC"),"Audiobook Fiction",
IF(AND(D22="Teen Audiobook",LEFT(B22,11)="TEEN CD FIC"),"Teen Audiobook",
IF(AND(D22="Juvenile Audiobook",LEFT(B22,8)="J CD FIC"),"Juvenile Audiobook",
IF(D22="Audiobook","Nonfiction",
IF(D22="Juvenile Audiobook","Nonfiction",
IF(D22="Teen Audiobook","Nonfiction",
IF(D22="Juvenile Nonfiction","Nonfiction",
IF(D22="Teen Nonfiction","Nonfiction",
IF(D22="Juvenile Biography","Biography",
IF(D22="Teen Biography","Biography",
IF(D22="ESL","Nonfiction",
IF(LEFT(B22,11)="INTL-VIE J ","International Juvenile",IF(LEFT(B22,11)="INTL-TAG J ","International Juvenile",IF(LEFT(B22,11)="INTL-RUS J ","International Juvenile",IF(LEFT(B22,11)="INTL-KOR J ","International Juvenile",IF(LEFT(B22,11)="INTL-JAP J ","International Juvenile",IF(LEFT(B22,11)="INTL-CHI J ","International Juvenile",IF(LEFT(B22,11)="INTL-SPA J ","International Juvenile",IF(LEFT(B22,14)="INTL-VIE TEEN ","International Teen",IF(LEFT(B22,14)="INTL-TAG TEEN ","International Teen",IF(LEFT(B22,14)="INTL-RUS TEEN ","International Teen",IF(LEFT(B22,14)="INTL-KOR TEEN ","International Teen",IF(LEFT(B22,14)="INTL-JAP TEEN ","International Teen",IF(LEFT(B22,14)="INTL-CHI TEEN ","International Teen",IF(LEFT(B22,14)="INTL-SPA TEEN ","International Teen",IF(LEFT(B22,11)="INTL-VIE E ","International Easy",IF(LEFT(B22,11)="INTL-TAG E ","International Easy",IF(LEFT(B22,11)="INTL-RUS E ","International Easy",IF(LEFT(B22,11)="INTL-JAP E ","International Easy",IF(LEFT(B22,11)="INTL-KOR E ","International Easy",IF(LEFT(B22,11)="INTL-CHI E ","International Easy",IF(LEFT(B22,11)="INTL-SPA E ","International Easy",
IF(D22="Teen Large Type","Teen Fiction",
IF(D22="Juvenile Large Type","Juvenile Fiction",
IF(LEFT(B22,6)="J CD O","Juvenile Compact Disc",
IF(AND(LEFT(B22,4)="TEEN",D22="Fiction"),"Teen Fiction",
IF(D22="DVD Educational","Nonfiction",
IF(D22="Juvenile DVD Educational","Nonfiction",
IF(D22="Reference","Nonfiction",
D22))))))))))))))))))))))))))))))))))))))))))</f>
        <v>Fiction Mystery</v>
      </c>
    </row>
    <row r="23" spans="1:14" ht="27" customHeight="1" x14ac:dyDescent="0.25">
      <c r="A23" s="10" t="str">
        <f ca="1">TEXT( INDIRECT( ADDRESS( ROW() + Row_Offset, INDIRECT( "Column_Number_" &amp; A$1), 4,1, tabname) ), "")</f>
        <v/>
      </c>
      <c r="B23" s="10" t="str">
        <f ca="1">TEXT(  IFERROR( VLOOKUP( $D23, CollName_Simplifier_Table[], 2, FALSE),"") &amp;
        INDIRECT( ADDRESS( ROW() + Row_Offset, INDIRECT( "Column_Number_" &amp; $B$1), 4,1, tabname) ), "")</f>
        <v>Mystery FIC BENN</v>
      </c>
      <c r="C23" s="10" t="str">
        <f ca="1">TEXT( INDIRECT( ADDRESS( ROW() + Row_Offset, INDIRECT( "Column_Number_" &amp; C$1), 4,1, tabname) ), "")</f>
        <v>A blind goddess</v>
      </c>
      <c r="D23" s="10" t="str">
        <f ca="1">TEXT( INDIRECT( ADDRESS( ROW() + Row_Offset, INDIRECT( "Column_Number_" &amp; D$1), 4,1, tabname) ), "")</f>
        <v>Fiction Mystery</v>
      </c>
      <c r="E23" s="10" t="str">
        <f ca="1">TEXT( INDIRECT( ADDRESS( ROW() + Row_Offset, INDIRECT( "Column_Number_" &amp; E$1), 4,1, tabname) ), "####")</f>
        <v>2013</v>
      </c>
      <c r="F23" s="15"/>
      <c r="G23" s="22">
        <f ca="1">IFERROR(INDEX(Rank_Table[],MATCH($D23&amp;$A23,Table4[Join],0)),"")</f>
        <v>42</v>
      </c>
      <c r="H23" s="11" t="str">
        <f ca="1">IF(AND(D23="Juvenile Audiobook",LEFT(B23,8)="J CD BIO"),RIGHT(B23,LEN(B23)-9),
IF(AND(D23="Juvenile Audiobook",LEFT(B23,8)="J CD FIC"),B23,
IF(D23="Juvenile Audiobook",RIGHT(B23,LEN(B23)-5),
IF(AND(D23="Teen Audiobook",LEFT(B23,11)="TEEN CD BIO"),RIGHT(B23,LEN(B23)-12),
IF(AND(D23="Teen Audiobook",LEFT(B23,11)="TEEN CD FIC"),B23,
IF(D23="Juvenile Audiobook",RIGHT(B23,LEN(B23)-8),
IF(D23="Juvenile Nonfiction",RIGHT(B23,LEN(B23)-2),
IF(D23="Teen Nonfiction",RIGHT(B23,LEN(B23)-5),
IF(AND(D23="Audiobook",
              NOT(OR(Contains($B23,"CD BIO"),Contains($B23,"CD FIC")))),RIGHT(B23,LEN(B23)-3),
IF(D23="Juvenile Biography",RIGHT(B23,LEN(B23)-2),
IF(D23="Teen Biography",RIGHT(B23,LEN(B23)-5),
IF(AND(D23="Audiobook",
              IFERROR(FIND("BIO",$B23)&gt;0,FALSE)),RIGHT(B23,LEN(B23)-3),
IF(D23="Juvenile Large Type","J "&amp;RIGHT(B23,LEN(B23)-11),
IF(D23="Teen Large Type","TEEN "&amp;RIGHT(B23,LEN(B23)-14),
IF(D23="Reference",RIGHT(B23,LEN(B23)-4),
IF(D23="DVD Educational",RIGHT(B23,LEN(B23)-7),
IF(D23="Juvenile DVD Educational",RIGHT(B23,LEN(B23)-9),
B23)))))))))))))))))</f>
        <v>Mystery FIC BENN</v>
      </c>
      <c r="N23" s="11" t="str">
        <f ca="1">IF(IFERROR(FIND("New",$A23)&gt;0,FALSE),"New ","") &amp; IF(IFERROR(FIND("In Lib",$A23)&gt;0,FALSE),"Reference ","") &amp;
IF(AND(D23="Audiobook",LEFT(B23,6)="CD BIO"),"Biography",
IF(AND(D23="Teen Audiobook",LEFT(B23,11)="TEEN CD BIO"),"Biography",
IF(AND(D23="Juvenile Audiobook",LEFT(B23,8)="J CD BIO"),"Biography",
IF(AND(D23="Audiobook",LEFT(B23,6)="CD FIC"),"Audiobook Fiction",
IF(AND(D23="Teen Audiobook",LEFT(B23,11)="TEEN CD FIC"),"Teen Audiobook",
IF(AND(D23="Juvenile Audiobook",LEFT(B23,8)="J CD FIC"),"Juvenile Audiobook",
IF(D23="Audiobook","Nonfiction",
IF(D23="Juvenile Audiobook","Nonfiction",
IF(D23="Teen Audiobook","Nonfiction",
IF(D23="Juvenile Nonfiction","Nonfiction",
IF(D23="Teen Nonfiction","Nonfiction",
IF(D23="Juvenile Biography","Biography",
IF(D23="Teen Biography","Biography",
IF(D23="ESL","Nonfiction",
IF(LEFT(B23,11)="INTL-VIE J ","International Juvenile",IF(LEFT(B23,11)="INTL-TAG J ","International Juvenile",IF(LEFT(B23,11)="INTL-RUS J ","International Juvenile",IF(LEFT(B23,11)="INTL-KOR J ","International Juvenile",IF(LEFT(B23,11)="INTL-JAP J ","International Juvenile",IF(LEFT(B23,11)="INTL-CHI J ","International Juvenile",IF(LEFT(B23,11)="INTL-SPA J ","International Juvenile",IF(LEFT(B23,14)="INTL-VIE TEEN ","International Teen",IF(LEFT(B23,14)="INTL-TAG TEEN ","International Teen",IF(LEFT(B23,14)="INTL-RUS TEEN ","International Teen",IF(LEFT(B23,14)="INTL-KOR TEEN ","International Teen",IF(LEFT(B23,14)="INTL-JAP TEEN ","International Teen",IF(LEFT(B23,14)="INTL-CHI TEEN ","International Teen",IF(LEFT(B23,14)="INTL-SPA TEEN ","International Teen",IF(LEFT(B23,11)="INTL-VIE E ","International Easy",IF(LEFT(B23,11)="INTL-TAG E ","International Easy",IF(LEFT(B23,11)="INTL-RUS E ","International Easy",IF(LEFT(B23,11)="INTL-JAP E ","International Easy",IF(LEFT(B23,11)="INTL-KOR E ","International Easy",IF(LEFT(B23,11)="INTL-CHI E ","International Easy",IF(LEFT(B23,11)="INTL-SPA E ","International Easy",
IF(D23="Teen Large Type","Teen Fiction",
IF(D23="Juvenile Large Type","Juvenile Fiction",
IF(LEFT(B23,6)="J CD O","Juvenile Compact Disc",
IF(AND(LEFT(B23,4)="TEEN",D23="Fiction"),"Teen Fiction",
IF(D23="DVD Educational","Nonfiction",
IF(D23="Juvenile DVD Educational","Nonfiction",
IF(D23="Reference","Nonfiction",
D23))))))))))))))))))))))))))))))))))))))))))</f>
        <v>New Fiction Mystery</v>
      </c>
    </row>
    <row r="24" spans="1:14" ht="27" customHeight="1" x14ac:dyDescent="0.25">
      <c r="A24" s="10" t="str">
        <f ca="1">TEXT( INDIRECT( ADDRESS( ROW() + Row_Offset, INDIRECT( "Column_Number_" &amp; A$1), 4,1, tabname) ), "")</f>
        <v/>
      </c>
      <c r="B24" s="10" t="str">
        <f ca="1">TEXT(  IFERROR( VLOOKUP( $D24, CollName_Simplifier_Table[], 2, FALSE),"") &amp;
        INDIRECT( ADDRESS( ROW() + Row_Offset, INDIRECT( "Column_Number_" &amp; $B$1), 4,1, tabname) ), "")</f>
        <v>Mystery FIC FRENCH</v>
      </c>
      <c r="C24" s="10" t="str">
        <f ca="1">TEXT( INDIRECT( ADDRESS( ROW() + Row_Offset, INDIRECT( "Column_Number_" &amp; C$1), 4,1, tabname) ), "")</f>
        <v>Faithful Place</v>
      </c>
      <c r="D24" s="10" t="str">
        <f ca="1">TEXT( INDIRECT( ADDRESS( ROW() + Row_Offset, INDIRECT( "Column_Number_" &amp; D$1), 4,1, tabname) ), "")</f>
        <v>Fiction Mystery</v>
      </c>
      <c r="E24" s="10" t="str">
        <f ca="1">TEXT( INDIRECT( ADDRESS( ROW() + Row_Offset, INDIRECT( "Column_Number_" &amp; E$1), 4,1, tabname) ), "####")</f>
        <v>2010</v>
      </c>
      <c r="F24" s="15"/>
      <c r="G24" s="22">
        <f ca="1">IFERROR(INDEX(Rank_Table[],MATCH($D24&amp;$A24,Table4[Join],0)),"")</f>
        <v>42</v>
      </c>
      <c r="H24" s="11" t="str">
        <f ca="1">IF(AND(D24="Juvenile Audiobook",LEFT(B24,8)="J CD BIO"),RIGHT(B24,LEN(B24)-9),
IF(AND(D24="Juvenile Audiobook",LEFT(B24,8)="J CD FIC"),B24,
IF(D24="Juvenile Audiobook",RIGHT(B24,LEN(B24)-5),
IF(AND(D24="Teen Audiobook",LEFT(B24,11)="TEEN CD BIO"),RIGHT(B24,LEN(B24)-12),
IF(AND(D24="Teen Audiobook",LEFT(B24,11)="TEEN CD FIC"),B24,
IF(D24="Juvenile Audiobook",RIGHT(B24,LEN(B24)-8),
IF(D24="Juvenile Nonfiction",RIGHT(B24,LEN(B24)-2),
IF(D24="Teen Nonfiction",RIGHT(B24,LEN(B24)-5),
IF(AND(D24="Audiobook",
              NOT(OR(Contains($B24,"CD BIO"),Contains($B24,"CD FIC")))),RIGHT(B24,LEN(B24)-3),
IF(D24="Juvenile Biography",RIGHT(B24,LEN(B24)-2),
IF(D24="Teen Biography",RIGHT(B24,LEN(B24)-5),
IF(AND(D24="Audiobook",
              IFERROR(FIND("BIO",$B24)&gt;0,FALSE)),RIGHT(B24,LEN(B24)-3),
IF(D24="Juvenile Large Type","J "&amp;RIGHT(B24,LEN(B24)-11),
IF(D24="Teen Large Type","TEEN "&amp;RIGHT(B24,LEN(B24)-14),
IF(D24="Reference",RIGHT(B24,LEN(B24)-4),
IF(D24="DVD Educational",RIGHT(B24,LEN(B24)-7),
IF(D24="Juvenile DVD Educational",RIGHT(B24,LEN(B24)-9),
B24)))))))))))))))))</f>
        <v>Mystery FIC FRENCH</v>
      </c>
      <c r="N24" s="11" t="str">
        <f ca="1">IF(IFERROR(FIND("New",$A24)&gt;0,FALSE),"New ","") &amp; IF(IFERROR(FIND("In Lib",$A24)&gt;0,FALSE),"Reference ","") &amp;
IF(AND(D24="Audiobook",LEFT(B24,6)="CD BIO"),"Biography",
IF(AND(D24="Teen Audiobook",LEFT(B24,11)="TEEN CD BIO"),"Biography",
IF(AND(D24="Juvenile Audiobook",LEFT(B24,8)="J CD BIO"),"Biography",
IF(AND(D24="Audiobook",LEFT(B24,6)="CD FIC"),"Audiobook Fiction",
IF(AND(D24="Teen Audiobook",LEFT(B24,11)="TEEN CD FIC"),"Teen Audiobook",
IF(AND(D24="Juvenile Audiobook",LEFT(B24,8)="J CD FIC"),"Juvenile Audiobook",
IF(D24="Audiobook","Nonfiction",
IF(D24="Juvenile Audiobook","Nonfiction",
IF(D24="Teen Audiobook","Nonfiction",
IF(D24="Juvenile Nonfiction","Nonfiction",
IF(D24="Teen Nonfiction","Nonfiction",
IF(D24="Juvenile Biography","Biography",
IF(D24="Teen Biography","Biography",
IF(D24="ESL","Nonfiction",
IF(LEFT(B24,11)="INTL-VIE J ","International Juvenile",IF(LEFT(B24,11)="INTL-TAG J ","International Juvenile",IF(LEFT(B24,11)="INTL-RUS J ","International Juvenile",IF(LEFT(B24,11)="INTL-KOR J ","International Juvenile",IF(LEFT(B24,11)="INTL-JAP J ","International Juvenile",IF(LEFT(B24,11)="INTL-CHI J ","International Juvenile",IF(LEFT(B24,11)="INTL-SPA J ","International Juvenile",IF(LEFT(B24,14)="INTL-VIE TEEN ","International Teen",IF(LEFT(B24,14)="INTL-TAG TEEN ","International Teen",IF(LEFT(B24,14)="INTL-RUS TEEN ","International Teen",IF(LEFT(B24,14)="INTL-KOR TEEN ","International Teen",IF(LEFT(B24,14)="INTL-JAP TEEN ","International Teen",IF(LEFT(B24,14)="INTL-CHI TEEN ","International Teen",IF(LEFT(B24,14)="INTL-SPA TEEN ","International Teen",IF(LEFT(B24,11)="INTL-VIE E ","International Easy",IF(LEFT(B24,11)="INTL-TAG E ","International Easy",IF(LEFT(B24,11)="INTL-RUS E ","International Easy",IF(LEFT(B24,11)="INTL-JAP E ","International Easy",IF(LEFT(B24,11)="INTL-KOR E ","International Easy",IF(LEFT(B24,11)="INTL-CHI E ","International Easy",IF(LEFT(B24,11)="INTL-SPA E ","International Easy",
IF(D24="Teen Large Type","Teen Fiction",
IF(D24="Juvenile Large Type","Juvenile Fiction",
IF(LEFT(B24,6)="J CD O","Juvenile Compact Disc",
IF(AND(LEFT(B24,4)="TEEN",D24="Fiction"),"Teen Fiction",
IF(D24="DVD Educational","Nonfiction",
IF(D24="Juvenile DVD Educational","Nonfiction",
IF(D24="Reference","Nonfiction",
D24))))))))))))))))))))))))))))))))))))))))))</f>
        <v>Fiction Mystery</v>
      </c>
    </row>
    <row r="25" spans="1:14" ht="27" customHeight="1" x14ac:dyDescent="0.25">
      <c r="A25" s="10" t="str">
        <f ca="1">TEXT( INDIRECT( ADDRESS( ROW() + Row_Offset, INDIRECT( "Column_Number_" &amp; A$1), 4,1, tabname) ), "")</f>
        <v/>
      </c>
      <c r="B25" s="10" t="str">
        <f ca="1">TEXT(  IFERROR( VLOOKUP( $D25, CollName_Simplifier_Table[], 2, FALSE),"") &amp;
        INDIRECT( ADDRESS( ROW() + Row_Offset, INDIRECT( "Column_Number_" &amp; $B$1), 4,1, tabname) ), "")</f>
        <v>J NAPOLI</v>
      </c>
      <c r="C25" s="10" t="str">
        <f ca="1">TEXT( INDIRECT( ADDRESS( ROW() + Row_Offset, INDIRECT( "Column_Number_" &amp; C$1), 4,1, tabname) ), "")</f>
        <v>Ugly</v>
      </c>
      <c r="D25" s="10" t="str">
        <f ca="1">TEXT( INDIRECT( ADDRESS( ROW() + Row_Offset, INDIRECT( "Column_Number_" &amp; D$1), 4,1, tabname) ), "")</f>
        <v>Juvenile Fiction</v>
      </c>
      <c r="E25" s="10" t="str">
        <f ca="1">TEXT( INDIRECT( ADDRESS( ROW() + Row_Offset, INDIRECT( "Column_Number_" &amp; E$1), 4,1, tabname) ), "####")</f>
        <v>2006</v>
      </c>
      <c r="F25" s="15"/>
      <c r="G25" s="22">
        <f ca="1">IFERROR(INDEX(Rank_Table[],MATCH($D25&amp;$A25,Table4[Join],0)),"")</f>
        <v>46</v>
      </c>
      <c r="H25" s="11" t="str">
        <f ca="1">IF(AND(D25="Juvenile Audiobook",LEFT(B25,8)="J CD BIO"),RIGHT(B25,LEN(B25)-9),
IF(AND(D25="Juvenile Audiobook",LEFT(B25,8)="J CD FIC"),B25,
IF(D25="Juvenile Audiobook",RIGHT(B25,LEN(B25)-5),
IF(AND(D25="Teen Audiobook",LEFT(B25,11)="TEEN CD BIO"),RIGHT(B25,LEN(B25)-12),
IF(AND(D25="Teen Audiobook",LEFT(B25,11)="TEEN CD FIC"),B25,
IF(D25="Juvenile Audiobook",RIGHT(B25,LEN(B25)-8),
IF(D25="Juvenile Nonfiction",RIGHT(B25,LEN(B25)-2),
IF(D25="Teen Nonfiction",RIGHT(B25,LEN(B25)-5),
IF(AND(D25="Audiobook",
              NOT(OR(Contains($B25,"CD BIO"),Contains($B25,"CD FIC")))),RIGHT(B25,LEN(B25)-3),
IF(D25="Juvenile Biography",RIGHT(B25,LEN(B25)-2),
IF(D25="Teen Biography",RIGHT(B25,LEN(B25)-5),
IF(AND(D25="Audiobook",
              IFERROR(FIND("BIO",$B25)&gt;0,FALSE)),RIGHT(B25,LEN(B25)-3),
IF(D25="Juvenile Large Type","J "&amp;RIGHT(B25,LEN(B25)-11),
IF(D25="Teen Large Type","TEEN "&amp;RIGHT(B25,LEN(B25)-14),
IF(D25="Reference",RIGHT(B25,LEN(B25)-4),
IF(D25="DVD Educational",RIGHT(B25,LEN(B25)-7),
IF(D25="Juvenile DVD Educational",RIGHT(B25,LEN(B25)-9),
B25)))))))))))))))))</f>
        <v>J NAPOLI</v>
      </c>
      <c r="N25" s="11" t="str">
        <f ca="1">IF(IFERROR(FIND("New",$A25)&gt;0,FALSE),"New ","") &amp; IF(IFERROR(FIND("In Lib",$A25)&gt;0,FALSE),"Reference ","") &amp;
IF(AND(D25="Audiobook",LEFT(B25,6)="CD BIO"),"Biography",
IF(AND(D25="Teen Audiobook",LEFT(B25,11)="TEEN CD BIO"),"Biography",
IF(AND(D25="Juvenile Audiobook",LEFT(B25,8)="J CD BIO"),"Biography",
IF(AND(D25="Audiobook",LEFT(B25,6)="CD FIC"),"Audiobook Fiction",
IF(AND(D25="Teen Audiobook",LEFT(B25,11)="TEEN CD FIC"),"Teen Audiobook",
IF(AND(D25="Juvenile Audiobook",LEFT(B25,8)="J CD FIC"),"Juvenile Audiobook",
IF(D25="Audiobook","Nonfiction",
IF(D25="Juvenile Audiobook","Nonfiction",
IF(D25="Teen Audiobook","Nonfiction",
IF(D25="Juvenile Nonfiction","Nonfiction",
IF(D25="Teen Nonfiction","Nonfiction",
IF(D25="Juvenile Biography","Biography",
IF(D25="Teen Biography","Biography",
IF(D25="ESL","Nonfiction",
IF(LEFT(B25,11)="INTL-VIE J ","International Juvenile",IF(LEFT(B25,11)="INTL-TAG J ","International Juvenile",IF(LEFT(B25,11)="INTL-RUS J ","International Juvenile",IF(LEFT(B25,11)="INTL-KOR J ","International Juvenile",IF(LEFT(B25,11)="INTL-JAP J ","International Juvenile",IF(LEFT(B25,11)="INTL-CHI J ","International Juvenile",IF(LEFT(B25,11)="INTL-SPA J ","International Juvenile",IF(LEFT(B25,14)="INTL-VIE TEEN ","International Teen",IF(LEFT(B25,14)="INTL-TAG TEEN ","International Teen",IF(LEFT(B25,14)="INTL-RUS TEEN ","International Teen",IF(LEFT(B25,14)="INTL-KOR TEEN ","International Teen",IF(LEFT(B25,14)="INTL-JAP TEEN ","International Teen",IF(LEFT(B25,14)="INTL-CHI TEEN ","International Teen",IF(LEFT(B25,14)="INTL-SPA TEEN ","International Teen",IF(LEFT(B25,11)="INTL-VIE E ","International Easy",IF(LEFT(B25,11)="INTL-TAG E ","International Easy",IF(LEFT(B25,11)="INTL-RUS E ","International Easy",IF(LEFT(B25,11)="INTL-JAP E ","International Easy",IF(LEFT(B25,11)="INTL-KOR E ","International Easy",IF(LEFT(B25,11)="INTL-CHI E ","International Easy",IF(LEFT(B25,11)="INTL-SPA E ","International Easy",
IF(D25="Teen Large Type","Teen Fiction",
IF(D25="Juvenile Large Type","Juvenile Fiction",
IF(LEFT(B25,6)="J CD O","Juvenile Compact Disc",
IF(AND(LEFT(B25,4)="TEEN",D25="Fiction"),"Teen Fiction",
IF(D25="DVD Educational","Nonfiction",
IF(D25="Juvenile DVD Educational","Nonfiction",
IF(D25="Reference","Nonfiction",
D25))))))))))))))))))))))))))))))))))))))))))</f>
        <v>Juvenile Compact Disc</v>
      </c>
    </row>
    <row r="26" spans="1:14" ht="27" customHeight="1" x14ac:dyDescent="0.25">
      <c r="A26" s="10" t="str">
        <f ca="1">TEXT( INDIRECT( ADDRESS( ROW() + Row_Offset, INDIRECT( "Column_Number_" &amp; A$1), 4,1, tabname) ), "")</f>
        <v/>
      </c>
      <c r="B26" s="10" t="str">
        <f ca="1">TEXT(  IFERROR( VLOOKUP( $D26, CollName_Simplifier_Table[], 2, FALSE),"") &amp;
        INDIRECT( ADDRESS( ROW() + Row_Offset, INDIRECT( "Column_Number_" &amp; $B$1), 4,1, tabname) ), "")</f>
        <v>J SUTHERL</v>
      </c>
      <c r="C26" s="10" t="str">
        <f ca="1">TEXT( INDIRECT( ADDRESS( ROW() + Row_Offset, INDIRECT( "Column_Number_" &amp; C$1), 4,1, tabname) ), "")</f>
        <v>The hidden kingdom</v>
      </c>
      <c r="D26" s="10" t="str">
        <f ca="1">TEXT( INDIRECT( ADDRESS( ROW() + Row_Offset, INDIRECT( "Column_Number_" &amp; D$1), 4,1, tabname) ), "")</f>
        <v>Juvenile Fiction</v>
      </c>
      <c r="E26" s="10" t="str">
        <f ca="1">TEXT( INDIRECT( ADDRESS( ROW() + Row_Offset, INDIRECT( "Column_Number_" &amp; E$1), 4,1, tabname) ), "####")</f>
        <v>2013</v>
      </c>
      <c r="F26" s="15"/>
      <c r="G26" s="22">
        <f ca="1">IFERROR(INDEX(Rank_Table[],MATCH($D26&amp;$A26,Table4[Join],0)),"")</f>
        <v>46</v>
      </c>
      <c r="H26" s="11" t="str">
        <f ca="1">IF(AND(D26="Juvenile Audiobook",LEFT(B26,8)="J CD BIO"),RIGHT(B26,LEN(B26)-9),
IF(AND(D26="Juvenile Audiobook",LEFT(B26,8)="J CD FIC"),B26,
IF(D26="Juvenile Audiobook",RIGHT(B26,LEN(B26)-5),
IF(AND(D26="Teen Audiobook",LEFT(B26,11)="TEEN CD BIO"),RIGHT(B26,LEN(B26)-12),
IF(AND(D26="Teen Audiobook",LEFT(B26,11)="TEEN CD FIC"),B26,
IF(D26="Juvenile Audiobook",RIGHT(B26,LEN(B26)-8),
IF(D26="Juvenile Nonfiction",RIGHT(B26,LEN(B26)-2),
IF(D26="Teen Nonfiction",RIGHT(B26,LEN(B26)-5),
IF(AND(D26="Audiobook",
              NOT(OR(Contains($B26,"CD BIO"),Contains($B26,"CD FIC")))),RIGHT(B26,LEN(B26)-3),
IF(D26="Juvenile Biography",RIGHT(B26,LEN(B26)-2),
IF(D26="Teen Biography",RIGHT(B26,LEN(B26)-5),
IF(AND(D26="Audiobook",
              IFERROR(FIND("BIO",$B26)&gt;0,FALSE)),RIGHT(B26,LEN(B26)-3),
IF(D26="Juvenile Large Type","J "&amp;RIGHT(B26,LEN(B26)-11),
IF(D26="Teen Large Type","TEEN "&amp;RIGHT(B26,LEN(B26)-14),
IF(D26="Reference",RIGHT(B26,LEN(B26)-4),
IF(D26="DVD Educational",RIGHT(B26,LEN(B26)-7),
IF(D26="Juvenile DVD Educational",RIGHT(B26,LEN(B26)-9),
B26)))))))))))))))))</f>
        <v>J SUTHERL</v>
      </c>
      <c r="N26" s="11" t="str">
        <f ca="1">IF(IFERROR(FIND("New",$A26)&gt;0,FALSE),"New ","") &amp; IF(IFERROR(FIND("In Lib",$A26)&gt;0,FALSE),"Reference ","") &amp;
IF(AND(D26="Audiobook",LEFT(B26,6)="CD BIO"),"Biography",
IF(AND(D26="Teen Audiobook",LEFT(B26,11)="TEEN CD BIO"),"Biography",
IF(AND(D26="Juvenile Audiobook",LEFT(B26,8)="J CD BIO"),"Biography",
IF(AND(D26="Audiobook",LEFT(B26,6)="CD FIC"),"Audiobook Fiction",
IF(AND(D26="Teen Audiobook",LEFT(B26,11)="TEEN CD FIC"),"Teen Audiobook",
IF(AND(D26="Juvenile Audiobook",LEFT(B26,8)="J CD FIC"),"Juvenile Audiobook",
IF(D26="Audiobook","Nonfiction",
IF(D26="Juvenile Audiobook","Nonfiction",
IF(D26="Teen Audiobook","Nonfiction",
IF(D26="Juvenile Nonfiction","Nonfiction",
IF(D26="Teen Nonfiction","Nonfiction",
IF(D26="Juvenile Biography","Biography",
IF(D26="Teen Biography","Biography",
IF(D26="ESL","Nonfiction",
IF(LEFT(B26,11)="INTL-VIE J ","International Juvenile",IF(LEFT(B26,11)="INTL-TAG J ","International Juvenile",IF(LEFT(B26,11)="INTL-RUS J ","International Juvenile",IF(LEFT(B26,11)="INTL-KOR J ","International Juvenile",IF(LEFT(B26,11)="INTL-JAP J ","International Juvenile",IF(LEFT(B26,11)="INTL-CHI J ","International Juvenile",IF(LEFT(B26,11)="INTL-SPA J ","International Juvenile",IF(LEFT(B26,14)="INTL-VIE TEEN ","International Teen",IF(LEFT(B26,14)="INTL-TAG TEEN ","International Teen",IF(LEFT(B26,14)="INTL-RUS TEEN ","International Teen",IF(LEFT(B26,14)="INTL-KOR TEEN ","International Teen",IF(LEFT(B26,14)="INTL-JAP TEEN ","International Teen",IF(LEFT(B26,14)="INTL-CHI TEEN ","International Teen",IF(LEFT(B26,14)="INTL-SPA TEEN ","International Teen",IF(LEFT(B26,11)="INTL-VIE E ","International Easy",IF(LEFT(B26,11)="INTL-TAG E ","International Easy",IF(LEFT(B26,11)="INTL-RUS E ","International Easy",IF(LEFT(B26,11)="INTL-JAP E ","International Easy",IF(LEFT(B26,11)="INTL-KOR E ","International Easy",IF(LEFT(B26,11)="INTL-CHI E ","International Easy",IF(LEFT(B26,11)="INTL-SPA E ","International Easy",
IF(D26="Teen Large Type","Teen Fiction",
IF(D26="Juvenile Large Type","Juvenile Fiction",
IF(LEFT(B26,6)="J CD O","Juvenile Compact Disc",
IF(AND(LEFT(B26,4)="TEEN",D26="Fiction"),"Teen Fiction",
IF(D26="DVD Educational","Nonfiction",
IF(D26="Juvenile DVD Educational","Nonfiction",
IF(D26="Reference","Nonfiction",
D26))))))))))))))))))))))))))))))))))))))))))</f>
        <v>Juvenile Compact Disc</v>
      </c>
    </row>
    <row r="27" spans="1:14" ht="27" customHeight="1" x14ac:dyDescent="0.25">
      <c r="A27" s="10" t="str">
        <f ca="1">TEXT( INDIRECT( ADDRESS( ROW() + Row_Offset, INDIRECT( "Column_Number_" &amp; A$1), 4,1, tabname) ), "")</f>
        <v/>
      </c>
      <c r="B27" s="10" t="str">
        <f ca="1">TEXT(  IFERROR( VLOOKUP( $D27, CollName_Simplifier_Table[], 2, FALSE),"") &amp;
        INDIRECT( ADDRESS( ROW() + Row_Offset, INDIRECT( "Column_Number_" &amp; $B$1), 4,1, tabname) ), "")</f>
        <v>J DVD THO1694</v>
      </c>
      <c r="C27" s="10" t="str">
        <f ca="1">TEXT( INDIRECT( ADDRESS( ROW() + Row_Offset, INDIRECT( "Column_Number_" &amp; C$1), 4,1, tabname) ), "")</f>
        <v>Thomas &amp; friends. Merry Christmas Thomas</v>
      </c>
      <c r="D27" s="10" t="str">
        <f ca="1">TEXT( INDIRECT( ADDRESS( ROW() + Row_Offset, INDIRECT( "Column_Number_" &amp; D$1), 4,1, tabname) ), "")</f>
        <v>Juvenile DVD</v>
      </c>
      <c r="E27" s="10" t="str">
        <f ca="1">TEXT( INDIRECT( ADDRESS( ROW() + Row_Offset, INDIRECT( "Column_Number_" &amp; E$1), 4,1, tabname) ), "####")</f>
        <v>2011</v>
      </c>
      <c r="F27" s="15"/>
      <c r="G27" s="22">
        <f ca="1">IFERROR(INDEX(Rank_Table[],MATCH($D27&amp;$A27,Table4[Join],0)),"")</f>
        <v>52</v>
      </c>
      <c r="H27" s="11" t="str">
        <f ca="1">IF(AND(D27="Juvenile Audiobook",LEFT(B27,8)="J CD BIO"),RIGHT(B27,LEN(B27)-9),
IF(AND(D27="Juvenile Audiobook",LEFT(B27,8)="J CD FIC"),B27,
IF(D27="Juvenile Audiobook",RIGHT(B27,LEN(B27)-5),
IF(AND(D27="Teen Audiobook",LEFT(B27,11)="TEEN CD BIO"),RIGHT(B27,LEN(B27)-12),
IF(AND(D27="Teen Audiobook",LEFT(B27,11)="TEEN CD FIC"),B27,
IF(D27="Juvenile Audiobook",RIGHT(B27,LEN(B27)-8),
IF(D27="Juvenile Nonfiction",RIGHT(B27,LEN(B27)-2),
IF(D27="Teen Nonfiction",RIGHT(B27,LEN(B27)-5),
IF(AND(D27="Audiobook",
              NOT(OR(Contains($B27,"CD BIO"),Contains($B27,"CD FIC")))),RIGHT(B27,LEN(B27)-3),
IF(D27="Juvenile Biography",RIGHT(B27,LEN(B27)-2),
IF(D27="Teen Biography",RIGHT(B27,LEN(B27)-5),
IF(AND(D27="Audiobook",
              IFERROR(FIND("BIO",$B27)&gt;0,FALSE)),RIGHT(B27,LEN(B27)-3),
IF(D27="Juvenile Large Type","J "&amp;RIGHT(B27,LEN(B27)-11),
IF(D27="Teen Large Type","TEEN "&amp;RIGHT(B27,LEN(B27)-14),
IF(D27="Reference",RIGHT(B27,LEN(B27)-4),
IF(D27="DVD Educational",RIGHT(B27,LEN(B27)-7),
IF(D27="Juvenile DVD Educational",RIGHT(B27,LEN(B27)-9),
B27)))))))))))))))))</f>
        <v>J DVD THO1694</v>
      </c>
      <c r="N27" s="11" t="str">
        <f ca="1">IF(IFERROR(FIND("New",$A27)&gt;0,FALSE),"New ","") &amp; IF(IFERROR(FIND("In Lib",$A27)&gt;0,FALSE),"Reference ","") &amp;
IF(AND(D27="Audiobook",LEFT(B27,6)="CD BIO"),"Biography",
IF(AND(D27="Teen Audiobook",LEFT(B27,11)="TEEN CD BIO"),"Biography",
IF(AND(D27="Juvenile Audiobook",LEFT(B27,8)="J CD BIO"),"Biography",
IF(AND(D27="Audiobook",LEFT(B27,6)="CD FIC"),"Audiobook Fiction",
IF(AND(D27="Teen Audiobook",LEFT(B27,11)="TEEN CD FIC"),"Teen Audiobook",
IF(AND(D27="Juvenile Audiobook",LEFT(B27,8)="J CD FIC"),"Juvenile Audiobook",
IF(D27="Audiobook","Nonfiction",
IF(D27="Juvenile Audiobook","Nonfiction",
IF(D27="Teen Audiobook","Nonfiction",
IF(D27="Juvenile Nonfiction","Nonfiction",
IF(D27="Teen Nonfiction","Nonfiction",
IF(D27="Juvenile Biography","Biography",
IF(D27="Teen Biography","Biography",
IF(D27="ESL","Nonfiction",
IF(LEFT(B27,11)="INTL-VIE J ","International Juvenile",IF(LEFT(B27,11)="INTL-TAG J ","International Juvenile",IF(LEFT(B27,11)="INTL-RUS J ","International Juvenile",IF(LEFT(B27,11)="INTL-KOR J ","International Juvenile",IF(LEFT(B27,11)="INTL-JAP J ","International Juvenile",IF(LEFT(B27,11)="INTL-CHI J ","International Juvenile",IF(LEFT(B27,11)="INTL-SPA J ","International Juvenile",IF(LEFT(B27,14)="INTL-VIE TEEN ","International Teen",IF(LEFT(B27,14)="INTL-TAG TEEN ","International Teen",IF(LEFT(B27,14)="INTL-RUS TEEN ","International Teen",IF(LEFT(B27,14)="INTL-KOR TEEN ","International Teen",IF(LEFT(B27,14)="INTL-JAP TEEN ","International Teen",IF(LEFT(B27,14)="INTL-CHI TEEN ","International Teen",IF(LEFT(B27,14)="INTL-SPA TEEN ","International Teen",IF(LEFT(B27,11)="INTL-VIE E ","International Easy",IF(LEFT(B27,11)="INTL-TAG E ","International Easy",IF(LEFT(B27,11)="INTL-RUS E ","International Easy",IF(LEFT(B27,11)="INTL-JAP E ","International Easy",IF(LEFT(B27,11)="INTL-KOR E ","International Easy",IF(LEFT(B27,11)="INTL-CHI E ","International Easy",IF(LEFT(B27,11)="INTL-SPA E ","International Easy",
IF(D27="Teen Large Type","Teen Fiction",
IF(D27="Juvenile Large Type","Juvenile Fiction",
IF(LEFT(B27,6)="J CD O","Juvenile Compact Disc",
IF(AND(LEFT(B27,4)="TEEN",D27="Fiction"),"Teen Fiction",
IF(D27="DVD Educational","Nonfiction",
IF(D27="Juvenile DVD Educational","Nonfiction",
IF(D27="Reference","Nonfiction",
D27))))))))))))))))))))))))))))))))))))))))))</f>
        <v>Juvenile Compact Disc</v>
      </c>
    </row>
    <row r="28" spans="1:14" ht="27" customHeight="1" x14ac:dyDescent="0.25">
      <c r="A28" s="10" t="str">
        <f ca="1">TEXT( INDIRECT( ADDRESS( ROW() + Row_Offset, INDIRECT( "Column_Number_" &amp; A$1), 4,1, tabname) ), "")</f>
        <v/>
      </c>
      <c r="B28" s="10" t="str">
        <f ca="1">TEXT(  IFERROR( VLOOKUP( $D28, CollName_Simplifier_Table[], 2, FALSE),"") &amp;
        INDIRECT( ADDRESS( ROW() + Row_Offset, INDIRECT( "Column_Number_" &amp; $B$1), 4,1, tabname) ), "")</f>
        <v>J CD OM ACO307</v>
      </c>
      <c r="C28" s="10" t="str">
        <f ca="1">TEXT( INDIRECT( ADDRESS( ROW() + Row_Offset, INDIRECT( "Column_Number_" &amp; C$1), 4,1, tabname) ), "")</f>
        <v>Acoustic dreamland Putumayo kids.</v>
      </c>
      <c r="D28" s="10" t="str">
        <f ca="1">TEXT( INDIRECT( ADDRESS( ROW() + Row_Offset, INDIRECT( "Column_Number_" &amp; D$1), 4,1, tabname) ), "")</f>
        <v>Juvenile Compact Disc</v>
      </c>
      <c r="E28" s="10" t="str">
        <f ca="1">TEXT( INDIRECT( ADDRESS( ROW() + Row_Offset, INDIRECT( "Column_Number_" &amp; E$1), 4,1, tabname) ), "####")</f>
        <v>2011</v>
      </c>
      <c r="F28" s="15"/>
      <c r="G28" s="22">
        <f ca="1">IFERROR(INDEX(Rank_Table[],MATCH($D28&amp;$A28,Table4[Join],0)),"")</f>
        <v>54</v>
      </c>
      <c r="H28" s="11" t="str">
        <f ca="1">IF(AND(D28="Juvenile Audiobook",LEFT(B28,8)="J CD BIO"),RIGHT(B28,LEN(B28)-9),
IF(AND(D28="Juvenile Audiobook",LEFT(B28,8)="J CD FIC"),B28,
IF(D28="Juvenile Audiobook",RIGHT(B28,LEN(B28)-5),
IF(AND(D28="Teen Audiobook",LEFT(B28,11)="TEEN CD BIO"),RIGHT(B28,LEN(B28)-12),
IF(AND(D28="Teen Audiobook",LEFT(B28,11)="TEEN CD FIC"),B28,
IF(D28="Juvenile Audiobook",RIGHT(B28,LEN(B28)-8),
IF(D28="Juvenile Nonfiction",RIGHT(B28,LEN(B28)-2),
IF(D28="Teen Nonfiction",RIGHT(B28,LEN(B28)-5),
IF(AND(D28="Audiobook",
              NOT(OR(Contains($B28,"CD BIO"),Contains($B28,"CD FIC")))),RIGHT(B28,LEN(B28)-3),
IF(D28="Juvenile Biography",RIGHT(B28,LEN(B28)-2),
IF(D28="Teen Biography",RIGHT(B28,LEN(B28)-5),
IF(AND(D28="Audiobook",
              IFERROR(FIND("BIO",$B28)&gt;0,FALSE)),RIGHT(B28,LEN(B28)-3),
IF(D28="Juvenile Large Type","J "&amp;RIGHT(B28,LEN(B28)-11),
IF(D28="Teen Large Type","TEEN "&amp;RIGHT(B28,LEN(B28)-14),
IF(D28="Reference",RIGHT(B28,LEN(B28)-4),
IF(D28="DVD Educational",RIGHT(B28,LEN(B28)-7),
IF(D28="Juvenile DVD Educational",RIGHT(B28,LEN(B28)-9),
B28)))))))))))))))))</f>
        <v>J CD OM ACO307</v>
      </c>
      <c r="N28" s="11" t="str">
        <f ca="1">IF(IFERROR(FIND("New",$A28)&gt;0,FALSE),"New ","") &amp; IF(IFERROR(FIND("In Lib",$A28)&gt;0,FALSE),"Reference ","") &amp;
IF(AND(D28="Audiobook",LEFT(B28,6)="CD BIO"),"Biography",
IF(AND(D28="Teen Audiobook",LEFT(B28,11)="TEEN CD BIO"),"Biography",
IF(AND(D28="Juvenile Audiobook",LEFT(B28,8)="J CD BIO"),"Biography",
IF(AND(D28="Audiobook",LEFT(B28,6)="CD FIC"),"Audiobook Fiction",
IF(AND(D28="Teen Audiobook",LEFT(B28,11)="TEEN CD FIC"),"Teen Audiobook",
IF(AND(D28="Juvenile Audiobook",LEFT(B28,8)="J CD FIC"),"Juvenile Audiobook",
IF(D28="Audiobook","Nonfiction",
IF(D28="Juvenile Audiobook","Nonfiction",
IF(D28="Teen Audiobook","Nonfiction",
IF(D28="Juvenile Nonfiction","Nonfiction",
IF(D28="Teen Nonfiction","Nonfiction",
IF(D28="Juvenile Biography","Biography",
IF(D28="Teen Biography","Biography",
IF(D28="ESL","Nonfiction",
IF(LEFT(B28,11)="INTL-VIE J ","International Juvenile",IF(LEFT(B28,11)="INTL-TAG J ","International Juvenile",IF(LEFT(B28,11)="INTL-RUS J ","International Juvenile",IF(LEFT(B28,11)="INTL-KOR J ","International Juvenile",IF(LEFT(B28,11)="INTL-JAP J ","International Juvenile",IF(LEFT(B28,11)="INTL-CHI J ","International Juvenile",IF(LEFT(B28,11)="INTL-SPA J ","International Juvenile",IF(LEFT(B28,14)="INTL-VIE TEEN ","International Teen",IF(LEFT(B28,14)="INTL-TAG TEEN ","International Teen",IF(LEFT(B28,14)="INTL-RUS TEEN ","International Teen",IF(LEFT(B28,14)="INTL-KOR TEEN ","International Teen",IF(LEFT(B28,14)="INTL-JAP TEEN ","International Teen",IF(LEFT(B28,14)="INTL-CHI TEEN ","International Teen",IF(LEFT(B28,14)="INTL-SPA TEEN ","International Teen",IF(LEFT(B28,11)="INTL-VIE E ","International Easy",IF(LEFT(B28,11)="INTL-TAG E ","International Easy",IF(LEFT(B28,11)="INTL-RUS E ","International Easy",IF(LEFT(B28,11)="INTL-JAP E ","International Easy",IF(LEFT(B28,11)="INTL-KOR E ","International Easy",IF(LEFT(B28,11)="INTL-CHI E ","International Easy",IF(LEFT(B28,11)="INTL-SPA E ","International Easy",
IF(D28="Teen Large Type","Teen Fiction",
IF(D28="Juvenile Large Type","Juvenile Fiction",
IF(LEFT(B28,6)="J CD O","Juvenile Compact Disc",
IF(AND(LEFT(B28,4)="TEEN",D28="Fiction"),"Teen Fiction",
IF(D28="DVD Educational","Nonfiction",
IF(D28="Juvenile DVD Educational","Nonfiction",
IF(D28="Reference","Nonfiction",
D28))))))))))))))))))))))))))))))))))))))))))</f>
        <v>Juvenile Compact Disc</v>
      </c>
    </row>
    <row r="29" spans="1:14" ht="27" customHeight="1" x14ac:dyDescent="0.25">
      <c r="A29" s="10" t="str">
        <f ca="1">TEXT( INDIRECT( ADDRESS( ROW() + Row_Offset, INDIRECT( "Column_Number_" &amp; A$1), 4,1, tabname) ), "")</f>
        <v/>
      </c>
      <c r="B29" s="10" t="str">
        <f ca="1">TEXT(  IFERROR( VLOOKUP( $D29, CollName_Simplifier_Table[], 2, FALSE),"") &amp;
        INDIRECT( ADDRESS( ROW() + Row_Offset, INDIRECT( "Column_Number_" &amp; $B$1), 4,1, tabname) ), "")</f>
        <v>J CD OM BERKNER</v>
      </c>
      <c r="C29" s="10" t="str">
        <f ca="1">TEXT( INDIRECT( ADDRESS( ROW() + Row_Offset, INDIRECT( "Column_Number_" &amp; C$1), 4,1, tabname) ), "")</f>
        <v>Laurie Berkner lullabies.</v>
      </c>
      <c r="D29" s="10" t="str">
        <f ca="1">TEXT( INDIRECT( ADDRESS( ROW() + Row_Offset, INDIRECT( "Column_Number_" &amp; D$1), 4,1, tabname) ), "")</f>
        <v>Juvenile Compact Disc</v>
      </c>
      <c r="E29" s="10" t="str">
        <f ca="1">TEXT( INDIRECT( ADDRESS( ROW() + Row_Offset, INDIRECT( "Column_Number_" &amp; E$1), 4,1, tabname) ), "####")</f>
        <v>2014</v>
      </c>
      <c r="F29" s="15"/>
      <c r="G29" s="22">
        <f ca="1">IFERROR(INDEX(Rank_Table[],MATCH($D29&amp;$A29,Table4[Join],0)),"")</f>
        <v>54</v>
      </c>
      <c r="H29" s="11" t="str">
        <f ca="1">IF(AND(D29="Juvenile Audiobook",LEFT(B29,8)="J CD BIO"),RIGHT(B29,LEN(B29)-9),
IF(AND(D29="Juvenile Audiobook",LEFT(B29,8)="J CD FIC"),B29,
IF(D29="Juvenile Audiobook",RIGHT(B29,LEN(B29)-5),
IF(AND(D29="Teen Audiobook",LEFT(B29,11)="TEEN CD BIO"),RIGHT(B29,LEN(B29)-12),
IF(AND(D29="Teen Audiobook",LEFT(B29,11)="TEEN CD FIC"),B29,
IF(D29="Juvenile Audiobook",RIGHT(B29,LEN(B29)-8),
IF(D29="Juvenile Nonfiction",RIGHT(B29,LEN(B29)-2),
IF(D29="Teen Nonfiction",RIGHT(B29,LEN(B29)-5),
IF(AND(D29="Audiobook",
              NOT(OR(Contains($B29,"CD BIO"),Contains($B29,"CD FIC")))),RIGHT(B29,LEN(B29)-3),
IF(D29="Juvenile Biography",RIGHT(B29,LEN(B29)-2),
IF(D29="Teen Biography",RIGHT(B29,LEN(B29)-5),
IF(AND(D29="Audiobook",
              IFERROR(FIND("BIO",$B29)&gt;0,FALSE)),RIGHT(B29,LEN(B29)-3),
IF(D29="Juvenile Large Type","J "&amp;RIGHT(B29,LEN(B29)-11),
IF(D29="Teen Large Type","TEEN "&amp;RIGHT(B29,LEN(B29)-14),
IF(D29="Reference",RIGHT(B29,LEN(B29)-4),
IF(D29="DVD Educational",RIGHT(B29,LEN(B29)-7),
IF(D29="Juvenile DVD Educational",RIGHT(B29,LEN(B29)-9),
B29)))))))))))))))))</f>
        <v>J CD OM BERKNER</v>
      </c>
      <c r="N29" s="11" t="str">
        <f ca="1">IF(IFERROR(FIND("New",$A29)&gt;0,FALSE),"New ","") &amp; IF(IFERROR(FIND("In Lib",$A29)&gt;0,FALSE),"Reference ","") &amp;
IF(AND(D29="Audiobook",LEFT(B29,6)="CD BIO"),"Biography",
IF(AND(D29="Teen Audiobook",LEFT(B29,11)="TEEN CD BIO"),"Biography",
IF(AND(D29="Juvenile Audiobook",LEFT(B29,8)="J CD BIO"),"Biography",
IF(AND(D29="Audiobook",LEFT(B29,6)="CD FIC"),"Audiobook Fiction",
IF(AND(D29="Teen Audiobook",LEFT(B29,11)="TEEN CD FIC"),"Teen Audiobook",
IF(AND(D29="Juvenile Audiobook",LEFT(B29,8)="J CD FIC"),"Juvenile Audiobook",
IF(D29="Audiobook","Nonfiction",
IF(D29="Juvenile Audiobook","Nonfiction",
IF(D29="Teen Audiobook","Nonfiction",
IF(D29="Juvenile Nonfiction","Nonfiction",
IF(D29="Teen Nonfiction","Nonfiction",
IF(D29="Juvenile Biography","Biography",
IF(D29="Teen Biography","Biography",
IF(D29="ESL","Nonfiction",
IF(LEFT(B29,11)="INTL-VIE J ","International Juvenile",IF(LEFT(B29,11)="INTL-TAG J ","International Juvenile",IF(LEFT(B29,11)="INTL-RUS J ","International Juvenile",IF(LEFT(B29,11)="INTL-KOR J ","International Juvenile",IF(LEFT(B29,11)="INTL-JAP J ","International Juvenile",IF(LEFT(B29,11)="INTL-CHI J ","International Juvenile",IF(LEFT(B29,11)="INTL-SPA J ","International Juvenile",IF(LEFT(B29,14)="INTL-VIE TEEN ","International Teen",IF(LEFT(B29,14)="INTL-TAG TEEN ","International Teen",IF(LEFT(B29,14)="INTL-RUS TEEN ","International Teen",IF(LEFT(B29,14)="INTL-KOR TEEN ","International Teen",IF(LEFT(B29,14)="INTL-JAP TEEN ","International Teen",IF(LEFT(B29,14)="INTL-CHI TEEN ","International Teen",IF(LEFT(B29,14)="INTL-SPA TEEN ","International Teen",IF(LEFT(B29,11)="INTL-VIE E ","International Easy",IF(LEFT(B29,11)="INTL-TAG E ","International Easy",IF(LEFT(B29,11)="INTL-RUS E ","International Easy",IF(LEFT(B29,11)="INTL-JAP E ","International Easy",IF(LEFT(B29,11)="INTL-KOR E ","International Easy",IF(LEFT(B29,11)="INTL-CHI E ","International Easy",IF(LEFT(B29,11)="INTL-SPA E ","International Easy",
IF(D29="Teen Large Type","Teen Fiction",
IF(D29="Juvenile Large Type","Juvenile Fiction",
IF(LEFT(B29,6)="J CD O","Juvenile Compact Disc",
IF(AND(LEFT(B29,4)="TEEN",D29="Fiction"),"Teen Fiction",
IF(D29="DVD Educational","Nonfiction",
IF(D29="Juvenile DVD Educational","Nonfiction",
IF(D29="Reference","Nonfiction",
D29))))))))))))))))))))))))))))))))))))))))))</f>
        <v>Juvenile Compact Disc</v>
      </c>
    </row>
    <row r="30" spans="1:14" ht="27" customHeight="1" x14ac:dyDescent="0.25">
      <c r="A30" s="10" t="str">
        <f ca="1">TEXT( INDIRECT( ADDRESS( ROW() + Row_Offset, INDIRECT( "Column_Number_" &amp; A$1), 4,1, tabname) ), "")</f>
        <v/>
      </c>
      <c r="B30" s="10" t="str">
        <f ca="1">TEXT(  IFERROR( VLOOKUP( $D30, CollName_Simplifier_Table[], 2, FALSE),"") &amp;
        INDIRECT( ADDRESS( ROW() + Row_Offset, INDIRECT( "Column_Number_" &amp; $B$1), 4,1, tabname) ), "")</f>
        <v>J CD OM CAL2419</v>
      </c>
      <c r="C30" s="10" t="str">
        <f ca="1">TEXT( INDIRECT( ADDRESS( ROW() + Row_Offset, INDIRECT( "Column_Number_" &amp; C$1), 4,1, tabname) ), "")</f>
        <v>Calming world lullabies</v>
      </c>
      <c r="D30" s="10" t="str">
        <f ca="1">TEXT( INDIRECT( ADDRESS( ROW() + Row_Offset, INDIRECT( "Column_Number_" &amp; D$1), 4,1, tabname) ), "")</f>
        <v>Juvenile Compact Disc</v>
      </c>
      <c r="E30" s="10" t="str">
        <f ca="1">TEXT( INDIRECT( ADDRESS( ROW() + Row_Offset, INDIRECT( "Column_Number_" &amp; E$1), 4,1, tabname) ), "####")</f>
        <v>2012</v>
      </c>
      <c r="F30" s="15"/>
      <c r="G30" s="22">
        <f ca="1">IFERROR(INDEX(Rank_Table[],MATCH($D30&amp;$A30,Table4[Join],0)),"")</f>
        <v>54</v>
      </c>
      <c r="H30" s="11" t="str">
        <f ca="1">IF(AND(D30="Juvenile Audiobook",LEFT(B30,8)="J CD BIO"),RIGHT(B30,LEN(B30)-9),
IF(AND(D30="Juvenile Audiobook",LEFT(B30,8)="J CD FIC"),B30,
IF(D30="Juvenile Audiobook",RIGHT(B30,LEN(B30)-5),
IF(AND(D30="Teen Audiobook",LEFT(B30,11)="TEEN CD BIO"),RIGHT(B30,LEN(B30)-12),
IF(AND(D30="Teen Audiobook",LEFT(B30,11)="TEEN CD FIC"),B30,
IF(D30="Juvenile Audiobook",RIGHT(B30,LEN(B30)-8),
IF(D30="Juvenile Nonfiction",RIGHT(B30,LEN(B30)-2),
IF(D30="Teen Nonfiction",RIGHT(B30,LEN(B30)-5),
IF(AND(D30="Audiobook",
              NOT(OR(Contains($B30,"CD BIO"),Contains($B30,"CD FIC")))),RIGHT(B30,LEN(B30)-3),
IF(D30="Juvenile Biography",RIGHT(B30,LEN(B30)-2),
IF(D30="Teen Biography",RIGHT(B30,LEN(B30)-5),
IF(AND(D30="Audiobook",
              IFERROR(FIND("BIO",$B30)&gt;0,FALSE)),RIGHT(B30,LEN(B30)-3),
IF(D30="Juvenile Large Type","J "&amp;RIGHT(B30,LEN(B30)-11),
IF(D30="Teen Large Type","TEEN "&amp;RIGHT(B30,LEN(B30)-14),
IF(D30="Reference",RIGHT(B30,LEN(B30)-4),
IF(D30="DVD Educational",RIGHT(B30,LEN(B30)-7),
IF(D30="Juvenile DVD Educational",RIGHT(B30,LEN(B30)-9),
B30)))))))))))))))))</f>
        <v>J CD OM CAL2419</v>
      </c>
      <c r="N30" s="11" t="str">
        <f ca="1">IF(IFERROR(FIND("New",$A30)&gt;0,FALSE),"New ","") &amp; IF(IFERROR(FIND("In Lib",$A30)&gt;0,FALSE),"Reference ","") &amp;
IF(AND(D30="Audiobook",LEFT(B30,6)="CD BIO"),"Biography",
IF(AND(D30="Teen Audiobook",LEFT(B30,11)="TEEN CD BIO"),"Biography",
IF(AND(D30="Juvenile Audiobook",LEFT(B30,8)="J CD BIO"),"Biography",
IF(AND(D30="Audiobook",LEFT(B30,6)="CD FIC"),"Audiobook Fiction",
IF(AND(D30="Teen Audiobook",LEFT(B30,11)="TEEN CD FIC"),"Teen Audiobook",
IF(AND(D30="Juvenile Audiobook",LEFT(B30,8)="J CD FIC"),"Juvenile Audiobook",
IF(D30="Audiobook","Nonfiction",
IF(D30="Juvenile Audiobook","Nonfiction",
IF(D30="Teen Audiobook","Nonfiction",
IF(D30="Juvenile Nonfiction","Nonfiction",
IF(D30="Teen Nonfiction","Nonfiction",
IF(D30="Juvenile Biography","Biography",
IF(D30="Teen Biography","Biography",
IF(D30="ESL","Nonfiction",
IF(LEFT(B30,11)="INTL-VIE J ","International Juvenile",IF(LEFT(B30,11)="INTL-TAG J ","International Juvenile",IF(LEFT(B30,11)="INTL-RUS J ","International Juvenile",IF(LEFT(B30,11)="INTL-KOR J ","International Juvenile",IF(LEFT(B30,11)="INTL-JAP J ","International Juvenile",IF(LEFT(B30,11)="INTL-CHI J ","International Juvenile",IF(LEFT(B30,11)="INTL-SPA J ","International Juvenile",IF(LEFT(B30,14)="INTL-VIE TEEN ","International Teen",IF(LEFT(B30,14)="INTL-TAG TEEN ","International Teen",IF(LEFT(B30,14)="INTL-RUS TEEN ","International Teen",IF(LEFT(B30,14)="INTL-KOR TEEN ","International Teen",IF(LEFT(B30,14)="INTL-JAP TEEN ","International Teen",IF(LEFT(B30,14)="INTL-CHI TEEN ","International Teen",IF(LEFT(B30,14)="INTL-SPA TEEN ","International Teen",IF(LEFT(B30,11)="INTL-VIE E ","International Easy",IF(LEFT(B30,11)="INTL-TAG E ","International Easy",IF(LEFT(B30,11)="INTL-RUS E ","International Easy",IF(LEFT(B30,11)="INTL-JAP E ","International Easy",IF(LEFT(B30,11)="INTL-KOR E ","International Easy",IF(LEFT(B30,11)="INTL-CHI E ","International Easy",IF(LEFT(B30,11)="INTL-SPA E ","International Easy",
IF(D30="Teen Large Type","Teen Fiction",
IF(D30="Juvenile Large Type","Juvenile Fiction",
IF(LEFT(B30,6)="J CD O","Juvenile Compact Disc",
IF(AND(LEFT(B30,4)="TEEN",D30="Fiction"),"Teen Fiction",
IF(D30="DVD Educational","Nonfiction",
IF(D30="Juvenile DVD Educational","Nonfiction",
IF(D30="Reference","Nonfiction",
D30))))))))))))))))))))))))))))))))))))))))))</f>
        <v>Juvenile Compact Disc</v>
      </c>
    </row>
    <row r="31" spans="1:14" ht="27" customHeight="1" x14ac:dyDescent="0.25">
      <c r="A31" s="10" t="str">
        <f ca="1">TEXT( INDIRECT( ADDRESS( ROW() + Row_Offset, INDIRECT( "Column_Number_" &amp; A$1), 4,1, tabname) ), "")</f>
        <v/>
      </c>
      <c r="B31" s="10" t="str">
        <f ca="1">TEXT(  IFERROR( VLOOKUP( $D31, CollName_Simplifier_Table[], 2, FALSE),"") &amp;
        INDIRECT( ADDRESS( ROW() + Row_Offset, INDIRECT( "Column_Number_" &amp; $B$1), 4,1, tabname) ), "")</f>
        <v>J CD OM HOT1120</v>
      </c>
      <c r="C31" s="10" t="str">
        <f ca="1">TEXT( INDIRECT( ADDRESS( ROW() + Row_Offset, INDIRECT( "Column_Number_" &amp; C$1), 4,1, tabname) ), "")</f>
        <v>Hot peas 'n butter. Volume 6, Catchin' some peaz the lullabies.</v>
      </c>
      <c r="D31" s="10" t="str">
        <f ca="1">TEXT( INDIRECT( ADDRESS( ROW() + Row_Offset, INDIRECT( "Column_Number_" &amp; D$1), 4,1, tabname) ), "")</f>
        <v>Juvenile Compact Disc</v>
      </c>
      <c r="E31" s="10" t="str">
        <f ca="1">TEXT( INDIRECT( ADDRESS( ROW() + Row_Offset, INDIRECT( "Column_Number_" &amp; E$1), 4,1, tabname) ), "####")</f>
        <v>2012</v>
      </c>
      <c r="F31" s="15"/>
      <c r="G31" s="22">
        <f ca="1">IFERROR(INDEX(Rank_Table[],MATCH($D31&amp;$A31,Table4[Join],0)),"")</f>
        <v>54</v>
      </c>
      <c r="H31" s="11" t="str">
        <f ca="1">IF(AND(D31="Juvenile Audiobook",LEFT(B31,8)="J CD BIO"),RIGHT(B31,LEN(B31)-9),
IF(AND(D31="Juvenile Audiobook",LEFT(B31,8)="J CD FIC"),B31,
IF(D31="Juvenile Audiobook",RIGHT(B31,LEN(B31)-5),
IF(AND(D31="Teen Audiobook",LEFT(B31,11)="TEEN CD BIO"),RIGHT(B31,LEN(B31)-12),
IF(AND(D31="Teen Audiobook",LEFT(B31,11)="TEEN CD FIC"),B31,
IF(D31="Juvenile Audiobook",RIGHT(B31,LEN(B31)-8),
IF(D31="Juvenile Nonfiction",RIGHT(B31,LEN(B31)-2),
IF(D31="Teen Nonfiction",RIGHT(B31,LEN(B31)-5),
IF(AND(D31="Audiobook",
              NOT(OR(Contains($B31,"CD BIO"),Contains($B31,"CD FIC")))),RIGHT(B31,LEN(B31)-3),
IF(D31="Juvenile Biography",RIGHT(B31,LEN(B31)-2),
IF(D31="Teen Biography",RIGHT(B31,LEN(B31)-5),
IF(AND(D31="Audiobook",
              IFERROR(FIND("BIO",$B31)&gt;0,FALSE)),RIGHT(B31,LEN(B31)-3),
IF(D31="Juvenile Large Type","J "&amp;RIGHT(B31,LEN(B31)-11),
IF(D31="Teen Large Type","TEEN "&amp;RIGHT(B31,LEN(B31)-14),
IF(D31="Reference",RIGHT(B31,LEN(B31)-4),
IF(D31="DVD Educational",RIGHT(B31,LEN(B31)-7),
IF(D31="Juvenile DVD Educational",RIGHT(B31,LEN(B31)-9),
B31)))))))))))))))))</f>
        <v>J CD OM HOT1120</v>
      </c>
      <c r="N31" s="11" t="str">
        <f ca="1">IF(IFERROR(FIND("New",$A31)&gt;0,FALSE),"New ","") &amp; IF(IFERROR(FIND("In Lib",$A31)&gt;0,FALSE),"Reference ","") &amp;
IF(AND(D31="Audiobook",LEFT(B31,6)="CD BIO"),"Biography",
IF(AND(D31="Teen Audiobook",LEFT(B31,11)="TEEN CD BIO"),"Biography",
IF(AND(D31="Juvenile Audiobook",LEFT(B31,8)="J CD BIO"),"Biography",
IF(AND(D31="Audiobook",LEFT(B31,6)="CD FIC"),"Audiobook Fiction",
IF(AND(D31="Teen Audiobook",LEFT(B31,11)="TEEN CD FIC"),"Teen Audiobook",
IF(AND(D31="Juvenile Audiobook",LEFT(B31,8)="J CD FIC"),"Juvenile Audiobook",
IF(D31="Audiobook","Nonfiction",
IF(D31="Juvenile Audiobook","Nonfiction",
IF(D31="Teen Audiobook","Nonfiction",
IF(D31="Juvenile Nonfiction","Nonfiction",
IF(D31="Teen Nonfiction","Nonfiction",
IF(D31="Juvenile Biography","Biography",
IF(D31="Teen Biography","Biography",
IF(D31="ESL","Nonfiction",
IF(LEFT(B31,11)="INTL-VIE J ","International Juvenile",IF(LEFT(B31,11)="INTL-TAG J ","International Juvenile",IF(LEFT(B31,11)="INTL-RUS J ","International Juvenile",IF(LEFT(B31,11)="INTL-KOR J ","International Juvenile",IF(LEFT(B31,11)="INTL-JAP J ","International Juvenile",IF(LEFT(B31,11)="INTL-CHI J ","International Juvenile",IF(LEFT(B31,11)="INTL-SPA J ","International Juvenile",IF(LEFT(B31,14)="INTL-VIE TEEN ","International Teen",IF(LEFT(B31,14)="INTL-TAG TEEN ","International Teen",IF(LEFT(B31,14)="INTL-RUS TEEN ","International Teen",IF(LEFT(B31,14)="INTL-KOR TEEN ","International Teen",IF(LEFT(B31,14)="INTL-JAP TEEN ","International Teen",IF(LEFT(B31,14)="INTL-CHI TEEN ","International Teen",IF(LEFT(B31,14)="INTL-SPA TEEN ","International Teen",IF(LEFT(B31,11)="INTL-VIE E ","International Easy",IF(LEFT(B31,11)="INTL-TAG E ","International Easy",IF(LEFT(B31,11)="INTL-RUS E ","International Easy",IF(LEFT(B31,11)="INTL-JAP E ","International Easy",IF(LEFT(B31,11)="INTL-KOR E ","International Easy",IF(LEFT(B31,11)="INTL-CHI E ","International Easy",IF(LEFT(B31,11)="INTL-SPA E ","International Easy",
IF(D31="Teen Large Type","Teen Fiction",
IF(D31="Juvenile Large Type","Juvenile Fiction",
IF(LEFT(B31,6)="J CD O","Juvenile Compact Disc",
IF(AND(LEFT(B31,4)="TEEN",D31="Fiction"),"Teen Fiction",
IF(D31="DVD Educational","Nonfiction",
IF(D31="Juvenile DVD Educational","Nonfiction",
IF(D31="Reference","Nonfiction",
D31))))))))))))))))))))))))))))))))))))))))))</f>
        <v>Juvenile Compact Disc</v>
      </c>
    </row>
    <row r="32" spans="1:14" ht="27" customHeight="1" x14ac:dyDescent="0.25">
      <c r="A32" s="10" t="str">
        <f ca="1">TEXT( INDIRECT( ADDRESS( ROW() + Row_Offset, INDIRECT( "Column_Number_" &amp; A$1), 4,1, tabname) ), "")</f>
        <v/>
      </c>
      <c r="B32" s="10" t="str">
        <f ca="1">TEXT(  IFERROR( VLOOKUP( $D32, CollName_Simplifier_Table[], 2, FALSE),"") &amp;
        INDIRECT( ADDRESS( ROW() + Row_Offset, INDIRECT( "Column_Number_" &amp; $B$1), 4,1, tabname) ), "")</f>
        <v>J CD OM JON638</v>
      </c>
      <c r="C32" s="10" t="str">
        <f ca="1">TEXT( INDIRECT( ADDRESS( ROW() + Row_Offset, INDIRECT( "Column_Number_" &amp; C$1), 4,1, tabname) ), "")</f>
        <v>Napper's delight</v>
      </c>
      <c r="D32" s="10" t="str">
        <f ca="1">TEXT( INDIRECT( ADDRESS( ROW() + Row_Offset, INDIRECT( "Column_Number_" &amp; D$1), 4,1, tabname) ), "")</f>
        <v>Juvenile Compact Disc</v>
      </c>
      <c r="E32" s="10" t="str">
        <f ca="1">TEXT( INDIRECT( ADDRESS( ROW() + Row_Offset, INDIRECT( "Column_Number_" &amp; E$1), 4,1, tabname) ), "####")</f>
        <v>2007</v>
      </c>
      <c r="F32" s="15"/>
      <c r="G32" s="22">
        <f ca="1">IFERROR(INDEX(Rank_Table[],MATCH($D32&amp;$A32,Table4[Join],0)),"")</f>
        <v>54</v>
      </c>
      <c r="H32" s="11" t="str">
        <f ca="1">IF(AND(D32="Juvenile Audiobook",LEFT(B32,8)="J CD BIO"),RIGHT(B32,LEN(B32)-9),
IF(AND(D32="Juvenile Audiobook",LEFT(B32,8)="J CD FIC"),B32,
IF(D32="Juvenile Audiobook",RIGHT(B32,LEN(B32)-5),
IF(AND(D32="Teen Audiobook",LEFT(B32,11)="TEEN CD BIO"),RIGHT(B32,LEN(B32)-12),
IF(AND(D32="Teen Audiobook",LEFT(B32,11)="TEEN CD FIC"),B32,
IF(D32="Juvenile Audiobook",RIGHT(B32,LEN(B32)-8),
IF(D32="Juvenile Nonfiction",RIGHT(B32,LEN(B32)-2),
IF(D32="Teen Nonfiction",RIGHT(B32,LEN(B32)-5),
IF(AND(D32="Audiobook",
              NOT(OR(Contains($B32,"CD BIO"),Contains($B32,"CD FIC")))),RIGHT(B32,LEN(B32)-3),
IF(D32="Juvenile Biography",RIGHT(B32,LEN(B32)-2),
IF(D32="Teen Biography",RIGHT(B32,LEN(B32)-5),
IF(AND(D32="Audiobook",
              IFERROR(FIND("BIO",$B32)&gt;0,FALSE)),RIGHT(B32,LEN(B32)-3),
IF(D32="Juvenile Large Type","J "&amp;RIGHT(B32,LEN(B32)-11),
IF(D32="Teen Large Type","TEEN "&amp;RIGHT(B32,LEN(B32)-14),
IF(D32="Reference",RIGHT(B32,LEN(B32)-4),
IF(D32="DVD Educational",RIGHT(B32,LEN(B32)-7),
IF(D32="Juvenile DVD Educational",RIGHT(B32,LEN(B32)-9),
B32)))))))))))))))))</f>
        <v>J CD OM JON638</v>
      </c>
      <c r="N32" s="11" t="str">
        <f ca="1">IF(IFERROR(FIND("New",$A32)&gt;0,FALSE),"New ","") &amp; IF(IFERROR(FIND("In Lib",$A32)&gt;0,FALSE),"Reference ","") &amp;
IF(AND(D32="Audiobook",LEFT(B32,6)="CD BIO"),"Biography",
IF(AND(D32="Teen Audiobook",LEFT(B32,11)="TEEN CD BIO"),"Biography",
IF(AND(D32="Juvenile Audiobook",LEFT(B32,8)="J CD BIO"),"Biography",
IF(AND(D32="Audiobook",LEFT(B32,6)="CD FIC"),"Audiobook Fiction",
IF(AND(D32="Teen Audiobook",LEFT(B32,11)="TEEN CD FIC"),"Teen Audiobook",
IF(AND(D32="Juvenile Audiobook",LEFT(B32,8)="J CD FIC"),"Juvenile Audiobook",
IF(D32="Audiobook","Nonfiction",
IF(D32="Juvenile Audiobook","Nonfiction",
IF(D32="Teen Audiobook","Nonfiction",
IF(D32="Juvenile Nonfiction","Nonfiction",
IF(D32="Teen Nonfiction","Nonfiction",
IF(D32="Juvenile Biography","Biography",
IF(D32="Teen Biography","Biography",
IF(D32="ESL","Nonfiction",
IF(LEFT(B32,11)="INTL-VIE J ","International Juvenile",IF(LEFT(B32,11)="INTL-TAG J ","International Juvenile",IF(LEFT(B32,11)="INTL-RUS J ","International Juvenile",IF(LEFT(B32,11)="INTL-KOR J ","International Juvenile",IF(LEFT(B32,11)="INTL-JAP J ","International Juvenile",IF(LEFT(B32,11)="INTL-CHI J ","International Juvenile",IF(LEFT(B32,11)="INTL-SPA J ","International Juvenile",IF(LEFT(B32,14)="INTL-VIE TEEN ","International Teen",IF(LEFT(B32,14)="INTL-TAG TEEN ","International Teen",IF(LEFT(B32,14)="INTL-RUS TEEN ","International Teen",IF(LEFT(B32,14)="INTL-KOR TEEN ","International Teen",IF(LEFT(B32,14)="INTL-JAP TEEN ","International Teen",IF(LEFT(B32,14)="INTL-CHI TEEN ","International Teen",IF(LEFT(B32,14)="INTL-SPA TEEN ","International Teen",IF(LEFT(B32,11)="INTL-VIE E ","International Easy",IF(LEFT(B32,11)="INTL-TAG E ","International Easy",IF(LEFT(B32,11)="INTL-RUS E ","International Easy",IF(LEFT(B32,11)="INTL-JAP E ","International Easy",IF(LEFT(B32,11)="INTL-KOR E ","International Easy",IF(LEFT(B32,11)="INTL-CHI E ","International Easy",IF(LEFT(B32,11)="INTL-SPA E ","International Easy",
IF(D32="Teen Large Type","Teen Fiction",
IF(D32="Juvenile Large Type","Juvenile Fiction",
IF(LEFT(B32,6)="J CD O","Juvenile Compact Disc",
IF(AND(LEFT(B32,4)="TEEN",D32="Fiction"),"Teen Fiction",
IF(D32="DVD Educational","Nonfiction",
IF(D32="Juvenile DVD Educational","Nonfiction",
IF(D32="Reference","Nonfiction",
D32))))))))))))))))))))))))))))))))))))))))))</f>
        <v>Juvenile Compact Disc</v>
      </c>
    </row>
    <row r="33" spans="1:14" ht="27" customHeight="1" x14ac:dyDescent="0.25">
      <c r="A33" s="10" t="str">
        <f ca="1">TEXT( INDIRECT( ADDRESS( ROW() + Row_Offset, INDIRECT( "Column_Number_" &amp; A$1), 4,1, tabname) ), "")</f>
        <v/>
      </c>
      <c r="B33" s="10" t="str">
        <f ca="1">TEXT(  IFERROR( VLOOKUP( $D33, CollName_Simplifier_Table[], 2, FALSE),"") &amp;
        INDIRECT( ADDRESS( ROW() + Row_Offset, INDIRECT( "Column_Number_" &amp; $B$1), 4,1, tabname) ), "")</f>
        <v>J CD OM MY FIRS</v>
      </c>
      <c r="C33" s="10" t="str">
        <f ca="1">TEXT( INDIRECT( ADDRESS( ROW() + Row_Offset, INDIRECT( "Column_Number_" &amp; C$1), 4,1, tabname) ), "")</f>
        <v>My first orchestra album</v>
      </c>
      <c r="D33" s="10" t="str">
        <f ca="1">TEXT( INDIRECT( ADDRESS( ROW() + Row_Offset, INDIRECT( "Column_Number_" &amp; D$1), 4,1, tabname) ), "")</f>
        <v>Juvenile Compact Disc</v>
      </c>
      <c r="E33" s="10" t="str">
        <f ca="1">TEXT( INDIRECT( ADDRESS( ROW() + Row_Offset, INDIRECT( "Column_Number_" &amp; E$1), 4,1, tabname) ), "####")</f>
        <v>2013</v>
      </c>
      <c r="F33" s="15"/>
      <c r="G33" s="22">
        <f ca="1">IFERROR(INDEX(Rank_Table[],MATCH($D33&amp;$A33,Table4[Join],0)),"")</f>
        <v>54</v>
      </c>
      <c r="H33" s="11" t="str">
        <f ca="1">IF(AND(D33="Juvenile Audiobook",LEFT(B33,8)="J CD BIO"),RIGHT(B33,LEN(B33)-9),
IF(AND(D33="Juvenile Audiobook",LEFT(B33,8)="J CD FIC"),B33,
IF(D33="Juvenile Audiobook",RIGHT(B33,LEN(B33)-5),
IF(AND(D33="Teen Audiobook",LEFT(B33,11)="TEEN CD BIO"),RIGHT(B33,LEN(B33)-12),
IF(AND(D33="Teen Audiobook",LEFT(B33,11)="TEEN CD FIC"),B33,
IF(D33="Juvenile Audiobook",RIGHT(B33,LEN(B33)-8),
IF(D33="Juvenile Nonfiction",RIGHT(B33,LEN(B33)-2),
IF(D33="Teen Nonfiction",RIGHT(B33,LEN(B33)-5),
IF(AND(D33="Audiobook",
              NOT(OR(Contains($B33,"CD BIO"),Contains($B33,"CD FIC")))),RIGHT(B33,LEN(B33)-3),
IF(D33="Juvenile Biography",RIGHT(B33,LEN(B33)-2),
IF(D33="Teen Biography",RIGHT(B33,LEN(B33)-5),
IF(AND(D33="Audiobook",
              IFERROR(FIND("BIO",$B33)&gt;0,FALSE)),RIGHT(B33,LEN(B33)-3),
IF(D33="Juvenile Large Type","J "&amp;RIGHT(B33,LEN(B33)-11),
IF(D33="Teen Large Type","TEEN "&amp;RIGHT(B33,LEN(B33)-14),
IF(D33="Reference",RIGHT(B33,LEN(B33)-4),
IF(D33="DVD Educational",RIGHT(B33,LEN(B33)-7),
IF(D33="Juvenile DVD Educational",RIGHT(B33,LEN(B33)-9),
B33)))))))))))))))))</f>
        <v>J CD OM MY FIRS</v>
      </c>
      <c r="N33" s="11" t="str">
        <f ca="1">IF(IFERROR(FIND("New",$A33)&gt;0,FALSE),"New ","") &amp; IF(IFERROR(FIND("In Lib",$A33)&gt;0,FALSE),"Reference ","") &amp;
IF(AND(D33="Audiobook",LEFT(B33,6)="CD BIO"),"Biography",
IF(AND(D33="Teen Audiobook",LEFT(B33,11)="TEEN CD BIO"),"Biography",
IF(AND(D33="Juvenile Audiobook",LEFT(B33,8)="J CD BIO"),"Biography",
IF(AND(D33="Audiobook",LEFT(B33,6)="CD FIC"),"Audiobook Fiction",
IF(AND(D33="Teen Audiobook",LEFT(B33,11)="TEEN CD FIC"),"Teen Audiobook",
IF(AND(D33="Juvenile Audiobook",LEFT(B33,8)="J CD FIC"),"Juvenile Audiobook",
IF(D33="Audiobook","Nonfiction",
IF(D33="Juvenile Audiobook","Nonfiction",
IF(D33="Teen Audiobook","Nonfiction",
IF(D33="Juvenile Nonfiction","Nonfiction",
IF(D33="Teen Nonfiction","Nonfiction",
IF(D33="Juvenile Biography","Biography",
IF(D33="Teen Biography","Biography",
IF(D33="ESL","Nonfiction",
IF(LEFT(B33,11)="INTL-VIE J ","International Juvenile",IF(LEFT(B33,11)="INTL-TAG J ","International Juvenile",IF(LEFT(B33,11)="INTL-RUS J ","International Juvenile",IF(LEFT(B33,11)="INTL-KOR J ","International Juvenile",IF(LEFT(B33,11)="INTL-JAP J ","International Juvenile",IF(LEFT(B33,11)="INTL-CHI J ","International Juvenile",IF(LEFT(B33,11)="INTL-SPA J ","International Juvenile",IF(LEFT(B33,14)="INTL-VIE TEEN ","International Teen",IF(LEFT(B33,14)="INTL-TAG TEEN ","International Teen",IF(LEFT(B33,14)="INTL-RUS TEEN ","International Teen",IF(LEFT(B33,14)="INTL-KOR TEEN ","International Teen",IF(LEFT(B33,14)="INTL-JAP TEEN ","International Teen",IF(LEFT(B33,14)="INTL-CHI TEEN ","International Teen",IF(LEFT(B33,14)="INTL-SPA TEEN ","International Teen",IF(LEFT(B33,11)="INTL-VIE E ","International Easy",IF(LEFT(B33,11)="INTL-TAG E ","International Easy",IF(LEFT(B33,11)="INTL-RUS E ","International Easy",IF(LEFT(B33,11)="INTL-JAP E ","International Easy",IF(LEFT(B33,11)="INTL-KOR E ","International Easy",IF(LEFT(B33,11)="INTL-CHI E ","International Easy",IF(LEFT(B33,11)="INTL-SPA E ","International Easy",
IF(D33="Teen Large Type","Teen Fiction",
IF(D33="Juvenile Large Type","Juvenile Fiction",
IF(LEFT(B33,6)="J CD O","Juvenile Compact Disc",
IF(AND(LEFT(B33,4)="TEEN",D33="Fiction"),"Teen Fiction",
IF(D33="DVD Educational","Nonfiction",
IF(D33="Juvenile DVD Educational","Nonfiction",
IF(D33="Reference","Nonfiction",
D33))))))))))))))))))))))))))))))))))))))))))</f>
        <v>Juvenile Compact Disc</v>
      </c>
    </row>
    <row r="34" spans="1:14" ht="27" customHeight="1" x14ac:dyDescent="0.25">
      <c r="A34" s="10" t="str">
        <f ca="1">TEXT( INDIRECT( ADDRESS( ROW() + Row_Offset, INDIRECT( "Column_Number_" &amp; A$1), 4,1, tabname) ), "")</f>
        <v/>
      </c>
      <c r="B34" s="10" t="str">
        <f ca="1">TEXT(  IFERROR( VLOOKUP( $D34, CollName_Simplifier_Table[], 2, FALSE),"") &amp;
        INDIRECT( ADDRESS( ROW() + Row_Offset, INDIRECT( "Column_Number_" &amp; $B$1), 4,1, tabname) ), "")</f>
        <v>J CD OM MYF8213</v>
      </c>
      <c r="C34" s="10" t="str">
        <f ca="1">TEXT( INDIRECT( ADDRESS( ROW() + Row_Offset, INDIRECT( "Column_Number_" &amp; C$1), 4,1, tabname) ), "")</f>
        <v>My first lullaby album</v>
      </c>
      <c r="D34" s="10" t="str">
        <f ca="1">TEXT( INDIRECT( ADDRESS( ROW() + Row_Offset, INDIRECT( "Column_Number_" &amp; D$1), 4,1, tabname) ), "")</f>
        <v>Juvenile Compact Disc</v>
      </c>
      <c r="E34" s="10" t="str">
        <f ca="1">TEXT( INDIRECT( ADDRESS( ROW() + Row_Offset, INDIRECT( "Column_Number_" &amp; E$1), 4,1, tabname) ), "####")</f>
        <v>2012</v>
      </c>
      <c r="F34" s="15"/>
      <c r="G34" s="22">
        <f ca="1">IFERROR(INDEX(Rank_Table[],MATCH($D34&amp;$A34,Table4[Join],0)),"")</f>
        <v>54</v>
      </c>
      <c r="H34" s="11" t="str">
        <f ca="1">IF(AND(D34="Juvenile Audiobook",LEFT(B34,8)="J CD BIO"),RIGHT(B34,LEN(B34)-9),
IF(AND(D34="Juvenile Audiobook",LEFT(B34,8)="J CD FIC"),B34,
IF(D34="Juvenile Audiobook",RIGHT(B34,LEN(B34)-5),
IF(AND(D34="Teen Audiobook",LEFT(B34,11)="TEEN CD BIO"),RIGHT(B34,LEN(B34)-12),
IF(AND(D34="Teen Audiobook",LEFT(B34,11)="TEEN CD FIC"),B34,
IF(D34="Juvenile Audiobook",RIGHT(B34,LEN(B34)-8),
IF(D34="Juvenile Nonfiction",RIGHT(B34,LEN(B34)-2),
IF(D34="Teen Nonfiction",RIGHT(B34,LEN(B34)-5),
IF(AND(D34="Audiobook",
              NOT(OR(Contains($B34,"CD BIO"),Contains($B34,"CD FIC")))),RIGHT(B34,LEN(B34)-3),
IF(D34="Juvenile Biography",RIGHT(B34,LEN(B34)-2),
IF(D34="Teen Biography",RIGHT(B34,LEN(B34)-5),
IF(AND(D34="Audiobook",
              IFERROR(FIND("BIO",$B34)&gt;0,FALSE)),RIGHT(B34,LEN(B34)-3),
IF(D34="Juvenile Large Type","J "&amp;RIGHT(B34,LEN(B34)-11),
IF(D34="Teen Large Type","TEEN "&amp;RIGHT(B34,LEN(B34)-14),
IF(D34="Reference",RIGHT(B34,LEN(B34)-4),
IF(D34="DVD Educational",RIGHT(B34,LEN(B34)-7),
IF(D34="Juvenile DVD Educational",RIGHT(B34,LEN(B34)-9),
B34)))))))))))))))))</f>
        <v>J CD OM MYF8213</v>
      </c>
      <c r="N34" s="11" t="str">
        <f ca="1">IF(IFERROR(FIND("New",$A34)&gt;0,FALSE),"New ","") &amp; IF(IFERROR(FIND("In Lib",$A34)&gt;0,FALSE),"Reference ","") &amp;
IF(AND(D34="Audiobook",LEFT(B34,6)="CD BIO"),"Biography",
IF(AND(D34="Teen Audiobook",LEFT(B34,11)="TEEN CD BIO"),"Biography",
IF(AND(D34="Juvenile Audiobook",LEFT(B34,8)="J CD BIO"),"Biography",
IF(AND(D34="Audiobook",LEFT(B34,6)="CD FIC"),"Audiobook Fiction",
IF(AND(D34="Teen Audiobook",LEFT(B34,11)="TEEN CD FIC"),"Teen Audiobook",
IF(AND(D34="Juvenile Audiobook",LEFT(B34,8)="J CD FIC"),"Juvenile Audiobook",
IF(D34="Audiobook","Nonfiction",
IF(D34="Juvenile Audiobook","Nonfiction",
IF(D34="Teen Audiobook","Nonfiction",
IF(D34="Juvenile Nonfiction","Nonfiction",
IF(D34="Teen Nonfiction","Nonfiction",
IF(D34="Juvenile Biography","Biography",
IF(D34="Teen Biography","Biography",
IF(D34="ESL","Nonfiction",
IF(LEFT(B34,11)="INTL-VIE J ","International Juvenile",IF(LEFT(B34,11)="INTL-TAG J ","International Juvenile",IF(LEFT(B34,11)="INTL-RUS J ","International Juvenile",IF(LEFT(B34,11)="INTL-KOR J ","International Juvenile",IF(LEFT(B34,11)="INTL-JAP J ","International Juvenile",IF(LEFT(B34,11)="INTL-CHI J ","International Juvenile",IF(LEFT(B34,11)="INTL-SPA J ","International Juvenile",IF(LEFT(B34,14)="INTL-VIE TEEN ","International Teen",IF(LEFT(B34,14)="INTL-TAG TEEN ","International Teen",IF(LEFT(B34,14)="INTL-RUS TEEN ","International Teen",IF(LEFT(B34,14)="INTL-KOR TEEN ","International Teen",IF(LEFT(B34,14)="INTL-JAP TEEN ","International Teen",IF(LEFT(B34,14)="INTL-CHI TEEN ","International Teen",IF(LEFT(B34,14)="INTL-SPA TEEN ","International Teen",IF(LEFT(B34,11)="INTL-VIE E ","International Easy",IF(LEFT(B34,11)="INTL-TAG E ","International Easy",IF(LEFT(B34,11)="INTL-RUS E ","International Easy",IF(LEFT(B34,11)="INTL-JAP E ","International Easy",IF(LEFT(B34,11)="INTL-KOR E ","International Easy",IF(LEFT(B34,11)="INTL-CHI E ","International Easy",IF(LEFT(B34,11)="INTL-SPA E ","International Easy",
IF(D34="Teen Large Type","Teen Fiction",
IF(D34="Juvenile Large Type","Juvenile Fiction",
IF(LEFT(B34,6)="J CD O","Juvenile Compact Disc",
IF(AND(LEFT(B34,4)="TEEN",D34="Fiction"),"Teen Fiction",
IF(D34="DVD Educational","Nonfiction",
IF(D34="Juvenile DVD Educational","Nonfiction",
IF(D34="Reference","Nonfiction",
D34))))))))))))))))))))))))))))))))))))))))))</f>
        <v>Juvenile DVD</v>
      </c>
    </row>
    <row r="35" spans="1:14" ht="27" customHeight="1" x14ac:dyDescent="0.25">
      <c r="A35" s="10" t="str">
        <f ca="1">TEXT( INDIRECT( ADDRESS( ROW() + Row_Offset, INDIRECT( "Column_Number_" &amp; A$1), 4,1, tabname) ), "")</f>
        <v/>
      </c>
      <c r="B35" s="10" t="str">
        <f ca="1">TEXT(  IFERROR( VLOOKUP( $D35, CollName_Simplifier_Table[], 2, FALSE),"") &amp;
        INDIRECT( ADDRESS( ROW() + Row_Offset, INDIRECT( "Column_Number_" &amp; $B$1), 4,1, tabname) ), "")</f>
        <v>J CD OM PALMER</v>
      </c>
      <c r="C35" s="10" t="str">
        <f ca="1">TEXT( INDIRECT( ADDRESS( ROW() + Row_Offset, INDIRECT( "Column_Number_" &amp; C$1), 4,1, tabname) ), "")</f>
        <v>So big activity songs for little ones</v>
      </c>
      <c r="D35" s="10" t="str">
        <f ca="1">TEXT( INDIRECT( ADDRESS( ROW() + Row_Offset, INDIRECT( "Column_Number_" &amp; D$1), 4,1, tabname) ), "")</f>
        <v>Juvenile Compact Disc</v>
      </c>
      <c r="E35" s="10" t="str">
        <f ca="1">TEXT( INDIRECT( ADDRESS( ROW() + Row_Offset, INDIRECT( "Column_Number_" &amp; E$1), 4,1, tabname) ), "####")</f>
        <v>1994</v>
      </c>
      <c r="F35" s="15"/>
      <c r="G35" s="22">
        <f ca="1">IFERROR(INDEX(Rank_Table[],MATCH($D35&amp;$A35,Table4[Join],0)),"")</f>
        <v>54</v>
      </c>
      <c r="H35" s="11" t="str">
        <f ca="1">IF(AND(D35="Juvenile Audiobook",LEFT(B35,8)="J CD BIO"),RIGHT(B35,LEN(B35)-9),
IF(AND(D35="Juvenile Audiobook",LEFT(B35,8)="J CD FIC"),B35,
IF(D35="Juvenile Audiobook",RIGHT(B35,LEN(B35)-5),
IF(AND(D35="Teen Audiobook",LEFT(B35,11)="TEEN CD BIO"),RIGHT(B35,LEN(B35)-12),
IF(AND(D35="Teen Audiobook",LEFT(B35,11)="TEEN CD FIC"),B35,
IF(D35="Juvenile Audiobook",RIGHT(B35,LEN(B35)-8),
IF(D35="Juvenile Nonfiction",RIGHT(B35,LEN(B35)-2),
IF(D35="Teen Nonfiction",RIGHT(B35,LEN(B35)-5),
IF(AND(D35="Audiobook",
              NOT(OR(Contains($B35,"CD BIO"),Contains($B35,"CD FIC")))),RIGHT(B35,LEN(B35)-3),
IF(D35="Juvenile Biography",RIGHT(B35,LEN(B35)-2),
IF(D35="Teen Biography",RIGHT(B35,LEN(B35)-5),
IF(AND(D35="Audiobook",
              IFERROR(FIND("BIO",$B35)&gt;0,FALSE)),RIGHT(B35,LEN(B35)-3),
IF(D35="Juvenile Large Type","J "&amp;RIGHT(B35,LEN(B35)-11),
IF(D35="Teen Large Type","TEEN "&amp;RIGHT(B35,LEN(B35)-14),
IF(D35="Reference",RIGHT(B35,LEN(B35)-4),
IF(D35="DVD Educational",RIGHT(B35,LEN(B35)-7),
IF(D35="Juvenile DVD Educational",RIGHT(B35,LEN(B35)-9),
B35)))))))))))))))))</f>
        <v>J CD OM PALMER</v>
      </c>
      <c r="N35" s="11" t="str">
        <f ca="1">IF(IFERROR(FIND("New",$A35)&gt;0,FALSE),"New ","") &amp; IF(IFERROR(FIND("In Lib",$A35)&gt;0,FALSE),"Reference ","") &amp;
IF(AND(D35="Audiobook",LEFT(B35,6)="CD BIO"),"Biography",
IF(AND(D35="Teen Audiobook",LEFT(B35,11)="TEEN CD BIO"),"Biography",
IF(AND(D35="Juvenile Audiobook",LEFT(B35,8)="J CD BIO"),"Biography",
IF(AND(D35="Audiobook",LEFT(B35,6)="CD FIC"),"Audiobook Fiction",
IF(AND(D35="Teen Audiobook",LEFT(B35,11)="TEEN CD FIC"),"Teen Audiobook",
IF(AND(D35="Juvenile Audiobook",LEFT(B35,8)="J CD FIC"),"Juvenile Audiobook",
IF(D35="Audiobook","Nonfiction",
IF(D35="Juvenile Audiobook","Nonfiction",
IF(D35="Teen Audiobook","Nonfiction",
IF(D35="Juvenile Nonfiction","Nonfiction",
IF(D35="Teen Nonfiction","Nonfiction",
IF(D35="Juvenile Biography","Biography",
IF(D35="Teen Biography","Biography",
IF(D35="ESL","Nonfiction",
IF(LEFT(B35,11)="INTL-VIE J ","International Juvenile",IF(LEFT(B35,11)="INTL-TAG J ","International Juvenile",IF(LEFT(B35,11)="INTL-RUS J ","International Juvenile",IF(LEFT(B35,11)="INTL-KOR J ","International Juvenile",IF(LEFT(B35,11)="INTL-JAP J ","International Juvenile",IF(LEFT(B35,11)="INTL-CHI J ","International Juvenile",IF(LEFT(B35,11)="INTL-SPA J ","International Juvenile",IF(LEFT(B35,14)="INTL-VIE TEEN ","International Teen",IF(LEFT(B35,14)="INTL-TAG TEEN ","International Teen",IF(LEFT(B35,14)="INTL-RUS TEEN ","International Teen",IF(LEFT(B35,14)="INTL-KOR TEEN ","International Teen",IF(LEFT(B35,14)="INTL-JAP TEEN ","International Teen",IF(LEFT(B35,14)="INTL-CHI TEEN ","International Teen",IF(LEFT(B35,14)="INTL-SPA TEEN ","International Teen",IF(LEFT(B35,11)="INTL-VIE E ","International Easy",IF(LEFT(B35,11)="INTL-TAG E ","International Easy",IF(LEFT(B35,11)="INTL-RUS E ","International Easy",IF(LEFT(B35,11)="INTL-JAP E ","International Easy",IF(LEFT(B35,11)="INTL-KOR E ","International Easy",IF(LEFT(B35,11)="INTL-CHI E ","International Easy",IF(LEFT(B35,11)="INTL-SPA E ","International Easy",
IF(D35="Teen Large Type","Teen Fiction",
IF(D35="Juvenile Large Type","Juvenile Fiction",
IF(LEFT(B35,6)="J CD O","Juvenile Compact Disc",
IF(AND(LEFT(B35,4)="TEEN",D35="Fiction"),"Teen Fiction",
IF(D35="DVD Educational","Nonfiction",
IF(D35="Juvenile DVD Educational","Nonfiction",
IF(D35="Reference","Nonfiction",
D35))))))))))))))))))))))))))))))))))))))))))</f>
        <v>Juvenile Fiction</v>
      </c>
    </row>
    <row r="36" spans="1:14" ht="27" customHeight="1" x14ac:dyDescent="0.25">
      <c r="A36" s="10" t="str">
        <f ca="1">TEXT( INDIRECT( ADDRESS( ROW() + Row_Offset, INDIRECT( "Column_Number_" &amp; A$1), 4,1, tabname) ), "")</f>
        <v/>
      </c>
      <c r="B36" s="10" t="str">
        <f ca="1">TEXT(  IFERROR( VLOOKUP( $D36, CollName_Simplifier_Table[], 2, FALSE),"") &amp;
        INDIRECT( ADDRESS( ROW() + Row_Offset, INDIRECT( "Column_Number_" &amp; $B$1), 4,1, tabname) ), "")</f>
        <v>J CD OM ROC9693</v>
      </c>
      <c r="C36" s="10" t="str">
        <f ca="1">TEXT( INDIRECT( ADDRESS( ROW() + Row_Offset, INDIRECT( "Column_Number_" &amp; C$1), 4,1, tabname) ), "")</f>
        <v>Rockabye baby!. more lullaby renditions of U2</v>
      </c>
      <c r="D36" s="10" t="str">
        <f ca="1">TEXT( INDIRECT( ADDRESS( ROW() + Row_Offset, INDIRECT( "Column_Number_" &amp; D$1), 4,1, tabname) ), "")</f>
        <v>Juvenile Compact Disc</v>
      </c>
      <c r="E36" s="10" t="str">
        <f ca="1">TEXT( INDIRECT( ADDRESS( ROW() + Row_Offset, INDIRECT( "Column_Number_" &amp; E$1), 4,1, tabname) ), "####")</f>
        <v>2012</v>
      </c>
      <c r="F36" s="15"/>
      <c r="G36" s="22">
        <f ca="1">IFERROR(INDEX(Rank_Table[],MATCH($D36&amp;$A36,Table4[Join],0)),"")</f>
        <v>54</v>
      </c>
      <c r="H36" s="11" t="str">
        <f ca="1">IF(AND(D36="Juvenile Audiobook",LEFT(B36,8)="J CD BIO"),RIGHT(B36,LEN(B36)-9),
IF(AND(D36="Juvenile Audiobook",LEFT(B36,8)="J CD FIC"),B36,
IF(D36="Juvenile Audiobook",RIGHT(B36,LEN(B36)-5),
IF(AND(D36="Teen Audiobook",LEFT(B36,11)="TEEN CD BIO"),RIGHT(B36,LEN(B36)-12),
IF(AND(D36="Teen Audiobook",LEFT(B36,11)="TEEN CD FIC"),B36,
IF(D36="Juvenile Audiobook",RIGHT(B36,LEN(B36)-8),
IF(D36="Juvenile Nonfiction",RIGHT(B36,LEN(B36)-2),
IF(D36="Teen Nonfiction",RIGHT(B36,LEN(B36)-5),
IF(AND(D36="Audiobook",
              NOT(OR(Contains($B36,"CD BIO"),Contains($B36,"CD FIC")))),RIGHT(B36,LEN(B36)-3),
IF(D36="Juvenile Biography",RIGHT(B36,LEN(B36)-2),
IF(D36="Teen Biography",RIGHT(B36,LEN(B36)-5),
IF(AND(D36="Audiobook",
              IFERROR(FIND("BIO",$B36)&gt;0,FALSE)),RIGHT(B36,LEN(B36)-3),
IF(D36="Juvenile Large Type","J "&amp;RIGHT(B36,LEN(B36)-11),
IF(D36="Teen Large Type","TEEN "&amp;RIGHT(B36,LEN(B36)-14),
IF(D36="Reference",RIGHT(B36,LEN(B36)-4),
IF(D36="DVD Educational",RIGHT(B36,LEN(B36)-7),
IF(D36="Juvenile DVD Educational",RIGHT(B36,LEN(B36)-9),
B36)))))))))))))))))</f>
        <v>J CD OM ROC9693</v>
      </c>
      <c r="N36" s="11" t="str">
        <f ca="1">IF(IFERROR(FIND("New",$A36)&gt;0,FALSE),"New ","") &amp; IF(IFERROR(FIND("In Lib",$A36)&gt;0,FALSE),"Reference ","") &amp;
IF(AND(D36="Audiobook",LEFT(B36,6)="CD BIO"),"Biography",
IF(AND(D36="Teen Audiobook",LEFT(B36,11)="TEEN CD BIO"),"Biography",
IF(AND(D36="Juvenile Audiobook",LEFT(B36,8)="J CD BIO"),"Biography",
IF(AND(D36="Audiobook",LEFT(B36,6)="CD FIC"),"Audiobook Fiction",
IF(AND(D36="Teen Audiobook",LEFT(B36,11)="TEEN CD FIC"),"Teen Audiobook",
IF(AND(D36="Juvenile Audiobook",LEFT(B36,8)="J CD FIC"),"Juvenile Audiobook",
IF(D36="Audiobook","Nonfiction",
IF(D36="Juvenile Audiobook","Nonfiction",
IF(D36="Teen Audiobook","Nonfiction",
IF(D36="Juvenile Nonfiction","Nonfiction",
IF(D36="Teen Nonfiction","Nonfiction",
IF(D36="Juvenile Biography","Biography",
IF(D36="Teen Biography","Biography",
IF(D36="ESL","Nonfiction",
IF(LEFT(B36,11)="INTL-VIE J ","International Juvenile",IF(LEFT(B36,11)="INTL-TAG J ","International Juvenile",IF(LEFT(B36,11)="INTL-RUS J ","International Juvenile",IF(LEFT(B36,11)="INTL-KOR J ","International Juvenile",IF(LEFT(B36,11)="INTL-JAP J ","International Juvenile",IF(LEFT(B36,11)="INTL-CHI J ","International Juvenile",IF(LEFT(B36,11)="INTL-SPA J ","International Juvenile",IF(LEFT(B36,14)="INTL-VIE TEEN ","International Teen",IF(LEFT(B36,14)="INTL-TAG TEEN ","International Teen",IF(LEFT(B36,14)="INTL-RUS TEEN ","International Teen",IF(LEFT(B36,14)="INTL-KOR TEEN ","International Teen",IF(LEFT(B36,14)="INTL-JAP TEEN ","International Teen",IF(LEFT(B36,14)="INTL-CHI TEEN ","International Teen",IF(LEFT(B36,14)="INTL-SPA TEEN ","International Teen",IF(LEFT(B36,11)="INTL-VIE E ","International Easy",IF(LEFT(B36,11)="INTL-TAG E ","International Easy",IF(LEFT(B36,11)="INTL-RUS E ","International Easy",IF(LEFT(B36,11)="INTL-JAP E ","International Easy",IF(LEFT(B36,11)="INTL-KOR E ","International Easy",IF(LEFT(B36,11)="INTL-CHI E ","International Easy",IF(LEFT(B36,11)="INTL-SPA E ","International Easy",
IF(D36="Teen Large Type","Teen Fiction",
IF(D36="Juvenile Large Type","Juvenile Fiction",
IF(LEFT(B36,6)="J CD O","Juvenile Compact Disc",
IF(AND(LEFT(B36,4)="TEEN",D36="Fiction"),"Teen Fiction",
IF(D36="DVD Educational","Nonfiction",
IF(D36="Juvenile DVD Educational","Nonfiction",
IF(D36="Reference","Nonfiction",
D36))))))))))))))))))))))))))))))))))))))))))</f>
        <v>Juvenile Fiction</v>
      </c>
    </row>
    <row r="37" spans="1:14" ht="27" customHeight="1" x14ac:dyDescent="0.25">
      <c r="A37" s="10" t="str">
        <f ca="1">TEXT( INDIRECT( ADDRESS( ROW() + Row_Offset, INDIRECT( "Column_Number_" &amp; A$1), 4,1, tabname) ), "")</f>
        <v/>
      </c>
      <c r="B37" s="10" t="str">
        <f ca="1">TEXT(  IFERROR( VLOOKUP( $D37, CollName_Simplifier_Table[], 2, FALSE),"") &amp;
        INDIRECT( ADDRESS( ROW() + Row_Offset, INDIRECT( "Column_Number_" &amp; $B$1), 4,1, tabname) ), "")</f>
        <v>E 398.8 MY VERY</v>
      </c>
      <c r="C37" s="10" t="str">
        <f ca="1">TEXT( INDIRECT( ADDRESS( ROW() + Row_Offset, INDIRECT( "Column_Number_" &amp; C$1), 4,1, tabname) ), "")</f>
        <v>My very first Mother Goose</v>
      </c>
      <c r="D37" s="10" t="str">
        <f ca="1">TEXT( INDIRECT( ADDRESS( ROW() + Row_Offset, INDIRECT( "Column_Number_" &amp; D$1), 4,1, tabname) ), "")</f>
        <v>Easy Countdown</v>
      </c>
      <c r="E37" s="10" t="str">
        <f ca="1">TEXT( INDIRECT( ADDRESS( ROW() + Row_Offset, INDIRECT( "Column_Number_" &amp; E$1), 4,1, tabname) ), "####")</f>
        <v>1996</v>
      </c>
      <c r="F37" s="15"/>
      <c r="G37" s="22">
        <f ca="1">IFERROR(INDEX(Rank_Table[],MATCH($D37&amp;$A37,Table4[Join],0)),"")</f>
        <v>56</v>
      </c>
      <c r="H37" s="11" t="str">
        <f ca="1">IF(AND(D37="Juvenile Audiobook",LEFT(B37,8)="J CD BIO"),RIGHT(B37,LEN(B37)-9),
IF(AND(D37="Juvenile Audiobook",LEFT(B37,8)="J CD FIC"),B37,
IF(D37="Juvenile Audiobook",RIGHT(B37,LEN(B37)-5),
IF(AND(D37="Teen Audiobook",LEFT(B37,11)="TEEN CD BIO"),RIGHT(B37,LEN(B37)-12),
IF(AND(D37="Teen Audiobook",LEFT(B37,11)="TEEN CD FIC"),B37,
IF(D37="Juvenile Audiobook",RIGHT(B37,LEN(B37)-8),
IF(D37="Juvenile Nonfiction",RIGHT(B37,LEN(B37)-2),
IF(D37="Teen Nonfiction",RIGHT(B37,LEN(B37)-5),
IF(AND(D37="Audiobook",
              NOT(OR(Contains($B37,"CD BIO"),Contains($B37,"CD FIC")))),RIGHT(B37,LEN(B37)-3),
IF(D37="Juvenile Biography",RIGHT(B37,LEN(B37)-2),
IF(D37="Teen Biography",RIGHT(B37,LEN(B37)-5),
IF(AND(D37="Audiobook",
              IFERROR(FIND("BIO",$B37)&gt;0,FALSE)),RIGHT(B37,LEN(B37)-3),
IF(D37="Juvenile Large Type","J "&amp;RIGHT(B37,LEN(B37)-11),
IF(D37="Teen Large Type","TEEN "&amp;RIGHT(B37,LEN(B37)-14),
IF(D37="Reference",RIGHT(B37,LEN(B37)-4),
IF(D37="DVD Educational",RIGHT(B37,LEN(B37)-7),
IF(D37="Juvenile DVD Educational",RIGHT(B37,LEN(B37)-9),
B37)))))))))))))))))</f>
        <v>E 398.8 MY VERY</v>
      </c>
      <c r="N37" s="11" t="str">
        <f ca="1">IF(IFERROR(FIND("New",$A37)&gt;0,FALSE),"New ","") &amp; IF(IFERROR(FIND("In Lib",$A37)&gt;0,FALSE),"Reference ","") &amp;
IF(AND(D37="Audiobook",LEFT(B37,6)="CD BIO"),"Biography",
IF(AND(D37="Teen Audiobook",LEFT(B37,11)="TEEN CD BIO"),"Biography",
IF(AND(D37="Juvenile Audiobook",LEFT(B37,8)="J CD BIO"),"Biography",
IF(AND(D37="Audiobook",LEFT(B37,6)="CD FIC"),"Audiobook Fiction",
IF(AND(D37="Teen Audiobook",LEFT(B37,11)="TEEN CD FIC"),"Teen Audiobook",
IF(AND(D37="Juvenile Audiobook",LEFT(B37,8)="J CD FIC"),"Juvenile Audiobook",
IF(D37="Audiobook","Nonfiction",
IF(D37="Juvenile Audiobook","Nonfiction",
IF(D37="Teen Audiobook","Nonfiction",
IF(D37="Juvenile Nonfiction","Nonfiction",
IF(D37="Teen Nonfiction","Nonfiction",
IF(D37="Juvenile Biography","Biography",
IF(D37="Teen Biography","Biography",
IF(D37="ESL","Nonfiction",
IF(LEFT(B37,11)="INTL-VIE J ","International Juvenile",IF(LEFT(B37,11)="INTL-TAG J ","International Juvenile",IF(LEFT(B37,11)="INTL-RUS J ","International Juvenile",IF(LEFT(B37,11)="INTL-KOR J ","International Juvenile",IF(LEFT(B37,11)="INTL-JAP J ","International Juvenile",IF(LEFT(B37,11)="INTL-CHI J ","International Juvenile",IF(LEFT(B37,11)="INTL-SPA J ","International Juvenile",IF(LEFT(B37,14)="INTL-VIE TEEN ","International Teen",IF(LEFT(B37,14)="INTL-TAG TEEN ","International Teen",IF(LEFT(B37,14)="INTL-RUS TEEN ","International Teen",IF(LEFT(B37,14)="INTL-KOR TEEN ","International Teen",IF(LEFT(B37,14)="INTL-JAP TEEN ","International Teen",IF(LEFT(B37,14)="INTL-CHI TEEN ","International Teen",IF(LEFT(B37,14)="INTL-SPA TEEN ","International Teen",IF(LEFT(B37,11)="INTL-VIE E ","International Easy",IF(LEFT(B37,11)="INTL-TAG E ","International Easy",IF(LEFT(B37,11)="INTL-RUS E ","International Easy",IF(LEFT(B37,11)="INTL-JAP E ","International Easy",IF(LEFT(B37,11)="INTL-KOR E ","International Easy",IF(LEFT(B37,11)="INTL-CHI E ","International Easy",IF(LEFT(B37,11)="INTL-SPA E ","International Easy",
IF(D37="Teen Large Type","Teen Fiction",
IF(D37="Juvenile Large Type","Juvenile Fiction",
IF(LEFT(B37,6)="J CD O","Juvenile Compact Disc",
IF(AND(LEFT(B37,4)="TEEN",D37="Fiction"),"Teen Fiction",
IF(D37="DVD Educational","Nonfiction",
IF(D37="Juvenile DVD Educational","Nonfiction",
IF(D37="Reference","Nonfiction",
D37))))))))))))))))))))))))))))))))))))))))))</f>
        <v>Reference Juvenile Magazine</v>
      </c>
    </row>
    <row r="38" spans="1:14" ht="27" customHeight="1" x14ac:dyDescent="0.25">
      <c r="A38" s="10" t="str">
        <f ca="1">TEXT( INDIRECT( ADDRESS( ROW() + Row_Offset, INDIRECT( "Column_Number_" &amp; A$1), 4,1, tabname) ), "")</f>
        <v/>
      </c>
      <c r="B38" s="10" t="str">
        <f ca="1">TEXT(  IFERROR( VLOOKUP( $D38, CollName_Simplifier_Table[], 2, FALSE),"") &amp;
        INDIRECT( ADDRESS( ROW() + Row_Offset, INDIRECT( "Column_Number_" &amp; $B$1), 4,1, tabname) ), "")</f>
        <v>E BURNING</v>
      </c>
      <c r="C38" s="10" t="str">
        <f ca="1">TEXT( INDIRECT( ADDRESS( ROW() + Row_Offset, INDIRECT( "Column_Number_" &amp; C$1), 4,1, tabname) ), "")</f>
        <v>Mr. Gumpy's outing</v>
      </c>
      <c r="D38" s="10" t="str">
        <f ca="1">TEXT( INDIRECT( ADDRESS( ROW() + Row_Offset, INDIRECT( "Column_Number_" &amp; D$1), 4,1, tabname) ), "")</f>
        <v>Easy Countdown</v>
      </c>
      <c r="E38" s="10" t="str">
        <f ca="1">TEXT( INDIRECT( ADDRESS( ROW() + Row_Offset, INDIRECT( "Column_Number_" &amp; E$1), 4,1, tabname) ), "####")</f>
        <v>1970</v>
      </c>
      <c r="F38" s="15"/>
      <c r="G38" s="22">
        <f ca="1">IFERROR(INDEX(Rank_Table[],MATCH($D38&amp;$A38,Table4[Join],0)),"")</f>
        <v>56</v>
      </c>
      <c r="H38" s="11" t="str">
        <f ca="1">IF(AND(D38="Juvenile Audiobook",LEFT(B38,8)="J CD BIO"),RIGHT(B38,LEN(B38)-9),
IF(AND(D38="Juvenile Audiobook",LEFT(B38,8)="J CD FIC"),B38,
IF(D38="Juvenile Audiobook",RIGHT(B38,LEN(B38)-5),
IF(AND(D38="Teen Audiobook",LEFT(B38,11)="TEEN CD BIO"),RIGHT(B38,LEN(B38)-12),
IF(AND(D38="Teen Audiobook",LEFT(B38,11)="TEEN CD FIC"),B38,
IF(D38="Juvenile Audiobook",RIGHT(B38,LEN(B38)-8),
IF(D38="Juvenile Nonfiction",RIGHT(B38,LEN(B38)-2),
IF(D38="Teen Nonfiction",RIGHT(B38,LEN(B38)-5),
IF(AND(D38="Audiobook",
              NOT(OR(Contains($B38,"CD BIO"),Contains($B38,"CD FIC")))),RIGHT(B38,LEN(B38)-3),
IF(D38="Juvenile Biography",RIGHT(B38,LEN(B38)-2),
IF(D38="Teen Biography",RIGHT(B38,LEN(B38)-5),
IF(AND(D38="Audiobook",
              IFERROR(FIND("BIO",$B38)&gt;0,FALSE)),RIGHT(B38,LEN(B38)-3),
IF(D38="Juvenile Large Type","J "&amp;RIGHT(B38,LEN(B38)-11),
IF(D38="Teen Large Type","TEEN "&amp;RIGHT(B38,LEN(B38)-14),
IF(D38="Reference",RIGHT(B38,LEN(B38)-4),
IF(D38="DVD Educational",RIGHT(B38,LEN(B38)-7),
IF(D38="Juvenile DVD Educational",RIGHT(B38,LEN(B38)-9),
B38)))))))))))))))))</f>
        <v>E BURNING</v>
      </c>
      <c r="N38" s="11" t="str">
        <f ca="1">IF(IFERROR(FIND("New",$A38)&gt;0,FALSE),"New ","") &amp; IF(IFERROR(FIND("In Lib",$A38)&gt;0,FALSE),"Reference ","") &amp;
IF(AND(D38="Audiobook",LEFT(B38,6)="CD BIO"),"Biography",
IF(AND(D38="Teen Audiobook",LEFT(B38,11)="TEEN CD BIO"),"Biography",
IF(AND(D38="Juvenile Audiobook",LEFT(B38,8)="J CD BIO"),"Biography",
IF(AND(D38="Audiobook",LEFT(B38,6)="CD FIC"),"Audiobook Fiction",
IF(AND(D38="Teen Audiobook",LEFT(B38,11)="TEEN CD FIC"),"Teen Audiobook",
IF(AND(D38="Juvenile Audiobook",LEFT(B38,8)="J CD FIC"),"Juvenile Audiobook",
IF(D38="Audiobook","Nonfiction",
IF(D38="Juvenile Audiobook","Nonfiction",
IF(D38="Teen Audiobook","Nonfiction",
IF(D38="Juvenile Nonfiction","Nonfiction",
IF(D38="Teen Nonfiction","Nonfiction",
IF(D38="Juvenile Biography","Biography",
IF(D38="Teen Biography","Biography",
IF(D38="ESL","Nonfiction",
IF(LEFT(B38,11)="INTL-VIE J ","International Juvenile",IF(LEFT(B38,11)="INTL-TAG J ","International Juvenile",IF(LEFT(B38,11)="INTL-RUS J ","International Juvenile",IF(LEFT(B38,11)="INTL-KOR J ","International Juvenile",IF(LEFT(B38,11)="INTL-JAP J ","International Juvenile",IF(LEFT(B38,11)="INTL-CHI J ","International Juvenile",IF(LEFT(B38,11)="INTL-SPA J ","International Juvenile",IF(LEFT(B38,14)="INTL-VIE TEEN ","International Teen",IF(LEFT(B38,14)="INTL-TAG TEEN ","International Teen",IF(LEFT(B38,14)="INTL-RUS TEEN ","International Teen",IF(LEFT(B38,14)="INTL-KOR TEEN ","International Teen",IF(LEFT(B38,14)="INTL-JAP TEEN ","International Teen",IF(LEFT(B38,14)="INTL-CHI TEEN ","International Teen",IF(LEFT(B38,14)="INTL-SPA TEEN ","International Teen",IF(LEFT(B38,11)="INTL-VIE E ","International Easy",IF(LEFT(B38,11)="INTL-TAG E ","International Easy",IF(LEFT(B38,11)="INTL-RUS E ","International Easy",IF(LEFT(B38,11)="INTL-JAP E ","International Easy",IF(LEFT(B38,11)="INTL-KOR E ","International Easy",IF(LEFT(B38,11)="INTL-CHI E ","International Easy",IF(LEFT(B38,11)="INTL-SPA E ","International Easy",
IF(D38="Teen Large Type","Teen Fiction",
IF(D38="Juvenile Large Type","Juvenile Fiction",
IF(LEFT(B38,6)="J CD O","Juvenile Compact Disc",
IF(AND(LEFT(B38,4)="TEEN",D38="Fiction"),"Teen Fiction",
IF(D38="DVD Educational","Nonfiction",
IF(D38="Juvenile DVD Educational","Nonfiction",
IF(D38="Reference","Nonfiction",
D38))))))))))))))))))))))))))))))))))))))))))</f>
        <v>Reference Magazine</v>
      </c>
    </row>
    <row r="39" spans="1:14" ht="27" customHeight="1" x14ac:dyDescent="0.25">
      <c r="A39" s="10" t="str">
        <f ca="1">TEXT( INDIRECT( ADDRESS( ROW() + Row_Offset, INDIRECT( "Column_Number_" &amp; A$1), 4,1, tabname) ), "")</f>
        <v/>
      </c>
      <c r="B39" s="10" t="str">
        <f ca="1">TEXT(  IFERROR( VLOOKUP( $D39, CollName_Simplifier_Table[], 2, FALSE),"") &amp;
        INDIRECT( ADDRESS( ROW() + Row_Offset, INDIRECT( "Column_Number_" &amp; $B$1), 4,1, tabname) ), "")</f>
        <v>E SHANNON</v>
      </c>
      <c r="C39" s="10" t="str">
        <f ca="1">TEXT( INDIRECT( ADDRESS( ROW() + Row_Offset, INDIRECT( "Column_Number_" &amp; C$1), 4,1, tabname) ), "")</f>
        <v>No, David!</v>
      </c>
      <c r="D39" s="10" t="str">
        <f ca="1">TEXT( INDIRECT( ADDRESS( ROW() + Row_Offset, INDIRECT( "Column_Number_" &amp; D$1), 4,1, tabname) ), "")</f>
        <v>Easy Countdown</v>
      </c>
      <c r="E39" s="10" t="str">
        <f ca="1">TEXT( INDIRECT( ADDRESS( ROW() + Row_Offset, INDIRECT( "Column_Number_" &amp; E$1), 4,1, tabname) ), "####")</f>
        <v>1998</v>
      </c>
      <c r="F39" s="15"/>
      <c r="G39" s="22">
        <f ca="1">IFERROR(INDEX(Rank_Table[],MATCH($D39&amp;$A39,Table4[Join],0)),"")</f>
        <v>56</v>
      </c>
      <c r="H39" s="11" t="str">
        <f ca="1">IF(AND(D39="Juvenile Audiobook",LEFT(B39,8)="J CD BIO"),RIGHT(B39,LEN(B39)-9),
IF(AND(D39="Juvenile Audiobook",LEFT(B39,8)="J CD FIC"),B39,
IF(D39="Juvenile Audiobook",RIGHT(B39,LEN(B39)-5),
IF(AND(D39="Teen Audiobook",LEFT(B39,11)="TEEN CD BIO"),RIGHT(B39,LEN(B39)-12),
IF(AND(D39="Teen Audiobook",LEFT(B39,11)="TEEN CD FIC"),B39,
IF(D39="Juvenile Audiobook",RIGHT(B39,LEN(B39)-8),
IF(D39="Juvenile Nonfiction",RIGHT(B39,LEN(B39)-2),
IF(D39="Teen Nonfiction",RIGHT(B39,LEN(B39)-5),
IF(AND(D39="Audiobook",
              NOT(OR(Contains($B39,"CD BIO"),Contains($B39,"CD FIC")))),RIGHT(B39,LEN(B39)-3),
IF(D39="Juvenile Biography",RIGHT(B39,LEN(B39)-2),
IF(D39="Teen Biography",RIGHT(B39,LEN(B39)-5),
IF(AND(D39="Audiobook",
              IFERROR(FIND("BIO",$B39)&gt;0,FALSE)),RIGHT(B39,LEN(B39)-3),
IF(D39="Juvenile Large Type","J "&amp;RIGHT(B39,LEN(B39)-11),
IF(D39="Teen Large Type","TEEN "&amp;RIGHT(B39,LEN(B39)-14),
IF(D39="Reference",RIGHT(B39,LEN(B39)-4),
IF(D39="DVD Educational",RIGHT(B39,LEN(B39)-7),
IF(D39="Juvenile DVD Educational",RIGHT(B39,LEN(B39)-9),
B39)))))))))))))))))</f>
        <v>E SHANNON</v>
      </c>
      <c r="N39" s="11" t="str">
        <f ca="1">IF(IFERROR(FIND("New",$A39)&gt;0,FALSE),"New ","") &amp; IF(IFERROR(FIND("In Lib",$A39)&gt;0,FALSE),"Reference ","") &amp;
IF(AND(D39="Audiobook",LEFT(B39,6)="CD BIO"),"Biography",
IF(AND(D39="Teen Audiobook",LEFT(B39,11)="TEEN CD BIO"),"Biography",
IF(AND(D39="Juvenile Audiobook",LEFT(B39,8)="J CD BIO"),"Biography",
IF(AND(D39="Audiobook",LEFT(B39,6)="CD FIC"),"Audiobook Fiction",
IF(AND(D39="Teen Audiobook",LEFT(B39,11)="TEEN CD FIC"),"Teen Audiobook",
IF(AND(D39="Juvenile Audiobook",LEFT(B39,8)="J CD FIC"),"Juvenile Audiobook",
IF(D39="Audiobook","Nonfiction",
IF(D39="Juvenile Audiobook","Nonfiction",
IF(D39="Teen Audiobook","Nonfiction",
IF(D39="Juvenile Nonfiction","Nonfiction",
IF(D39="Teen Nonfiction","Nonfiction",
IF(D39="Juvenile Biography","Biography",
IF(D39="Teen Biography","Biography",
IF(D39="ESL","Nonfiction",
IF(LEFT(B39,11)="INTL-VIE J ","International Juvenile",IF(LEFT(B39,11)="INTL-TAG J ","International Juvenile",IF(LEFT(B39,11)="INTL-RUS J ","International Juvenile",IF(LEFT(B39,11)="INTL-KOR J ","International Juvenile",IF(LEFT(B39,11)="INTL-JAP J ","International Juvenile",IF(LEFT(B39,11)="INTL-CHI J ","International Juvenile",IF(LEFT(B39,11)="INTL-SPA J ","International Juvenile",IF(LEFT(B39,14)="INTL-VIE TEEN ","International Teen",IF(LEFT(B39,14)="INTL-TAG TEEN ","International Teen",IF(LEFT(B39,14)="INTL-RUS TEEN ","International Teen",IF(LEFT(B39,14)="INTL-KOR TEEN ","International Teen",IF(LEFT(B39,14)="INTL-JAP TEEN ","International Teen",IF(LEFT(B39,14)="INTL-CHI TEEN ","International Teen",IF(LEFT(B39,14)="INTL-SPA TEEN ","International Teen",IF(LEFT(B39,11)="INTL-VIE E ","International Easy",IF(LEFT(B39,11)="INTL-TAG E ","International Easy",IF(LEFT(B39,11)="INTL-RUS E ","International Easy",IF(LEFT(B39,11)="INTL-JAP E ","International Easy",IF(LEFT(B39,11)="INTL-KOR E ","International Easy",IF(LEFT(B39,11)="INTL-CHI E ","International Easy",IF(LEFT(B39,11)="INTL-SPA E ","International Easy",
IF(D39="Teen Large Type","Teen Fiction",
IF(D39="Juvenile Large Type","Juvenile Fiction",
IF(LEFT(B39,6)="J CD O","Juvenile Compact Disc",
IF(AND(LEFT(B39,4)="TEEN",D39="Fiction"),"Teen Fiction",
IF(D39="DVD Educational","Nonfiction",
IF(D39="Juvenile DVD Educational","Nonfiction",
IF(D39="Reference","Nonfiction",
D39))))))))))))))))))))))))))))))))))))))))))</f>
        <v>Reference Magazine</v>
      </c>
    </row>
    <row r="40" spans="1:14" ht="27" customHeight="1" x14ac:dyDescent="0.25">
      <c r="A40" s="10" t="str">
        <f ca="1">TEXT( INDIRECT( ADDRESS( ROW() + Row_Offset, INDIRECT( "Column_Number_" &amp; A$1), 4,1, tabname) ), "")</f>
        <v>New Books</v>
      </c>
      <c r="B40" s="10" t="str">
        <f ca="1">TEXT(  IFERROR( VLOOKUP( $D40, CollName_Simplifier_Table[], 2, FALSE),"") &amp;
        INDIRECT( ADDRESS( ROW() + Row_Offset, INDIRECT( "Column_Number_" &amp; $B$1), 4,1, tabname) ), "")</f>
        <v>Mystery FIC DAHEIM</v>
      </c>
      <c r="C40" s="10" t="str">
        <f ca="1">TEXT( INDIRECT( ADDRESS( ROW() + Row_Offset, INDIRECT( "Column_Number_" &amp; C$1), 4,1, tabname) ), "")</f>
        <v>The Alpine yeoman</v>
      </c>
      <c r="D40" s="10" t="str">
        <f ca="1">TEXT( INDIRECT( ADDRESS( ROW() + Row_Offset, INDIRECT( "Column_Number_" &amp; D$1), 4,1, tabname) ), "")</f>
        <v>Fiction Mystery</v>
      </c>
      <c r="E40" s="10" t="str">
        <f ca="1">TEXT( INDIRECT( ADDRESS( ROW() + Row_Offset, INDIRECT( "Column_Number_" &amp; E$1), 4,1, tabname) ), "####")</f>
        <v>2014</v>
      </c>
      <c r="F40" s="15"/>
      <c r="G40" s="22">
        <f ca="1">IFERROR(INDEX(Rank_Table[],MATCH($D40&amp;$A40,Table4[Join],0)),"")</f>
        <v>96</v>
      </c>
      <c r="H40" s="11" t="str">
        <f ca="1">IF(AND(D40="Juvenile Audiobook",LEFT(B40,8)="J CD BIO"),RIGHT(B40,LEN(B40)-9),
IF(AND(D40="Juvenile Audiobook",LEFT(B40,8)="J CD FIC"),B40,
IF(D40="Juvenile Audiobook",RIGHT(B40,LEN(B40)-5),
IF(AND(D40="Teen Audiobook",LEFT(B40,11)="TEEN CD BIO"),RIGHT(B40,LEN(B40)-12),
IF(AND(D40="Teen Audiobook",LEFT(B40,11)="TEEN CD FIC"),B40,
IF(D40="Juvenile Audiobook",RIGHT(B40,LEN(B40)-8),
IF(D40="Juvenile Nonfiction",RIGHT(B40,LEN(B40)-2),
IF(D40="Teen Nonfiction",RIGHT(B40,LEN(B40)-5),
IF(AND(D40="Audiobook",
              NOT(OR(Contains($B40,"CD BIO"),Contains($B40,"CD FIC")))),RIGHT(B40,LEN(B40)-3),
IF(D40="Juvenile Biography",RIGHT(B40,LEN(B40)-2),
IF(D40="Teen Biography",RIGHT(B40,LEN(B40)-5),
IF(AND(D40="Audiobook",
              IFERROR(FIND("BIO",$B40)&gt;0,FALSE)),RIGHT(B40,LEN(B40)-3),
IF(D40="Juvenile Large Type","J "&amp;RIGHT(B40,LEN(B40)-11),
IF(D40="Teen Large Type","TEEN "&amp;RIGHT(B40,LEN(B40)-14),
IF(D40="Reference",RIGHT(B40,LEN(B40)-4),
IF(D40="DVD Educational",RIGHT(B40,LEN(B40)-7),
IF(D40="Juvenile DVD Educational",RIGHT(B40,LEN(B40)-9),
B40)))))))))))))))))</f>
        <v>Mystery FIC DAHEIM</v>
      </c>
      <c r="N40" s="11" t="str">
        <f ca="1">IF(IFERROR(FIND("New",$A40)&gt;0,FALSE),"New ","") &amp; IF(IFERROR(FIND("In Lib",$A40)&gt;0,FALSE),"Reference ","") &amp;
IF(AND(D40="Audiobook",LEFT(B40,6)="CD BIO"),"Biography",
IF(AND(D40="Teen Audiobook",LEFT(B40,11)="TEEN CD BIO"),"Biography",
IF(AND(D40="Juvenile Audiobook",LEFT(B40,8)="J CD BIO"),"Biography",
IF(AND(D40="Audiobook",LEFT(B40,6)="CD FIC"),"Audiobook Fiction",
IF(AND(D40="Teen Audiobook",LEFT(B40,11)="TEEN CD FIC"),"Teen Audiobook",
IF(AND(D40="Juvenile Audiobook",LEFT(B40,8)="J CD FIC"),"Juvenile Audiobook",
IF(D40="Audiobook","Nonfiction",
IF(D40="Juvenile Audiobook","Nonfiction",
IF(D40="Teen Audiobook","Nonfiction",
IF(D40="Juvenile Nonfiction","Nonfiction",
IF(D40="Teen Nonfiction","Nonfiction",
IF(D40="Juvenile Biography","Biography",
IF(D40="Teen Biography","Biography",
IF(D40="ESL","Nonfiction",
IF(LEFT(B40,11)="INTL-VIE J ","International Juvenile",IF(LEFT(B40,11)="INTL-TAG J ","International Juvenile",IF(LEFT(B40,11)="INTL-RUS J ","International Juvenile",IF(LEFT(B40,11)="INTL-KOR J ","International Juvenile",IF(LEFT(B40,11)="INTL-JAP J ","International Juvenile",IF(LEFT(B40,11)="INTL-CHI J ","International Juvenile",IF(LEFT(B40,11)="INTL-SPA J ","International Juvenile",IF(LEFT(B40,14)="INTL-VIE TEEN ","International Teen",IF(LEFT(B40,14)="INTL-TAG TEEN ","International Teen",IF(LEFT(B40,14)="INTL-RUS TEEN ","International Teen",IF(LEFT(B40,14)="INTL-KOR TEEN ","International Teen",IF(LEFT(B40,14)="INTL-JAP TEEN ","International Teen",IF(LEFT(B40,14)="INTL-CHI TEEN ","International Teen",IF(LEFT(B40,14)="INTL-SPA TEEN ","International Teen",IF(LEFT(B40,11)="INTL-VIE E ","International Easy",IF(LEFT(B40,11)="INTL-TAG E ","International Easy",IF(LEFT(B40,11)="INTL-RUS E ","International Easy",IF(LEFT(B40,11)="INTL-JAP E ","International Easy",IF(LEFT(B40,11)="INTL-KOR E ","International Easy",IF(LEFT(B40,11)="INTL-CHI E ","International Easy",IF(LEFT(B40,11)="INTL-SPA E ","International Easy",
IF(D40="Teen Large Type","Teen Fiction",
IF(D40="Juvenile Large Type","Juvenile Fiction",
IF(LEFT(B40,6)="J CD O","Juvenile Compact Disc",
IF(AND(LEFT(B40,4)="TEEN",D40="Fiction"),"Teen Fiction",
IF(D40="DVD Educational","Nonfiction",
IF(D40="Juvenile DVD Educational","Nonfiction",
IF(D40="Reference","Nonfiction",
D40))))))))))))))))))))))))))))))))))))))))))</f>
        <v>Reference Magazine</v>
      </c>
    </row>
    <row r="41" spans="1:14" ht="27" customHeight="1" x14ac:dyDescent="0.25">
      <c r="A41" s="10" t="str">
        <f ca="1">TEXT( INDIRECT( ADDRESS( ROW() + Row_Offset, INDIRECT( "Column_Number_" &amp; A$1), 4,1, tabname) ), "")</f>
        <v/>
      </c>
      <c r="B41" s="10" t="str">
        <f ca="1">TEXT(  IFERROR( VLOOKUP( $D41, CollName_Simplifier_Table[], 2, FALSE),"") &amp;
        INDIRECT( ADDRESS( ROW() + Row_Offset, INDIRECT( "Column_Number_" &amp; $B$1), 4,1, tabname) ), "")</f>
        <v>Drama DVD BEHINDT</v>
      </c>
      <c r="C41" s="10" t="str">
        <f ca="1">TEXT( INDIRECT( ADDRESS( ROW() + Row_Offset, INDIRECT( "Column_Number_" &amp; C$1), 4,1, tabname) ), "")</f>
        <v>Behind the candelabra</v>
      </c>
      <c r="D41" s="10" t="str">
        <f ca="1">TEXT( INDIRECT( ADDRESS( ROW() + Row_Offset, INDIRECT( "Column_Number_" &amp; D$1), 4,1, tabname) ), "")</f>
        <v>DVD Drama</v>
      </c>
      <c r="E41" s="10" t="str">
        <f ca="1">TEXT( INDIRECT( ADDRESS( ROW() + Row_Offset, INDIRECT( "Column_Number_" &amp; E$1), 4,1, tabname) ), "####")</f>
        <v>2013</v>
      </c>
      <c r="F41" s="15"/>
      <c r="G41" s="22">
        <f ca="1">IFERROR(INDEX(Rank_Table[],MATCH($D41&amp;$A41,Table4[Join],0)),"")</f>
        <v>137</v>
      </c>
      <c r="H41" s="11" t="str">
        <f ca="1">IF(AND(D41="Juvenile Audiobook",LEFT(B41,8)="J CD BIO"),RIGHT(B41,LEN(B41)-9),
IF(AND(D41="Juvenile Audiobook",LEFT(B41,8)="J CD FIC"),B41,
IF(D41="Juvenile Audiobook",RIGHT(B41,LEN(B41)-5),
IF(AND(D41="Teen Audiobook",LEFT(B41,11)="TEEN CD BIO"),RIGHT(B41,LEN(B41)-12),
IF(AND(D41="Teen Audiobook",LEFT(B41,11)="TEEN CD FIC"),B41,
IF(D41="Juvenile Audiobook",RIGHT(B41,LEN(B41)-8),
IF(D41="Juvenile Nonfiction",RIGHT(B41,LEN(B41)-2),
IF(D41="Teen Nonfiction",RIGHT(B41,LEN(B41)-5),
IF(AND(D41="Audiobook",
              NOT(OR(Contains($B41,"CD BIO"),Contains($B41,"CD FIC")))),RIGHT(B41,LEN(B41)-3),
IF(D41="Juvenile Biography",RIGHT(B41,LEN(B41)-2),
IF(D41="Teen Biography",RIGHT(B41,LEN(B41)-5),
IF(AND(D41="Audiobook",
              IFERROR(FIND("BIO",$B41)&gt;0,FALSE)),RIGHT(B41,LEN(B41)-3),
IF(D41="Juvenile Large Type","J "&amp;RIGHT(B41,LEN(B41)-11),
IF(D41="Teen Large Type","TEEN "&amp;RIGHT(B41,LEN(B41)-14),
IF(D41="Reference",RIGHT(B41,LEN(B41)-4),
IF(D41="DVD Educational",RIGHT(B41,LEN(B41)-7),
IF(D41="Juvenile DVD Educational",RIGHT(B41,LEN(B41)-9),
B41)))))))))))))))))</f>
        <v>Drama DVD BEHINDT</v>
      </c>
      <c r="N41" s="11" t="str">
        <f ca="1">IF(IFERROR(FIND("New",$A41)&gt;0,FALSE),"New ","") &amp; IF(IFERROR(FIND("In Lib",$A41)&gt;0,FALSE),"Reference ","") &amp;
IF(AND(D41="Audiobook",LEFT(B41,6)="CD BIO"),"Biography",
IF(AND(D41="Teen Audiobook",LEFT(B41,11)="TEEN CD BIO"),"Biography",
IF(AND(D41="Juvenile Audiobook",LEFT(B41,8)="J CD BIO"),"Biography",
IF(AND(D41="Audiobook",LEFT(B41,6)="CD FIC"),"Audiobook Fiction",
IF(AND(D41="Teen Audiobook",LEFT(B41,11)="TEEN CD FIC"),"Teen Audiobook",
IF(AND(D41="Juvenile Audiobook",LEFT(B41,8)="J CD FIC"),"Juvenile Audiobook",
IF(D41="Audiobook","Nonfiction",
IF(D41="Juvenile Audiobook","Nonfiction",
IF(D41="Teen Audiobook","Nonfiction",
IF(D41="Juvenile Nonfiction","Nonfiction",
IF(D41="Teen Nonfiction","Nonfiction",
IF(D41="Juvenile Biography","Biography",
IF(D41="Teen Biography","Biography",
IF(D41="ESL","Nonfiction",
IF(LEFT(B41,11)="INTL-VIE J ","International Juvenile",IF(LEFT(B41,11)="INTL-TAG J ","International Juvenile",IF(LEFT(B41,11)="INTL-RUS J ","International Juvenile",IF(LEFT(B41,11)="INTL-KOR J ","International Juvenile",IF(LEFT(B41,11)="INTL-JAP J ","International Juvenile",IF(LEFT(B41,11)="INTL-CHI J ","International Juvenile",IF(LEFT(B41,11)="INTL-SPA J ","International Juvenile",IF(LEFT(B41,14)="INTL-VIE TEEN ","International Teen",IF(LEFT(B41,14)="INTL-TAG TEEN ","International Teen",IF(LEFT(B41,14)="INTL-RUS TEEN ","International Teen",IF(LEFT(B41,14)="INTL-KOR TEEN ","International Teen",IF(LEFT(B41,14)="INTL-JAP TEEN ","International Teen",IF(LEFT(B41,14)="INTL-CHI TEEN ","International Teen",IF(LEFT(B41,14)="INTL-SPA TEEN ","International Teen",IF(LEFT(B41,11)="INTL-VIE E ","International Easy",IF(LEFT(B41,11)="INTL-TAG E ","International Easy",IF(LEFT(B41,11)="INTL-RUS E ","International Easy",IF(LEFT(B41,11)="INTL-JAP E ","International Easy",IF(LEFT(B41,11)="INTL-KOR E ","International Easy",IF(LEFT(B41,11)="INTL-CHI E ","International Easy",IF(LEFT(B41,11)="INTL-SPA E ","International Easy",
IF(D41="Teen Large Type","Teen Fiction",
IF(D41="Juvenile Large Type","Juvenile Fiction",
IF(LEFT(B41,6)="J CD O","Juvenile Compact Disc",
IF(AND(LEFT(B41,4)="TEEN",D41="Fiction"),"Teen Fiction",
IF(D41="DVD Educational","Nonfiction",
IF(D41="Juvenile DVD Educational","Nonfiction",
IF(D41="Reference","Nonfiction",
D41))))))))))))))))))))))))))))))))))))))))))</f>
        <v>Reference Magazine</v>
      </c>
    </row>
    <row r="42" spans="1:14" ht="27" customHeight="1" x14ac:dyDescent="0.25">
      <c r="A42" s="10" t="str">
        <f ca="1">TEXT( INDIRECT( ADDRESS( ROW() + Row_Offset, INDIRECT( "Column_Number_" &amp; A$1), 4,1, tabname) ), "")</f>
        <v/>
      </c>
      <c r="B42" s="10" t="str">
        <f ca="1">TEXT(  IFERROR( VLOOKUP( $D42, CollName_Simplifier_Table[], 2, FALSE),"") &amp;
        INDIRECT( ADDRESS( ROW() + Row_Offset, INDIRECT( "Column_Number_" &amp; $B$1), 4,1, tabname) ), "")</f>
        <v>Drama DVD HUNTER</v>
      </c>
      <c r="C42" s="10" t="str">
        <f ca="1">TEXT( INDIRECT( ADDRESS( ROW() + Row_Offset, INDIRECT( "Column_Number_" &amp; C$1), 4,1, tabname) ), "")</f>
        <v>The hunter</v>
      </c>
      <c r="D42" s="10" t="str">
        <f ca="1">TEXT( INDIRECT( ADDRESS( ROW() + Row_Offset, INDIRECT( "Column_Number_" &amp; D$1), 4,1, tabname) ), "")</f>
        <v>DVD Drama</v>
      </c>
      <c r="E42" s="10" t="str">
        <f ca="1">TEXT( INDIRECT( ADDRESS( ROW() + Row_Offset, INDIRECT( "Column_Number_" &amp; E$1), 4,1, tabname) ), "####")</f>
        <v>2012</v>
      </c>
      <c r="F42" s="15"/>
      <c r="G42" s="22">
        <f ca="1">IFERROR(INDEX(Rank_Table[],MATCH($D42&amp;$A42,Table4[Join],0)),"")</f>
        <v>137</v>
      </c>
      <c r="H42" s="11" t="str">
        <f ca="1">IF(AND(D42="Juvenile Audiobook",LEFT(B42,8)="J CD BIO"),RIGHT(B42,LEN(B42)-9),
IF(AND(D42="Juvenile Audiobook",LEFT(B42,8)="J CD FIC"),B42,
IF(D42="Juvenile Audiobook",RIGHT(B42,LEN(B42)-5),
IF(AND(D42="Teen Audiobook",LEFT(B42,11)="TEEN CD BIO"),RIGHT(B42,LEN(B42)-12),
IF(AND(D42="Teen Audiobook",LEFT(B42,11)="TEEN CD FIC"),B42,
IF(D42="Juvenile Audiobook",RIGHT(B42,LEN(B42)-8),
IF(D42="Juvenile Nonfiction",RIGHT(B42,LEN(B42)-2),
IF(D42="Teen Nonfiction",RIGHT(B42,LEN(B42)-5),
IF(AND(D42="Audiobook",
              NOT(OR(Contains($B42,"CD BIO"),Contains($B42,"CD FIC")))),RIGHT(B42,LEN(B42)-3),
IF(D42="Juvenile Biography",RIGHT(B42,LEN(B42)-2),
IF(D42="Teen Biography",RIGHT(B42,LEN(B42)-5),
IF(AND(D42="Audiobook",
              IFERROR(FIND("BIO",$B42)&gt;0,FALSE)),RIGHT(B42,LEN(B42)-3),
IF(D42="Juvenile Large Type","J "&amp;RIGHT(B42,LEN(B42)-11),
IF(D42="Teen Large Type","TEEN "&amp;RIGHT(B42,LEN(B42)-14),
IF(D42="Reference",RIGHT(B42,LEN(B42)-4),
IF(D42="DVD Educational",RIGHT(B42,LEN(B42)-7),
IF(D42="Juvenile DVD Educational",RIGHT(B42,LEN(B42)-9),
B42)))))))))))))))))</f>
        <v>Drama DVD HUNTER</v>
      </c>
      <c r="N42" s="11" t="str">
        <f ca="1">IF(IFERROR(FIND("New",$A42)&gt;0,FALSE),"New ","") &amp; IF(IFERROR(FIND("In Lib",$A42)&gt;0,FALSE),"Reference ","") &amp;
IF(AND(D42="Audiobook",LEFT(B42,6)="CD BIO"),"Biography",
IF(AND(D42="Teen Audiobook",LEFT(B42,11)="TEEN CD BIO"),"Biography",
IF(AND(D42="Juvenile Audiobook",LEFT(B42,8)="J CD BIO"),"Biography",
IF(AND(D42="Audiobook",LEFT(B42,6)="CD FIC"),"Audiobook Fiction",
IF(AND(D42="Teen Audiobook",LEFT(B42,11)="TEEN CD FIC"),"Teen Audiobook",
IF(AND(D42="Juvenile Audiobook",LEFT(B42,8)="J CD FIC"),"Juvenile Audiobook",
IF(D42="Audiobook","Nonfiction",
IF(D42="Juvenile Audiobook","Nonfiction",
IF(D42="Teen Audiobook","Nonfiction",
IF(D42="Juvenile Nonfiction","Nonfiction",
IF(D42="Teen Nonfiction","Nonfiction",
IF(D42="Juvenile Biography","Biography",
IF(D42="Teen Biography","Biography",
IF(D42="ESL","Nonfiction",
IF(LEFT(B42,11)="INTL-VIE J ","International Juvenile",IF(LEFT(B42,11)="INTL-TAG J ","International Juvenile",IF(LEFT(B42,11)="INTL-RUS J ","International Juvenile",IF(LEFT(B42,11)="INTL-KOR J ","International Juvenile",IF(LEFT(B42,11)="INTL-JAP J ","International Juvenile",IF(LEFT(B42,11)="INTL-CHI J ","International Juvenile",IF(LEFT(B42,11)="INTL-SPA J ","International Juvenile",IF(LEFT(B42,14)="INTL-VIE TEEN ","International Teen",IF(LEFT(B42,14)="INTL-TAG TEEN ","International Teen",IF(LEFT(B42,14)="INTL-RUS TEEN ","International Teen",IF(LEFT(B42,14)="INTL-KOR TEEN ","International Teen",IF(LEFT(B42,14)="INTL-JAP TEEN ","International Teen",IF(LEFT(B42,14)="INTL-CHI TEEN ","International Teen",IF(LEFT(B42,14)="INTL-SPA TEEN ","International Teen",IF(LEFT(B42,11)="INTL-VIE E ","International Easy",IF(LEFT(B42,11)="INTL-TAG E ","International Easy",IF(LEFT(B42,11)="INTL-RUS E ","International Easy",IF(LEFT(B42,11)="INTL-JAP E ","International Easy",IF(LEFT(B42,11)="INTL-KOR E ","International Easy",IF(LEFT(B42,11)="INTL-CHI E ","International Easy",IF(LEFT(B42,11)="INTL-SPA E ","International Easy",
IF(D42="Teen Large Type","Teen Fiction",
IF(D42="Juvenile Large Type","Juvenile Fiction",
IF(LEFT(B42,6)="J CD O","Juvenile Compact Disc",
IF(AND(LEFT(B42,4)="TEEN",D42="Fiction"),"Teen Fiction",
IF(D42="DVD Educational","Nonfiction",
IF(D42="Juvenile DVD Educational","Nonfiction",
IF(D42="Reference","Nonfiction",
D42))))))))))))))))))))))))))))))))))))))))))</f>
        <v>Reference Magazine</v>
      </c>
    </row>
    <row r="43" spans="1:14" ht="27" customHeight="1" x14ac:dyDescent="0.25">
      <c r="A43" s="10" t="str">
        <f ca="1">TEXT( INDIRECT( ADDRESS( ROW() + Row_Offset, INDIRECT( "Column_Number_" &amp; A$1), 4,1, tabname) ), "")</f>
        <v/>
      </c>
      <c r="B43" s="10" t="str">
        <f ca="1">TEXT(  IFERROR( VLOOKUP( $D43, CollName_Simplifier_Table[], 2, FALSE),"") &amp;
        INDIRECT( ADDRESS( ROW() + Row_Offset, INDIRECT( "Column_Number_" &amp; $B$1), 4,1, tabname) ), "")</f>
        <v>TV DVD DOC5706</v>
      </c>
      <c r="C43" s="10" t="str">
        <f ca="1">TEXT( INDIRECT( ADDRESS( ROW() + Row_Offset, INDIRECT( "Column_Number_" &amp; C$1), 4,1, tabname) ), "")</f>
        <v>Doctor Who. Dalek war</v>
      </c>
      <c r="D43" s="10" t="str">
        <f ca="1">TEXT( INDIRECT( ADDRESS( ROW() + Row_Offset, INDIRECT( "Column_Number_" &amp; D$1), 4,1, tabname) ), "")</f>
        <v>DVD Television Series</v>
      </c>
      <c r="E43" s="10" t="str">
        <f ca="1">TEXT( INDIRECT( ADDRESS( ROW() + Row_Offset, INDIRECT( "Column_Number_" &amp; E$1), 4,1, tabname) ), "####")</f>
        <v>2010</v>
      </c>
      <c r="F43" s="15"/>
      <c r="G43" s="22">
        <f ca="1">IFERROR(INDEX(Rank_Table[],MATCH($D43&amp;$A43,Table4[Join],0)),"")</f>
        <v>155</v>
      </c>
      <c r="H43" s="11" t="str">
        <f ca="1">IF(AND(D43="Juvenile Audiobook",LEFT(B43,8)="J CD BIO"),RIGHT(B43,LEN(B43)-9),
IF(AND(D43="Juvenile Audiobook",LEFT(B43,8)="J CD FIC"),B43,
IF(D43="Juvenile Audiobook",RIGHT(B43,LEN(B43)-5),
IF(AND(D43="Teen Audiobook",LEFT(B43,11)="TEEN CD BIO"),RIGHT(B43,LEN(B43)-12),
IF(AND(D43="Teen Audiobook",LEFT(B43,11)="TEEN CD FIC"),B43,
IF(D43="Juvenile Audiobook",RIGHT(B43,LEN(B43)-8),
IF(D43="Juvenile Nonfiction",RIGHT(B43,LEN(B43)-2),
IF(D43="Teen Nonfiction",RIGHT(B43,LEN(B43)-5),
IF(AND(D43="Audiobook",
              NOT(OR(Contains($B43,"CD BIO"),Contains($B43,"CD FIC")))),RIGHT(B43,LEN(B43)-3),
IF(D43="Juvenile Biography",RIGHT(B43,LEN(B43)-2),
IF(D43="Teen Biography",RIGHT(B43,LEN(B43)-5),
IF(AND(D43="Audiobook",
              IFERROR(FIND("BIO",$B43)&gt;0,FALSE)),RIGHT(B43,LEN(B43)-3),
IF(D43="Juvenile Large Type","J "&amp;RIGHT(B43,LEN(B43)-11),
IF(D43="Teen Large Type","TEEN "&amp;RIGHT(B43,LEN(B43)-14),
IF(D43="Reference",RIGHT(B43,LEN(B43)-4),
IF(D43="DVD Educational",RIGHT(B43,LEN(B43)-7),
IF(D43="Juvenile DVD Educational",RIGHT(B43,LEN(B43)-9),
B43)))))))))))))))))</f>
        <v>TV DVD DOC5706</v>
      </c>
      <c r="N43" s="11" t="str">
        <f ca="1">IF(IFERROR(FIND("New",$A43)&gt;0,FALSE),"New ","") &amp; IF(IFERROR(FIND("In Lib",$A43)&gt;0,FALSE),"Reference ","") &amp;
IF(AND(D43="Audiobook",LEFT(B43,6)="CD BIO"),"Biography",
IF(AND(D43="Teen Audiobook",LEFT(B43,11)="TEEN CD BIO"),"Biography",
IF(AND(D43="Juvenile Audiobook",LEFT(B43,8)="J CD BIO"),"Biography",
IF(AND(D43="Audiobook",LEFT(B43,6)="CD FIC"),"Audiobook Fiction",
IF(AND(D43="Teen Audiobook",LEFT(B43,11)="TEEN CD FIC"),"Teen Audiobook",
IF(AND(D43="Juvenile Audiobook",LEFT(B43,8)="J CD FIC"),"Juvenile Audiobook",
IF(D43="Audiobook","Nonfiction",
IF(D43="Juvenile Audiobook","Nonfiction",
IF(D43="Teen Audiobook","Nonfiction",
IF(D43="Juvenile Nonfiction","Nonfiction",
IF(D43="Teen Nonfiction","Nonfiction",
IF(D43="Juvenile Biography","Biography",
IF(D43="Teen Biography","Biography",
IF(D43="ESL","Nonfiction",
IF(LEFT(B43,11)="INTL-VIE J ","International Juvenile",IF(LEFT(B43,11)="INTL-TAG J ","International Juvenile",IF(LEFT(B43,11)="INTL-RUS J ","International Juvenile",IF(LEFT(B43,11)="INTL-KOR J ","International Juvenile",IF(LEFT(B43,11)="INTL-JAP J ","International Juvenile",IF(LEFT(B43,11)="INTL-CHI J ","International Juvenile",IF(LEFT(B43,11)="INTL-SPA J ","International Juvenile",IF(LEFT(B43,14)="INTL-VIE TEEN ","International Teen",IF(LEFT(B43,14)="INTL-TAG TEEN ","International Teen",IF(LEFT(B43,14)="INTL-RUS TEEN ","International Teen",IF(LEFT(B43,14)="INTL-KOR TEEN ","International Teen",IF(LEFT(B43,14)="INTL-JAP TEEN ","International Teen",IF(LEFT(B43,14)="INTL-CHI TEEN ","International Teen",IF(LEFT(B43,14)="INTL-SPA TEEN ","International Teen",IF(LEFT(B43,11)="INTL-VIE E ","International Easy",IF(LEFT(B43,11)="INTL-TAG E ","International Easy",IF(LEFT(B43,11)="INTL-RUS E ","International Easy",IF(LEFT(B43,11)="INTL-JAP E ","International Easy",IF(LEFT(B43,11)="INTL-KOR E ","International Easy",IF(LEFT(B43,11)="INTL-CHI E ","International Easy",IF(LEFT(B43,11)="INTL-SPA E ","International Easy",
IF(D43="Teen Large Type","Teen Fiction",
IF(D43="Juvenile Large Type","Juvenile Fiction",
IF(LEFT(B43,6)="J CD O","Juvenile Compact Disc",
IF(AND(LEFT(B43,4)="TEEN",D43="Fiction"),"Teen Fiction",
IF(D43="DVD Educational","Nonfiction",
IF(D43="Juvenile DVD Educational","Nonfiction",
IF(D43="Reference","Nonfiction",
D43))))))))))))))))))))))))))))))))))))))))))</f>
        <v>Reference Magazine</v>
      </c>
    </row>
    <row r="44" spans="1:14" ht="27" customHeight="1" x14ac:dyDescent="0.25">
      <c r="A44" s="10" t="str">
        <f ca="1">TEXT( INDIRECT( ADDRESS( ROW() + Row_Offset, INDIRECT( "Column_Number_" &amp; A$1), 4,1, tabname) ), "")</f>
        <v/>
      </c>
      <c r="B44" s="10" t="str">
        <f ca="1">TEXT(  IFERROR( VLOOKUP( $D44, CollName_Simplifier_Table[], 2, FALSE),"") &amp;
        INDIRECT( ADDRESS( ROW() + Row_Offset, INDIRECT( "Column_Number_" &amp; $B$1), 4,1, tabname) ), "")</f>
        <v>CD H FRA906</v>
      </c>
      <c r="C44" s="10" t="str">
        <f ca="1">TEXT( INDIRECT( ADDRESS( ROW() + Row_Offset, INDIRECT( "Column_Number_" &amp; C$1), 4,1, tabname) ), "")</f>
        <v>Amazing grace</v>
      </c>
      <c r="D44" s="10" t="str">
        <f ca="1">TEXT( INDIRECT( ADDRESS( ROW() + Row_Offset, INDIRECT( "Column_Number_" &amp; D$1), 4,1, tabname) ), "")</f>
        <v>Compact Disc</v>
      </c>
      <c r="E44" s="10" t="str">
        <f ca="1">TEXT( INDIRECT( ADDRESS( ROW() + Row_Offset, INDIRECT( "Column_Number_" &amp; E$1), 4,1, tabname) ), "####")</f>
        <v>2000</v>
      </c>
      <c r="F44" s="15"/>
      <c r="G44" s="22">
        <f ca="1">IFERROR(INDEX(Rank_Table[],MATCH($D44&amp;$A44,Table4[Join],0)),"")</f>
        <v>161</v>
      </c>
      <c r="H44" s="11" t="str">
        <f ca="1">IF(AND(D44="Juvenile Audiobook",LEFT(B44,8)="J CD BIO"),RIGHT(B44,LEN(B44)-9),
IF(AND(D44="Juvenile Audiobook",LEFT(B44,8)="J CD FIC"),B44,
IF(D44="Juvenile Audiobook",RIGHT(B44,LEN(B44)-5),
IF(AND(D44="Teen Audiobook",LEFT(B44,11)="TEEN CD BIO"),RIGHT(B44,LEN(B44)-12),
IF(AND(D44="Teen Audiobook",LEFT(B44,11)="TEEN CD FIC"),B44,
IF(D44="Juvenile Audiobook",RIGHT(B44,LEN(B44)-8),
IF(D44="Juvenile Nonfiction",RIGHT(B44,LEN(B44)-2),
IF(D44="Teen Nonfiction",RIGHT(B44,LEN(B44)-5),
IF(AND(D44="Audiobook",
              NOT(OR(Contains($B44,"CD BIO"),Contains($B44,"CD FIC")))),RIGHT(B44,LEN(B44)-3),
IF(D44="Juvenile Biography",RIGHT(B44,LEN(B44)-2),
IF(D44="Teen Biography",RIGHT(B44,LEN(B44)-5),
IF(AND(D44="Audiobook",
              IFERROR(FIND("BIO",$B44)&gt;0,FALSE)),RIGHT(B44,LEN(B44)-3),
IF(D44="Juvenile Large Type","J "&amp;RIGHT(B44,LEN(B44)-11),
IF(D44="Teen Large Type","TEEN "&amp;RIGHT(B44,LEN(B44)-14),
IF(D44="Reference",RIGHT(B44,LEN(B44)-4),
IF(D44="DVD Educational",RIGHT(B44,LEN(B44)-7),
IF(D44="Juvenile DVD Educational",RIGHT(B44,LEN(B44)-9),
B44)))))))))))))))))</f>
        <v>CD H FRA906</v>
      </c>
      <c r="N44" s="22"/>
    </row>
    <row r="45" spans="1:14" ht="27" customHeight="1" x14ac:dyDescent="0.25">
      <c r="A45" s="10" t="str">
        <f ca="1">TEXT( INDIRECT( ADDRESS( ROW() + Row_Offset, INDIRECT( "Column_Number_" &amp; A$1), 4,1, tabname) ), "")</f>
        <v/>
      </c>
      <c r="B45" s="10" t="str">
        <f ca="1">TEXT(  IFERROR( VLOOKUP( $D45, CollName_Simplifier_Table[], 2, FALSE),"") &amp;
        INDIRECT( ADDRESS( ROW() + Row_Offset, INDIRECT( "Column_Number_" &amp; $B$1), 4,1, tabname) ), "")</f>
        <v>CD K FRE42</v>
      </c>
      <c r="C45" s="10" t="str">
        <f ca="1">TEXT( INDIRECT( ADDRESS( ROW() + Row_Offset, INDIRECT( "Column_Number_" &amp; C$1), 4,1, tabname) ), "")</f>
        <v>Freaky Friday original soundtrack.</v>
      </c>
      <c r="D45" s="10" t="str">
        <f ca="1">TEXT( INDIRECT( ADDRESS( ROW() + Row_Offset, INDIRECT( "Column_Number_" &amp; D$1), 4,1, tabname) ), "")</f>
        <v>Compact Disc</v>
      </c>
      <c r="E45" s="10" t="str">
        <f ca="1">TEXT( INDIRECT( ADDRESS( ROW() + Row_Offset, INDIRECT( "Column_Number_" &amp; E$1), 4,1, tabname) ), "####")</f>
        <v>2003</v>
      </c>
      <c r="F45" s="15"/>
      <c r="G45" s="22">
        <f ca="1">IFERROR(INDEX(Rank_Table[],MATCH($D45&amp;$A45,Table4[Join],0)),"")</f>
        <v>161</v>
      </c>
      <c r="H45" s="11" t="str">
        <f ca="1">IF(AND(D45="Juvenile Audiobook",LEFT(B45,8)="J CD BIO"),RIGHT(B45,LEN(B45)-9),
IF(AND(D45="Juvenile Audiobook",LEFT(B45,8)="J CD FIC"),B45,
IF(D45="Juvenile Audiobook",RIGHT(B45,LEN(B45)-5),
IF(AND(D45="Teen Audiobook",LEFT(B45,11)="TEEN CD BIO"),RIGHT(B45,LEN(B45)-12),
IF(AND(D45="Teen Audiobook",LEFT(B45,11)="TEEN CD FIC"),B45,
IF(D45="Juvenile Audiobook",RIGHT(B45,LEN(B45)-8),
IF(D45="Juvenile Nonfiction",RIGHT(B45,LEN(B45)-2),
IF(D45="Teen Nonfiction",RIGHT(B45,LEN(B45)-5),
IF(AND(D45="Audiobook",
              NOT(OR(Contains($B45,"CD BIO"),Contains($B45,"CD FIC")))),RIGHT(B45,LEN(B45)-3),
IF(D45="Juvenile Biography",RIGHT(B45,LEN(B45)-2),
IF(D45="Teen Biography",RIGHT(B45,LEN(B45)-5),
IF(AND(D45="Audiobook",
              IFERROR(FIND("BIO",$B45)&gt;0,FALSE)),RIGHT(B45,LEN(B45)-3),
IF(D45="Juvenile Large Type","J "&amp;RIGHT(B45,LEN(B45)-11),
IF(D45="Teen Large Type","TEEN "&amp;RIGHT(B45,LEN(B45)-14),
IF(D45="Reference",RIGHT(B45,LEN(B45)-4),
IF(D45="DVD Educational",RIGHT(B45,LEN(B45)-7),
IF(D45="Juvenile DVD Educational",RIGHT(B45,LEN(B45)-9),
B45)))))))))))))))))</f>
        <v>CD K FRE42</v>
      </c>
      <c r="N45" s="11" t="str">
        <f ca="1">IF(IFERROR(FIND("New",$A45)&gt;0,FALSE),"New ","") &amp; IF(IFERROR(FIND("In Lib",$A45)&gt;0,FALSE),"Reference ","") &amp;
IF(AND(D45="Audiobook",LEFT(B45,6)="CD BIO"),"Biography",
IF(AND(D45="Teen Audiobook",LEFT(B45,11)="TEEN CD BIO"),"Biography",
IF(AND(D45="Juvenile Audiobook",LEFT(B45,8)="J CD BIO"),"Biography",
IF(AND(D45="Audiobook",LEFT(B45,6)="CD FIC"),"Audiobook Fiction",
IF(AND(D45="Teen Audiobook",LEFT(B45,11)="TEEN CD FIC"),"Teen Audiobook",
IF(AND(D45="Juvenile Audiobook",LEFT(B45,8)="J CD FIC"),"Juvenile Audiobook",
IF(D45="Audiobook","Nonfiction",
IF(D45="Juvenile Audiobook","Nonfiction",
IF(D45="Teen Audiobook","Nonfiction",
IF(D45="Juvenile Nonfiction","Nonfiction",
IF(D45="Teen Nonfiction","Nonfiction",
IF(D45="Juvenile Biography","Biography",
IF(D45="Teen Biography","Biography",
IF(D45="ESL","Nonfiction",
IF(LEFT(B45,11)="INTL-VIE J ","International Juvenile",IF(LEFT(B45,11)="INTL-TAG J ","International Juvenile",IF(LEFT(B45,11)="INTL-RUS J ","International Juvenile",IF(LEFT(B45,11)="INTL-KOR J ","International Juvenile",IF(LEFT(B45,11)="INTL-JAP J ","International Juvenile",IF(LEFT(B45,11)="INTL-CHI J ","International Juvenile",IF(LEFT(B45,11)="INTL-SPA J ","International Juvenile",IF(LEFT(B45,14)="INTL-VIE TEEN ","International Teen",IF(LEFT(B45,14)="INTL-TAG TEEN ","International Teen",IF(LEFT(B45,14)="INTL-RUS TEEN ","International Teen",IF(LEFT(B45,14)="INTL-KOR TEEN ","International Teen",IF(LEFT(B45,14)="INTL-JAP TEEN ","International Teen",IF(LEFT(B45,14)="INTL-CHI TEEN ","International Teen",IF(LEFT(B45,14)="INTL-SPA TEEN ","International Teen",IF(LEFT(B45,11)="INTL-VIE E ","International Easy",IF(LEFT(B45,11)="INTL-TAG E ","International Easy",IF(LEFT(B45,11)="INTL-RUS E ","International Easy",IF(LEFT(B45,11)="INTL-JAP E ","International Easy",IF(LEFT(B45,11)="INTL-KOR E ","International Easy",IF(LEFT(B45,11)="INTL-CHI E ","International Easy",IF(LEFT(B45,11)="INTL-SPA E ","International Easy",
IF(D45="Teen Large Type","Teen Fiction",
IF(D45="Juvenile Large Type","Juvenile Fiction",
IF(LEFT(B45,6)="J CD O","Juvenile Compact Disc",
IF(AND(LEFT(B45,4)="TEEN",D45="Fiction"),"Teen Fiction",
IF(D45="DVD Educational","Nonfiction",
IF(D45="Juvenile DVD Educational","Nonfiction",
IF(D45="Reference","Nonfiction",
D45))))))))))))))))))))))))))))))))))))))))))</f>
        <v>Reference Magazine</v>
      </c>
    </row>
    <row r="46" spans="1:14" ht="27" customHeight="1" x14ac:dyDescent="0.25">
      <c r="A46" s="10" t="str">
        <f ca="1">TEXT( INDIRECT( ADDRESS( ROW() + Row_Offset, INDIRECT( "Column_Number_" &amp; A$1), 4,1, tabname) ), "")</f>
        <v/>
      </c>
      <c r="B46" s="10" t="str">
        <f ca="1">TEXT(  IFERROR( VLOOKUP( $D46, CollName_Simplifier_Table[], 2, FALSE),"") &amp;
        INDIRECT( ADDRESS( ROW() + Row_Offset, INDIRECT( "Column_Number_" &amp; $B$1), 4,1, tabname) ), "")</f>
        <v>CD M MCC2470</v>
      </c>
      <c r="C46" s="10" t="str">
        <f ca="1">TEXT( INDIRECT( ADDRESS( ROW() + Row_Offset, INDIRECT( "Column_Number_" &amp; C$1), 4,1, tabname) ), "")</f>
        <v>Beautiful soul</v>
      </c>
      <c r="D46" s="10" t="str">
        <f ca="1">TEXT( INDIRECT( ADDRESS( ROW() + Row_Offset, INDIRECT( "Column_Number_" &amp; D$1), 4,1, tabname) ), "")</f>
        <v>Compact Disc</v>
      </c>
      <c r="E46" s="10" t="str">
        <f ca="1">TEXT( INDIRECT( ADDRESS( ROW() + Row_Offset, INDIRECT( "Column_Number_" &amp; E$1), 4,1, tabname) ), "####")</f>
        <v>2004</v>
      </c>
      <c r="F46" s="15"/>
      <c r="G46" s="22">
        <f ca="1">IFERROR(INDEX(Rank_Table[],MATCH($D46&amp;$A46,Table4[Join],0)),"")</f>
        <v>161</v>
      </c>
      <c r="H46" s="11" t="str">
        <f ca="1">IF(AND(D46="Juvenile Audiobook",LEFT(B46,8)="J CD BIO"),RIGHT(B46,LEN(B46)-9),
IF(AND(D46="Juvenile Audiobook",LEFT(B46,8)="J CD FIC"),B46,
IF(D46="Juvenile Audiobook",RIGHT(B46,LEN(B46)-5),
IF(AND(D46="Teen Audiobook",LEFT(B46,11)="TEEN CD BIO"),RIGHT(B46,LEN(B46)-12),
IF(AND(D46="Teen Audiobook",LEFT(B46,11)="TEEN CD FIC"),B46,
IF(D46="Juvenile Audiobook",RIGHT(B46,LEN(B46)-8),
IF(D46="Juvenile Nonfiction",RIGHT(B46,LEN(B46)-2),
IF(D46="Teen Nonfiction",RIGHT(B46,LEN(B46)-5),
IF(AND(D46="Audiobook",
              NOT(OR(Contains($B46,"CD BIO"),Contains($B46,"CD FIC")))),RIGHT(B46,LEN(B46)-3),
IF(D46="Juvenile Biography",RIGHT(B46,LEN(B46)-2),
IF(D46="Teen Biography",RIGHT(B46,LEN(B46)-5),
IF(AND(D46="Audiobook",
              IFERROR(FIND("BIO",$B46)&gt;0,FALSE)),RIGHT(B46,LEN(B46)-3),
IF(D46="Juvenile Large Type","J "&amp;RIGHT(B46,LEN(B46)-11),
IF(D46="Teen Large Type","TEEN "&amp;RIGHT(B46,LEN(B46)-14),
IF(D46="Reference",RIGHT(B46,LEN(B46)-4),
IF(D46="DVD Educational",RIGHT(B46,LEN(B46)-7),
IF(D46="Juvenile DVD Educational",RIGHT(B46,LEN(B46)-9),
B46)))))))))))))))))</f>
        <v>CD M MCC2470</v>
      </c>
      <c r="N46" s="11" t="str">
        <f ca="1">IF(IFERROR(FIND("New",$A46)&gt;0,FALSE),"New ","") &amp; IF(IFERROR(FIND("In Lib",$A46)&gt;0,FALSE),"Reference ","") &amp;
IF(AND(D46="Audiobook",LEFT(B46,6)="CD BIO"),"Biography",
IF(AND(D46="Teen Audiobook",LEFT(B46,11)="TEEN CD BIO"),"Biography",
IF(AND(D46="Juvenile Audiobook",LEFT(B46,8)="J CD BIO"),"Biography",
IF(AND(D46="Audiobook",LEFT(B46,6)="CD FIC"),"Audiobook Fiction",
IF(AND(D46="Teen Audiobook",LEFT(B46,11)="TEEN CD FIC"),"Teen Audiobook",
IF(AND(D46="Juvenile Audiobook",LEFT(B46,8)="J CD FIC"),"Juvenile Audiobook",
IF(D46="Audiobook","Nonfiction",
IF(D46="Juvenile Audiobook","Nonfiction",
IF(D46="Teen Audiobook","Nonfiction",
IF(D46="Juvenile Nonfiction","Nonfiction",
IF(D46="Teen Nonfiction","Nonfiction",
IF(D46="Juvenile Biography","Biography",
IF(D46="Teen Biography","Biography",
IF(D46="ESL","Nonfiction",
IF(LEFT(B46,11)="INTL-VIE J ","International Juvenile",IF(LEFT(B46,11)="INTL-TAG J ","International Juvenile",IF(LEFT(B46,11)="INTL-RUS J ","International Juvenile",IF(LEFT(B46,11)="INTL-KOR J ","International Juvenile",IF(LEFT(B46,11)="INTL-JAP J ","International Juvenile",IF(LEFT(B46,11)="INTL-CHI J ","International Juvenile",IF(LEFT(B46,11)="INTL-SPA J ","International Juvenile",IF(LEFT(B46,14)="INTL-VIE TEEN ","International Teen",IF(LEFT(B46,14)="INTL-TAG TEEN ","International Teen",IF(LEFT(B46,14)="INTL-RUS TEEN ","International Teen",IF(LEFT(B46,14)="INTL-KOR TEEN ","International Teen",IF(LEFT(B46,14)="INTL-JAP TEEN ","International Teen",IF(LEFT(B46,14)="INTL-CHI TEEN ","International Teen",IF(LEFT(B46,14)="INTL-SPA TEEN ","International Teen",IF(LEFT(B46,11)="INTL-VIE E ","International Easy",IF(LEFT(B46,11)="INTL-TAG E ","International Easy",IF(LEFT(B46,11)="INTL-RUS E ","International Easy",IF(LEFT(B46,11)="INTL-JAP E ","International Easy",IF(LEFT(B46,11)="INTL-KOR E ","International Easy",IF(LEFT(B46,11)="INTL-CHI E ","International Easy",IF(LEFT(B46,11)="INTL-SPA E ","International Easy",
IF(D46="Teen Large Type","Teen Fiction",
IF(D46="Juvenile Large Type","Juvenile Fiction",
IF(LEFT(B46,6)="J CD O","Juvenile Compact Disc",
IF(AND(LEFT(B46,4)="TEEN",D46="Fiction"),"Teen Fiction",
IF(D46="DVD Educational","Nonfiction",
IF(D46="Juvenile DVD Educational","Nonfiction",
IF(D46="Reference","Nonfiction",
D46))))))))))))))))))))))))))))))))))))))))))</f>
        <v>Reference Magazine</v>
      </c>
    </row>
    <row r="47" spans="1:14" ht="27" customHeight="1" x14ac:dyDescent="0.25">
      <c r="A47" s="10" t="str">
        <f ca="1">TEXT( INDIRECT( ADDRESS( ROW() + Row_Offset, INDIRECT( "Column_Number_" &amp; A$1), 4,1, tabname) ), "")</f>
        <v/>
      </c>
      <c r="B47" s="10" t="str">
        <f ca="1">TEXT(  IFERROR( VLOOKUP( $D47, CollName_Simplifier_Table[], 2, FALSE),"") &amp;
        INDIRECT( ADDRESS( ROW() + Row_Offset, INDIRECT( "Column_Number_" &amp; $B$1), 4,1, tabname) ), "")</f>
        <v>CD MA NEO6578</v>
      </c>
      <c r="C47" s="10" t="str">
        <f ca="1">TEXT( INDIRECT( ADDRESS( ROW() + Row_Offset, INDIRECT( "Column_Number_" &amp; C$1), 4,1, tabname) ), "")</f>
        <v>Picture show</v>
      </c>
      <c r="D47" s="10" t="str">
        <f ca="1">TEXT( INDIRECT( ADDRESS( ROW() + Row_Offset, INDIRECT( "Column_Number_" &amp; D$1), 4,1, tabname) ), "")</f>
        <v>Compact Disc</v>
      </c>
      <c r="E47" s="10" t="str">
        <f ca="1">TEXT( INDIRECT( ADDRESS( ROW() + Row_Offset, INDIRECT( "Column_Number_" &amp; E$1), 4,1, tabname) ), "####")</f>
        <v>2012</v>
      </c>
      <c r="F47" s="15"/>
      <c r="G47" s="22">
        <f ca="1">IFERROR(INDEX(Rank_Table[],MATCH($D47&amp;$A47,Table4[Join],0)),"")</f>
        <v>161</v>
      </c>
      <c r="H47" s="11" t="str">
        <f ca="1">IF(AND(D47="Juvenile Audiobook",LEFT(B47,8)="J CD BIO"),RIGHT(B47,LEN(B47)-9),
IF(AND(D47="Juvenile Audiobook",LEFT(B47,8)="J CD FIC"),B47,
IF(D47="Juvenile Audiobook",RIGHT(B47,LEN(B47)-5),
IF(AND(D47="Teen Audiobook",LEFT(B47,11)="TEEN CD BIO"),RIGHT(B47,LEN(B47)-12),
IF(AND(D47="Teen Audiobook",LEFT(B47,11)="TEEN CD FIC"),B47,
IF(D47="Juvenile Audiobook",RIGHT(B47,LEN(B47)-8),
IF(D47="Juvenile Nonfiction",RIGHT(B47,LEN(B47)-2),
IF(D47="Teen Nonfiction",RIGHT(B47,LEN(B47)-5),
IF(AND(D47="Audiobook",
              NOT(OR(Contains($B47,"CD BIO"),Contains($B47,"CD FIC")))),RIGHT(B47,LEN(B47)-3),
IF(D47="Juvenile Biography",RIGHT(B47,LEN(B47)-2),
IF(D47="Teen Biography",RIGHT(B47,LEN(B47)-5),
IF(AND(D47="Audiobook",
              IFERROR(FIND("BIO",$B47)&gt;0,FALSE)),RIGHT(B47,LEN(B47)-3),
IF(D47="Juvenile Large Type","J "&amp;RIGHT(B47,LEN(B47)-11),
IF(D47="Teen Large Type","TEEN "&amp;RIGHT(B47,LEN(B47)-14),
IF(D47="Reference",RIGHT(B47,LEN(B47)-4),
IF(D47="DVD Educational",RIGHT(B47,LEN(B47)-7),
IF(D47="Juvenile DVD Educational",RIGHT(B47,LEN(B47)-9),
B47)))))))))))))))))</f>
        <v>CD MA NEO6578</v>
      </c>
      <c r="N47" s="11" t="str">
        <f ca="1">IF(IFERROR(FIND("New",$A47)&gt;0,FALSE),"New ","") &amp; IF(IFERROR(FIND("In Lib",$A47)&gt;0,FALSE),"Reference ","") &amp;
IF(AND(D47="Audiobook",LEFT(B47,6)="CD BIO"),"Biography",
IF(AND(D47="Teen Audiobook",LEFT(B47,11)="TEEN CD BIO"),"Biography",
IF(AND(D47="Juvenile Audiobook",LEFT(B47,8)="J CD BIO"),"Biography",
IF(AND(D47="Audiobook",LEFT(B47,6)="CD FIC"),"Audiobook Fiction",
IF(AND(D47="Teen Audiobook",LEFT(B47,11)="TEEN CD FIC"),"Teen Audiobook",
IF(AND(D47="Juvenile Audiobook",LEFT(B47,8)="J CD FIC"),"Juvenile Audiobook",
IF(D47="Audiobook","Nonfiction",
IF(D47="Juvenile Audiobook","Nonfiction",
IF(D47="Teen Audiobook","Nonfiction",
IF(D47="Juvenile Nonfiction","Nonfiction",
IF(D47="Teen Nonfiction","Nonfiction",
IF(D47="Juvenile Biography","Biography",
IF(D47="Teen Biography","Biography",
IF(D47="ESL","Nonfiction",
IF(LEFT(B47,11)="INTL-VIE J ","International Juvenile",IF(LEFT(B47,11)="INTL-TAG J ","International Juvenile",IF(LEFT(B47,11)="INTL-RUS J ","International Juvenile",IF(LEFT(B47,11)="INTL-KOR J ","International Juvenile",IF(LEFT(B47,11)="INTL-JAP J ","International Juvenile",IF(LEFT(B47,11)="INTL-CHI J ","International Juvenile",IF(LEFT(B47,11)="INTL-SPA J ","International Juvenile",IF(LEFT(B47,14)="INTL-VIE TEEN ","International Teen",IF(LEFT(B47,14)="INTL-TAG TEEN ","International Teen",IF(LEFT(B47,14)="INTL-RUS TEEN ","International Teen",IF(LEFT(B47,14)="INTL-KOR TEEN ","International Teen",IF(LEFT(B47,14)="INTL-JAP TEEN ","International Teen",IF(LEFT(B47,14)="INTL-CHI TEEN ","International Teen",IF(LEFT(B47,14)="INTL-SPA TEEN ","International Teen",IF(LEFT(B47,11)="INTL-VIE E ","International Easy",IF(LEFT(B47,11)="INTL-TAG E ","International Easy",IF(LEFT(B47,11)="INTL-RUS E ","International Easy",IF(LEFT(B47,11)="INTL-JAP E ","International Easy",IF(LEFT(B47,11)="INTL-KOR E ","International Easy",IF(LEFT(B47,11)="INTL-CHI E ","International Easy",IF(LEFT(B47,11)="INTL-SPA E ","International Easy",
IF(D47="Teen Large Type","Teen Fiction",
IF(D47="Juvenile Large Type","Juvenile Fiction",
IF(LEFT(B47,6)="J CD O","Juvenile Compact Disc",
IF(AND(LEFT(B47,4)="TEEN",D47="Fiction"),"Teen Fiction",
IF(D47="DVD Educational","Nonfiction",
IF(D47="Juvenile DVD Educational","Nonfiction",
IF(D47="Reference","Nonfiction",
D47))))))))))))))))))))))))))))))))))))))))))</f>
        <v>Reference Magazine</v>
      </c>
    </row>
    <row r="48" spans="1:14" ht="27" customHeight="1" x14ac:dyDescent="0.25">
      <c r="A48" s="10" t="str">
        <f ca="1">TEXT( INDIRECT( ADDRESS( ROW() + Row_Offset, INDIRECT( "Column_Number_" &amp; A$1), 4,1, tabname) ), "")</f>
        <v/>
      </c>
      <c r="B48" s="10" t="str">
        <f ca="1">TEXT(  IFERROR( VLOOKUP( $D48, CollName_Simplifier_Table[], 2, FALSE),"") &amp;
        INDIRECT( ADDRESS( ROW() + Row_Offset, INDIRECT( "Column_Number_" &amp; $B$1), 4,1, tabname) ), "")</f>
        <v>CD U CHE7445</v>
      </c>
      <c r="C48" s="10" t="str">
        <f ca="1">TEXT( INDIRECT( ADDRESS( ROW() + Row_Offset, INDIRECT( "Column_Number_" &amp; C$1), 4,1, tabname) ), "")</f>
        <v>Hemingway's whiskey</v>
      </c>
      <c r="D48" s="10" t="str">
        <f ca="1">TEXT( INDIRECT( ADDRESS( ROW() + Row_Offset, INDIRECT( "Column_Number_" &amp; D$1), 4,1, tabname) ), "")</f>
        <v>Compact Disc</v>
      </c>
      <c r="E48" s="10" t="str">
        <f ca="1">TEXT( INDIRECT( ADDRESS( ROW() + Row_Offset, INDIRECT( "Column_Number_" &amp; E$1), 4,1, tabname) ), "####")</f>
        <v>2010</v>
      </c>
      <c r="F48" s="15"/>
      <c r="G48" s="22">
        <f ca="1">IFERROR(INDEX(Rank_Table[],MATCH($D48&amp;$A48,Table4[Join],0)),"")</f>
        <v>161</v>
      </c>
      <c r="H48" s="11" t="str">
        <f ca="1">IF(AND(D48="Juvenile Audiobook",LEFT(B48,8)="J CD BIO"),RIGHT(B48,LEN(B48)-9),
IF(AND(D48="Juvenile Audiobook",LEFT(B48,8)="J CD FIC"),B48,
IF(D48="Juvenile Audiobook",RIGHT(B48,LEN(B48)-5),
IF(AND(D48="Teen Audiobook",LEFT(B48,11)="TEEN CD BIO"),RIGHT(B48,LEN(B48)-12),
IF(AND(D48="Teen Audiobook",LEFT(B48,11)="TEEN CD FIC"),B48,
IF(D48="Juvenile Audiobook",RIGHT(B48,LEN(B48)-8),
IF(D48="Juvenile Nonfiction",RIGHT(B48,LEN(B48)-2),
IF(D48="Teen Nonfiction",RIGHT(B48,LEN(B48)-5),
IF(AND(D48="Audiobook",
              NOT(OR(Contains($B48,"CD BIO"),Contains($B48,"CD FIC")))),RIGHT(B48,LEN(B48)-3),
IF(D48="Juvenile Biography",RIGHT(B48,LEN(B48)-2),
IF(D48="Teen Biography",RIGHT(B48,LEN(B48)-5),
IF(AND(D48="Audiobook",
              IFERROR(FIND("BIO",$B48)&gt;0,FALSE)),RIGHT(B48,LEN(B48)-3),
IF(D48="Juvenile Large Type","J "&amp;RIGHT(B48,LEN(B48)-11),
IF(D48="Teen Large Type","TEEN "&amp;RIGHT(B48,LEN(B48)-14),
IF(D48="Reference",RIGHT(B48,LEN(B48)-4),
IF(D48="DVD Educational",RIGHT(B48,LEN(B48)-7),
IF(D48="Juvenile DVD Educational",RIGHT(B48,LEN(B48)-9),
B48)))))))))))))))))</f>
        <v>CD U CHE7445</v>
      </c>
      <c r="N48" s="11" t="str">
        <f ca="1">IF(IFERROR(FIND("New",$A48)&gt;0,FALSE),"New ","") &amp; IF(IFERROR(FIND("In Lib",$A48)&gt;0,FALSE),"Reference ","") &amp;
IF(AND(D48="Audiobook",LEFT(B48,6)="CD BIO"),"Biography",
IF(AND(D48="Teen Audiobook",LEFT(B48,11)="TEEN CD BIO"),"Biography",
IF(AND(D48="Juvenile Audiobook",LEFT(B48,8)="J CD BIO"),"Biography",
IF(AND(D48="Audiobook",LEFT(B48,6)="CD FIC"),"Audiobook Fiction",
IF(AND(D48="Teen Audiobook",LEFT(B48,11)="TEEN CD FIC"),"Teen Audiobook",
IF(AND(D48="Juvenile Audiobook",LEFT(B48,8)="J CD FIC"),"Juvenile Audiobook",
IF(D48="Audiobook","Nonfiction",
IF(D48="Juvenile Audiobook","Nonfiction",
IF(D48="Teen Audiobook","Nonfiction",
IF(D48="Juvenile Nonfiction","Nonfiction",
IF(D48="Teen Nonfiction","Nonfiction",
IF(D48="Juvenile Biography","Biography",
IF(D48="Teen Biography","Biography",
IF(D48="ESL","Nonfiction",
IF(LEFT(B48,11)="INTL-VIE J ","International Juvenile",IF(LEFT(B48,11)="INTL-TAG J ","International Juvenile",IF(LEFT(B48,11)="INTL-RUS J ","International Juvenile",IF(LEFT(B48,11)="INTL-KOR J ","International Juvenile",IF(LEFT(B48,11)="INTL-JAP J ","International Juvenile",IF(LEFT(B48,11)="INTL-CHI J ","International Juvenile",IF(LEFT(B48,11)="INTL-SPA J ","International Juvenile",IF(LEFT(B48,14)="INTL-VIE TEEN ","International Teen",IF(LEFT(B48,14)="INTL-TAG TEEN ","International Teen",IF(LEFT(B48,14)="INTL-RUS TEEN ","International Teen",IF(LEFT(B48,14)="INTL-KOR TEEN ","International Teen",IF(LEFT(B48,14)="INTL-JAP TEEN ","International Teen",IF(LEFT(B48,14)="INTL-CHI TEEN ","International Teen",IF(LEFT(B48,14)="INTL-SPA TEEN ","International Teen",IF(LEFT(B48,11)="INTL-VIE E ","International Easy",IF(LEFT(B48,11)="INTL-TAG E ","International Easy",IF(LEFT(B48,11)="INTL-RUS E ","International Easy",IF(LEFT(B48,11)="INTL-JAP E ","International Easy",IF(LEFT(B48,11)="INTL-KOR E ","International Easy",IF(LEFT(B48,11)="INTL-CHI E ","International Easy",IF(LEFT(B48,11)="INTL-SPA E ","International Easy",
IF(D48="Teen Large Type","Teen Fiction",
IF(D48="Juvenile Large Type","Juvenile Fiction",
IF(LEFT(B48,6)="J CD O","Juvenile Compact Disc",
IF(AND(LEFT(B48,4)="TEEN",D48="Fiction"),"Teen Fiction",
IF(D48="DVD Educational","Nonfiction",
IF(D48="Juvenile DVD Educational","Nonfiction",
IF(D48="Reference","Nonfiction",
D48))))))))))))))))))))))))))))))))))))))))))</f>
        <v>Reference Magazine</v>
      </c>
    </row>
    <row r="49" spans="1:14" ht="27" customHeight="1" x14ac:dyDescent="0.25">
      <c r="A49" s="10" t="str">
        <f ca="1">TEXT( INDIRECT( ADDRESS( ROW() + Row_Offset, INDIRECT( "Column_Number_" &amp; A$1), 4,1, tabname) ), "")</f>
        <v>In Library Use Only</v>
      </c>
      <c r="B49" s="10" t="str">
        <f ca="1">TEXT(  IFERROR( VLOOKUP( $D49, CollName_Simplifier_Table[], 2, FALSE),"") &amp;
        INDIRECT( ADDRESS( ROW() + Row_Offset, INDIRECT( "Column_Number_" &amp; $B$1), 4,1, tabname) ), "")</f>
        <v/>
      </c>
      <c r="C49" s="10" t="str">
        <f ca="1">TEXT( INDIRECT( ADDRESS( ROW() + Row_Offset, INDIRECT( "Column_Number_" &amp; C$1), 4,1, tabname) ), "")</f>
        <v>Discovery girls. v. 14 no. 5  (Aug./Sep. 2014)</v>
      </c>
      <c r="D49" s="10" t="str">
        <f ca="1">TEXT( INDIRECT( ADDRESS( ROW() + Row_Offset, INDIRECT( "Column_Number_" &amp; D$1), 4,1, tabname) ), "")</f>
        <v>Juvenile Magazine</v>
      </c>
      <c r="E49" s="10" t="str">
        <f ca="1">TEXT( INDIRECT( ADDRESS( ROW() + Row_Offset, INDIRECT( "Column_Number_" &amp; E$1), 4,1, tabname) ), "####")</f>
        <v>2000</v>
      </c>
      <c r="F49" s="15"/>
      <c r="G49" s="22">
        <f ca="1">IFERROR(INDEX(Rank_Table[],MATCH($D49&amp;$A49,Table4[Join],0)),"")</f>
        <v>166</v>
      </c>
      <c r="H49" s="11" t="str">
        <f ca="1">IF(AND(D49="Juvenile Audiobook",LEFT(B49,8)="J CD BIO"),RIGHT(B49,LEN(B49)-9),
IF(AND(D49="Juvenile Audiobook",LEFT(B49,8)="J CD FIC"),B49,
IF(D49="Juvenile Audiobook",RIGHT(B49,LEN(B49)-5),
IF(AND(D49="Teen Audiobook",LEFT(B49,11)="TEEN CD BIO"),RIGHT(B49,LEN(B49)-12),
IF(AND(D49="Teen Audiobook",LEFT(B49,11)="TEEN CD FIC"),B49,
IF(D49="Juvenile Audiobook",RIGHT(B49,LEN(B49)-8),
IF(D49="Juvenile Nonfiction",RIGHT(B49,LEN(B49)-2),
IF(D49="Teen Nonfiction",RIGHT(B49,LEN(B49)-5),
IF(AND(D49="Audiobook",
              NOT(OR(Contains($B49,"CD BIO"),Contains($B49,"CD FIC")))),RIGHT(B49,LEN(B49)-3),
IF(D49="Juvenile Biography",RIGHT(B49,LEN(B49)-2),
IF(D49="Teen Biography",RIGHT(B49,LEN(B49)-5),
IF(AND(D49="Audiobook",
              IFERROR(FIND("BIO",$B49)&gt;0,FALSE)),RIGHT(B49,LEN(B49)-3),
IF(D49="Juvenile Large Type","J "&amp;RIGHT(B49,LEN(B49)-11),
IF(D49="Teen Large Type","TEEN "&amp;RIGHT(B49,LEN(B49)-14),
IF(D49="Reference",RIGHT(B49,LEN(B49)-4),
IF(D49="DVD Educational",RIGHT(B49,LEN(B49)-7),
IF(D49="Juvenile DVD Educational",RIGHT(B49,LEN(B49)-9),
B49)))))))))))))))))</f>
        <v/>
      </c>
      <c r="N49" s="11" t="str">
        <f ca="1">IF(IFERROR(FIND("New",$A49)&gt;0,FALSE),"New ","") &amp; IF(IFERROR(FIND("In Lib",$A49)&gt;0,FALSE),"Reference ","") &amp;
IF(AND(D49="Audiobook",LEFT(B49,6)="CD BIO"),"Biography",
IF(AND(D49="Teen Audiobook",LEFT(B49,11)="TEEN CD BIO"),"Biography",
IF(AND(D49="Juvenile Audiobook",LEFT(B49,8)="J CD BIO"),"Biography",
IF(AND(D49="Audiobook",LEFT(B49,6)="CD FIC"),"Audiobook Fiction",
IF(AND(D49="Teen Audiobook",LEFT(B49,11)="TEEN CD FIC"),"Teen Audiobook",
IF(AND(D49="Juvenile Audiobook",LEFT(B49,8)="J CD FIC"),"Juvenile Audiobook",
IF(D49="Audiobook","Nonfiction",
IF(D49="Juvenile Audiobook","Nonfiction",
IF(D49="Teen Audiobook","Nonfiction",
IF(D49="Juvenile Nonfiction","Nonfiction",
IF(D49="Teen Nonfiction","Nonfiction",
IF(D49="Juvenile Biography","Biography",
IF(D49="Teen Biography","Biography",
IF(D49="ESL","Nonfiction",
IF(LEFT(B49,11)="INTL-VIE J ","International Juvenile",IF(LEFT(B49,11)="INTL-TAG J ","International Juvenile",IF(LEFT(B49,11)="INTL-RUS J ","International Juvenile",IF(LEFT(B49,11)="INTL-KOR J ","International Juvenile",IF(LEFT(B49,11)="INTL-JAP J ","International Juvenile",IF(LEFT(B49,11)="INTL-CHI J ","International Juvenile",IF(LEFT(B49,11)="INTL-SPA J ","International Juvenile",IF(LEFT(B49,14)="INTL-VIE TEEN ","International Teen",IF(LEFT(B49,14)="INTL-TAG TEEN ","International Teen",IF(LEFT(B49,14)="INTL-RUS TEEN ","International Teen",IF(LEFT(B49,14)="INTL-KOR TEEN ","International Teen",IF(LEFT(B49,14)="INTL-JAP TEEN ","International Teen",IF(LEFT(B49,14)="INTL-CHI TEEN ","International Teen",IF(LEFT(B49,14)="INTL-SPA TEEN ","International Teen",IF(LEFT(B49,11)="INTL-VIE E ","International Easy",IF(LEFT(B49,11)="INTL-TAG E ","International Easy",IF(LEFT(B49,11)="INTL-RUS E ","International Easy",IF(LEFT(B49,11)="INTL-JAP E ","International Easy",IF(LEFT(B49,11)="INTL-KOR E ","International Easy",IF(LEFT(B49,11)="INTL-CHI E ","International Easy",IF(LEFT(B49,11)="INTL-SPA E ","International Easy",
IF(D49="Teen Large Type","Teen Fiction",
IF(D49="Juvenile Large Type","Juvenile Fiction",
IF(LEFT(B49,6)="J CD O","Juvenile Compact Disc",
IF(AND(LEFT(B49,4)="TEEN",D49="Fiction"),"Teen Fiction",
IF(D49="DVD Educational","Nonfiction",
IF(D49="Juvenile DVD Educational","Nonfiction",
IF(D49="Reference","Nonfiction",
D49))))))))))))))))))))))))))))))))))))))))))</f>
        <v>Reference Magazine</v>
      </c>
    </row>
    <row r="50" spans="1:14" ht="27" customHeight="1" x14ac:dyDescent="0.25">
      <c r="A50" s="10" t="str">
        <f ca="1">TEXT( INDIRECT( ADDRESS( ROW() + Row_Offset, INDIRECT( "Column_Number_" &amp; A$1), 4,1, tabname) ), "")</f>
        <v>In Library Use Only</v>
      </c>
      <c r="B50" s="10" t="str">
        <f ca="1">TEXT(  IFERROR( VLOOKUP( $D50, CollName_Simplifier_Table[], 2, FALSE),"") &amp;
        INDIRECT( ADDRESS( ROW() + Row_Offset, INDIRECT( "Column_Number_" &amp; $B$1), 4,1, tabname) ), "")</f>
        <v/>
      </c>
      <c r="C50" s="10" t="str">
        <f ca="1">TEXT( INDIRECT( ADDRESS( ROW() + Row_Offset, INDIRECT( "Column_Number_" &amp; C$1), 4,1, tabname) ), "")</f>
        <v>Elle. Vol. 29 No. 12  (August 2014)</v>
      </c>
      <c r="D50" s="10" t="str">
        <f ca="1">TEXT( INDIRECT( ADDRESS( ROW() + Row_Offset, INDIRECT( "Column_Number_" &amp; D$1), 4,1, tabname) ), "")</f>
        <v>Magazine</v>
      </c>
      <c r="E50" s="10" t="str">
        <f ca="1">TEXT( INDIRECT( ADDRESS( ROW() + Row_Offset, INDIRECT( "Column_Number_" &amp; E$1), 4,1, tabname) ), "####")</f>
        <v>1985</v>
      </c>
      <c r="F50" s="15"/>
      <c r="G50" s="22">
        <f ca="1">IFERROR(INDEX(Rank_Table[],MATCH($D50&amp;$A50,Table4[Join],0)),"")</f>
        <v>168</v>
      </c>
      <c r="H50" s="11" t="str">
        <f ca="1">IF(AND(D50="Juvenile Audiobook",LEFT(B50,8)="J CD BIO"),RIGHT(B50,LEN(B50)-9),
IF(AND(D50="Juvenile Audiobook",LEFT(B50,8)="J CD FIC"),B50,
IF(D50="Juvenile Audiobook",RIGHT(B50,LEN(B50)-5),
IF(AND(D50="Teen Audiobook",LEFT(B50,11)="TEEN CD BIO"),RIGHT(B50,LEN(B50)-12),
IF(AND(D50="Teen Audiobook",LEFT(B50,11)="TEEN CD FIC"),B50,
IF(D50="Juvenile Audiobook",RIGHT(B50,LEN(B50)-8),
IF(D50="Juvenile Nonfiction",RIGHT(B50,LEN(B50)-2),
IF(D50="Teen Nonfiction",RIGHT(B50,LEN(B50)-5),
IF(AND(D50="Audiobook",
              NOT(OR(Contains($B50,"CD BIO"),Contains($B50,"CD FIC")))),RIGHT(B50,LEN(B50)-3),
IF(D50="Juvenile Biography",RIGHT(B50,LEN(B50)-2),
IF(D50="Teen Biography",RIGHT(B50,LEN(B50)-5),
IF(AND(D50="Audiobook",
              IFERROR(FIND("BIO",$B50)&gt;0,FALSE)),RIGHT(B50,LEN(B50)-3),
IF(D50="Juvenile Large Type","J "&amp;RIGHT(B50,LEN(B50)-11),
IF(D50="Teen Large Type","TEEN "&amp;RIGHT(B50,LEN(B50)-14),
IF(D50="Reference",RIGHT(B50,LEN(B50)-4),
IF(D50="DVD Educational",RIGHT(B50,LEN(B50)-7),
IF(D50="Juvenile DVD Educational",RIGHT(B50,LEN(B50)-9),
B50)))))))))))))))))</f>
        <v/>
      </c>
      <c r="N50" s="11" t="str">
        <f ca="1">IF(IFERROR(FIND("New",$A50)&gt;0,FALSE),"New ","") &amp; IF(IFERROR(FIND("In Lib",$A50)&gt;0,FALSE),"Reference ","") &amp;
IF(AND(D50="Audiobook",LEFT(B50,6)="CD BIO"),"Biography",
IF(AND(D50="Teen Audiobook",LEFT(B50,11)="TEEN CD BIO"),"Biography",
IF(AND(D50="Juvenile Audiobook",LEFT(B50,8)="J CD BIO"),"Biography",
IF(AND(D50="Audiobook",LEFT(B50,6)="CD FIC"),"Audiobook Fiction",
IF(AND(D50="Teen Audiobook",LEFT(B50,11)="TEEN CD FIC"),"Teen Audiobook",
IF(AND(D50="Juvenile Audiobook",LEFT(B50,8)="J CD FIC"),"Juvenile Audiobook",
IF(D50="Audiobook","Nonfiction",
IF(D50="Juvenile Audiobook","Nonfiction",
IF(D50="Teen Audiobook","Nonfiction",
IF(D50="Juvenile Nonfiction","Nonfiction",
IF(D50="Teen Nonfiction","Nonfiction",
IF(D50="Juvenile Biography","Biography",
IF(D50="Teen Biography","Biography",
IF(D50="ESL","Nonfiction",
IF(LEFT(B50,11)="INTL-VIE J ","International Juvenile",IF(LEFT(B50,11)="INTL-TAG J ","International Juvenile",IF(LEFT(B50,11)="INTL-RUS J ","International Juvenile",IF(LEFT(B50,11)="INTL-KOR J ","International Juvenile",IF(LEFT(B50,11)="INTL-JAP J ","International Juvenile",IF(LEFT(B50,11)="INTL-CHI J ","International Juvenile",IF(LEFT(B50,11)="INTL-SPA J ","International Juvenile",IF(LEFT(B50,14)="INTL-VIE TEEN ","International Teen",IF(LEFT(B50,14)="INTL-TAG TEEN ","International Teen",IF(LEFT(B50,14)="INTL-RUS TEEN ","International Teen",IF(LEFT(B50,14)="INTL-KOR TEEN ","International Teen",IF(LEFT(B50,14)="INTL-JAP TEEN ","International Teen",IF(LEFT(B50,14)="INTL-CHI TEEN ","International Teen",IF(LEFT(B50,14)="INTL-SPA TEEN ","International Teen",IF(LEFT(B50,11)="INTL-VIE E ","International Easy",IF(LEFT(B50,11)="INTL-TAG E ","International Easy",IF(LEFT(B50,11)="INTL-RUS E ","International Easy",IF(LEFT(B50,11)="INTL-JAP E ","International Easy",IF(LEFT(B50,11)="INTL-KOR E ","International Easy",IF(LEFT(B50,11)="INTL-CHI E ","International Easy",IF(LEFT(B50,11)="INTL-SPA E ","International Easy",
IF(D50="Teen Large Type","Teen Fiction",
IF(D50="Juvenile Large Type","Juvenile Fiction",
IF(LEFT(B50,6)="J CD O","Juvenile Compact Disc",
IF(AND(LEFT(B50,4)="TEEN",D50="Fiction"),"Teen Fiction",
IF(D50="DVD Educational","Nonfiction",
IF(D50="Juvenile DVD Educational","Nonfiction",
IF(D50="Reference","Nonfiction",
D50))))))))))))))))))))))))))))))))))))))))))</f>
        <v>Reference Magazine</v>
      </c>
    </row>
    <row r="51" spans="1:14" ht="27" customHeight="1" x14ac:dyDescent="0.25">
      <c r="A51" s="10" t="str">
        <f ca="1">TEXT( INDIRECT( ADDRESS( ROW() + Row_Offset, INDIRECT( "Column_Number_" &amp; A$1), 4,1, tabname) ), "")</f>
        <v>In Library Use Only</v>
      </c>
      <c r="B51" s="10" t="str">
        <f ca="1">TEXT(  IFERROR( VLOOKUP( $D51, CollName_Simplifier_Table[], 2, FALSE),"") &amp;
        INDIRECT( ADDRESS( ROW() + Row_Offset, INDIRECT( "Column_Number_" &amp; $B$1), 4,1, tabname) ), "")</f>
        <v/>
      </c>
      <c r="C51" s="10" t="str">
        <f ca="1">TEXT( INDIRECT( ADDRESS( ROW() + Row_Offset, INDIRECT( "Column_Number_" &amp; C$1), 4,1, tabname) ), "")</f>
        <v>Print. v. 68 no. 4  (Aug. 2014)</v>
      </c>
      <c r="D51" s="10" t="str">
        <f ca="1">TEXT( INDIRECT( ADDRESS( ROW() + Row_Offset, INDIRECT( "Column_Number_" &amp; D$1), 4,1, tabname) ), "")</f>
        <v>Magazine</v>
      </c>
      <c r="E51" s="10" t="str">
        <f ca="1">TEXT( INDIRECT( ADDRESS( ROW() + Row_Offset, INDIRECT( "Column_Number_" &amp; E$1), 4,1, tabname) ), "####")</f>
        <v>1940</v>
      </c>
      <c r="F51" s="15"/>
      <c r="G51" s="22">
        <f ca="1">IFERROR(INDEX(Rank_Table[],MATCH($D51&amp;$A51,Table4[Join],0)),"")</f>
        <v>168</v>
      </c>
      <c r="H51" s="11" t="str">
        <f ca="1">IF(AND(D51="Juvenile Audiobook",LEFT(B51,8)="J CD BIO"),RIGHT(B51,LEN(B51)-9),
IF(AND(D51="Juvenile Audiobook",LEFT(B51,8)="J CD FIC"),B51,
IF(D51="Juvenile Audiobook",RIGHT(B51,LEN(B51)-5),
IF(AND(D51="Teen Audiobook",LEFT(B51,11)="TEEN CD BIO"),RIGHT(B51,LEN(B51)-12),
IF(AND(D51="Teen Audiobook",LEFT(B51,11)="TEEN CD FIC"),B51,
IF(D51="Juvenile Audiobook",RIGHT(B51,LEN(B51)-8),
IF(D51="Juvenile Nonfiction",RIGHT(B51,LEN(B51)-2),
IF(D51="Teen Nonfiction",RIGHT(B51,LEN(B51)-5),
IF(AND(D51="Audiobook",
              NOT(OR(Contains($B51,"CD BIO"),Contains($B51,"CD FIC")))),RIGHT(B51,LEN(B51)-3),
IF(D51="Juvenile Biography",RIGHT(B51,LEN(B51)-2),
IF(D51="Teen Biography",RIGHT(B51,LEN(B51)-5),
IF(AND(D51="Audiobook",
              IFERROR(FIND("BIO",$B51)&gt;0,FALSE)),RIGHT(B51,LEN(B51)-3),
IF(D51="Juvenile Large Type","J "&amp;RIGHT(B51,LEN(B51)-11),
IF(D51="Teen Large Type","TEEN "&amp;RIGHT(B51,LEN(B51)-14),
IF(D51="Reference",RIGHT(B51,LEN(B51)-4),
IF(D51="DVD Educational",RIGHT(B51,LEN(B51)-7),
IF(D51="Juvenile DVD Educational",RIGHT(B51,LEN(B51)-9),
B51)))))))))))))))))</f>
        <v/>
      </c>
      <c r="N51" s="11" t="str">
        <f ca="1">IF(IFERROR(FIND("New",$A51)&gt;0,FALSE),"New ","") &amp; IF(IFERROR(FIND("In Lib",$A51)&gt;0,FALSE),"Reference ","") &amp;
IF(AND(D51="Audiobook",LEFT(B51,6)="CD BIO"),"Biography",
IF(AND(D51="Teen Audiobook",LEFT(B51,11)="TEEN CD BIO"),"Biography",
IF(AND(D51="Juvenile Audiobook",LEFT(B51,8)="J CD BIO"),"Biography",
IF(AND(D51="Audiobook",LEFT(B51,6)="CD FIC"),"Audiobook Fiction",
IF(AND(D51="Teen Audiobook",LEFT(B51,11)="TEEN CD FIC"),"Teen Audiobook",
IF(AND(D51="Juvenile Audiobook",LEFT(B51,8)="J CD FIC"),"Juvenile Audiobook",
IF(D51="Audiobook","Nonfiction",
IF(D51="Juvenile Audiobook","Nonfiction",
IF(D51="Teen Audiobook","Nonfiction",
IF(D51="Juvenile Nonfiction","Nonfiction",
IF(D51="Teen Nonfiction","Nonfiction",
IF(D51="Juvenile Biography","Biography",
IF(D51="Teen Biography","Biography",
IF(D51="ESL","Nonfiction",
IF(LEFT(B51,11)="INTL-VIE J ","International Juvenile",IF(LEFT(B51,11)="INTL-TAG J ","International Juvenile",IF(LEFT(B51,11)="INTL-RUS J ","International Juvenile",IF(LEFT(B51,11)="INTL-KOR J ","International Juvenile",IF(LEFT(B51,11)="INTL-JAP J ","International Juvenile",IF(LEFT(B51,11)="INTL-CHI J ","International Juvenile",IF(LEFT(B51,11)="INTL-SPA J ","International Juvenile",IF(LEFT(B51,14)="INTL-VIE TEEN ","International Teen",IF(LEFT(B51,14)="INTL-TAG TEEN ","International Teen",IF(LEFT(B51,14)="INTL-RUS TEEN ","International Teen",IF(LEFT(B51,14)="INTL-KOR TEEN ","International Teen",IF(LEFT(B51,14)="INTL-JAP TEEN ","International Teen",IF(LEFT(B51,14)="INTL-CHI TEEN ","International Teen",IF(LEFT(B51,14)="INTL-SPA TEEN ","International Teen",IF(LEFT(B51,11)="INTL-VIE E ","International Easy",IF(LEFT(B51,11)="INTL-TAG E ","International Easy",IF(LEFT(B51,11)="INTL-RUS E ","International Easy",IF(LEFT(B51,11)="INTL-JAP E ","International Easy",IF(LEFT(B51,11)="INTL-KOR E ","International Easy",IF(LEFT(B51,11)="INTL-CHI E ","International Easy",IF(LEFT(B51,11)="INTL-SPA E ","International Easy",
IF(D51="Teen Large Type","Teen Fiction",
IF(D51="Juvenile Large Type","Juvenile Fiction",
IF(LEFT(B51,6)="J CD O","Juvenile Compact Disc",
IF(AND(LEFT(B51,4)="TEEN",D51="Fiction"),"Teen Fiction",
IF(D51="DVD Educational","Nonfiction",
IF(D51="Juvenile DVD Educational","Nonfiction",
IF(D51="Reference","Nonfiction",
D51))))))))))))))))))))))))))))))))))))))))))</f>
        <v>Reference Magazine</v>
      </c>
    </row>
    <row r="52" spans="1:14" ht="27" customHeight="1" x14ac:dyDescent="0.25">
      <c r="A52" s="10" t="str">
        <f ca="1">TEXT( INDIRECT( ADDRESS( ROW() + Row_Offset, INDIRECT( "Column_Number_" &amp; A$1), 4,1, tabname) ), "")</f>
        <v>In Library Use Only</v>
      </c>
      <c r="B52" s="10" t="str">
        <f ca="1">TEXT(  IFERROR( VLOOKUP( $D52, CollName_Simplifier_Table[], 2, FALSE),"") &amp;
        INDIRECT( ADDRESS( ROW() + Row_Offset, INDIRECT( "Column_Number_" &amp; $B$1), 4,1, tabname) ), "")</f>
        <v/>
      </c>
      <c r="C52" s="10" t="str">
        <f ca="1">TEXT( INDIRECT( ADDRESS( ROW() + Row_Offset, INDIRECT( "Column_Number_" &amp; C$1), 4,1, tabname) ), "")</f>
        <v>Arts and activities. v. 155 no. 5  (June 2014)</v>
      </c>
      <c r="D52" s="10" t="str">
        <f ca="1">TEXT( INDIRECT( ADDRESS( ROW() + Row_Offset, INDIRECT( "Column_Number_" &amp; D$1), 4,1, tabname) ), "")</f>
        <v>Magazine</v>
      </c>
      <c r="E52" s="10" t="str">
        <f ca="1">TEXT( INDIRECT( ADDRESS( ROW() + Row_Offset, INDIRECT( "Column_Number_" &amp; E$1), 4,1, tabname) ), "####")</f>
        <v>1955</v>
      </c>
      <c r="F52" s="15"/>
      <c r="G52" s="22">
        <f ca="1">IFERROR(INDEX(Rank_Table[],MATCH($D52&amp;$A52,Table4[Join],0)),"")</f>
        <v>168</v>
      </c>
      <c r="H52" s="11" t="str">
        <f ca="1">IF(AND(D52="Juvenile Audiobook",LEFT(B52,8)="J CD BIO"),RIGHT(B52,LEN(B52)-9),
IF(AND(D52="Juvenile Audiobook",LEFT(B52,8)="J CD FIC"),B52,
IF(D52="Juvenile Audiobook",RIGHT(B52,LEN(B52)-5),
IF(AND(D52="Teen Audiobook",LEFT(B52,11)="TEEN CD BIO"),RIGHT(B52,LEN(B52)-12),
IF(AND(D52="Teen Audiobook",LEFT(B52,11)="TEEN CD FIC"),B52,
IF(D52="Juvenile Audiobook",RIGHT(B52,LEN(B52)-8),
IF(D52="Juvenile Nonfiction",RIGHT(B52,LEN(B52)-2),
IF(D52="Teen Nonfiction",RIGHT(B52,LEN(B52)-5),
IF(AND(D52="Audiobook",
              NOT(OR(Contains($B52,"CD BIO"),Contains($B52,"CD FIC")))),RIGHT(B52,LEN(B52)-3),
IF(D52="Juvenile Biography",RIGHT(B52,LEN(B52)-2),
IF(D52="Teen Biography",RIGHT(B52,LEN(B52)-5),
IF(AND(D52="Audiobook",
              IFERROR(FIND("BIO",$B52)&gt;0,FALSE)),RIGHT(B52,LEN(B52)-3),
IF(D52="Juvenile Large Type","J "&amp;RIGHT(B52,LEN(B52)-11),
IF(D52="Teen Large Type","TEEN "&amp;RIGHT(B52,LEN(B52)-14),
IF(D52="Reference",RIGHT(B52,LEN(B52)-4),
IF(D52="DVD Educational",RIGHT(B52,LEN(B52)-7),
IF(D52="Juvenile DVD Educational",RIGHT(B52,LEN(B52)-9),
B52)))))))))))))))))</f>
        <v/>
      </c>
      <c r="N52" s="11" t="str">
        <f ca="1">IF(IFERROR(FIND("New",$A52)&gt;0,FALSE),"New ","") &amp; IF(IFERROR(FIND("In Lib",$A52)&gt;0,FALSE),"Reference ","") &amp;
IF(AND(D52="Audiobook",LEFT(B52,6)="CD BIO"),"Biography",
IF(AND(D52="Teen Audiobook",LEFT(B52,11)="TEEN CD BIO"),"Biography",
IF(AND(D52="Juvenile Audiobook",LEFT(B52,8)="J CD BIO"),"Biography",
IF(AND(D52="Audiobook",LEFT(B52,6)="CD FIC"),"Audiobook Fiction",
IF(AND(D52="Teen Audiobook",LEFT(B52,11)="TEEN CD FIC"),"Teen Audiobook",
IF(AND(D52="Juvenile Audiobook",LEFT(B52,8)="J CD FIC"),"Juvenile Audiobook",
IF(D52="Audiobook","Nonfiction",
IF(D52="Juvenile Audiobook","Nonfiction",
IF(D52="Teen Audiobook","Nonfiction",
IF(D52="Juvenile Nonfiction","Nonfiction",
IF(D52="Teen Nonfiction","Nonfiction",
IF(D52="Juvenile Biography","Biography",
IF(D52="Teen Biography","Biography",
IF(D52="ESL","Nonfiction",
IF(LEFT(B52,11)="INTL-VIE J ","International Juvenile",IF(LEFT(B52,11)="INTL-TAG J ","International Juvenile",IF(LEFT(B52,11)="INTL-RUS J ","International Juvenile",IF(LEFT(B52,11)="INTL-KOR J ","International Juvenile",IF(LEFT(B52,11)="INTL-JAP J ","International Juvenile",IF(LEFT(B52,11)="INTL-CHI J ","International Juvenile",IF(LEFT(B52,11)="INTL-SPA J ","International Juvenile",IF(LEFT(B52,14)="INTL-VIE TEEN ","International Teen",IF(LEFT(B52,14)="INTL-TAG TEEN ","International Teen",IF(LEFT(B52,14)="INTL-RUS TEEN ","International Teen",IF(LEFT(B52,14)="INTL-KOR TEEN ","International Teen",IF(LEFT(B52,14)="INTL-JAP TEEN ","International Teen",IF(LEFT(B52,14)="INTL-CHI TEEN ","International Teen",IF(LEFT(B52,14)="INTL-SPA TEEN ","International Teen",IF(LEFT(B52,11)="INTL-VIE E ","International Easy",IF(LEFT(B52,11)="INTL-TAG E ","International Easy",IF(LEFT(B52,11)="INTL-RUS E ","International Easy",IF(LEFT(B52,11)="INTL-JAP E ","International Easy",IF(LEFT(B52,11)="INTL-KOR E ","International Easy",IF(LEFT(B52,11)="INTL-CHI E ","International Easy",IF(LEFT(B52,11)="INTL-SPA E ","International Easy",
IF(D52="Teen Large Type","Teen Fiction",
IF(D52="Juvenile Large Type","Juvenile Fiction",
IF(LEFT(B52,6)="J CD O","Juvenile Compact Disc",
IF(AND(LEFT(B52,4)="TEEN",D52="Fiction"),"Teen Fiction",
IF(D52="DVD Educational","Nonfiction",
IF(D52="Juvenile DVD Educational","Nonfiction",
IF(D52="Reference","Nonfiction",
D52))))))))))))))))))))))))))))))))))))))))))</f>
        <v>Reference Magazine</v>
      </c>
    </row>
    <row r="53" spans="1:14" ht="27" customHeight="1" x14ac:dyDescent="0.25">
      <c r="A53" s="10" t="str">
        <f ca="1">TEXT( INDIRECT( ADDRESS( ROW() + Row_Offset, INDIRECT( "Column_Number_" &amp; A$1), 4,1, tabname) ), "")</f>
        <v>In Library Use Only</v>
      </c>
      <c r="B53" s="10" t="str">
        <f ca="1">TEXT(  IFERROR( VLOOKUP( $D53, CollName_Simplifier_Table[], 2, FALSE),"") &amp;
        INDIRECT( ADDRESS( ROW() + Row_Offset, INDIRECT( "Column_Number_" &amp; $B$1), 4,1, tabname) ), "")</f>
        <v/>
      </c>
      <c r="C53" s="10" t="str">
        <f ca="1">TEXT( INDIRECT( ADDRESS( ROW() + Row_Offset, INDIRECT( "Column_Number_" &amp; C$1), 4,1, tabname) ), "")</f>
        <v>Birds &amp; blooms. Vol. 20 No. 4  (August/September 2014)</v>
      </c>
      <c r="D53" s="10" t="str">
        <f ca="1">TEXT( INDIRECT( ADDRESS( ROW() + Row_Offset, INDIRECT( "Column_Number_" &amp; D$1), 4,1, tabname) ), "")</f>
        <v>Magazine</v>
      </c>
      <c r="E53" s="10" t="str">
        <f ca="1">TEXT( INDIRECT( ADDRESS( ROW() + Row_Offset, INDIRECT( "Column_Number_" &amp; E$1), 4,1, tabname) ), "####")</f>
        <v>1995</v>
      </c>
      <c r="F53" s="15"/>
      <c r="G53" s="22">
        <f ca="1">IFERROR(INDEX(Rank_Table[],MATCH($D53&amp;$A53,Table4[Join],0)),"")</f>
        <v>168</v>
      </c>
      <c r="H53" s="11" t="str">
        <f ca="1">IF(AND(D53="Juvenile Audiobook",LEFT(B53,8)="J CD BIO"),RIGHT(B53,LEN(B53)-9),
IF(AND(D53="Juvenile Audiobook",LEFT(B53,8)="J CD FIC"),B53,
IF(D53="Juvenile Audiobook",RIGHT(B53,LEN(B53)-5),
IF(AND(D53="Teen Audiobook",LEFT(B53,11)="TEEN CD BIO"),RIGHT(B53,LEN(B53)-12),
IF(AND(D53="Teen Audiobook",LEFT(B53,11)="TEEN CD FIC"),B53,
IF(D53="Juvenile Audiobook",RIGHT(B53,LEN(B53)-8),
IF(D53="Juvenile Nonfiction",RIGHT(B53,LEN(B53)-2),
IF(D53="Teen Nonfiction",RIGHT(B53,LEN(B53)-5),
IF(AND(D53="Audiobook",
              NOT(OR(Contains($B53,"CD BIO"),Contains($B53,"CD FIC")))),RIGHT(B53,LEN(B53)-3),
IF(D53="Juvenile Biography",RIGHT(B53,LEN(B53)-2),
IF(D53="Teen Biography",RIGHT(B53,LEN(B53)-5),
IF(AND(D53="Audiobook",
              IFERROR(FIND("BIO",$B53)&gt;0,FALSE)),RIGHT(B53,LEN(B53)-3),
IF(D53="Juvenile Large Type","J "&amp;RIGHT(B53,LEN(B53)-11),
IF(D53="Teen Large Type","TEEN "&amp;RIGHT(B53,LEN(B53)-14),
IF(D53="Reference",RIGHT(B53,LEN(B53)-4),
IF(D53="DVD Educational",RIGHT(B53,LEN(B53)-7),
IF(D53="Juvenile DVD Educational",RIGHT(B53,LEN(B53)-9),
B53)))))))))))))))))</f>
        <v/>
      </c>
      <c r="N53" s="11" t="str">
        <f ca="1">IF(IFERROR(FIND("New",$A53)&gt;0,FALSE),"New ","") &amp; IF(IFERROR(FIND("In Lib",$A53)&gt;0,FALSE),"Reference ","") &amp;
IF(AND(D53="Audiobook",LEFT(B53,6)="CD BIO"),"Biography",
IF(AND(D53="Teen Audiobook",LEFT(B53,11)="TEEN CD BIO"),"Biography",
IF(AND(D53="Juvenile Audiobook",LEFT(B53,8)="J CD BIO"),"Biography",
IF(AND(D53="Audiobook",LEFT(B53,6)="CD FIC"),"Audiobook Fiction",
IF(AND(D53="Teen Audiobook",LEFT(B53,11)="TEEN CD FIC"),"Teen Audiobook",
IF(AND(D53="Juvenile Audiobook",LEFT(B53,8)="J CD FIC"),"Juvenile Audiobook",
IF(D53="Audiobook","Nonfiction",
IF(D53="Juvenile Audiobook","Nonfiction",
IF(D53="Teen Audiobook","Nonfiction",
IF(D53="Juvenile Nonfiction","Nonfiction",
IF(D53="Teen Nonfiction","Nonfiction",
IF(D53="Juvenile Biography","Biography",
IF(D53="Teen Biography","Biography",
IF(D53="ESL","Nonfiction",
IF(LEFT(B53,11)="INTL-VIE J ","International Juvenile",IF(LEFT(B53,11)="INTL-TAG J ","International Juvenile",IF(LEFT(B53,11)="INTL-RUS J ","International Juvenile",IF(LEFT(B53,11)="INTL-KOR J ","International Juvenile",IF(LEFT(B53,11)="INTL-JAP J ","International Juvenile",IF(LEFT(B53,11)="INTL-CHI J ","International Juvenile",IF(LEFT(B53,11)="INTL-SPA J ","International Juvenile",IF(LEFT(B53,14)="INTL-VIE TEEN ","International Teen",IF(LEFT(B53,14)="INTL-TAG TEEN ","International Teen",IF(LEFT(B53,14)="INTL-RUS TEEN ","International Teen",IF(LEFT(B53,14)="INTL-KOR TEEN ","International Teen",IF(LEFT(B53,14)="INTL-JAP TEEN ","International Teen",IF(LEFT(B53,14)="INTL-CHI TEEN ","International Teen",IF(LEFT(B53,14)="INTL-SPA TEEN ","International Teen",IF(LEFT(B53,11)="INTL-VIE E ","International Easy",IF(LEFT(B53,11)="INTL-TAG E ","International Easy",IF(LEFT(B53,11)="INTL-RUS E ","International Easy",IF(LEFT(B53,11)="INTL-JAP E ","International Easy",IF(LEFT(B53,11)="INTL-KOR E ","International Easy",IF(LEFT(B53,11)="INTL-CHI E ","International Easy",IF(LEFT(B53,11)="INTL-SPA E ","International Easy",
IF(D53="Teen Large Type","Teen Fiction",
IF(D53="Juvenile Large Type","Juvenile Fiction",
IF(LEFT(B53,6)="J CD O","Juvenile Compact Disc",
IF(AND(LEFT(B53,4)="TEEN",D53="Fiction"),"Teen Fiction",
IF(D53="DVD Educational","Nonfiction",
IF(D53="Juvenile DVD Educational","Nonfiction",
IF(D53="Reference","Nonfiction",
D53))))))))))))))))))))))))))))))))))))))))))</f>
        <v>Reference Magazine</v>
      </c>
    </row>
    <row r="54" spans="1:14" ht="27" customHeight="1" x14ac:dyDescent="0.25">
      <c r="A54" s="10" t="str">
        <f ca="1">TEXT( INDIRECT( ADDRESS( ROW() + Row_Offset, INDIRECT( "Column_Number_" &amp; A$1), 4,1, tabname) ), "")</f>
        <v>In Library Use Only</v>
      </c>
      <c r="B54" s="10" t="str">
        <f ca="1">TEXT(  IFERROR( VLOOKUP( $D54, CollName_Simplifier_Table[], 2, FALSE),"") &amp;
        INDIRECT( ADDRESS( ROW() + Row_Offset, INDIRECT( "Column_Number_" &amp; $B$1), 4,1, tabname) ), "")</f>
        <v/>
      </c>
      <c r="C54" s="10" t="str">
        <f ca="1">TEXT( INDIRECT( ADDRESS( ROW() + Row_Offset, INDIRECT( "Column_Number_" &amp; C$1), 4,1, tabname) ), "")</f>
        <v>Taunton's fine cooking. Issue 130  (August/September 2014)</v>
      </c>
      <c r="D54" s="10" t="str">
        <f ca="1">TEXT( INDIRECT( ADDRESS( ROW() + Row_Offset, INDIRECT( "Column_Number_" &amp; D$1), 4,1, tabname) ), "")</f>
        <v>Magazine</v>
      </c>
      <c r="E54" s="10" t="str">
        <f ca="1">TEXT( INDIRECT( ADDRESS( ROW() + Row_Offset, INDIRECT( "Column_Number_" &amp; E$1), 4,1, tabname) ), "####")</f>
        <v>1994</v>
      </c>
      <c r="F54" s="15"/>
      <c r="G54" s="22">
        <f ca="1">IFERROR(INDEX(Rank_Table[],MATCH($D54&amp;$A54,Table4[Join],0)),"")</f>
        <v>168</v>
      </c>
      <c r="H54" s="11" t="str">
        <f ca="1">IF(AND(D54="Juvenile Audiobook",LEFT(B54,8)="J CD BIO"),RIGHT(B54,LEN(B54)-9),
IF(AND(D54="Juvenile Audiobook",LEFT(B54,8)="J CD FIC"),B54,
IF(D54="Juvenile Audiobook",RIGHT(B54,LEN(B54)-5),
IF(AND(D54="Teen Audiobook",LEFT(B54,11)="TEEN CD BIO"),RIGHT(B54,LEN(B54)-12),
IF(AND(D54="Teen Audiobook",LEFT(B54,11)="TEEN CD FIC"),B54,
IF(D54="Juvenile Audiobook",RIGHT(B54,LEN(B54)-8),
IF(D54="Juvenile Nonfiction",RIGHT(B54,LEN(B54)-2),
IF(D54="Teen Nonfiction",RIGHT(B54,LEN(B54)-5),
IF(AND(D54="Audiobook",
              NOT(OR(Contains($B54,"CD BIO"),Contains($B54,"CD FIC")))),RIGHT(B54,LEN(B54)-3),
IF(D54="Juvenile Biography",RIGHT(B54,LEN(B54)-2),
IF(D54="Teen Biography",RIGHT(B54,LEN(B54)-5),
IF(AND(D54="Audiobook",
              IFERROR(FIND("BIO",$B54)&gt;0,FALSE)),RIGHT(B54,LEN(B54)-3),
IF(D54="Juvenile Large Type","J "&amp;RIGHT(B54,LEN(B54)-11),
IF(D54="Teen Large Type","TEEN "&amp;RIGHT(B54,LEN(B54)-14),
IF(D54="Reference",RIGHT(B54,LEN(B54)-4),
IF(D54="DVD Educational",RIGHT(B54,LEN(B54)-7),
IF(D54="Juvenile DVD Educational",RIGHT(B54,LEN(B54)-9),
B54)))))))))))))))))</f>
        <v/>
      </c>
      <c r="N54" s="11" t="str">
        <f ca="1">IF(IFERROR(FIND("New",$A54)&gt;0,FALSE),"New ","") &amp; IF(IFERROR(FIND("In Lib",$A54)&gt;0,FALSE),"Reference ","") &amp;
IF(AND(D54="Audiobook",LEFT(B54,6)="CD BIO"),"Biography",
IF(AND(D54="Teen Audiobook",LEFT(B54,11)="TEEN CD BIO"),"Biography",
IF(AND(D54="Juvenile Audiobook",LEFT(B54,8)="J CD BIO"),"Biography",
IF(AND(D54="Audiobook",LEFT(B54,6)="CD FIC"),"Audiobook Fiction",
IF(AND(D54="Teen Audiobook",LEFT(B54,11)="TEEN CD FIC"),"Teen Audiobook",
IF(AND(D54="Juvenile Audiobook",LEFT(B54,8)="J CD FIC"),"Juvenile Audiobook",
IF(D54="Audiobook","Nonfiction",
IF(D54="Juvenile Audiobook","Nonfiction",
IF(D54="Teen Audiobook","Nonfiction",
IF(D54="Juvenile Nonfiction","Nonfiction",
IF(D54="Teen Nonfiction","Nonfiction",
IF(D54="Juvenile Biography","Biography",
IF(D54="Teen Biography","Biography",
IF(D54="ESL","Nonfiction",
IF(LEFT(B54,11)="INTL-VIE J ","International Juvenile",IF(LEFT(B54,11)="INTL-TAG J ","International Juvenile",IF(LEFT(B54,11)="INTL-RUS J ","International Juvenile",IF(LEFT(B54,11)="INTL-KOR J ","International Juvenile",IF(LEFT(B54,11)="INTL-JAP J ","International Juvenile",IF(LEFT(B54,11)="INTL-CHI J ","International Juvenile",IF(LEFT(B54,11)="INTL-SPA J ","International Juvenile",IF(LEFT(B54,14)="INTL-VIE TEEN ","International Teen",IF(LEFT(B54,14)="INTL-TAG TEEN ","International Teen",IF(LEFT(B54,14)="INTL-RUS TEEN ","International Teen",IF(LEFT(B54,14)="INTL-KOR TEEN ","International Teen",IF(LEFT(B54,14)="INTL-JAP TEEN ","International Teen",IF(LEFT(B54,14)="INTL-CHI TEEN ","International Teen",IF(LEFT(B54,14)="INTL-SPA TEEN ","International Teen",IF(LEFT(B54,11)="INTL-VIE E ","International Easy",IF(LEFT(B54,11)="INTL-TAG E ","International Easy",IF(LEFT(B54,11)="INTL-RUS E ","International Easy",IF(LEFT(B54,11)="INTL-JAP E ","International Easy",IF(LEFT(B54,11)="INTL-KOR E ","International Easy",IF(LEFT(B54,11)="INTL-CHI E ","International Easy",IF(LEFT(B54,11)="INTL-SPA E ","International Easy",
IF(D54="Teen Large Type","Teen Fiction",
IF(D54="Juvenile Large Type","Juvenile Fiction",
IF(LEFT(B54,6)="J CD O","Juvenile Compact Disc",
IF(AND(LEFT(B54,4)="TEEN",D54="Fiction"),"Teen Fiction",
IF(D54="DVD Educational","Nonfiction",
IF(D54="Juvenile DVD Educational","Nonfiction",
IF(D54="Reference","Nonfiction",
D54))))))))))))))))))))))))))))))))))))))))))</f>
        <v>Reference Magazine</v>
      </c>
    </row>
    <row r="55" spans="1:14" ht="27" customHeight="1" x14ac:dyDescent="0.25">
      <c r="A55" s="10" t="str">
        <f ca="1">TEXT( INDIRECT( ADDRESS( ROW() + Row_Offset, INDIRECT( "Column_Number_" &amp; A$1), 4,1, tabname) ), "")</f>
        <v>In Library Use Only</v>
      </c>
      <c r="B55" s="10" t="str">
        <f ca="1">TEXT(  IFERROR( VLOOKUP( $D55, CollName_Simplifier_Table[], 2, FALSE),"") &amp;
        INDIRECT( ADDRESS( ROW() + Row_Offset, INDIRECT( "Column_Number_" &amp; $B$1), 4,1, tabname) ), "")</f>
        <v/>
      </c>
      <c r="C55" s="10" t="str">
        <f ca="1">TEXT( INDIRECT( ADDRESS( ROW() + Row_Offset, INDIRECT( "Column_Number_" &amp; C$1), 4,1, tabname) ), "")</f>
        <v>Puget Sound consumers' checkbook. v. 5 no. 4  (Spring/Summer 2014)</v>
      </c>
      <c r="D55" s="10" t="str">
        <f ca="1">TEXT( INDIRECT( ADDRESS( ROW() + Row_Offset, INDIRECT( "Column_Number_" &amp; D$1), 4,1, tabname) ), "")</f>
        <v>Magazine</v>
      </c>
      <c r="E55" s="10" t="str">
        <f ca="1">TEXT( INDIRECT( ADDRESS( ROW() + Row_Offset, INDIRECT( "Column_Number_" &amp; E$1), 4,1, tabname) ), "####")</f>
        <v>2003</v>
      </c>
      <c r="F55" s="15"/>
      <c r="G55" s="22">
        <f ca="1">IFERROR(INDEX(Rank_Table[],MATCH($D55&amp;$A55,Table4[Join],0)),"")</f>
        <v>168</v>
      </c>
      <c r="H55" s="11" t="str">
        <f ca="1">IF(AND(D55="Juvenile Audiobook",LEFT(B55,8)="J CD BIO"),RIGHT(B55,LEN(B55)-9),
IF(AND(D55="Juvenile Audiobook",LEFT(B55,8)="J CD FIC"),B55,
IF(D55="Juvenile Audiobook",RIGHT(B55,LEN(B55)-5),
IF(AND(D55="Teen Audiobook",LEFT(B55,11)="TEEN CD BIO"),RIGHT(B55,LEN(B55)-12),
IF(AND(D55="Teen Audiobook",LEFT(B55,11)="TEEN CD FIC"),B55,
IF(D55="Juvenile Audiobook",RIGHT(B55,LEN(B55)-8),
IF(D55="Juvenile Nonfiction",RIGHT(B55,LEN(B55)-2),
IF(D55="Teen Nonfiction",RIGHT(B55,LEN(B55)-5),
IF(AND(D55="Audiobook",
              NOT(OR(Contains($B55,"CD BIO"),Contains($B55,"CD FIC")))),RIGHT(B55,LEN(B55)-3),
IF(D55="Juvenile Biography",RIGHT(B55,LEN(B55)-2),
IF(D55="Teen Biography",RIGHT(B55,LEN(B55)-5),
IF(AND(D55="Audiobook",
              IFERROR(FIND("BIO",$B55)&gt;0,FALSE)),RIGHT(B55,LEN(B55)-3),
IF(D55="Juvenile Large Type","J "&amp;RIGHT(B55,LEN(B55)-11),
IF(D55="Teen Large Type","TEEN "&amp;RIGHT(B55,LEN(B55)-14),
IF(D55="Reference",RIGHT(B55,LEN(B55)-4),
IF(D55="DVD Educational",RIGHT(B55,LEN(B55)-7),
IF(D55="Juvenile DVD Educational",RIGHT(B55,LEN(B55)-9),
B55)))))))))))))))))</f>
        <v/>
      </c>
      <c r="N55" s="11" t="str">
        <f ca="1">IF(IFERROR(FIND("New",$A55)&gt;0,FALSE),"New ","") &amp; IF(IFERROR(FIND("In Lib",$A55)&gt;0,FALSE),"Reference ","") &amp;
IF(AND(D55="Audiobook",LEFT(B55,6)="CD BIO"),"Biography",
IF(AND(D55="Teen Audiobook",LEFT(B55,11)="TEEN CD BIO"),"Biography",
IF(AND(D55="Juvenile Audiobook",LEFT(B55,8)="J CD BIO"),"Biography",
IF(AND(D55="Audiobook",LEFT(B55,6)="CD FIC"),"Audiobook Fiction",
IF(AND(D55="Teen Audiobook",LEFT(B55,11)="TEEN CD FIC"),"Teen Audiobook",
IF(AND(D55="Juvenile Audiobook",LEFT(B55,8)="J CD FIC"),"Juvenile Audiobook",
IF(D55="Audiobook","Nonfiction",
IF(D55="Juvenile Audiobook","Nonfiction",
IF(D55="Teen Audiobook","Nonfiction",
IF(D55="Juvenile Nonfiction","Nonfiction",
IF(D55="Teen Nonfiction","Nonfiction",
IF(D55="Juvenile Biography","Biography",
IF(D55="Teen Biography","Biography",
IF(D55="ESL","Nonfiction",
IF(LEFT(B55,11)="INTL-VIE J ","International Juvenile",IF(LEFT(B55,11)="INTL-TAG J ","International Juvenile",IF(LEFT(B55,11)="INTL-RUS J ","International Juvenile",IF(LEFT(B55,11)="INTL-KOR J ","International Juvenile",IF(LEFT(B55,11)="INTL-JAP J ","International Juvenile",IF(LEFT(B55,11)="INTL-CHI J ","International Juvenile",IF(LEFT(B55,11)="INTL-SPA J ","International Juvenile",IF(LEFT(B55,14)="INTL-VIE TEEN ","International Teen",IF(LEFT(B55,14)="INTL-TAG TEEN ","International Teen",IF(LEFT(B55,14)="INTL-RUS TEEN ","International Teen",IF(LEFT(B55,14)="INTL-KOR TEEN ","International Teen",IF(LEFT(B55,14)="INTL-JAP TEEN ","International Teen",IF(LEFT(B55,14)="INTL-CHI TEEN ","International Teen",IF(LEFT(B55,14)="INTL-SPA TEEN ","International Teen",IF(LEFT(B55,11)="INTL-VIE E ","International Easy",IF(LEFT(B55,11)="INTL-TAG E ","International Easy",IF(LEFT(B55,11)="INTL-RUS E ","International Easy",IF(LEFT(B55,11)="INTL-JAP E ","International Easy",IF(LEFT(B55,11)="INTL-KOR E ","International Easy",IF(LEFT(B55,11)="INTL-CHI E ","International Easy",IF(LEFT(B55,11)="INTL-SPA E ","International Easy",
IF(D55="Teen Large Type","Teen Fiction",
IF(D55="Juvenile Large Type","Juvenile Fiction",
IF(LEFT(B55,6)="J CD O","Juvenile Compact Disc",
IF(AND(LEFT(B55,4)="TEEN",D55="Fiction"),"Teen Fiction",
IF(D55="DVD Educational","Nonfiction",
IF(D55="Juvenile DVD Educational","Nonfiction",
IF(D55="Reference","Nonfiction",
D55))))))))))))))))))))))))))))))))))))))))))</f>
        <v>Reference Magazine</v>
      </c>
    </row>
    <row r="56" spans="1:14" ht="27" customHeight="1" x14ac:dyDescent="0.25">
      <c r="A56" s="10" t="str">
        <f ca="1">TEXT( INDIRECT( ADDRESS( ROW() + Row_Offset, INDIRECT( "Column_Number_" &amp; A$1), 4,1, tabname) ), "")</f>
        <v>In Library Use Only</v>
      </c>
      <c r="B56" s="10" t="str">
        <f ca="1">TEXT(  IFERROR( VLOOKUP( $D56, CollName_Simplifier_Table[], 2, FALSE),"") &amp;
        INDIRECT( ADDRESS( ROW() + Row_Offset, INDIRECT( "Column_Number_" &amp; $B$1), 4,1, tabname) ), "")</f>
        <v/>
      </c>
      <c r="C56" s="10" t="str">
        <f ca="1">TEXT( INDIRECT( ADDRESS( ROW() + Row_Offset, INDIRECT( "Column_Number_" &amp; C$1), 4,1, tabname) ), "")</f>
        <v>Beadwork. v. 17 no. 5  (Aug./Sep. 2014)</v>
      </c>
      <c r="D56" s="10" t="str">
        <f ca="1">TEXT( INDIRECT( ADDRESS( ROW() + Row_Offset, INDIRECT( "Column_Number_" &amp; D$1), 4,1, tabname) ), "")</f>
        <v>Magazine</v>
      </c>
      <c r="E56" s="10" t="str">
        <f ca="1">TEXT( INDIRECT( ADDRESS( ROW() + Row_Offset, INDIRECT( "Column_Number_" &amp; E$1), 4,1, tabname) ), "####")</f>
        <v>1998</v>
      </c>
      <c r="F56" s="15"/>
      <c r="G56" s="22">
        <f ca="1">IFERROR(INDEX(Rank_Table[],MATCH($D56&amp;$A56,Table4[Join],0)),"")</f>
        <v>168</v>
      </c>
      <c r="H56" s="11" t="str">
        <f ca="1">IF(AND(D56="Juvenile Audiobook",LEFT(B56,8)="J CD BIO"),RIGHT(B56,LEN(B56)-9),
IF(AND(D56="Juvenile Audiobook",LEFT(B56,8)="J CD FIC"),B56,
IF(D56="Juvenile Audiobook",RIGHT(B56,LEN(B56)-5),
IF(AND(D56="Teen Audiobook",LEFT(B56,11)="TEEN CD BIO"),RIGHT(B56,LEN(B56)-12),
IF(AND(D56="Teen Audiobook",LEFT(B56,11)="TEEN CD FIC"),B56,
IF(D56="Juvenile Audiobook",RIGHT(B56,LEN(B56)-8),
IF(D56="Juvenile Nonfiction",RIGHT(B56,LEN(B56)-2),
IF(D56="Teen Nonfiction",RIGHT(B56,LEN(B56)-5),
IF(AND(D56="Audiobook",
              NOT(OR(Contains($B56,"CD BIO"),Contains($B56,"CD FIC")))),RIGHT(B56,LEN(B56)-3),
IF(D56="Juvenile Biography",RIGHT(B56,LEN(B56)-2),
IF(D56="Teen Biography",RIGHT(B56,LEN(B56)-5),
IF(AND(D56="Audiobook",
              IFERROR(FIND("BIO",$B56)&gt;0,FALSE)),RIGHT(B56,LEN(B56)-3),
IF(D56="Juvenile Large Type","J "&amp;RIGHT(B56,LEN(B56)-11),
IF(D56="Teen Large Type","TEEN "&amp;RIGHT(B56,LEN(B56)-14),
IF(D56="Reference",RIGHT(B56,LEN(B56)-4),
IF(D56="DVD Educational",RIGHT(B56,LEN(B56)-7),
IF(D56="Juvenile DVD Educational",RIGHT(B56,LEN(B56)-9),
B56)))))))))))))))))</f>
        <v/>
      </c>
      <c r="N56" s="11" t="str">
        <f ca="1">IF(IFERROR(FIND("New",$A56)&gt;0,FALSE),"New ","") &amp; IF(IFERROR(FIND("In Lib",$A56)&gt;0,FALSE),"Reference ","") &amp;
IF(AND(D56="Audiobook",LEFT(B56,6)="CD BIO"),"Biography",
IF(AND(D56="Teen Audiobook",LEFT(B56,11)="TEEN CD BIO"),"Biography",
IF(AND(D56="Juvenile Audiobook",LEFT(B56,8)="J CD BIO"),"Biography",
IF(AND(D56="Audiobook",LEFT(B56,6)="CD FIC"),"Audiobook Fiction",
IF(AND(D56="Teen Audiobook",LEFT(B56,11)="TEEN CD FIC"),"Teen Audiobook",
IF(AND(D56="Juvenile Audiobook",LEFT(B56,8)="J CD FIC"),"Juvenile Audiobook",
IF(D56="Audiobook","Nonfiction",
IF(D56="Juvenile Audiobook","Nonfiction",
IF(D56="Teen Audiobook","Nonfiction",
IF(D56="Juvenile Nonfiction","Nonfiction",
IF(D56="Teen Nonfiction","Nonfiction",
IF(D56="Juvenile Biography","Biography",
IF(D56="Teen Biography","Biography",
IF(D56="ESL","Nonfiction",
IF(LEFT(B56,11)="INTL-VIE J ","International Juvenile",IF(LEFT(B56,11)="INTL-TAG J ","International Juvenile",IF(LEFT(B56,11)="INTL-RUS J ","International Juvenile",IF(LEFT(B56,11)="INTL-KOR J ","International Juvenile",IF(LEFT(B56,11)="INTL-JAP J ","International Juvenile",IF(LEFT(B56,11)="INTL-CHI J ","International Juvenile",IF(LEFT(B56,11)="INTL-SPA J ","International Juvenile",IF(LEFT(B56,14)="INTL-VIE TEEN ","International Teen",IF(LEFT(B56,14)="INTL-TAG TEEN ","International Teen",IF(LEFT(B56,14)="INTL-RUS TEEN ","International Teen",IF(LEFT(B56,14)="INTL-KOR TEEN ","International Teen",IF(LEFT(B56,14)="INTL-JAP TEEN ","International Teen",IF(LEFT(B56,14)="INTL-CHI TEEN ","International Teen",IF(LEFT(B56,14)="INTL-SPA TEEN ","International Teen",IF(LEFT(B56,11)="INTL-VIE E ","International Easy",IF(LEFT(B56,11)="INTL-TAG E ","International Easy",IF(LEFT(B56,11)="INTL-RUS E ","International Easy",IF(LEFT(B56,11)="INTL-JAP E ","International Easy",IF(LEFT(B56,11)="INTL-KOR E ","International Easy",IF(LEFT(B56,11)="INTL-CHI E ","International Easy",IF(LEFT(B56,11)="INTL-SPA E ","International Easy",
IF(D56="Teen Large Type","Teen Fiction",
IF(D56="Juvenile Large Type","Juvenile Fiction",
IF(LEFT(B56,6)="J CD O","Juvenile Compact Disc",
IF(AND(LEFT(B56,4)="TEEN",D56="Fiction"),"Teen Fiction",
IF(D56="DVD Educational","Nonfiction",
IF(D56="Juvenile DVD Educational","Nonfiction",
IF(D56="Reference","Nonfiction",
D56))))))))))))))))))))))))))))))))))))))))))</f>
        <v>Reference Magazine</v>
      </c>
    </row>
    <row r="57" spans="1:14" ht="27" customHeight="1" x14ac:dyDescent="0.25">
      <c r="A57" s="10" t="str">
        <f ca="1">TEXT( INDIRECT( ADDRESS( ROW() + Row_Offset, INDIRECT( "Column_Number_" &amp; A$1), 4,1, tabname) ), "")</f>
        <v>In Library Use Only</v>
      </c>
      <c r="B57" s="10" t="str">
        <f ca="1">TEXT(  IFERROR( VLOOKUP( $D57, CollName_Simplifier_Table[], 2, FALSE),"") &amp;
        INDIRECT( ADDRESS( ROW() + Row_Offset, INDIRECT( "Column_Number_" &amp; $B$1), 4,1, tabname) ), "")</f>
        <v/>
      </c>
      <c r="C57" s="10" t="str">
        <f ca="1">TEXT( INDIRECT( ADDRESS( ROW() + Row_Offset, INDIRECT( "Column_Number_" &amp; C$1), 4,1, tabname) ), "")</f>
        <v>Discover Britain. no. 177  (July/Aug. 2014)</v>
      </c>
      <c r="D57" s="10" t="str">
        <f ca="1">TEXT( INDIRECT( ADDRESS( ROW() + Row_Offset, INDIRECT( "Column_Number_" &amp; D$1), 4,1, tabname) ), "")</f>
        <v>Magazine</v>
      </c>
      <c r="E57" s="10" t="str">
        <f ca="1">TEXT( INDIRECT( ADDRESS( ROW() + Row_Offset, INDIRECT( "Column_Number_" &amp; E$1), 4,1, tabname) ), "####")</f>
        <v>2011</v>
      </c>
      <c r="F57" s="15"/>
      <c r="G57" s="22">
        <f ca="1">IFERROR(INDEX(Rank_Table[],MATCH($D57&amp;$A57,Table4[Join],0)),"")</f>
        <v>168</v>
      </c>
      <c r="H57" s="11" t="str">
        <f ca="1">IF(AND(D57="Juvenile Audiobook",LEFT(B57,8)="J CD BIO"),RIGHT(B57,LEN(B57)-9),
IF(AND(D57="Juvenile Audiobook",LEFT(B57,8)="J CD FIC"),B57,
IF(D57="Juvenile Audiobook",RIGHT(B57,LEN(B57)-5),
IF(AND(D57="Teen Audiobook",LEFT(B57,11)="TEEN CD BIO"),RIGHT(B57,LEN(B57)-12),
IF(AND(D57="Teen Audiobook",LEFT(B57,11)="TEEN CD FIC"),B57,
IF(D57="Juvenile Audiobook",RIGHT(B57,LEN(B57)-8),
IF(D57="Juvenile Nonfiction",RIGHT(B57,LEN(B57)-2),
IF(D57="Teen Nonfiction",RIGHT(B57,LEN(B57)-5),
IF(AND(D57="Audiobook",
              NOT(OR(Contains($B57,"CD BIO"),Contains($B57,"CD FIC")))),RIGHT(B57,LEN(B57)-3),
IF(D57="Juvenile Biography",RIGHT(B57,LEN(B57)-2),
IF(D57="Teen Biography",RIGHT(B57,LEN(B57)-5),
IF(AND(D57="Audiobook",
              IFERROR(FIND("BIO",$B57)&gt;0,FALSE)),RIGHT(B57,LEN(B57)-3),
IF(D57="Juvenile Large Type","J "&amp;RIGHT(B57,LEN(B57)-11),
IF(D57="Teen Large Type","TEEN "&amp;RIGHT(B57,LEN(B57)-14),
IF(D57="Reference",RIGHT(B57,LEN(B57)-4),
IF(D57="DVD Educational",RIGHT(B57,LEN(B57)-7),
IF(D57="Juvenile DVD Educational",RIGHT(B57,LEN(B57)-9),
B57)))))))))))))))))</f>
        <v/>
      </c>
      <c r="N57" s="11" t="str">
        <f ca="1">IF(IFERROR(FIND("New",$A57)&gt;0,FALSE),"New ","") &amp; IF(IFERROR(FIND("In Lib",$A57)&gt;0,FALSE),"Reference ","") &amp;
IF(AND(D57="Audiobook",LEFT(B57,6)="CD BIO"),"Biography",
IF(AND(D57="Teen Audiobook",LEFT(B57,11)="TEEN CD BIO"),"Biography",
IF(AND(D57="Juvenile Audiobook",LEFT(B57,8)="J CD BIO"),"Biography",
IF(AND(D57="Audiobook",LEFT(B57,6)="CD FIC"),"Audiobook Fiction",
IF(AND(D57="Teen Audiobook",LEFT(B57,11)="TEEN CD FIC"),"Teen Audiobook",
IF(AND(D57="Juvenile Audiobook",LEFT(B57,8)="J CD FIC"),"Juvenile Audiobook",
IF(D57="Audiobook","Nonfiction",
IF(D57="Juvenile Audiobook","Nonfiction",
IF(D57="Teen Audiobook","Nonfiction",
IF(D57="Juvenile Nonfiction","Nonfiction",
IF(D57="Teen Nonfiction","Nonfiction",
IF(D57="Juvenile Biography","Biography",
IF(D57="Teen Biography","Biography",
IF(D57="ESL","Nonfiction",
IF(LEFT(B57,11)="INTL-VIE J ","International Juvenile",IF(LEFT(B57,11)="INTL-TAG J ","International Juvenile",IF(LEFT(B57,11)="INTL-RUS J ","International Juvenile",IF(LEFT(B57,11)="INTL-KOR J ","International Juvenile",IF(LEFT(B57,11)="INTL-JAP J ","International Juvenile",IF(LEFT(B57,11)="INTL-CHI J ","International Juvenile",IF(LEFT(B57,11)="INTL-SPA J ","International Juvenile",IF(LEFT(B57,14)="INTL-VIE TEEN ","International Teen",IF(LEFT(B57,14)="INTL-TAG TEEN ","International Teen",IF(LEFT(B57,14)="INTL-RUS TEEN ","International Teen",IF(LEFT(B57,14)="INTL-KOR TEEN ","International Teen",IF(LEFT(B57,14)="INTL-JAP TEEN ","International Teen",IF(LEFT(B57,14)="INTL-CHI TEEN ","International Teen",IF(LEFT(B57,14)="INTL-SPA TEEN ","International Teen",IF(LEFT(B57,11)="INTL-VIE E ","International Easy",IF(LEFT(B57,11)="INTL-TAG E ","International Easy",IF(LEFT(B57,11)="INTL-RUS E ","International Easy",IF(LEFT(B57,11)="INTL-JAP E ","International Easy",IF(LEFT(B57,11)="INTL-KOR E ","International Easy",IF(LEFT(B57,11)="INTL-CHI E ","International Easy",IF(LEFT(B57,11)="INTL-SPA E ","International Easy",
IF(D57="Teen Large Type","Teen Fiction",
IF(D57="Juvenile Large Type","Juvenile Fiction",
IF(LEFT(B57,6)="J CD O","Juvenile Compact Disc",
IF(AND(LEFT(B57,4)="TEEN",D57="Fiction"),"Teen Fiction",
IF(D57="DVD Educational","Nonfiction",
IF(D57="Juvenile DVD Educational","Nonfiction",
IF(D57="Reference","Nonfiction",
D57))))))))))))))))))))))))))))))))))))))))))</f>
        <v>Reference Magazine</v>
      </c>
    </row>
    <row r="58" spans="1:14" ht="27" customHeight="1" x14ac:dyDescent="0.25">
      <c r="A58" s="10" t="str">
        <f ca="1">TEXT( INDIRECT( ADDRESS( ROW() + Row_Offset, INDIRECT( "Column_Number_" &amp; A$1), 4,1, tabname) ), "")</f>
        <v>In Library Use Only</v>
      </c>
      <c r="B58" s="10" t="str">
        <f ca="1">TEXT(  IFERROR( VLOOKUP( $D58, CollName_Simplifier_Table[], 2, FALSE),"") &amp;
        INDIRECT( ADDRESS( ROW() + Row_Offset, INDIRECT( "Column_Number_" &amp; $B$1), 4,1, tabname) ), "")</f>
        <v/>
      </c>
      <c r="C58" s="10" t="str">
        <f ca="1">TEXT( INDIRECT( ADDRESS( ROW() + Row_Offset, INDIRECT( "Column_Number_" &amp; C$1), 4,1, tabname) ), "")</f>
        <v>Vogue. Vol. 204 No. 8  (Aug. 2014)</v>
      </c>
      <c r="D58" s="10" t="str">
        <f ca="1">TEXT( INDIRECT( ADDRESS( ROW() + Row_Offset, INDIRECT( "Column_Number_" &amp; D$1), 4,1, tabname) ), "")</f>
        <v>Magazine</v>
      </c>
      <c r="E58" s="10" t="str">
        <f ca="1">TEXT( INDIRECT( ADDRESS( ROW() + Row_Offset, INDIRECT( "Column_Number_" &amp; E$1), 4,1, tabname) ), "####")</f>
        <v>1892</v>
      </c>
      <c r="F58" s="15"/>
      <c r="G58" s="22">
        <f ca="1">IFERROR(INDEX(Rank_Table[],MATCH($D58&amp;$A58,Table4[Join],0)),"")</f>
        <v>168</v>
      </c>
      <c r="H58" s="11" t="str">
        <f ca="1">IF(AND(D58="Juvenile Audiobook",LEFT(B58,8)="J CD BIO"),RIGHT(B58,LEN(B58)-9),
IF(AND(D58="Juvenile Audiobook",LEFT(B58,8)="J CD FIC"),B58,
IF(D58="Juvenile Audiobook",RIGHT(B58,LEN(B58)-5),
IF(AND(D58="Teen Audiobook",LEFT(B58,11)="TEEN CD BIO"),RIGHT(B58,LEN(B58)-12),
IF(AND(D58="Teen Audiobook",LEFT(B58,11)="TEEN CD FIC"),B58,
IF(D58="Juvenile Audiobook",RIGHT(B58,LEN(B58)-8),
IF(D58="Juvenile Nonfiction",RIGHT(B58,LEN(B58)-2),
IF(D58="Teen Nonfiction",RIGHT(B58,LEN(B58)-5),
IF(AND(D58="Audiobook",
              NOT(OR(Contains($B58,"CD BIO"),Contains($B58,"CD FIC")))),RIGHT(B58,LEN(B58)-3),
IF(D58="Juvenile Biography",RIGHT(B58,LEN(B58)-2),
IF(D58="Teen Biography",RIGHT(B58,LEN(B58)-5),
IF(AND(D58="Audiobook",
              IFERROR(FIND("BIO",$B58)&gt;0,FALSE)),RIGHT(B58,LEN(B58)-3),
IF(D58="Juvenile Large Type","J "&amp;RIGHT(B58,LEN(B58)-11),
IF(D58="Teen Large Type","TEEN "&amp;RIGHT(B58,LEN(B58)-14),
IF(D58="Reference",RIGHT(B58,LEN(B58)-4),
IF(D58="DVD Educational",RIGHT(B58,LEN(B58)-7),
IF(D58="Juvenile DVD Educational",RIGHT(B58,LEN(B58)-9),
B58)))))))))))))))))</f>
        <v/>
      </c>
      <c r="N58" s="11" t="str">
        <f ca="1">IF(IFERROR(FIND("New",$A58)&gt;0,FALSE),"New ","") &amp; IF(IFERROR(FIND("In Lib",$A58)&gt;0,FALSE),"Reference ","") &amp;
IF(AND(D58="Audiobook",LEFT(B58,6)="CD BIO"),"Biography",
IF(AND(D58="Teen Audiobook",LEFT(B58,11)="TEEN CD BIO"),"Biography",
IF(AND(D58="Juvenile Audiobook",LEFT(B58,8)="J CD BIO"),"Biography",
IF(AND(D58="Audiobook",LEFT(B58,6)="CD FIC"),"Audiobook Fiction",
IF(AND(D58="Teen Audiobook",LEFT(B58,11)="TEEN CD FIC"),"Teen Audiobook",
IF(AND(D58="Juvenile Audiobook",LEFT(B58,8)="J CD FIC"),"Juvenile Audiobook",
IF(D58="Audiobook","Nonfiction",
IF(D58="Juvenile Audiobook","Nonfiction",
IF(D58="Teen Audiobook","Nonfiction",
IF(D58="Juvenile Nonfiction","Nonfiction",
IF(D58="Teen Nonfiction","Nonfiction",
IF(D58="Juvenile Biography","Biography",
IF(D58="Teen Biography","Biography",
IF(D58="ESL","Nonfiction",
IF(LEFT(B58,11)="INTL-VIE J ","International Juvenile",IF(LEFT(B58,11)="INTL-TAG J ","International Juvenile",IF(LEFT(B58,11)="INTL-RUS J ","International Juvenile",IF(LEFT(B58,11)="INTL-KOR J ","International Juvenile",IF(LEFT(B58,11)="INTL-JAP J ","International Juvenile",IF(LEFT(B58,11)="INTL-CHI J ","International Juvenile",IF(LEFT(B58,11)="INTL-SPA J ","International Juvenile",IF(LEFT(B58,14)="INTL-VIE TEEN ","International Teen",IF(LEFT(B58,14)="INTL-TAG TEEN ","International Teen",IF(LEFT(B58,14)="INTL-RUS TEEN ","International Teen",IF(LEFT(B58,14)="INTL-KOR TEEN ","International Teen",IF(LEFT(B58,14)="INTL-JAP TEEN ","International Teen",IF(LEFT(B58,14)="INTL-CHI TEEN ","International Teen",IF(LEFT(B58,14)="INTL-SPA TEEN ","International Teen",IF(LEFT(B58,11)="INTL-VIE E ","International Easy",IF(LEFT(B58,11)="INTL-TAG E ","International Easy",IF(LEFT(B58,11)="INTL-RUS E ","International Easy",IF(LEFT(B58,11)="INTL-JAP E ","International Easy",IF(LEFT(B58,11)="INTL-KOR E ","International Easy",IF(LEFT(B58,11)="INTL-CHI E ","International Easy",IF(LEFT(B58,11)="INTL-SPA E ","International Easy",
IF(D58="Teen Large Type","Teen Fiction",
IF(D58="Juvenile Large Type","Juvenile Fiction",
IF(LEFT(B58,6)="J CD O","Juvenile Compact Disc",
IF(AND(LEFT(B58,4)="TEEN",D58="Fiction"),"Teen Fiction",
IF(D58="DVD Educational","Nonfiction",
IF(D58="Juvenile DVD Educational","Nonfiction",
IF(D58="Reference","Nonfiction",
D58))))))))))))))))))))))))))))))))))))))))))</f>
        <v>Reference Magazine</v>
      </c>
    </row>
    <row r="59" spans="1:14" ht="27" customHeight="1" x14ac:dyDescent="0.25">
      <c r="A59" s="10" t="str">
        <f ca="1">TEXT( INDIRECT( ADDRESS( ROW() + Row_Offset, INDIRECT( "Column_Number_" &amp; A$1), 4,1, tabname) ), "")</f>
        <v>In Library Use Only</v>
      </c>
      <c r="B59" s="10" t="str">
        <f ca="1">TEXT(  IFERROR( VLOOKUP( $D59, CollName_Simplifier_Table[], 2, FALSE),"") &amp;
        INDIRECT( ADDRESS( ROW() + Row_Offset, INDIRECT( "Column_Number_" &amp; $B$1), 4,1, tabname) ), "")</f>
        <v/>
      </c>
      <c r="C59" s="10" t="str">
        <f ca="1">TEXT( INDIRECT( ADDRESS( ROW() + Row_Offset, INDIRECT( "Column_Number_" &amp; C$1), 4,1, tabname) ), "")</f>
        <v>Northwest fly fishing. v. 16 no. 4  (July/Aug. 2014)</v>
      </c>
      <c r="D59" s="10" t="str">
        <f ca="1">TEXT( INDIRECT( ADDRESS( ROW() + Row_Offset, INDIRECT( "Column_Number_" &amp; D$1), 4,1, tabname) ), "")</f>
        <v>Magazine</v>
      </c>
      <c r="E59" s="10" t="str">
        <f ca="1">TEXT( INDIRECT( ADDRESS( ROW() + Row_Offset, INDIRECT( "Column_Number_" &amp; E$1), 4,1, tabname) ), "####")</f>
        <v/>
      </c>
      <c r="F59" s="15"/>
      <c r="G59" s="22">
        <f ca="1">IFERROR(INDEX(Rank_Table[],MATCH($D59&amp;$A59,Table4[Join],0)),"")</f>
        <v>168</v>
      </c>
      <c r="H59" s="11" t="str">
        <f ca="1">IF(AND(D59="Juvenile Audiobook",LEFT(B59,8)="J CD BIO"),RIGHT(B59,LEN(B59)-9),
IF(AND(D59="Juvenile Audiobook",LEFT(B59,8)="J CD FIC"),B59,
IF(D59="Juvenile Audiobook",RIGHT(B59,LEN(B59)-5),
IF(AND(D59="Teen Audiobook",LEFT(B59,11)="TEEN CD BIO"),RIGHT(B59,LEN(B59)-12),
IF(AND(D59="Teen Audiobook",LEFT(B59,11)="TEEN CD FIC"),B59,
IF(D59="Juvenile Audiobook",RIGHT(B59,LEN(B59)-8),
IF(D59="Juvenile Nonfiction",RIGHT(B59,LEN(B59)-2),
IF(D59="Teen Nonfiction",RIGHT(B59,LEN(B59)-5),
IF(AND(D59="Audiobook",
              NOT(OR(Contains($B59,"CD BIO"),Contains($B59,"CD FIC")))),RIGHT(B59,LEN(B59)-3),
IF(D59="Juvenile Biography",RIGHT(B59,LEN(B59)-2),
IF(D59="Teen Biography",RIGHT(B59,LEN(B59)-5),
IF(AND(D59="Audiobook",
              IFERROR(FIND("BIO",$B59)&gt;0,FALSE)),RIGHT(B59,LEN(B59)-3),
IF(D59="Juvenile Large Type","J "&amp;RIGHT(B59,LEN(B59)-11),
IF(D59="Teen Large Type","TEEN "&amp;RIGHT(B59,LEN(B59)-14),
IF(D59="Reference",RIGHT(B59,LEN(B59)-4),
IF(D59="DVD Educational",RIGHT(B59,LEN(B59)-7),
IF(D59="Juvenile DVD Educational",RIGHT(B59,LEN(B59)-9),
B59)))))))))))))))))</f>
        <v/>
      </c>
      <c r="N59" s="11" t="str">
        <f ca="1">IF(IFERROR(FIND("New",$A59)&gt;0,FALSE),"New ","") &amp; IF(IFERROR(FIND("In Lib",$A59)&gt;0,FALSE),"Reference ","") &amp;
IF(AND(D59="Audiobook",LEFT(B59,6)="CD BIO"),"Biography",
IF(AND(D59="Teen Audiobook",LEFT(B59,11)="TEEN CD BIO"),"Biography",
IF(AND(D59="Juvenile Audiobook",LEFT(B59,8)="J CD BIO"),"Biography",
IF(AND(D59="Audiobook",LEFT(B59,6)="CD FIC"),"Audiobook Fiction",
IF(AND(D59="Teen Audiobook",LEFT(B59,11)="TEEN CD FIC"),"Teen Audiobook",
IF(AND(D59="Juvenile Audiobook",LEFT(B59,8)="J CD FIC"),"Juvenile Audiobook",
IF(D59="Audiobook","Nonfiction",
IF(D59="Juvenile Audiobook","Nonfiction",
IF(D59="Teen Audiobook","Nonfiction",
IF(D59="Juvenile Nonfiction","Nonfiction",
IF(D59="Teen Nonfiction","Nonfiction",
IF(D59="Juvenile Biography","Biography",
IF(D59="Teen Biography","Biography",
IF(D59="ESL","Nonfiction",
IF(LEFT(B59,11)="INTL-VIE J ","International Juvenile",IF(LEFT(B59,11)="INTL-TAG J ","International Juvenile",IF(LEFT(B59,11)="INTL-RUS J ","International Juvenile",IF(LEFT(B59,11)="INTL-KOR J ","International Juvenile",IF(LEFT(B59,11)="INTL-JAP J ","International Juvenile",IF(LEFT(B59,11)="INTL-CHI J ","International Juvenile",IF(LEFT(B59,11)="INTL-SPA J ","International Juvenile",IF(LEFT(B59,14)="INTL-VIE TEEN ","International Teen",IF(LEFT(B59,14)="INTL-TAG TEEN ","International Teen",IF(LEFT(B59,14)="INTL-RUS TEEN ","International Teen",IF(LEFT(B59,14)="INTL-KOR TEEN ","International Teen",IF(LEFT(B59,14)="INTL-JAP TEEN ","International Teen",IF(LEFT(B59,14)="INTL-CHI TEEN ","International Teen",IF(LEFT(B59,14)="INTL-SPA TEEN ","International Teen",IF(LEFT(B59,11)="INTL-VIE E ","International Easy",IF(LEFT(B59,11)="INTL-TAG E ","International Easy",IF(LEFT(B59,11)="INTL-RUS E ","International Easy",IF(LEFT(B59,11)="INTL-JAP E ","International Easy",IF(LEFT(B59,11)="INTL-KOR E ","International Easy",IF(LEFT(B59,11)="INTL-CHI E ","International Easy",IF(LEFT(B59,11)="INTL-SPA E ","International Easy",
IF(D59="Teen Large Type","Teen Fiction",
IF(D59="Juvenile Large Type","Juvenile Fiction",
IF(LEFT(B59,6)="J CD O","Juvenile Compact Disc",
IF(AND(LEFT(B59,4)="TEEN",D59="Fiction"),"Teen Fiction",
IF(D59="DVD Educational","Nonfiction",
IF(D59="Juvenile DVD Educational","Nonfiction",
IF(D59="Reference","Nonfiction",
D59))))))))))))))))))))))))))))))))))))))))))</f>
        <v>Reference Magazine</v>
      </c>
    </row>
    <row r="60" spans="1:14" ht="27" customHeight="1" x14ac:dyDescent="0.25">
      <c r="A60" s="10" t="str">
        <f ca="1">TEXT( INDIRECT( ADDRESS( ROW() + Row_Offset, INDIRECT( "Column_Number_" &amp; A$1), 4,1, tabname) ), "")</f>
        <v>In Library Use Only</v>
      </c>
      <c r="B60" s="10" t="str">
        <f ca="1">TEXT(  IFERROR( VLOOKUP( $D60, CollName_Simplifier_Table[], 2, FALSE),"") &amp;
        INDIRECT( ADDRESS( ROW() + Row_Offset, INDIRECT( "Column_Number_" &amp; $B$1), 4,1, tabname) ), "")</f>
        <v/>
      </c>
      <c r="C60" s="10" t="str">
        <f ca="1">TEXT( INDIRECT( ADDRESS( ROW() + Row_Offset, INDIRECT( "Column_Number_" &amp; C$1), 4,1, tabname) ), "")</f>
        <v>Washington trails : a publication of Washington Trails Association. v. 49 no. 4  (July/Aug. 2014)</v>
      </c>
      <c r="D60" s="10" t="str">
        <f ca="1">TEXT( INDIRECT( ADDRESS( ROW() + Row_Offset, INDIRECT( "Column_Number_" &amp; D$1), 4,1, tabname) ), "")</f>
        <v>Magazine</v>
      </c>
      <c r="E60" s="10" t="str">
        <f ca="1">TEXT( INDIRECT( ADDRESS( ROW() + Row_Offset, INDIRECT( "Column_Number_" &amp; E$1), 4,1, tabname) ), "####")</f>
        <v>2001</v>
      </c>
      <c r="F60" s="15"/>
      <c r="G60" s="22">
        <f ca="1">IFERROR(INDEX(Rank_Table[],MATCH($D60&amp;$A60,Table4[Join],0)),"")</f>
        <v>168</v>
      </c>
      <c r="H60" s="11" t="str">
        <f ca="1">IF(AND(D60="Juvenile Audiobook",LEFT(B60,8)="J CD BIO"),RIGHT(B60,LEN(B60)-9),
IF(AND(D60="Juvenile Audiobook",LEFT(B60,8)="J CD FIC"),B60,
IF(D60="Juvenile Audiobook",RIGHT(B60,LEN(B60)-5),
IF(AND(D60="Teen Audiobook",LEFT(B60,11)="TEEN CD BIO"),RIGHT(B60,LEN(B60)-12),
IF(AND(D60="Teen Audiobook",LEFT(B60,11)="TEEN CD FIC"),B60,
IF(D60="Juvenile Audiobook",RIGHT(B60,LEN(B60)-8),
IF(D60="Juvenile Nonfiction",RIGHT(B60,LEN(B60)-2),
IF(D60="Teen Nonfiction",RIGHT(B60,LEN(B60)-5),
IF(AND(D60="Audiobook",
              NOT(OR(Contains($B60,"CD BIO"),Contains($B60,"CD FIC")))),RIGHT(B60,LEN(B60)-3),
IF(D60="Juvenile Biography",RIGHT(B60,LEN(B60)-2),
IF(D60="Teen Biography",RIGHT(B60,LEN(B60)-5),
IF(AND(D60="Audiobook",
              IFERROR(FIND("BIO",$B60)&gt;0,FALSE)),RIGHT(B60,LEN(B60)-3),
IF(D60="Juvenile Large Type","J "&amp;RIGHT(B60,LEN(B60)-11),
IF(D60="Teen Large Type","TEEN "&amp;RIGHT(B60,LEN(B60)-14),
IF(D60="Reference",RIGHT(B60,LEN(B60)-4),
IF(D60="DVD Educational",RIGHT(B60,LEN(B60)-7),
IF(D60="Juvenile DVD Educational",RIGHT(B60,LEN(B60)-9),
B60)))))))))))))))))</f>
        <v/>
      </c>
      <c r="N60" s="11" t="str">
        <f ca="1">IF(IFERROR(FIND("New",$A60)&gt;0,FALSE),"New ","") &amp; IF(IFERROR(FIND("In Lib",$A60)&gt;0,FALSE),"Reference ","") &amp;
IF(AND(D60="Audiobook",LEFT(B60,6)="CD BIO"),"Biography",
IF(AND(D60="Teen Audiobook",LEFT(B60,11)="TEEN CD BIO"),"Biography",
IF(AND(D60="Juvenile Audiobook",LEFT(B60,8)="J CD BIO"),"Biography",
IF(AND(D60="Audiobook",LEFT(B60,6)="CD FIC"),"Audiobook Fiction",
IF(AND(D60="Teen Audiobook",LEFT(B60,11)="TEEN CD FIC"),"Teen Audiobook",
IF(AND(D60="Juvenile Audiobook",LEFT(B60,8)="J CD FIC"),"Juvenile Audiobook",
IF(D60="Audiobook","Nonfiction",
IF(D60="Juvenile Audiobook","Nonfiction",
IF(D60="Teen Audiobook","Nonfiction",
IF(D60="Juvenile Nonfiction","Nonfiction",
IF(D60="Teen Nonfiction","Nonfiction",
IF(D60="Juvenile Biography","Biography",
IF(D60="Teen Biography","Biography",
IF(D60="ESL","Nonfiction",
IF(LEFT(B60,11)="INTL-VIE J ","International Juvenile",IF(LEFT(B60,11)="INTL-TAG J ","International Juvenile",IF(LEFT(B60,11)="INTL-RUS J ","International Juvenile",IF(LEFT(B60,11)="INTL-KOR J ","International Juvenile",IF(LEFT(B60,11)="INTL-JAP J ","International Juvenile",IF(LEFT(B60,11)="INTL-CHI J ","International Juvenile",IF(LEFT(B60,11)="INTL-SPA J ","International Juvenile",IF(LEFT(B60,14)="INTL-VIE TEEN ","International Teen",IF(LEFT(B60,14)="INTL-TAG TEEN ","International Teen",IF(LEFT(B60,14)="INTL-RUS TEEN ","International Teen",IF(LEFT(B60,14)="INTL-KOR TEEN ","International Teen",IF(LEFT(B60,14)="INTL-JAP TEEN ","International Teen",IF(LEFT(B60,14)="INTL-CHI TEEN ","International Teen",IF(LEFT(B60,14)="INTL-SPA TEEN ","International Teen",IF(LEFT(B60,11)="INTL-VIE E ","International Easy",IF(LEFT(B60,11)="INTL-TAG E ","International Easy",IF(LEFT(B60,11)="INTL-RUS E ","International Easy",IF(LEFT(B60,11)="INTL-JAP E ","International Easy",IF(LEFT(B60,11)="INTL-KOR E ","International Easy",IF(LEFT(B60,11)="INTL-CHI E ","International Easy",IF(LEFT(B60,11)="INTL-SPA E ","International Easy",
IF(D60="Teen Large Type","Teen Fiction",
IF(D60="Juvenile Large Type","Juvenile Fiction",
IF(LEFT(B60,6)="J CD O","Juvenile Compact Disc",
IF(AND(LEFT(B60,4)="TEEN",D60="Fiction"),"Teen Fiction",
IF(D60="DVD Educational","Nonfiction",
IF(D60="Juvenile DVD Educational","Nonfiction",
IF(D60="Reference","Nonfiction",
D60))))))))))))))))))))))))))))))))))))))))))</f>
        <v>Reference Magazine</v>
      </c>
    </row>
    <row r="61" spans="1:14" ht="27" customHeight="1" x14ac:dyDescent="0.25">
      <c r="A61" s="10" t="str">
        <f ca="1">TEXT( INDIRECT( ADDRESS( ROW() + Row_Offset, INDIRECT( "Column_Number_" &amp; A$1), 4,1, tabname) ), "")</f>
        <v>In Library Use Only</v>
      </c>
      <c r="B61" s="10" t="str">
        <f ca="1">TEXT(  IFERROR( VLOOKUP( $D61, CollName_Simplifier_Table[], 2, FALSE),"") &amp;
        INDIRECT( ADDRESS( ROW() + Row_Offset, INDIRECT( "Column_Number_" &amp; $B$1), 4,1, tabname) ), "")</f>
        <v/>
      </c>
      <c r="C61" s="10" t="str">
        <f ca="1">TEXT( INDIRECT( ADDRESS( ROW() + Row_Offset, INDIRECT( "Column_Number_" &amp; C$1), 4,1, tabname) ), "")</f>
        <v>Natural solutions. no. 164  (June 2014)</v>
      </c>
      <c r="D61" s="10" t="str">
        <f ca="1">TEXT( INDIRECT( ADDRESS( ROW() + Row_Offset, INDIRECT( "Column_Number_" &amp; D$1), 4,1, tabname) ), "")</f>
        <v>Magazine</v>
      </c>
      <c r="E61" s="10" t="str">
        <f ca="1">TEXT( INDIRECT( ADDRESS( ROW() + Row_Offset, INDIRECT( "Column_Number_" &amp; E$1), 4,1, tabname) ), "####")</f>
        <v>2008</v>
      </c>
      <c r="F61" s="15"/>
      <c r="G61" s="22">
        <f ca="1">IFERROR(INDEX(Rank_Table[],MATCH($D61&amp;$A61,Table4[Join],0)),"")</f>
        <v>168</v>
      </c>
      <c r="H61" s="11" t="str">
        <f ca="1">IF(AND(D61="Juvenile Audiobook",LEFT(B61,8)="J CD BIO"),RIGHT(B61,LEN(B61)-9),
IF(AND(D61="Juvenile Audiobook",LEFT(B61,8)="J CD FIC"),B61,
IF(D61="Juvenile Audiobook",RIGHT(B61,LEN(B61)-5),
IF(AND(D61="Teen Audiobook",LEFT(B61,11)="TEEN CD BIO"),RIGHT(B61,LEN(B61)-12),
IF(AND(D61="Teen Audiobook",LEFT(B61,11)="TEEN CD FIC"),B61,
IF(D61="Juvenile Audiobook",RIGHT(B61,LEN(B61)-8),
IF(D61="Juvenile Nonfiction",RIGHT(B61,LEN(B61)-2),
IF(D61="Teen Nonfiction",RIGHT(B61,LEN(B61)-5),
IF(AND(D61="Audiobook",
              NOT(OR(Contains($B61,"CD BIO"),Contains($B61,"CD FIC")))),RIGHT(B61,LEN(B61)-3),
IF(D61="Juvenile Biography",RIGHT(B61,LEN(B61)-2),
IF(D61="Teen Biography",RIGHT(B61,LEN(B61)-5),
IF(AND(D61="Audiobook",
              IFERROR(FIND("BIO",$B61)&gt;0,FALSE)),RIGHT(B61,LEN(B61)-3),
IF(D61="Juvenile Large Type","J "&amp;RIGHT(B61,LEN(B61)-11),
IF(D61="Teen Large Type","TEEN "&amp;RIGHT(B61,LEN(B61)-14),
IF(D61="Reference",RIGHT(B61,LEN(B61)-4),
IF(D61="DVD Educational",RIGHT(B61,LEN(B61)-7),
IF(D61="Juvenile DVD Educational",RIGHT(B61,LEN(B61)-9),
B61)))))))))))))))))</f>
        <v/>
      </c>
      <c r="N61" s="11" t="str">
        <f ca="1">IF(IFERROR(FIND("New",$A61)&gt;0,FALSE),"New ","") &amp; IF(IFERROR(FIND("In Lib",$A61)&gt;0,FALSE),"Reference ","") &amp;
IF(AND(D61="Audiobook",LEFT(B61,6)="CD BIO"),"Biography",
IF(AND(D61="Teen Audiobook",LEFT(B61,11)="TEEN CD BIO"),"Biography",
IF(AND(D61="Juvenile Audiobook",LEFT(B61,8)="J CD BIO"),"Biography",
IF(AND(D61="Audiobook",LEFT(B61,6)="CD FIC"),"Audiobook Fiction",
IF(AND(D61="Teen Audiobook",LEFT(B61,11)="TEEN CD FIC"),"Teen Audiobook",
IF(AND(D61="Juvenile Audiobook",LEFT(B61,8)="J CD FIC"),"Juvenile Audiobook",
IF(D61="Audiobook","Nonfiction",
IF(D61="Juvenile Audiobook","Nonfiction",
IF(D61="Teen Audiobook","Nonfiction",
IF(D61="Juvenile Nonfiction","Nonfiction",
IF(D61="Teen Nonfiction","Nonfiction",
IF(D61="Juvenile Biography","Biography",
IF(D61="Teen Biography","Biography",
IF(D61="ESL","Nonfiction",
IF(LEFT(B61,11)="INTL-VIE J ","International Juvenile",IF(LEFT(B61,11)="INTL-TAG J ","International Juvenile",IF(LEFT(B61,11)="INTL-RUS J ","International Juvenile",IF(LEFT(B61,11)="INTL-KOR J ","International Juvenile",IF(LEFT(B61,11)="INTL-JAP J ","International Juvenile",IF(LEFT(B61,11)="INTL-CHI J ","International Juvenile",IF(LEFT(B61,11)="INTL-SPA J ","International Juvenile",IF(LEFT(B61,14)="INTL-VIE TEEN ","International Teen",IF(LEFT(B61,14)="INTL-TAG TEEN ","International Teen",IF(LEFT(B61,14)="INTL-RUS TEEN ","International Teen",IF(LEFT(B61,14)="INTL-KOR TEEN ","International Teen",IF(LEFT(B61,14)="INTL-JAP TEEN ","International Teen",IF(LEFT(B61,14)="INTL-CHI TEEN ","International Teen",IF(LEFT(B61,14)="INTL-SPA TEEN ","International Teen",IF(LEFT(B61,11)="INTL-VIE E ","International Easy",IF(LEFT(B61,11)="INTL-TAG E ","International Easy",IF(LEFT(B61,11)="INTL-RUS E ","International Easy",IF(LEFT(B61,11)="INTL-JAP E ","International Easy",IF(LEFT(B61,11)="INTL-KOR E ","International Easy",IF(LEFT(B61,11)="INTL-CHI E ","International Easy",IF(LEFT(B61,11)="INTL-SPA E ","International Easy",
IF(D61="Teen Large Type","Teen Fiction",
IF(D61="Juvenile Large Type","Juvenile Fiction",
IF(LEFT(B61,6)="J CD O","Juvenile Compact Disc",
IF(AND(LEFT(B61,4)="TEEN",D61="Fiction"),"Teen Fiction",
IF(D61="DVD Educational","Nonfiction",
IF(D61="Juvenile DVD Educational","Nonfiction",
IF(D61="Reference","Nonfiction",
D61))))))))))))))))))))))))))))))))))))))))))</f>
        <v>Reference Magazine</v>
      </c>
    </row>
    <row r="62" spans="1:14" ht="27" customHeight="1" x14ac:dyDescent="0.25">
      <c r="A62" s="10" t="str">
        <f ca="1">TEXT( INDIRECT( ADDRESS( ROW() + Row_Offset, INDIRECT( "Column_Number_" &amp; A$1), 4,1, tabname) ), "")</f>
        <v>In Library Use Only</v>
      </c>
      <c r="B62" s="10" t="str">
        <f ca="1">TEXT(  IFERROR( VLOOKUP( $D62, CollName_Simplifier_Table[], 2, FALSE),"") &amp;
        INDIRECT( ADDRESS( ROW() + Row_Offset, INDIRECT( "Column_Number_" &amp; $B$1), 4,1, tabname) ), "")</f>
        <v/>
      </c>
      <c r="C62" s="10" t="str">
        <f ca="1">TEXT( INDIRECT( ADDRESS( ROW() + Row_Offset, INDIRECT( "Column_Number_" &amp; C$1), 4,1, tabname) ), "")</f>
        <v>Urban farm. Volume 6 Number 4  (July/August 2014)</v>
      </c>
      <c r="D62" s="10" t="str">
        <f ca="1">TEXT( INDIRECT( ADDRESS( ROW() + Row_Offset, INDIRECT( "Column_Number_" &amp; D$1), 4,1, tabname) ), "")</f>
        <v>Magazine</v>
      </c>
      <c r="E62" s="10" t="str">
        <f ca="1">TEXT( INDIRECT( ADDRESS( ROW() + Row_Offset, INDIRECT( "Column_Number_" &amp; E$1), 4,1, tabname) ), "####")</f>
        <v>2009</v>
      </c>
      <c r="F62" s="15"/>
      <c r="G62" s="22">
        <f ca="1">IFERROR(INDEX(Rank_Table[],MATCH($D62&amp;$A62,Table4[Join],0)),"")</f>
        <v>168</v>
      </c>
      <c r="H62" s="11" t="str">
        <f ca="1">IF(AND(D62="Juvenile Audiobook",LEFT(B62,8)="J CD BIO"),RIGHT(B62,LEN(B62)-9),
IF(AND(D62="Juvenile Audiobook",LEFT(B62,8)="J CD FIC"),B62,
IF(D62="Juvenile Audiobook",RIGHT(B62,LEN(B62)-5),
IF(AND(D62="Teen Audiobook",LEFT(B62,11)="TEEN CD BIO"),RIGHT(B62,LEN(B62)-12),
IF(AND(D62="Teen Audiobook",LEFT(B62,11)="TEEN CD FIC"),B62,
IF(D62="Juvenile Audiobook",RIGHT(B62,LEN(B62)-8),
IF(D62="Juvenile Nonfiction",RIGHT(B62,LEN(B62)-2),
IF(D62="Teen Nonfiction",RIGHT(B62,LEN(B62)-5),
IF(AND(D62="Audiobook",
              NOT(OR(Contains($B62,"CD BIO"),Contains($B62,"CD FIC")))),RIGHT(B62,LEN(B62)-3),
IF(D62="Juvenile Biography",RIGHT(B62,LEN(B62)-2),
IF(D62="Teen Biography",RIGHT(B62,LEN(B62)-5),
IF(AND(D62="Audiobook",
              IFERROR(FIND("BIO",$B62)&gt;0,FALSE)),RIGHT(B62,LEN(B62)-3),
IF(D62="Juvenile Large Type","J "&amp;RIGHT(B62,LEN(B62)-11),
IF(D62="Teen Large Type","TEEN "&amp;RIGHT(B62,LEN(B62)-14),
IF(D62="Reference",RIGHT(B62,LEN(B62)-4),
IF(D62="DVD Educational",RIGHT(B62,LEN(B62)-7),
IF(D62="Juvenile DVD Educational",RIGHT(B62,LEN(B62)-9),
B62)))))))))))))))))</f>
        <v/>
      </c>
      <c r="N62" s="11" t="str">
        <f ca="1">IF(IFERROR(FIND("New",$A62)&gt;0,FALSE),"New ","") &amp; IF(IFERROR(FIND("In Lib",$A62)&gt;0,FALSE),"Reference ","") &amp;
IF(AND(D62="Audiobook",LEFT(B62,6)="CD BIO"),"Biography",
IF(AND(D62="Teen Audiobook",LEFT(B62,11)="TEEN CD BIO"),"Biography",
IF(AND(D62="Juvenile Audiobook",LEFT(B62,8)="J CD BIO"),"Biography",
IF(AND(D62="Audiobook",LEFT(B62,6)="CD FIC"),"Audiobook Fiction",
IF(AND(D62="Teen Audiobook",LEFT(B62,11)="TEEN CD FIC"),"Teen Audiobook",
IF(AND(D62="Juvenile Audiobook",LEFT(B62,8)="J CD FIC"),"Juvenile Audiobook",
IF(D62="Audiobook","Nonfiction",
IF(D62="Juvenile Audiobook","Nonfiction",
IF(D62="Teen Audiobook","Nonfiction",
IF(D62="Juvenile Nonfiction","Nonfiction",
IF(D62="Teen Nonfiction","Nonfiction",
IF(D62="Juvenile Biography","Biography",
IF(D62="Teen Biography","Biography",
IF(D62="ESL","Nonfiction",
IF(LEFT(B62,11)="INTL-VIE J ","International Juvenile",IF(LEFT(B62,11)="INTL-TAG J ","International Juvenile",IF(LEFT(B62,11)="INTL-RUS J ","International Juvenile",IF(LEFT(B62,11)="INTL-KOR J ","International Juvenile",IF(LEFT(B62,11)="INTL-JAP J ","International Juvenile",IF(LEFT(B62,11)="INTL-CHI J ","International Juvenile",IF(LEFT(B62,11)="INTL-SPA J ","International Juvenile",IF(LEFT(B62,14)="INTL-VIE TEEN ","International Teen",IF(LEFT(B62,14)="INTL-TAG TEEN ","International Teen",IF(LEFT(B62,14)="INTL-RUS TEEN ","International Teen",IF(LEFT(B62,14)="INTL-KOR TEEN ","International Teen",IF(LEFT(B62,14)="INTL-JAP TEEN ","International Teen",IF(LEFT(B62,14)="INTL-CHI TEEN ","International Teen",IF(LEFT(B62,14)="INTL-SPA TEEN ","International Teen",IF(LEFT(B62,11)="INTL-VIE E ","International Easy",IF(LEFT(B62,11)="INTL-TAG E ","International Easy",IF(LEFT(B62,11)="INTL-RUS E ","International Easy",IF(LEFT(B62,11)="INTL-JAP E ","International Easy",IF(LEFT(B62,11)="INTL-KOR E ","International Easy",IF(LEFT(B62,11)="INTL-CHI E ","International Easy",IF(LEFT(B62,11)="INTL-SPA E ","International Easy",
IF(D62="Teen Large Type","Teen Fiction",
IF(D62="Juvenile Large Type","Juvenile Fiction",
IF(LEFT(B62,6)="J CD O","Juvenile Compact Disc",
IF(AND(LEFT(B62,4)="TEEN",D62="Fiction"),"Teen Fiction",
IF(D62="DVD Educational","Nonfiction",
IF(D62="Juvenile DVD Educational","Nonfiction",
IF(D62="Reference","Nonfiction",
D62))))))))))))))))))))))))))))))))))))))))))</f>
        <v>Reference Magazine</v>
      </c>
    </row>
    <row r="63" spans="1:14" ht="27" customHeight="1" x14ac:dyDescent="0.25">
      <c r="A63" s="10" t="str">
        <f ca="1">TEXT( INDIRECT( ADDRESS( ROW() + Row_Offset, INDIRECT( "Column_Number_" &amp; A$1), 4,1, tabname) ), "")</f>
        <v>In Library Use Only</v>
      </c>
      <c r="B63" s="10" t="str">
        <f ca="1">TEXT(  IFERROR( VLOOKUP( $D63, CollName_Simplifier_Table[], 2, FALSE),"") &amp;
        INDIRECT( ADDRESS( ROW() + Row_Offset, INDIRECT( "Column_Number_" &amp; $B$1), 4,1, tabname) ), "")</f>
        <v/>
      </c>
      <c r="C63" s="10" t="str">
        <f ca="1">TEXT( INDIRECT( ADDRESS( ROW() + Row_Offset, INDIRECT( "Column_Number_" &amp; C$1), 4,1, tabname) ), "")</f>
        <v>Horse &amp; rider v. 53 no. 8  (Aug. 2014)</v>
      </c>
      <c r="D63" s="10" t="str">
        <f ca="1">TEXT( INDIRECT( ADDRESS( ROW() + Row_Offset, INDIRECT( "Column_Number_" &amp; D$1), 4,1, tabname) ), "")</f>
        <v>Magazine</v>
      </c>
      <c r="E63" s="10" t="str">
        <f ca="1">TEXT( INDIRECT( ADDRESS( ROW() + Row_Offset, INDIRECT( "Column_Number_" &amp; E$1), 4,1, tabname) ), "####")</f>
        <v>1968</v>
      </c>
      <c r="F63" s="15"/>
      <c r="G63" s="22">
        <f ca="1">IFERROR(INDEX(Rank_Table[],MATCH($D63&amp;$A63,Table4[Join],0)),"")</f>
        <v>168</v>
      </c>
      <c r="H63" s="11" t="str">
        <f ca="1">IF(AND(D63="Juvenile Audiobook",LEFT(B63,8)="J CD BIO"),RIGHT(B63,LEN(B63)-9),
IF(AND(D63="Juvenile Audiobook",LEFT(B63,8)="J CD FIC"),B63,
IF(D63="Juvenile Audiobook",RIGHT(B63,LEN(B63)-5),
IF(AND(D63="Teen Audiobook",LEFT(B63,11)="TEEN CD BIO"),RIGHT(B63,LEN(B63)-12),
IF(AND(D63="Teen Audiobook",LEFT(B63,11)="TEEN CD FIC"),B63,
IF(D63="Juvenile Audiobook",RIGHT(B63,LEN(B63)-8),
IF(D63="Juvenile Nonfiction",RIGHT(B63,LEN(B63)-2),
IF(D63="Teen Nonfiction",RIGHT(B63,LEN(B63)-5),
IF(AND(D63="Audiobook",
              NOT(OR(Contains($B63,"CD BIO"),Contains($B63,"CD FIC")))),RIGHT(B63,LEN(B63)-3),
IF(D63="Juvenile Biography",RIGHT(B63,LEN(B63)-2),
IF(D63="Teen Biography",RIGHT(B63,LEN(B63)-5),
IF(AND(D63="Audiobook",
              IFERROR(FIND("BIO",$B63)&gt;0,FALSE)),RIGHT(B63,LEN(B63)-3),
IF(D63="Juvenile Large Type","J "&amp;RIGHT(B63,LEN(B63)-11),
IF(D63="Teen Large Type","TEEN "&amp;RIGHT(B63,LEN(B63)-14),
IF(D63="Reference",RIGHT(B63,LEN(B63)-4),
IF(D63="DVD Educational",RIGHT(B63,LEN(B63)-7),
IF(D63="Juvenile DVD Educational",RIGHT(B63,LEN(B63)-9),
B63)))))))))))))))))</f>
        <v/>
      </c>
      <c r="N63" s="11" t="str">
        <f ca="1">IF(IFERROR(FIND("New",$A63)&gt;0,FALSE),"New ","") &amp; IF(IFERROR(FIND("In Lib",$A63)&gt;0,FALSE),"Reference ","") &amp;
IF(AND(D63="Audiobook",LEFT(B63,6)="CD BIO"),"Biography",
IF(AND(D63="Teen Audiobook",LEFT(B63,11)="TEEN CD BIO"),"Biography",
IF(AND(D63="Juvenile Audiobook",LEFT(B63,8)="J CD BIO"),"Biography",
IF(AND(D63="Audiobook",LEFT(B63,6)="CD FIC"),"Audiobook Fiction",
IF(AND(D63="Teen Audiobook",LEFT(B63,11)="TEEN CD FIC"),"Teen Audiobook",
IF(AND(D63="Juvenile Audiobook",LEFT(B63,8)="J CD FIC"),"Juvenile Audiobook",
IF(D63="Audiobook","Nonfiction",
IF(D63="Juvenile Audiobook","Nonfiction",
IF(D63="Teen Audiobook","Nonfiction",
IF(D63="Juvenile Nonfiction","Nonfiction",
IF(D63="Teen Nonfiction","Nonfiction",
IF(D63="Juvenile Biography","Biography",
IF(D63="Teen Biography","Biography",
IF(D63="ESL","Nonfiction",
IF(LEFT(B63,11)="INTL-VIE J ","International Juvenile",IF(LEFT(B63,11)="INTL-TAG J ","International Juvenile",IF(LEFT(B63,11)="INTL-RUS J ","International Juvenile",IF(LEFT(B63,11)="INTL-KOR J ","International Juvenile",IF(LEFT(B63,11)="INTL-JAP J ","International Juvenile",IF(LEFT(B63,11)="INTL-CHI J ","International Juvenile",IF(LEFT(B63,11)="INTL-SPA J ","International Juvenile",IF(LEFT(B63,14)="INTL-VIE TEEN ","International Teen",IF(LEFT(B63,14)="INTL-TAG TEEN ","International Teen",IF(LEFT(B63,14)="INTL-RUS TEEN ","International Teen",IF(LEFT(B63,14)="INTL-KOR TEEN ","International Teen",IF(LEFT(B63,14)="INTL-JAP TEEN ","International Teen",IF(LEFT(B63,14)="INTL-CHI TEEN ","International Teen",IF(LEFT(B63,14)="INTL-SPA TEEN ","International Teen",IF(LEFT(B63,11)="INTL-VIE E ","International Easy",IF(LEFT(B63,11)="INTL-TAG E ","International Easy",IF(LEFT(B63,11)="INTL-RUS E ","International Easy",IF(LEFT(B63,11)="INTL-JAP E ","International Easy",IF(LEFT(B63,11)="INTL-KOR E ","International Easy",IF(LEFT(B63,11)="INTL-CHI E ","International Easy",IF(LEFT(B63,11)="INTL-SPA E ","International Easy",
IF(D63="Teen Large Type","Teen Fiction",
IF(D63="Juvenile Large Type","Juvenile Fiction",
IF(LEFT(B63,6)="J CD O","Juvenile Compact Disc",
IF(AND(LEFT(B63,4)="TEEN",D63="Fiction"),"Teen Fiction",
IF(D63="DVD Educational","Nonfiction",
IF(D63="Juvenile DVD Educational","Nonfiction",
IF(D63="Reference","Nonfiction",
D63))))))))))))))))))))))))))))))))))))))))))</f>
        <v>Reference Magazine</v>
      </c>
    </row>
    <row r="64" spans="1:14" ht="27" customHeight="1" x14ac:dyDescent="0.25">
      <c r="A64" s="10" t="str">
        <f ca="1">TEXT( INDIRECT( ADDRESS( ROW() + Row_Offset, INDIRECT( "Column_Number_" &amp; A$1), 4,1, tabname) ), "")</f>
        <v>In Library Use Only</v>
      </c>
      <c r="B64" s="10" t="str">
        <f ca="1">TEXT(  IFERROR( VLOOKUP( $D64, CollName_Simplifier_Table[], 2, FALSE),"") &amp;
        INDIRECT( ADDRESS( ROW() + Row_Offset, INDIRECT( "Column_Number_" &amp; $B$1), 4,1, tabname) ), "")</f>
        <v/>
      </c>
      <c r="C64" s="10" t="str">
        <f ca="1">TEXT( INDIRECT( ADDRESS( ROW() + Row_Offset, INDIRECT( "Column_Number_" &amp; C$1), 4,1, tabname) ), "")</f>
        <v>Shape v. 33 no. 10  (July/Aug. 2014)</v>
      </c>
      <c r="D64" s="10" t="str">
        <f ca="1">TEXT( INDIRECT( ADDRESS( ROW() + Row_Offset, INDIRECT( "Column_Number_" &amp; D$1), 4,1, tabname) ), "")</f>
        <v>Magazine</v>
      </c>
      <c r="E64" s="10" t="str">
        <f ca="1">TEXT( INDIRECT( ADDRESS( ROW() + Row_Offset, INDIRECT( "Column_Number_" &amp; E$1), 4,1, tabname) ), "####")</f>
        <v/>
      </c>
      <c r="F64" s="15"/>
      <c r="G64" s="22">
        <f ca="1">IFERROR(INDEX(Rank_Table[],MATCH($D64&amp;$A64,Table4[Join],0)),"")</f>
        <v>168</v>
      </c>
      <c r="H64" s="11" t="str">
        <f ca="1">IF(AND(D64="Juvenile Audiobook",LEFT(B64,8)="J CD BIO"),RIGHT(B64,LEN(B64)-9),
IF(AND(D64="Juvenile Audiobook",LEFT(B64,8)="J CD FIC"),B64,
IF(D64="Juvenile Audiobook",RIGHT(B64,LEN(B64)-5),
IF(AND(D64="Teen Audiobook",LEFT(B64,11)="TEEN CD BIO"),RIGHT(B64,LEN(B64)-12),
IF(AND(D64="Teen Audiobook",LEFT(B64,11)="TEEN CD FIC"),B64,
IF(D64="Juvenile Audiobook",RIGHT(B64,LEN(B64)-8),
IF(D64="Juvenile Nonfiction",RIGHT(B64,LEN(B64)-2),
IF(D64="Teen Nonfiction",RIGHT(B64,LEN(B64)-5),
IF(AND(D64="Audiobook",
              NOT(OR(Contains($B64,"CD BIO"),Contains($B64,"CD FIC")))),RIGHT(B64,LEN(B64)-3),
IF(D64="Juvenile Biography",RIGHT(B64,LEN(B64)-2),
IF(D64="Teen Biography",RIGHT(B64,LEN(B64)-5),
IF(AND(D64="Audiobook",
              IFERROR(FIND("BIO",$B64)&gt;0,FALSE)),RIGHT(B64,LEN(B64)-3),
IF(D64="Juvenile Large Type","J "&amp;RIGHT(B64,LEN(B64)-11),
IF(D64="Teen Large Type","TEEN "&amp;RIGHT(B64,LEN(B64)-14),
IF(D64="Reference",RIGHT(B64,LEN(B64)-4),
IF(D64="DVD Educational",RIGHT(B64,LEN(B64)-7),
IF(D64="Juvenile DVD Educational",RIGHT(B64,LEN(B64)-9),
B64)))))))))))))))))</f>
        <v/>
      </c>
      <c r="N64" s="11" t="str">
        <f ca="1">IF(IFERROR(FIND("New",$A64)&gt;0,FALSE),"New ","") &amp; IF(IFERROR(FIND("In Lib",$A64)&gt;0,FALSE),"Reference ","") &amp;
IF(AND(D64="Audiobook",LEFT(B64,6)="CD BIO"),"Biography",
IF(AND(D64="Teen Audiobook",LEFT(B64,11)="TEEN CD BIO"),"Biography",
IF(AND(D64="Juvenile Audiobook",LEFT(B64,8)="J CD BIO"),"Biography",
IF(AND(D64="Audiobook",LEFT(B64,6)="CD FIC"),"Audiobook Fiction",
IF(AND(D64="Teen Audiobook",LEFT(B64,11)="TEEN CD FIC"),"Teen Audiobook",
IF(AND(D64="Juvenile Audiobook",LEFT(B64,8)="J CD FIC"),"Juvenile Audiobook",
IF(D64="Audiobook","Nonfiction",
IF(D64="Juvenile Audiobook","Nonfiction",
IF(D64="Teen Audiobook","Nonfiction",
IF(D64="Juvenile Nonfiction","Nonfiction",
IF(D64="Teen Nonfiction","Nonfiction",
IF(D64="Juvenile Biography","Biography",
IF(D64="Teen Biography","Biography",
IF(D64="ESL","Nonfiction",
IF(LEFT(B64,11)="INTL-VIE J ","International Juvenile",IF(LEFT(B64,11)="INTL-TAG J ","International Juvenile",IF(LEFT(B64,11)="INTL-RUS J ","International Juvenile",IF(LEFT(B64,11)="INTL-KOR J ","International Juvenile",IF(LEFT(B64,11)="INTL-JAP J ","International Juvenile",IF(LEFT(B64,11)="INTL-CHI J ","International Juvenile",IF(LEFT(B64,11)="INTL-SPA J ","International Juvenile",IF(LEFT(B64,14)="INTL-VIE TEEN ","International Teen",IF(LEFT(B64,14)="INTL-TAG TEEN ","International Teen",IF(LEFT(B64,14)="INTL-RUS TEEN ","International Teen",IF(LEFT(B64,14)="INTL-KOR TEEN ","International Teen",IF(LEFT(B64,14)="INTL-JAP TEEN ","International Teen",IF(LEFT(B64,14)="INTL-CHI TEEN ","International Teen",IF(LEFT(B64,14)="INTL-SPA TEEN ","International Teen",IF(LEFT(B64,11)="INTL-VIE E ","International Easy",IF(LEFT(B64,11)="INTL-TAG E ","International Easy",IF(LEFT(B64,11)="INTL-RUS E ","International Easy",IF(LEFT(B64,11)="INTL-JAP E ","International Easy",IF(LEFT(B64,11)="INTL-KOR E ","International Easy",IF(LEFT(B64,11)="INTL-CHI E ","International Easy",IF(LEFT(B64,11)="INTL-SPA E ","International Easy",
IF(D64="Teen Large Type","Teen Fiction",
IF(D64="Juvenile Large Type","Juvenile Fiction",
IF(LEFT(B64,6)="J CD O","Juvenile Compact Disc",
IF(AND(LEFT(B64,4)="TEEN",D64="Fiction"),"Teen Fiction",
IF(D64="DVD Educational","Nonfiction",
IF(D64="Juvenile DVD Educational","Nonfiction",
IF(D64="Reference","Nonfiction",
D64))))))))))))))))))))))))))))))))))))))))))</f>
        <v>Nonfiction</v>
      </c>
    </row>
    <row r="65" spans="1:14" ht="27" customHeight="1" x14ac:dyDescent="0.25">
      <c r="A65" s="10" t="str">
        <f ca="1">TEXT( INDIRECT( ADDRESS( ROW() + Row_Offset, INDIRECT( "Column_Number_" &amp; A$1), 4,1, tabname) ), "")</f>
        <v>In Library Use Only</v>
      </c>
      <c r="B65" s="10" t="str">
        <f ca="1">TEXT(  IFERROR( VLOOKUP( $D65, CollName_Simplifier_Table[], 2, FALSE),"") &amp;
        INDIRECT( ADDRESS( ROW() + Row_Offset, INDIRECT( "Column_Number_" &amp; $B$1), 4,1, tabname) ), "")</f>
        <v/>
      </c>
      <c r="C65" s="10" t="str">
        <f ca="1">TEXT( INDIRECT( ADDRESS( ROW() + Row_Offset, INDIRECT( "Column_Number_" &amp; C$1), 4,1, tabname) ), "")</f>
        <v>Fine homebuilding no. 245  (Aug./Sep. 2014)</v>
      </c>
      <c r="D65" s="10" t="str">
        <f ca="1">TEXT( INDIRECT( ADDRESS( ROW() + Row_Offset, INDIRECT( "Column_Number_" &amp; D$1), 4,1, tabname) ), "")</f>
        <v>Magazine</v>
      </c>
      <c r="E65" s="10" t="str">
        <f ca="1">TEXT( INDIRECT( ADDRESS( ROW() + Row_Offset, INDIRECT( "Column_Number_" &amp; E$1), 4,1, tabname) ), "####")</f>
        <v>1981</v>
      </c>
      <c r="F65" s="15"/>
      <c r="G65" s="22">
        <f ca="1">IFERROR(INDEX(Rank_Table[],MATCH($D65&amp;$A65,Table4[Join],0)),"")</f>
        <v>168</v>
      </c>
      <c r="H65" s="11" t="str">
        <f ca="1">IF(AND(D65="Juvenile Audiobook",LEFT(B65,8)="J CD BIO"),RIGHT(B65,LEN(B65)-9),
IF(AND(D65="Juvenile Audiobook",LEFT(B65,8)="J CD FIC"),B65,
IF(D65="Juvenile Audiobook",RIGHT(B65,LEN(B65)-5),
IF(AND(D65="Teen Audiobook",LEFT(B65,11)="TEEN CD BIO"),RIGHT(B65,LEN(B65)-12),
IF(AND(D65="Teen Audiobook",LEFT(B65,11)="TEEN CD FIC"),B65,
IF(D65="Juvenile Audiobook",RIGHT(B65,LEN(B65)-8),
IF(D65="Juvenile Nonfiction",RIGHT(B65,LEN(B65)-2),
IF(D65="Teen Nonfiction",RIGHT(B65,LEN(B65)-5),
IF(AND(D65="Audiobook",
              NOT(OR(Contains($B65,"CD BIO"),Contains($B65,"CD FIC")))),RIGHT(B65,LEN(B65)-3),
IF(D65="Juvenile Biography",RIGHT(B65,LEN(B65)-2),
IF(D65="Teen Biography",RIGHT(B65,LEN(B65)-5),
IF(AND(D65="Audiobook",
              IFERROR(FIND("BIO",$B65)&gt;0,FALSE)),RIGHT(B65,LEN(B65)-3),
IF(D65="Juvenile Large Type","J "&amp;RIGHT(B65,LEN(B65)-11),
IF(D65="Teen Large Type","TEEN "&amp;RIGHT(B65,LEN(B65)-14),
IF(D65="Reference",RIGHT(B65,LEN(B65)-4),
IF(D65="DVD Educational",RIGHT(B65,LEN(B65)-7),
IF(D65="Juvenile DVD Educational",RIGHT(B65,LEN(B65)-9),
B65)))))))))))))))))</f>
        <v/>
      </c>
      <c r="N65" s="11" t="str">
        <f ca="1">IF(IFERROR(FIND("New",$A65)&gt;0,FALSE),"New ","") &amp; IF(IFERROR(FIND("In Lib",$A65)&gt;0,FALSE),"Reference ","") &amp;
IF(AND(D65="Audiobook",LEFT(B65,6)="CD BIO"),"Biography",
IF(AND(D65="Teen Audiobook",LEFT(B65,11)="TEEN CD BIO"),"Biography",
IF(AND(D65="Juvenile Audiobook",LEFT(B65,8)="J CD BIO"),"Biography",
IF(AND(D65="Audiobook",LEFT(B65,6)="CD FIC"),"Audiobook Fiction",
IF(AND(D65="Teen Audiobook",LEFT(B65,11)="TEEN CD FIC"),"Teen Audiobook",
IF(AND(D65="Juvenile Audiobook",LEFT(B65,8)="J CD FIC"),"Juvenile Audiobook",
IF(D65="Audiobook","Nonfiction",
IF(D65="Juvenile Audiobook","Nonfiction",
IF(D65="Teen Audiobook","Nonfiction",
IF(D65="Juvenile Nonfiction","Nonfiction",
IF(D65="Teen Nonfiction","Nonfiction",
IF(D65="Juvenile Biography","Biography",
IF(D65="Teen Biography","Biography",
IF(D65="ESL","Nonfiction",
IF(LEFT(B65,11)="INTL-VIE J ","International Juvenile",IF(LEFT(B65,11)="INTL-TAG J ","International Juvenile",IF(LEFT(B65,11)="INTL-RUS J ","International Juvenile",IF(LEFT(B65,11)="INTL-KOR J ","International Juvenile",IF(LEFT(B65,11)="INTL-JAP J ","International Juvenile",IF(LEFT(B65,11)="INTL-CHI J ","International Juvenile",IF(LEFT(B65,11)="INTL-SPA J ","International Juvenile",IF(LEFT(B65,14)="INTL-VIE TEEN ","International Teen",IF(LEFT(B65,14)="INTL-TAG TEEN ","International Teen",IF(LEFT(B65,14)="INTL-RUS TEEN ","International Teen",IF(LEFT(B65,14)="INTL-KOR TEEN ","International Teen",IF(LEFT(B65,14)="INTL-JAP TEEN ","International Teen",IF(LEFT(B65,14)="INTL-CHI TEEN ","International Teen",IF(LEFT(B65,14)="INTL-SPA TEEN ","International Teen",IF(LEFT(B65,11)="INTL-VIE E ","International Easy",IF(LEFT(B65,11)="INTL-TAG E ","International Easy",IF(LEFT(B65,11)="INTL-RUS E ","International Easy",IF(LEFT(B65,11)="INTL-JAP E ","International Easy",IF(LEFT(B65,11)="INTL-KOR E ","International Easy",IF(LEFT(B65,11)="INTL-CHI E ","International Easy",IF(LEFT(B65,11)="INTL-SPA E ","International Easy",
IF(D65="Teen Large Type","Teen Fiction",
IF(D65="Juvenile Large Type","Juvenile Fiction",
IF(LEFT(B65,6)="J CD O","Juvenile Compact Disc",
IF(AND(LEFT(B65,4)="TEEN",D65="Fiction"),"Teen Fiction",
IF(D65="DVD Educational","Nonfiction",
IF(D65="Juvenile DVD Educational","Nonfiction",
IF(D65="Reference","Nonfiction",
D65))))))))))))))))))))))))))))))))))))))))))</f>
        <v>Nonfiction</v>
      </c>
    </row>
    <row r="66" spans="1:14" ht="27" customHeight="1" x14ac:dyDescent="0.25">
      <c r="A66" s="10" t="str">
        <f ca="1">TEXT( INDIRECT( ADDRESS( ROW() + Row_Offset, INDIRECT( "Column_Number_" &amp; A$1), 4,1, tabname) ), "")</f>
        <v>In Library Use Only</v>
      </c>
      <c r="B66" s="10" t="str">
        <f ca="1">TEXT(  IFERROR( VLOOKUP( $D66, CollName_Simplifier_Table[], 2, FALSE),"") &amp;
        INDIRECT( ADDRESS( ROW() + Row_Offset, INDIRECT( "Column_Number_" &amp; $B$1), 4,1, tabname) ), "")</f>
        <v/>
      </c>
      <c r="C66" s="10" t="str">
        <f ca="1">TEXT( INDIRECT( ADDRESS( ROW() + Row_Offset, INDIRECT( "Column_Number_" &amp; C$1), 4,1, tabname) ), "")</f>
        <v>House beautiful. v. 156 no. 6  (July/Aug. 2014)</v>
      </c>
      <c r="D66" s="10" t="str">
        <f ca="1">TEXT( INDIRECT( ADDRESS( ROW() + Row_Offset, INDIRECT( "Column_Number_" &amp; D$1), 4,1, tabname) ), "")</f>
        <v>Magazine</v>
      </c>
      <c r="E66" s="10" t="str">
        <f ca="1">TEXT( INDIRECT( ADDRESS( ROW() + Row_Offset, INDIRECT( "Column_Number_" &amp; E$1), 4,1, tabname) ), "####")</f>
        <v>1896</v>
      </c>
      <c r="F66" s="15"/>
      <c r="G66" s="22">
        <f ca="1">IFERROR(INDEX(Rank_Table[],MATCH($D66&amp;$A66,Table4[Join],0)),"")</f>
        <v>168</v>
      </c>
      <c r="H66" s="11" t="str">
        <f ca="1">IF(AND(D66="Juvenile Audiobook",LEFT(B66,8)="J CD BIO"),RIGHT(B66,LEN(B66)-9),
IF(AND(D66="Juvenile Audiobook",LEFT(B66,8)="J CD FIC"),B66,
IF(D66="Juvenile Audiobook",RIGHT(B66,LEN(B66)-5),
IF(AND(D66="Teen Audiobook",LEFT(B66,11)="TEEN CD BIO"),RIGHT(B66,LEN(B66)-12),
IF(AND(D66="Teen Audiobook",LEFT(B66,11)="TEEN CD FIC"),B66,
IF(D66="Juvenile Audiobook",RIGHT(B66,LEN(B66)-8),
IF(D66="Juvenile Nonfiction",RIGHT(B66,LEN(B66)-2),
IF(D66="Teen Nonfiction",RIGHT(B66,LEN(B66)-5),
IF(AND(D66="Audiobook",
              NOT(OR(Contains($B66,"CD BIO"),Contains($B66,"CD FIC")))),RIGHT(B66,LEN(B66)-3),
IF(D66="Juvenile Biography",RIGHT(B66,LEN(B66)-2),
IF(D66="Teen Biography",RIGHT(B66,LEN(B66)-5),
IF(AND(D66="Audiobook",
              IFERROR(FIND("BIO",$B66)&gt;0,FALSE)),RIGHT(B66,LEN(B66)-3),
IF(D66="Juvenile Large Type","J "&amp;RIGHT(B66,LEN(B66)-11),
IF(D66="Teen Large Type","TEEN "&amp;RIGHT(B66,LEN(B66)-14),
IF(D66="Reference",RIGHT(B66,LEN(B66)-4),
IF(D66="DVD Educational",RIGHT(B66,LEN(B66)-7),
IF(D66="Juvenile DVD Educational",RIGHT(B66,LEN(B66)-9),
B66)))))))))))))))))</f>
        <v/>
      </c>
      <c r="N66" s="11" t="str">
        <f ca="1">IF(IFERROR(FIND("New",$A66)&gt;0,FALSE),"New ","") &amp; IF(IFERROR(FIND("In Lib",$A66)&gt;0,FALSE),"Reference ","") &amp;
IF(AND(D66="Audiobook",LEFT(B66,6)="CD BIO"),"Biography",
IF(AND(D66="Teen Audiobook",LEFT(B66,11)="TEEN CD BIO"),"Biography",
IF(AND(D66="Juvenile Audiobook",LEFT(B66,8)="J CD BIO"),"Biography",
IF(AND(D66="Audiobook",LEFT(B66,6)="CD FIC"),"Audiobook Fiction",
IF(AND(D66="Teen Audiobook",LEFT(B66,11)="TEEN CD FIC"),"Teen Audiobook",
IF(AND(D66="Juvenile Audiobook",LEFT(B66,8)="J CD FIC"),"Juvenile Audiobook",
IF(D66="Audiobook","Nonfiction",
IF(D66="Juvenile Audiobook","Nonfiction",
IF(D66="Teen Audiobook","Nonfiction",
IF(D66="Juvenile Nonfiction","Nonfiction",
IF(D66="Teen Nonfiction","Nonfiction",
IF(D66="Juvenile Biography","Biography",
IF(D66="Teen Biography","Biography",
IF(D66="ESL","Nonfiction",
IF(LEFT(B66,11)="INTL-VIE J ","International Juvenile",IF(LEFT(B66,11)="INTL-TAG J ","International Juvenile",IF(LEFT(B66,11)="INTL-RUS J ","International Juvenile",IF(LEFT(B66,11)="INTL-KOR J ","International Juvenile",IF(LEFT(B66,11)="INTL-JAP J ","International Juvenile",IF(LEFT(B66,11)="INTL-CHI J ","International Juvenile",IF(LEFT(B66,11)="INTL-SPA J ","International Juvenile",IF(LEFT(B66,14)="INTL-VIE TEEN ","International Teen",IF(LEFT(B66,14)="INTL-TAG TEEN ","International Teen",IF(LEFT(B66,14)="INTL-RUS TEEN ","International Teen",IF(LEFT(B66,14)="INTL-KOR TEEN ","International Teen",IF(LEFT(B66,14)="INTL-JAP TEEN ","International Teen",IF(LEFT(B66,14)="INTL-CHI TEEN ","International Teen",IF(LEFT(B66,14)="INTL-SPA TEEN ","International Teen",IF(LEFT(B66,11)="INTL-VIE E ","International Easy",IF(LEFT(B66,11)="INTL-TAG E ","International Easy",IF(LEFT(B66,11)="INTL-RUS E ","International Easy",IF(LEFT(B66,11)="INTL-JAP E ","International Easy",IF(LEFT(B66,11)="INTL-KOR E ","International Easy",IF(LEFT(B66,11)="INTL-CHI E ","International Easy",IF(LEFT(B66,11)="INTL-SPA E ","International Easy",
IF(D66="Teen Large Type","Teen Fiction",
IF(D66="Juvenile Large Type","Juvenile Fiction",
IF(LEFT(B66,6)="J CD O","Juvenile Compact Disc",
IF(AND(LEFT(B66,4)="TEEN",D66="Fiction"),"Teen Fiction",
IF(D66="DVD Educational","Nonfiction",
IF(D66="Juvenile DVD Educational","Nonfiction",
IF(D66="Reference","Nonfiction",
D66))))))))))))))))))))))))))))))))))))))))))</f>
        <v>Nonfiction</v>
      </c>
    </row>
    <row r="67" spans="1:14" ht="27" customHeight="1" x14ac:dyDescent="0.25">
      <c r="A67" s="10" t="str">
        <f ca="1">TEXT( INDIRECT( ADDRESS( ROW() + Row_Offset, INDIRECT( "Column_Number_" &amp; A$1), 4,1, tabname) ), "")</f>
        <v>In Library Use Only</v>
      </c>
      <c r="B67" s="10" t="str">
        <f ca="1">TEXT(  IFERROR( VLOOKUP( $D67, CollName_Simplifier_Table[], 2, FALSE),"") &amp;
        INDIRECT( ADDRESS( ROW() + Row_Offset, INDIRECT( "Column_Number_" &amp; $B$1), 4,1, tabname) ), "")</f>
        <v/>
      </c>
      <c r="C67" s="10" t="str">
        <f ca="1">TEXT( INDIRECT( ADDRESS( ROW() + Row_Offset, INDIRECT( "Column_Number_" &amp; C$1), 4,1, tabname) ), "")</f>
        <v>Men's health. v. 29 no. 7  (Sep. 2014)</v>
      </c>
      <c r="D67" s="10" t="str">
        <f ca="1">TEXT( INDIRECT( ADDRESS( ROW() + Row_Offset, INDIRECT( "Column_Number_" &amp; D$1), 4,1, tabname) ), "")</f>
        <v>Magazine</v>
      </c>
      <c r="E67" s="10" t="str">
        <f ca="1">TEXT( INDIRECT( ADDRESS( ROW() + Row_Offset, INDIRECT( "Column_Number_" &amp; E$1), 4,1, tabname) ), "####")</f>
        <v>1987</v>
      </c>
      <c r="F67" s="15"/>
      <c r="G67" s="22">
        <f ca="1">IFERROR(INDEX(Rank_Table[],MATCH($D67&amp;$A67,Table4[Join],0)),"")</f>
        <v>168</v>
      </c>
      <c r="H67" s="11" t="str">
        <f ca="1">IF(AND(D67="Juvenile Audiobook",LEFT(B67,8)="J CD BIO"),RIGHT(B67,LEN(B67)-9),
IF(AND(D67="Juvenile Audiobook",LEFT(B67,8)="J CD FIC"),B67,
IF(D67="Juvenile Audiobook",RIGHT(B67,LEN(B67)-5),
IF(AND(D67="Teen Audiobook",LEFT(B67,11)="TEEN CD BIO"),RIGHT(B67,LEN(B67)-12),
IF(AND(D67="Teen Audiobook",LEFT(B67,11)="TEEN CD FIC"),B67,
IF(D67="Juvenile Audiobook",RIGHT(B67,LEN(B67)-8),
IF(D67="Juvenile Nonfiction",RIGHT(B67,LEN(B67)-2),
IF(D67="Teen Nonfiction",RIGHT(B67,LEN(B67)-5),
IF(AND(D67="Audiobook",
              NOT(OR(Contains($B67,"CD BIO"),Contains($B67,"CD FIC")))),RIGHT(B67,LEN(B67)-3),
IF(D67="Juvenile Biography",RIGHT(B67,LEN(B67)-2),
IF(D67="Teen Biography",RIGHT(B67,LEN(B67)-5),
IF(AND(D67="Audiobook",
              IFERROR(FIND("BIO",$B67)&gt;0,FALSE)),RIGHT(B67,LEN(B67)-3),
IF(D67="Juvenile Large Type","J "&amp;RIGHT(B67,LEN(B67)-11),
IF(D67="Teen Large Type","TEEN "&amp;RIGHT(B67,LEN(B67)-14),
IF(D67="Reference",RIGHT(B67,LEN(B67)-4),
IF(D67="DVD Educational",RIGHT(B67,LEN(B67)-7),
IF(D67="Juvenile DVD Educational",RIGHT(B67,LEN(B67)-9),
B67)))))))))))))))))</f>
        <v/>
      </c>
      <c r="N67" s="11" t="str">
        <f ca="1">IF(IFERROR(FIND("New",$A67)&gt;0,FALSE),"New ","") &amp; IF(IFERROR(FIND("In Lib",$A67)&gt;0,FALSE),"Reference ","") &amp;
IF(AND(D67="Audiobook",LEFT(B67,6)="CD BIO"),"Biography",
IF(AND(D67="Teen Audiobook",LEFT(B67,11)="TEEN CD BIO"),"Biography",
IF(AND(D67="Juvenile Audiobook",LEFT(B67,8)="J CD BIO"),"Biography",
IF(AND(D67="Audiobook",LEFT(B67,6)="CD FIC"),"Audiobook Fiction",
IF(AND(D67="Teen Audiobook",LEFT(B67,11)="TEEN CD FIC"),"Teen Audiobook",
IF(AND(D67="Juvenile Audiobook",LEFT(B67,8)="J CD FIC"),"Juvenile Audiobook",
IF(D67="Audiobook","Nonfiction",
IF(D67="Juvenile Audiobook","Nonfiction",
IF(D67="Teen Audiobook","Nonfiction",
IF(D67="Juvenile Nonfiction","Nonfiction",
IF(D67="Teen Nonfiction","Nonfiction",
IF(D67="Juvenile Biography","Biography",
IF(D67="Teen Biography","Biography",
IF(D67="ESL","Nonfiction",
IF(LEFT(B67,11)="INTL-VIE J ","International Juvenile",IF(LEFT(B67,11)="INTL-TAG J ","International Juvenile",IF(LEFT(B67,11)="INTL-RUS J ","International Juvenile",IF(LEFT(B67,11)="INTL-KOR J ","International Juvenile",IF(LEFT(B67,11)="INTL-JAP J ","International Juvenile",IF(LEFT(B67,11)="INTL-CHI J ","International Juvenile",IF(LEFT(B67,11)="INTL-SPA J ","International Juvenile",IF(LEFT(B67,14)="INTL-VIE TEEN ","International Teen",IF(LEFT(B67,14)="INTL-TAG TEEN ","International Teen",IF(LEFT(B67,14)="INTL-RUS TEEN ","International Teen",IF(LEFT(B67,14)="INTL-KOR TEEN ","International Teen",IF(LEFT(B67,14)="INTL-JAP TEEN ","International Teen",IF(LEFT(B67,14)="INTL-CHI TEEN ","International Teen",IF(LEFT(B67,14)="INTL-SPA TEEN ","International Teen",IF(LEFT(B67,11)="INTL-VIE E ","International Easy",IF(LEFT(B67,11)="INTL-TAG E ","International Easy",IF(LEFT(B67,11)="INTL-RUS E ","International Easy",IF(LEFT(B67,11)="INTL-JAP E ","International Easy",IF(LEFT(B67,11)="INTL-KOR E ","International Easy",IF(LEFT(B67,11)="INTL-CHI E ","International Easy",IF(LEFT(B67,11)="INTL-SPA E ","International Easy",
IF(D67="Teen Large Type","Teen Fiction",
IF(D67="Juvenile Large Type","Juvenile Fiction",
IF(LEFT(B67,6)="J CD O","Juvenile Compact Disc",
IF(AND(LEFT(B67,4)="TEEN",D67="Fiction"),"Teen Fiction",
IF(D67="DVD Educational","Nonfiction",
IF(D67="Juvenile DVD Educational","Nonfiction",
IF(D67="Reference","Nonfiction",
D67))))))))))))))))))))))))))))))))))))))))))</f>
        <v>Nonfiction</v>
      </c>
    </row>
    <row r="68" spans="1:14" ht="27" customHeight="1" x14ac:dyDescent="0.25">
      <c r="A68" s="10" t="str">
        <f ca="1">TEXT( INDIRECT( ADDRESS( ROW() + Row_Offset, INDIRECT( "Column_Number_" &amp; A$1), 4,1, tabname) ), "")</f>
        <v>In Library Use Only</v>
      </c>
      <c r="B68" s="10" t="str">
        <f ca="1">TEXT(  IFERROR( VLOOKUP( $D68, CollName_Simplifier_Table[], 2, FALSE),"") &amp;
        INDIRECT( ADDRESS( ROW() + Row_Offset, INDIRECT( "Column_Number_" &amp; $B$1), 4,1, tabname) ), "")</f>
        <v/>
      </c>
      <c r="C68" s="10" t="str">
        <f ca="1">TEXT( INDIRECT( ADDRESS( ROW() + Row_Offset, INDIRECT( "Column_Number_" &amp; C$1), 4,1, tabname) ), "")</f>
        <v>Altered couture. v. 9 no. 3  (Aug./Oct. 2014)</v>
      </c>
      <c r="D68" s="10" t="str">
        <f ca="1">TEXT( INDIRECT( ADDRESS( ROW() + Row_Offset, INDIRECT( "Column_Number_" &amp; D$1), 4,1, tabname) ), "")</f>
        <v>Magazine</v>
      </c>
      <c r="E68" s="10" t="str">
        <f ca="1">TEXT( INDIRECT( ADDRESS( ROW() + Row_Offset, INDIRECT( "Column_Number_" &amp; E$1), 4,1, tabname) ), "####")</f>
        <v>2006</v>
      </c>
      <c r="F68" s="15"/>
      <c r="G68" s="22">
        <f ca="1">IFERROR(INDEX(Rank_Table[],MATCH($D68&amp;$A68,Table4[Join],0)),"")</f>
        <v>168</v>
      </c>
      <c r="H68" s="11" t="str">
        <f ca="1">IF(AND(D68="Juvenile Audiobook",LEFT(B68,8)="J CD BIO"),RIGHT(B68,LEN(B68)-9),
IF(AND(D68="Juvenile Audiobook",LEFT(B68,8)="J CD FIC"),B68,
IF(D68="Juvenile Audiobook",RIGHT(B68,LEN(B68)-5),
IF(AND(D68="Teen Audiobook",LEFT(B68,11)="TEEN CD BIO"),RIGHT(B68,LEN(B68)-12),
IF(AND(D68="Teen Audiobook",LEFT(B68,11)="TEEN CD FIC"),B68,
IF(D68="Juvenile Audiobook",RIGHT(B68,LEN(B68)-8),
IF(D68="Juvenile Nonfiction",RIGHT(B68,LEN(B68)-2),
IF(D68="Teen Nonfiction",RIGHT(B68,LEN(B68)-5),
IF(AND(D68="Audiobook",
              NOT(OR(Contains($B68,"CD BIO"),Contains($B68,"CD FIC")))),RIGHT(B68,LEN(B68)-3),
IF(D68="Juvenile Biography",RIGHT(B68,LEN(B68)-2),
IF(D68="Teen Biography",RIGHT(B68,LEN(B68)-5),
IF(AND(D68="Audiobook",
              IFERROR(FIND("BIO",$B68)&gt;0,FALSE)),RIGHT(B68,LEN(B68)-3),
IF(D68="Juvenile Large Type","J "&amp;RIGHT(B68,LEN(B68)-11),
IF(D68="Teen Large Type","TEEN "&amp;RIGHT(B68,LEN(B68)-14),
IF(D68="Reference",RIGHT(B68,LEN(B68)-4),
IF(D68="DVD Educational",RIGHT(B68,LEN(B68)-7),
IF(D68="Juvenile DVD Educational",RIGHT(B68,LEN(B68)-9),
B68)))))))))))))))))</f>
        <v/>
      </c>
      <c r="N68" s="11" t="str">
        <f ca="1">IF(IFERROR(FIND("New",$A68)&gt;0,FALSE),"New ","") &amp; IF(IFERROR(FIND("In Lib",$A68)&gt;0,FALSE),"Reference ","") &amp;
IF(AND(D68="Audiobook",LEFT(B68,6)="CD BIO"),"Biography",
IF(AND(D68="Teen Audiobook",LEFT(B68,11)="TEEN CD BIO"),"Biography",
IF(AND(D68="Juvenile Audiobook",LEFT(B68,8)="J CD BIO"),"Biography",
IF(AND(D68="Audiobook",LEFT(B68,6)="CD FIC"),"Audiobook Fiction",
IF(AND(D68="Teen Audiobook",LEFT(B68,11)="TEEN CD FIC"),"Teen Audiobook",
IF(AND(D68="Juvenile Audiobook",LEFT(B68,8)="J CD FIC"),"Juvenile Audiobook",
IF(D68="Audiobook","Nonfiction",
IF(D68="Juvenile Audiobook","Nonfiction",
IF(D68="Teen Audiobook","Nonfiction",
IF(D68="Juvenile Nonfiction","Nonfiction",
IF(D68="Teen Nonfiction","Nonfiction",
IF(D68="Juvenile Biography","Biography",
IF(D68="Teen Biography","Biography",
IF(D68="ESL","Nonfiction",
IF(LEFT(B68,11)="INTL-VIE J ","International Juvenile",IF(LEFT(B68,11)="INTL-TAG J ","International Juvenile",IF(LEFT(B68,11)="INTL-RUS J ","International Juvenile",IF(LEFT(B68,11)="INTL-KOR J ","International Juvenile",IF(LEFT(B68,11)="INTL-JAP J ","International Juvenile",IF(LEFT(B68,11)="INTL-CHI J ","International Juvenile",IF(LEFT(B68,11)="INTL-SPA J ","International Juvenile",IF(LEFT(B68,14)="INTL-VIE TEEN ","International Teen",IF(LEFT(B68,14)="INTL-TAG TEEN ","International Teen",IF(LEFT(B68,14)="INTL-RUS TEEN ","International Teen",IF(LEFT(B68,14)="INTL-KOR TEEN ","International Teen",IF(LEFT(B68,14)="INTL-JAP TEEN ","International Teen",IF(LEFT(B68,14)="INTL-CHI TEEN ","International Teen",IF(LEFT(B68,14)="INTL-SPA TEEN ","International Teen",IF(LEFT(B68,11)="INTL-VIE E ","International Easy",IF(LEFT(B68,11)="INTL-TAG E ","International Easy",IF(LEFT(B68,11)="INTL-RUS E ","International Easy",IF(LEFT(B68,11)="INTL-JAP E ","International Easy",IF(LEFT(B68,11)="INTL-KOR E ","International Easy",IF(LEFT(B68,11)="INTL-CHI E ","International Easy",IF(LEFT(B68,11)="INTL-SPA E ","International Easy",
IF(D68="Teen Large Type","Teen Fiction",
IF(D68="Juvenile Large Type","Juvenile Fiction",
IF(LEFT(B68,6)="J CD O","Juvenile Compact Disc",
IF(AND(LEFT(B68,4)="TEEN",D68="Fiction"),"Teen Fiction",
IF(D68="DVD Educational","Nonfiction",
IF(D68="Juvenile DVD Educational","Nonfiction",
IF(D68="Reference","Nonfiction",
D68))))))))))))))))))))))))))))))))))))))))))</f>
        <v>Nonfiction</v>
      </c>
    </row>
    <row r="69" spans="1:14" ht="27" customHeight="1" x14ac:dyDescent="0.25">
      <c r="A69" s="10" t="str">
        <f ca="1">TEXT( INDIRECT( ADDRESS( ROW() + Row_Offset, INDIRECT( "Column_Number_" &amp; A$1), 4,1, tabname) ), "")</f>
        <v>In Library Use Only</v>
      </c>
      <c r="B69" s="10" t="str">
        <f ca="1">TEXT(  IFERROR( VLOOKUP( $D69, CollName_Simplifier_Table[], 2, FALSE),"") &amp;
        INDIRECT( ADDRESS( ROW() + Row_Offset, INDIRECT( "Column_Number_" &amp; $B$1), 4,1, tabname) ), "")</f>
        <v/>
      </c>
      <c r="C69" s="10" t="str">
        <f ca="1">TEXT( INDIRECT( ADDRESS( ROW() + Row_Offset, INDIRECT( "Column_Number_" &amp; C$1), 4,1, tabname) ), "")</f>
        <v>Fons and Porter's for the love of quilting. v. 19 no. 3  (July/Aug. 2014)</v>
      </c>
      <c r="D69" s="10" t="str">
        <f ca="1">TEXT( INDIRECT( ADDRESS( ROW() + Row_Offset, INDIRECT( "Column_Number_" &amp; D$1), 4,1, tabname) ), "")</f>
        <v>Magazine</v>
      </c>
      <c r="E69" s="10" t="str">
        <f ca="1">TEXT( INDIRECT( ADDRESS( ROW() + Row_Offset, INDIRECT( "Column_Number_" &amp; E$1), 4,1, tabname) ), "####")</f>
        <v>1999</v>
      </c>
      <c r="F69" s="15"/>
      <c r="G69" s="22">
        <f ca="1">IFERROR(INDEX(Rank_Table[],MATCH($D69&amp;$A69,Table4[Join],0)),"")</f>
        <v>168</v>
      </c>
      <c r="H69" s="11" t="str">
        <f ca="1">IF(AND(D69="Juvenile Audiobook",LEFT(B69,8)="J CD BIO"),RIGHT(B69,LEN(B69)-9),
IF(AND(D69="Juvenile Audiobook",LEFT(B69,8)="J CD FIC"),B69,
IF(D69="Juvenile Audiobook",RIGHT(B69,LEN(B69)-5),
IF(AND(D69="Teen Audiobook",LEFT(B69,11)="TEEN CD BIO"),RIGHT(B69,LEN(B69)-12),
IF(AND(D69="Teen Audiobook",LEFT(B69,11)="TEEN CD FIC"),B69,
IF(D69="Juvenile Audiobook",RIGHT(B69,LEN(B69)-8),
IF(D69="Juvenile Nonfiction",RIGHT(B69,LEN(B69)-2),
IF(D69="Teen Nonfiction",RIGHT(B69,LEN(B69)-5),
IF(AND(D69="Audiobook",
              NOT(OR(Contains($B69,"CD BIO"),Contains($B69,"CD FIC")))),RIGHT(B69,LEN(B69)-3),
IF(D69="Juvenile Biography",RIGHT(B69,LEN(B69)-2),
IF(D69="Teen Biography",RIGHT(B69,LEN(B69)-5),
IF(AND(D69="Audiobook",
              IFERROR(FIND("BIO",$B69)&gt;0,FALSE)),RIGHT(B69,LEN(B69)-3),
IF(D69="Juvenile Large Type","J "&amp;RIGHT(B69,LEN(B69)-11),
IF(D69="Teen Large Type","TEEN "&amp;RIGHT(B69,LEN(B69)-14),
IF(D69="Reference",RIGHT(B69,LEN(B69)-4),
IF(D69="DVD Educational",RIGHT(B69,LEN(B69)-7),
IF(D69="Juvenile DVD Educational",RIGHT(B69,LEN(B69)-9),
B69)))))))))))))))))</f>
        <v/>
      </c>
      <c r="N69" s="11" t="str">
        <f ca="1">IF(IFERROR(FIND("New",$A69)&gt;0,FALSE),"New ","") &amp; IF(IFERROR(FIND("In Lib",$A69)&gt;0,FALSE),"Reference ","") &amp;
IF(AND(D69="Audiobook",LEFT(B69,6)="CD BIO"),"Biography",
IF(AND(D69="Teen Audiobook",LEFT(B69,11)="TEEN CD BIO"),"Biography",
IF(AND(D69="Juvenile Audiobook",LEFT(B69,8)="J CD BIO"),"Biography",
IF(AND(D69="Audiobook",LEFT(B69,6)="CD FIC"),"Audiobook Fiction",
IF(AND(D69="Teen Audiobook",LEFT(B69,11)="TEEN CD FIC"),"Teen Audiobook",
IF(AND(D69="Juvenile Audiobook",LEFT(B69,8)="J CD FIC"),"Juvenile Audiobook",
IF(D69="Audiobook","Nonfiction",
IF(D69="Juvenile Audiobook","Nonfiction",
IF(D69="Teen Audiobook","Nonfiction",
IF(D69="Juvenile Nonfiction","Nonfiction",
IF(D69="Teen Nonfiction","Nonfiction",
IF(D69="Juvenile Biography","Biography",
IF(D69="Teen Biography","Biography",
IF(D69="ESL","Nonfiction",
IF(LEFT(B69,11)="INTL-VIE J ","International Juvenile",IF(LEFT(B69,11)="INTL-TAG J ","International Juvenile",IF(LEFT(B69,11)="INTL-RUS J ","International Juvenile",IF(LEFT(B69,11)="INTL-KOR J ","International Juvenile",IF(LEFT(B69,11)="INTL-JAP J ","International Juvenile",IF(LEFT(B69,11)="INTL-CHI J ","International Juvenile",IF(LEFT(B69,11)="INTL-SPA J ","International Juvenile",IF(LEFT(B69,14)="INTL-VIE TEEN ","International Teen",IF(LEFT(B69,14)="INTL-TAG TEEN ","International Teen",IF(LEFT(B69,14)="INTL-RUS TEEN ","International Teen",IF(LEFT(B69,14)="INTL-KOR TEEN ","International Teen",IF(LEFT(B69,14)="INTL-JAP TEEN ","International Teen",IF(LEFT(B69,14)="INTL-CHI TEEN ","International Teen",IF(LEFT(B69,14)="INTL-SPA TEEN ","International Teen",IF(LEFT(B69,11)="INTL-VIE E ","International Easy",IF(LEFT(B69,11)="INTL-TAG E ","International Easy",IF(LEFT(B69,11)="INTL-RUS E ","International Easy",IF(LEFT(B69,11)="INTL-JAP E ","International Easy",IF(LEFT(B69,11)="INTL-KOR E ","International Easy",IF(LEFT(B69,11)="INTL-CHI E ","International Easy",IF(LEFT(B69,11)="INTL-SPA E ","International Easy",
IF(D69="Teen Large Type","Teen Fiction",
IF(D69="Juvenile Large Type","Juvenile Fiction",
IF(LEFT(B69,6)="J CD O","Juvenile Compact Disc",
IF(AND(LEFT(B69,4)="TEEN",D69="Fiction"),"Teen Fiction",
IF(D69="DVD Educational","Nonfiction",
IF(D69="Juvenile DVD Educational","Nonfiction",
IF(D69="Reference","Nonfiction",
D69))))))))))))))))))))))))))))))))))))))))))</f>
        <v>Nonfiction</v>
      </c>
    </row>
    <row r="70" spans="1:14" ht="27" customHeight="1" x14ac:dyDescent="0.25">
      <c r="A70" s="10" t="str">
        <f ca="1">TEXT( INDIRECT( ADDRESS( ROW() + Row_Offset, INDIRECT( "Column_Number_" &amp; A$1), 4,1, tabname) ), "")</f>
        <v>In Library Use Only</v>
      </c>
      <c r="B70" s="10" t="str">
        <f ca="1">TEXT(  IFERROR( VLOOKUP( $D70, CollName_Simplifier_Table[], 2, FALSE),"") &amp;
        INDIRECT( ADDRESS( ROW() + Row_Offset, INDIRECT( "Column_Number_" &amp; $B$1), 4,1, tabname) ), "")</f>
        <v/>
      </c>
      <c r="C70" s="10" t="str">
        <f ca="1">TEXT( INDIRECT( ADDRESS( ROW() + Row_Offset, INDIRECT( "Column_Number_" &amp; C$1), 4,1, tabname) ), "")</f>
        <v>Salmon trout steelheader v. 47 no. 10  (Aug. 2014)</v>
      </c>
      <c r="D70" s="10" t="str">
        <f ca="1">TEXT( INDIRECT( ADDRESS( ROW() + Row_Offset, INDIRECT( "Column_Number_" &amp; D$1), 4,1, tabname) ), "")</f>
        <v>Magazine</v>
      </c>
      <c r="E70" s="10" t="str">
        <f ca="1">TEXT( INDIRECT( ADDRESS( ROW() + Row_Offset, INDIRECT( "Column_Number_" &amp; E$1), 4,1, tabname) ), "####")</f>
        <v>1967</v>
      </c>
      <c r="F70" s="15"/>
      <c r="G70" s="22">
        <f ca="1">IFERROR(INDEX(Rank_Table[],MATCH($D70&amp;$A70,Table4[Join],0)),"")</f>
        <v>168</v>
      </c>
      <c r="H70" s="11" t="str">
        <f ca="1">IF(AND(D70="Juvenile Audiobook",LEFT(B70,8)="J CD BIO"),RIGHT(B70,LEN(B70)-9),
IF(AND(D70="Juvenile Audiobook",LEFT(B70,8)="J CD FIC"),B70,
IF(D70="Juvenile Audiobook",RIGHT(B70,LEN(B70)-5),
IF(AND(D70="Teen Audiobook",LEFT(B70,11)="TEEN CD BIO"),RIGHT(B70,LEN(B70)-12),
IF(AND(D70="Teen Audiobook",LEFT(B70,11)="TEEN CD FIC"),B70,
IF(D70="Juvenile Audiobook",RIGHT(B70,LEN(B70)-8),
IF(D70="Juvenile Nonfiction",RIGHT(B70,LEN(B70)-2),
IF(D70="Teen Nonfiction",RIGHT(B70,LEN(B70)-5),
IF(AND(D70="Audiobook",
              NOT(OR(Contains($B70,"CD BIO"),Contains($B70,"CD FIC")))),RIGHT(B70,LEN(B70)-3),
IF(D70="Juvenile Biography",RIGHT(B70,LEN(B70)-2),
IF(D70="Teen Biography",RIGHT(B70,LEN(B70)-5),
IF(AND(D70="Audiobook",
              IFERROR(FIND("BIO",$B70)&gt;0,FALSE)),RIGHT(B70,LEN(B70)-3),
IF(D70="Juvenile Large Type","J "&amp;RIGHT(B70,LEN(B70)-11),
IF(D70="Teen Large Type","TEEN "&amp;RIGHT(B70,LEN(B70)-14),
IF(D70="Reference",RIGHT(B70,LEN(B70)-4),
IF(D70="DVD Educational",RIGHT(B70,LEN(B70)-7),
IF(D70="Juvenile DVD Educational",RIGHT(B70,LEN(B70)-9),
B70)))))))))))))))))</f>
        <v/>
      </c>
      <c r="N70" s="11" t="str">
        <f ca="1">IF(IFERROR(FIND("New",$A70)&gt;0,FALSE),"New ","") &amp; IF(IFERROR(FIND("In Lib",$A70)&gt;0,FALSE),"Reference ","") &amp;
IF(AND(D70="Audiobook",LEFT(B70,6)="CD BIO"),"Biography",
IF(AND(D70="Teen Audiobook",LEFT(B70,11)="TEEN CD BIO"),"Biography",
IF(AND(D70="Juvenile Audiobook",LEFT(B70,8)="J CD BIO"),"Biography",
IF(AND(D70="Audiobook",LEFT(B70,6)="CD FIC"),"Audiobook Fiction",
IF(AND(D70="Teen Audiobook",LEFT(B70,11)="TEEN CD FIC"),"Teen Audiobook",
IF(AND(D70="Juvenile Audiobook",LEFT(B70,8)="J CD FIC"),"Juvenile Audiobook",
IF(D70="Audiobook","Nonfiction",
IF(D70="Juvenile Audiobook","Nonfiction",
IF(D70="Teen Audiobook","Nonfiction",
IF(D70="Juvenile Nonfiction","Nonfiction",
IF(D70="Teen Nonfiction","Nonfiction",
IF(D70="Juvenile Biography","Biography",
IF(D70="Teen Biography","Biography",
IF(D70="ESL","Nonfiction",
IF(LEFT(B70,11)="INTL-VIE J ","International Juvenile",IF(LEFT(B70,11)="INTL-TAG J ","International Juvenile",IF(LEFT(B70,11)="INTL-RUS J ","International Juvenile",IF(LEFT(B70,11)="INTL-KOR J ","International Juvenile",IF(LEFT(B70,11)="INTL-JAP J ","International Juvenile",IF(LEFT(B70,11)="INTL-CHI J ","International Juvenile",IF(LEFT(B70,11)="INTL-SPA J ","International Juvenile",IF(LEFT(B70,14)="INTL-VIE TEEN ","International Teen",IF(LEFT(B70,14)="INTL-TAG TEEN ","International Teen",IF(LEFT(B70,14)="INTL-RUS TEEN ","International Teen",IF(LEFT(B70,14)="INTL-KOR TEEN ","International Teen",IF(LEFT(B70,14)="INTL-JAP TEEN ","International Teen",IF(LEFT(B70,14)="INTL-CHI TEEN ","International Teen",IF(LEFT(B70,14)="INTL-SPA TEEN ","International Teen",IF(LEFT(B70,11)="INTL-VIE E ","International Easy",IF(LEFT(B70,11)="INTL-TAG E ","International Easy",IF(LEFT(B70,11)="INTL-RUS E ","International Easy",IF(LEFT(B70,11)="INTL-JAP E ","International Easy",IF(LEFT(B70,11)="INTL-KOR E ","International Easy",IF(LEFT(B70,11)="INTL-CHI E ","International Easy",IF(LEFT(B70,11)="INTL-SPA E ","International Easy",
IF(D70="Teen Large Type","Teen Fiction",
IF(D70="Juvenile Large Type","Juvenile Fiction",
IF(LEFT(B70,6)="J CD O","Juvenile Compact Disc",
IF(AND(LEFT(B70,4)="TEEN",D70="Fiction"),"Teen Fiction",
IF(D70="DVD Educational","Nonfiction",
IF(D70="Juvenile DVD Educational","Nonfiction",
IF(D70="Reference","Nonfiction",
D70))))))))))))))))))))))))))))))))))))))))))</f>
        <v>Nonfiction</v>
      </c>
    </row>
    <row r="71" spans="1:14" ht="27" customHeight="1" x14ac:dyDescent="0.25">
      <c r="A71" s="10" t="str">
        <f ca="1">TEXT( INDIRECT( ADDRESS( ROW() + Row_Offset, INDIRECT( "Column_Number_" &amp; A$1), 4,1, tabname) ), "")</f>
        <v>In Library Use Only</v>
      </c>
      <c r="B71" s="10" t="str">
        <f ca="1">TEXT(  IFERROR( VLOOKUP( $D71, CollName_Simplifier_Table[], 2, FALSE),"") &amp;
        INDIRECT( ADDRESS( ROW() + Row_Offset, INDIRECT( "Column_Number_" &amp; $B$1), 4,1, tabname) ), "")</f>
        <v/>
      </c>
      <c r="C71" s="10" t="str">
        <f ca="1">TEXT( INDIRECT( ADDRESS( ROW() + Row_Offset, INDIRECT( "Column_Number_" &amp; C$1), 4,1, tabname) ), "")</f>
        <v>Model airplane news Vol. 142 No. 10  (October 2014)</v>
      </c>
      <c r="D71" s="10" t="str">
        <f ca="1">TEXT( INDIRECT( ADDRESS( ROW() + Row_Offset, INDIRECT( "Column_Number_" &amp; D$1), 4,1, tabname) ), "")</f>
        <v>Magazine</v>
      </c>
      <c r="E71" s="10" t="str">
        <f ca="1">TEXT( INDIRECT( ADDRESS( ROW() + Row_Offset, INDIRECT( "Column_Number_" &amp; E$1), 4,1, tabname) ), "####")</f>
        <v>1935</v>
      </c>
      <c r="F71" s="15"/>
      <c r="G71" s="22">
        <f ca="1">IFERROR(INDEX(Rank_Table[],MATCH($D71&amp;$A71,Table4[Join],0)),"")</f>
        <v>168</v>
      </c>
      <c r="H71" s="11" t="str">
        <f ca="1">IF(AND(D71="Juvenile Audiobook",LEFT(B71,8)="J CD BIO"),RIGHT(B71,LEN(B71)-9),
IF(AND(D71="Juvenile Audiobook",LEFT(B71,8)="J CD FIC"),B71,
IF(D71="Juvenile Audiobook",RIGHT(B71,LEN(B71)-5),
IF(AND(D71="Teen Audiobook",LEFT(B71,11)="TEEN CD BIO"),RIGHT(B71,LEN(B71)-12),
IF(AND(D71="Teen Audiobook",LEFT(B71,11)="TEEN CD FIC"),B71,
IF(D71="Juvenile Audiobook",RIGHT(B71,LEN(B71)-8),
IF(D71="Juvenile Nonfiction",RIGHT(B71,LEN(B71)-2),
IF(D71="Teen Nonfiction",RIGHT(B71,LEN(B71)-5),
IF(AND(D71="Audiobook",
              NOT(OR(Contains($B71,"CD BIO"),Contains($B71,"CD FIC")))),RIGHT(B71,LEN(B71)-3),
IF(D71="Juvenile Biography",RIGHT(B71,LEN(B71)-2),
IF(D71="Teen Biography",RIGHT(B71,LEN(B71)-5),
IF(AND(D71="Audiobook",
              IFERROR(FIND("BIO",$B71)&gt;0,FALSE)),RIGHT(B71,LEN(B71)-3),
IF(D71="Juvenile Large Type","J "&amp;RIGHT(B71,LEN(B71)-11),
IF(D71="Teen Large Type","TEEN "&amp;RIGHT(B71,LEN(B71)-14),
IF(D71="Reference",RIGHT(B71,LEN(B71)-4),
IF(D71="DVD Educational",RIGHT(B71,LEN(B71)-7),
IF(D71="Juvenile DVD Educational",RIGHT(B71,LEN(B71)-9),
B71)))))))))))))))))</f>
        <v/>
      </c>
      <c r="N71" s="11" t="str">
        <f ca="1">IF(IFERROR(FIND("New",$A71)&gt;0,FALSE),"New ","") &amp; IF(IFERROR(FIND("In Lib",$A71)&gt;0,FALSE),"Reference ","") &amp;
IF(AND(D71="Audiobook",LEFT(B71,6)="CD BIO"),"Biography",
IF(AND(D71="Teen Audiobook",LEFT(B71,11)="TEEN CD BIO"),"Biography",
IF(AND(D71="Juvenile Audiobook",LEFT(B71,8)="J CD BIO"),"Biography",
IF(AND(D71="Audiobook",LEFT(B71,6)="CD FIC"),"Audiobook Fiction",
IF(AND(D71="Teen Audiobook",LEFT(B71,11)="TEEN CD FIC"),"Teen Audiobook",
IF(AND(D71="Juvenile Audiobook",LEFT(B71,8)="J CD FIC"),"Juvenile Audiobook",
IF(D71="Audiobook","Nonfiction",
IF(D71="Juvenile Audiobook","Nonfiction",
IF(D71="Teen Audiobook","Nonfiction",
IF(D71="Juvenile Nonfiction","Nonfiction",
IF(D71="Teen Nonfiction","Nonfiction",
IF(D71="Juvenile Biography","Biography",
IF(D71="Teen Biography","Biography",
IF(D71="ESL","Nonfiction",
IF(LEFT(B71,11)="INTL-VIE J ","International Juvenile",IF(LEFT(B71,11)="INTL-TAG J ","International Juvenile",IF(LEFT(B71,11)="INTL-RUS J ","International Juvenile",IF(LEFT(B71,11)="INTL-KOR J ","International Juvenile",IF(LEFT(B71,11)="INTL-JAP J ","International Juvenile",IF(LEFT(B71,11)="INTL-CHI J ","International Juvenile",IF(LEFT(B71,11)="INTL-SPA J ","International Juvenile",IF(LEFT(B71,14)="INTL-VIE TEEN ","International Teen",IF(LEFT(B71,14)="INTL-TAG TEEN ","International Teen",IF(LEFT(B71,14)="INTL-RUS TEEN ","International Teen",IF(LEFT(B71,14)="INTL-KOR TEEN ","International Teen",IF(LEFT(B71,14)="INTL-JAP TEEN ","International Teen",IF(LEFT(B71,14)="INTL-CHI TEEN ","International Teen",IF(LEFT(B71,14)="INTL-SPA TEEN ","International Teen",IF(LEFT(B71,11)="INTL-VIE E ","International Easy",IF(LEFT(B71,11)="INTL-TAG E ","International Easy",IF(LEFT(B71,11)="INTL-RUS E ","International Easy",IF(LEFT(B71,11)="INTL-JAP E ","International Easy",IF(LEFT(B71,11)="INTL-KOR E ","International Easy",IF(LEFT(B71,11)="INTL-CHI E ","International Easy",IF(LEFT(B71,11)="INTL-SPA E ","International Easy",
IF(D71="Teen Large Type","Teen Fiction",
IF(D71="Juvenile Large Type","Juvenile Fiction",
IF(LEFT(B71,6)="J CD O","Juvenile Compact Disc",
IF(AND(LEFT(B71,4)="TEEN",D71="Fiction"),"Teen Fiction",
IF(D71="DVD Educational","Nonfiction",
IF(D71="Juvenile DVD Educational","Nonfiction",
IF(D71="Reference","Nonfiction",
D71))))))))))))))))))))))))))))))))))))))))))</f>
        <v>Nonfiction</v>
      </c>
    </row>
    <row r="72" spans="1:14" ht="27" customHeight="1" x14ac:dyDescent="0.25">
      <c r="A72" s="10" t="str">
        <f ca="1">TEXT( INDIRECT( ADDRESS( ROW() + Row_Offset, INDIRECT( "Column_Number_" &amp; A$1), 4,1, tabname) ), "")</f>
        <v>In Library Use Only</v>
      </c>
      <c r="B72" s="10" t="str">
        <f ca="1">TEXT(  IFERROR( VLOOKUP( $D72, CollName_Simplifier_Table[], 2, FALSE),"") &amp;
        INDIRECT( ADDRESS( ROW() + Row_Offset, INDIRECT( "Column_Number_" &amp; $B$1), 4,1, tabname) ), "")</f>
        <v/>
      </c>
      <c r="C72" s="10" t="str">
        <f ca="1">TEXT( INDIRECT( ADDRESS( ROW() + Row_Offset, INDIRECT( "Column_Number_" &amp; C$1), 4,1, tabname) ), "")</f>
        <v>People. v. 82 no. 7  (Aug. 18 2014)</v>
      </c>
      <c r="D72" s="10" t="str">
        <f ca="1">TEXT( INDIRECT( ADDRESS( ROW() + Row_Offset, INDIRECT( "Column_Number_" &amp; D$1), 4,1, tabname) ), "")</f>
        <v>Magazine</v>
      </c>
      <c r="E72" s="10" t="str">
        <f ca="1">TEXT( INDIRECT( ADDRESS( ROW() + Row_Offset, INDIRECT( "Column_Number_" &amp; E$1), 4,1, tabname) ), "####")</f>
        <v>1974</v>
      </c>
      <c r="F72" s="15"/>
      <c r="G72" s="22">
        <f ca="1">IFERROR(INDEX(Rank_Table[],MATCH($D72&amp;$A72,Table4[Join],0)),"")</f>
        <v>168</v>
      </c>
      <c r="H72" s="11" t="str">
        <f ca="1">IF(AND(D72="Juvenile Audiobook",LEFT(B72,8)="J CD BIO"),RIGHT(B72,LEN(B72)-9),
IF(AND(D72="Juvenile Audiobook",LEFT(B72,8)="J CD FIC"),B72,
IF(D72="Juvenile Audiobook",RIGHT(B72,LEN(B72)-5),
IF(AND(D72="Teen Audiobook",LEFT(B72,11)="TEEN CD BIO"),RIGHT(B72,LEN(B72)-12),
IF(AND(D72="Teen Audiobook",LEFT(B72,11)="TEEN CD FIC"),B72,
IF(D72="Juvenile Audiobook",RIGHT(B72,LEN(B72)-8),
IF(D72="Juvenile Nonfiction",RIGHT(B72,LEN(B72)-2),
IF(D72="Teen Nonfiction",RIGHT(B72,LEN(B72)-5),
IF(AND(D72="Audiobook",
              NOT(OR(Contains($B72,"CD BIO"),Contains($B72,"CD FIC")))),RIGHT(B72,LEN(B72)-3),
IF(D72="Juvenile Biography",RIGHT(B72,LEN(B72)-2),
IF(D72="Teen Biography",RIGHT(B72,LEN(B72)-5),
IF(AND(D72="Audiobook",
              IFERROR(FIND("BIO",$B72)&gt;0,FALSE)),RIGHT(B72,LEN(B72)-3),
IF(D72="Juvenile Large Type","J "&amp;RIGHT(B72,LEN(B72)-11),
IF(D72="Teen Large Type","TEEN "&amp;RIGHT(B72,LEN(B72)-14),
IF(D72="Reference",RIGHT(B72,LEN(B72)-4),
IF(D72="DVD Educational",RIGHT(B72,LEN(B72)-7),
IF(D72="Juvenile DVD Educational",RIGHT(B72,LEN(B72)-9),
B72)))))))))))))))))</f>
        <v/>
      </c>
      <c r="N72" s="11" t="str">
        <f ca="1">IF(IFERROR(FIND("New",$A72)&gt;0,FALSE),"New ","") &amp; IF(IFERROR(FIND("In Lib",$A72)&gt;0,FALSE),"Reference ","") &amp;
IF(AND(D72="Audiobook",LEFT(B72,6)="CD BIO"),"Biography",
IF(AND(D72="Teen Audiobook",LEFT(B72,11)="TEEN CD BIO"),"Biography",
IF(AND(D72="Juvenile Audiobook",LEFT(B72,8)="J CD BIO"),"Biography",
IF(AND(D72="Audiobook",LEFT(B72,6)="CD FIC"),"Audiobook Fiction",
IF(AND(D72="Teen Audiobook",LEFT(B72,11)="TEEN CD FIC"),"Teen Audiobook",
IF(AND(D72="Juvenile Audiobook",LEFT(B72,8)="J CD FIC"),"Juvenile Audiobook",
IF(D72="Audiobook","Nonfiction",
IF(D72="Juvenile Audiobook","Nonfiction",
IF(D72="Teen Audiobook","Nonfiction",
IF(D72="Juvenile Nonfiction","Nonfiction",
IF(D72="Teen Nonfiction","Nonfiction",
IF(D72="Juvenile Biography","Biography",
IF(D72="Teen Biography","Biography",
IF(D72="ESL","Nonfiction",
IF(LEFT(B72,11)="INTL-VIE J ","International Juvenile",IF(LEFT(B72,11)="INTL-TAG J ","International Juvenile",IF(LEFT(B72,11)="INTL-RUS J ","International Juvenile",IF(LEFT(B72,11)="INTL-KOR J ","International Juvenile",IF(LEFT(B72,11)="INTL-JAP J ","International Juvenile",IF(LEFT(B72,11)="INTL-CHI J ","International Juvenile",IF(LEFT(B72,11)="INTL-SPA J ","International Juvenile",IF(LEFT(B72,14)="INTL-VIE TEEN ","International Teen",IF(LEFT(B72,14)="INTL-TAG TEEN ","International Teen",IF(LEFT(B72,14)="INTL-RUS TEEN ","International Teen",IF(LEFT(B72,14)="INTL-KOR TEEN ","International Teen",IF(LEFT(B72,14)="INTL-JAP TEEN ","International Teen",IF(LEFT(B72,14)="INTL-CHI TEEN ","International Teen",IF(LEFT(B72,14)="INTL-SPA TEEN ","International Teen",IF(LEFT(B72,11)="INTL-VIE E ","International Easy",IF(LEFT(B72,11)="INTL-TAG E ","International Easy",IF(LEFT(B72,11)="INTL-RUS E ","International Easy",IF(LEFT(B72,11)="INTL-JAP E ","International Easy",IF(LEFT(B72,11)="INTL-KOR E ","International Easy",IF(LEFT(B72,11)="INTL-CHI E ","International Easy",IF(LEFT(B72,11)="INTL-SPA E ","International Easy",
IF(D72="Teen Large Type","Teen Fiction",
IF(D72="Juvenile Large Type","Juvenile Fiction",
IF(LEFT(B72,6)="J CD O","Juvenile Compact Disc",
IF(AND(LEFT(B72,4)="TEEN",D72="Fiction"),"Teen Fiction",
IF(D72="DVD Educational","Nonfiction",
IF(D72="Juvenile DVD Educational","Nonfiction",
IF(D72="Reference","Nonfiction",
D72))))))))))))))))))))))))))))))))))))))))))</f>
        <v>Nonfiction</v>
      </c>
    </row>
    <row r="73" spans="1:14" ht="27" customHeight="1" x14ac:dyDescent="0.25">
      <c r="A73" s="10" t="str">
        <f ca="1">TEXT( INDIRECT( ADDRESS( ROW() + Row_Offset, INDIRECT( "Column_Number_" &amp; A$1), 4,1, tabname) ), "")</f>
        <v>In Library Use Only</v>
      </c>
      <c r="B73" s="10" t="str">
        <f ca="1">TEXT(  IFERROR( VLOOKUP( $D73, CollName_Simplifier_Table[], 2, FALSE),"") &amp;
        INDIRECT( ADDRESS( ROW() + Row_Offset, INDIRECT( "Column_Number_" &amp; $B$1), 4,1, tabname) ), "")</f>
        <v/>
      </c>
      <c r="C73" s="10" t="str">
        <f ca="1">TEXT( INDIRECT( ADDRESS( ROW() + Row_Offset, INDIRECT( "Column_Number_" &amp; C$1), 4,1, tabname) ), "")</f>
        <v>Travel smart. (Apr. 15 2014)</v>
      </c>
      <c r="D73" s="10" t="str">
        <f ca="1">TEXT( INDIRECT( ADDRESS( ROW() + Row_Offset, INDIRECT( "Column_Number_" &amp; D$1), 4,1, tabname) ), "")</f>
        <v>Magazine</v>
      </c>
      <c r="E73" s="10" t="str">
        <f ca="1">TEXT( INDIRECT( ADDRESS( ROW() + Row_Offset, INDIRECT( "Column_Number_" &amp; E$1), 4,1, tabname) ), "####")</f>
        <v>1976</v>
      </c>
      <c r="F73" s="15"/>
      <c r="G73" s="22">
        <f ca="1">IFERROR(INDEX(Rank_Table[],MATCH($D73&amp;$A73,Table4[Join],0)),"")</f>
        <v>168</v>
      </c>
      <c r="H73" s="11" t="str">
        <f ca="1">IF(AND(D73="Juvenile Audiobook",LEFT(B73,8)="J CD BIO"),RIGHT(B73,LEN(B73)-9),
IF(AND(D73="Juvenile Audiobook",LEFT(B73,8)="J CD FIC"),B73,
IF(D73="Juvenile Audiobook",RIGHT(B73,LEN(B73)-5),
IF(AND(D73="Teen Audiobook",LEFT(B73,11)="TEEN CD BIO"),RIGHT(B73,LEN(B73)-12),
IF(AND(D73="Teen Audiobook",LEFT(B73,11)="TEEN CD FIC"),B73,
IF(D73="Juvenile Audiobook",RIGHT(B73,LEN(B73)-8),
IF(D73="Juvenile Nonfiction",RIGHT(B73,LEN(B73)-2),
IF(D73="Teen Nonfiction",RIGHT(B73,LEN(B73)-5),
IF(AND(D73="Audiobook",
              NOT(OR(Contains($B73,"CD BIO"),Contains($B73,"CD FIC")))),RIGHT(B73,LEN(B73)-3),
IF(D73="Juvenile Biography",RIGHT(B73,LEN(B73)-2),
IF(D73="Teen Biography",RIGHT(B73,LEN(B73)-5),
IF(AND(D73="Audiobook",
              IFERROR(FIND("BIO",$B73)&gt;0,FALSE)),RIGHT(B73,LEN(B73)-3),
IF(D73="Juvenile Large Type","J "&amp;RIGHT(B73,LEN(B73)-11),
IF(D73="Teen Large Type","TEEN "&amp;RIGHT(B73,LEN(B73)-14),
IF(D73="Reference",RIGHT(B73,LEN(B73)-4),
IF(D73="DVD Educational",RIGHT(B73,LEN(B73)-7),
IF(D73="Juvenile DVD Educational",RIGHT(B73,LEN(B73)-9),
B73)))))))))))))))))</f>
        <v/>
      </c>
      <c r="N73" s="11" t="str">
        <f ca="1">IF(IFERROR(FIND("New",$A73)&gt;0,FALSE),"New ","") &amp; IF(IFERROR(FIND("In Lib",$A73)&gt;0,FALSE),"Reference ","") &amp;
IF(AND(D73="Audiobook",LEFT(B73,6)="CD BIO"),"Biography",
IF(AND(D73="Teen Audiobook",LEFT(B73,11)="TEEN CD BIO"),"Biography",
IF(AND(D73="Juvenile Audiobook",LEFT(B73,8)="J CD BIO"),"Biography",
IF(AND(D73="Audiobook",LEFT(B73,6)="CD FIC"),"Audiobook Fiction",
IF(AND(D73="Teen Audiobook",LEFT(B73,11)="TEEN CD FIC"),"Teen Audiobook",
IF(AND(D73="Juvenile Audiobook",LEFT(B73,8)="J CD FIC"),"Juvenile Audiobook",
IF(D73="Audiobook","Nonfiction",
IF(D73="Juvenile Audiobook","Nonfiction",
IF(D73="Teen Audiobook","Nonfiction",
IF(D73="Juvenile Nonfiction","Nonfiction",
IF(D73="Teen Nonfiction","Nonfiction",
IF(D73="Juvenile Biography","Biography",
IF(D73="Teen Biography","Biography",
IF(D73="ESL","Nonfiction",
IF(LEFT(B73,11)="INTL-VIE J ","International Juvenile",IF(LEFT(B73,11)="INTL-TAG J ","International Juvenile",IF(LEFT(B73,11)="INTL-RUS J ","International Juvenile",IF(LEFT(B73,11)="INTL-KOR J ","International Juvenile",IF(LEFT(B73,11)="INTL-JAP J ","International Juvenile",IF(LEFT(B73,11)="INTL-CHI J ","International Juvenile",IF(LEFT(B73,11)="INTL-SPA J ","International Juvenile",IF(LEFT(B73,14)="INTL-VIE TEEN ","International Teen",IF(LEFT(B73,14)="INTL-TAG TEEN ","International Teen",IF(LEFT(B73,14)="INTL-RUS TEEN ","International Teen",IF(LEFT(B73,14)="INTL-KOR TEEN ","International Teen",IF(LEFT(B73,14)="INTL-JAP TEEN ","International Teen",IF(LEFT(B73,14)="INTL-CHI TEEN ","International Teen",IF(LEFT(B73,14)="INTL-SPA TEEN ","International Teen",IF(LEFT(B73,11)="INTL-VIE E ","International Easy",IF(LEFT(B73,11)="INTL-TAG E ","International Easy",IF(LEFT(B73,11)="INTL-RUS E ","International Easy",IF(LEFT(B73,11)="INTL-JAP E ","International Easy",IF(LEFT(B73,11)="INTL-KOR E ","International Easy",IF(LEFT(B73,11)="INTL-CHI E ","International Easy",IF(LEFT(B73,11)="INTL-SPA E ","International Easy",
IF(D73="Teen Large Type","Teen Fiction",
IF(D73="Juvenile Large Type","Juvenile Fiction",
IF(LEFT(B73,6)="J CD O","Juvenile Compact Disc",
IF(AND(LEFT(B73,4)="TEEN",D73="Fiction"),"Teen Fiction",
IF(D73="DVD Educational","Nonfiction",
IF(D73="Juvenile DVD Educational","Nonfiction",
IF(D73="Reference","Nonfiction",
D73))))))))))))))))))))))))))))))))))))))))))</f>
        <v>Nonfiction</v>
      </c>
    </row>
    <row r="74" spans="1:14" ht="27" customHeight="1" x14ac:dyDescent="0.25">
      <c r="A74" s="10" t="str">
        <f ca="1">TEXT( INDIRECT( ADDRESS( ROW() + Row_Offset, INDIRECT( "Column_Number_" &amp; A$1), 4,1, tabname) ), "")</f>
        <v>In Library Use Only</v>
      </c>
      <c r="B74" s="10" t="str">
        <f ca="1">TEXT(  IFERROR( VLOOKUP( $D74, CollName_Simplifier_Table[], 2, FALSE),"") &amp;
        INDIRECT( ADDRESS( ROW() + Row_Offset, INDIRECT( "Column_Number_" &amp; $B$1), 4,1, tabname) ), "")</f>
        <v/>
      </c>
      <c r="C74" s="10" t="str">
        <f ca="1">TEXT( INDIRECT( ADDRESS( ROW() + Row_Offset, INDIRECT( "Column_Number_" &amp; C$1), 4,1, tabname) ), "")</f>
        <v>Bookmarks. No. 71  (July/August 2014)</v>
      </c>
      <c r="D74" s="10" t="str">
        <f ca="1">TEXT( INDIRECT( ADDRESS( ROW() + Row_Offset, INDIRECT( "Column_Number_" &amp; D$1), 4,1, tabname) ), "")</f>
        <v>Magazine</v>
      </c>
      <c r="E74" s="10" t="str">
        <f ca="1">TEXT( INDIRECT( ADDRESS( ROW() + Row_Offset, INDIRECT( "Column_Number_" &amp; E$1), 4,1, tabname) ), "####")</f>
        <v>2002</v>
      </c>
      <c r="F74" s="15"/>
      <c r="G74" s="22">
        <f ca="1">IFERROR(INDEX(Rank_Table[],MATCH($D74&amp;$A74,Table4[Join],0)),"")</f>
        <v>168</v>
      </c>
      <c r="H74" s="11" t="str">
        <f ca="1">IF(AND(D74="Juvenile Audiobook",LEFT(B74,8)="J CD BIO"),RIGHT(B74,LEN(B74)-9),
IF(AND(D74="Juvenile Audiobook",LEFT(B74,8)="J CD FIC"),B74,
IF(D74="Juvenile Audiobook",RIGHT(B74,LEN(B74)-5),
IF(AND(D74="Teen Audiobook",LEFT(B74,11)="TEEN CD BIO"),RIGHT(B74,LEN(B74)-12),
IF(AND(D74="Teen Audiobook",LEFT(B74,11)="TEEN CD FIC"),B74,
IF(D74="Juvenile Audiobook",RIGHT(B74,LEN(B74)-8),
IF(D74="Juvenile Nonfiction",RIGHT(B74,LEN(B74)-2),
IF(D74="Teen Nonfiction",RIGHT(B74,LEN(B74)-5),
IF(AND(D74="Audiobook",
              NOT(OR(Contains($B74,"CD BIO"),Contains($B74,"CD FIC")))),RIGHT(B74,LEN(B74)-3),
IF(D74="Juvenile Biography",RIGHT(B74,LEN(B74)-2),
IF(D74="Teen Biography",RIGHT(B74,LEN(B74)-5),
IF(AND(D74="Audiobook",
              IFERROR(FIND("BIO",$B74)&gt;0,FALSE)),RIGHT(B74,LEN(B74)-3),
IF(D74="Juvenile Large Type","J "&amp;RIGHT(B74,LEN(B74)-11),
IF(D74="Teen Large Type","TEEN "&amp;RIGHT(B74,LEN(B74)-14),
IF(D74="Reference",RIGHT(B74,LEN(B74)-4),
IF(D74="DVD Educational",RIGHT(B74,LEN(B74)-7),
IF(D74="Juvenile DVD Educational",RIGHT(B74,LEN(B74)-9),
B74)))))))))))))))))</f>
        <v/>
      </c>
      <c r="N74" s="11" t="str">
        <f ca="1">IF(IFERROR(FIND("New",$A74)&gt;0,FALSE),"New ","") &amp; IF(IFERROR(FIND("In Lib",$A74)&gt;0,FALSE),"Reference ","") &amp;
IF(AND(D74="Audiobook",LEFT(B74,6)="CD BIO"),"Biography",
IF(AND(D74="Teen Audiobook",LEFT(B74,11)="TEEN CD BIO"),"Biography",
IF(AND(D74="Juvenile Audiobook",LEFT(B74,8)="J CD BIO"),"Biography",
IF(AND(D74="Audiobook",LEFT(B74,6)="CD FIC"),"Audiobook Fiction",
IF(AND(D74="Teen Audiobook",LEFT(B74,11)="TEEN CD FIC"),"Teen Audiobook",
IF(AND(D74="Juvenile Audiobook",LEFT(B74,8)="J CD FIC"),"Juvenile Audiobook",
IF(D74="Audiobook","Nonfiction",
IF(D74="Juvenile Audiobook","Nonfiction",
IF(D74="Teen Audiobook","Nonfiction",
IF(D74="Juvenile Nonfiction","Nonfiction",
IF(D74="Teen Nonfiction","Nonfiction",
IF(D74="Juvenile Biography","Biography",
IF(D74="Teen Biography","Biography",
IF(D74="ESL","Nonfiction",
IF(LEFT(B74,11)="INTL-VIE J ","International Juvenile",IF(LEFT(B74,11)="INTL-TAG J ","International Juvenile",IF(LEFT(B74,11)="INTL-RUS J ","International Juvenile",IF(LEFT(B74,11)="INTL-KOR J ","International Juvenile",IF(LEFT(B74,11)="INTL-JAP J ","International Juvenile",IF(LEFT(B74,11)="INTL-CHI J ","International Juvenile",IF(LEFT(B74,11)="INTL-SPA J ","International Juvenile",IF(LEFT(B74,14)="INTL-VIE TEEN ","International Teen",IF(LEFT(B74,14)="INTL-TAG TEEN ","International Teen",IF(LEFT(B74,14)="INTL-RUS TEEN ","International Teen",IF(LEFT(B74,14)="INTL-KOR TEEN ","International Teen",IF(LEFT(B74,14)="INTL-JAP TEEN ","International Teen",IF(LEFT(B74,14)="INTL-CHI TEEN ","International Teen",IF(LEFT(B74,14)="INTL-SPA TEEN ","International Teen",IF(LEFT(B74,11)="INTL-VIE E ","International Easy",IF(LEFT(B74,11)="INTL-TAG E ","International Easy",IF(LEFT(B74,11)="INTL-RUS E ","International Easy",IF(LEFT(B74,11)="INTL-JAP E ","International Easy",IF(LEFT(B74,11)="INTL-KOR E ","International Easy",IF(LEFT(B74,11)="INTL-CHI E ","International Easy",IF(LEFT(B74,11)="INTL-SPA E ","International Easy",
IF(D74="Teen Large Type","Teen Fiction",
IF(D74="Juvenile Large Type","Juvenile Fiction",
IF(LEFT(B74,6)="J CD O","Juvenile Compact Disc",
IF(AND(LEFT(B74,4)="TEEN",D74="Fiction"),"Teen Fiction",
IF(D74="DVD Educational","Nonfiction",
IF(D74="Juvenile DVD Educational","Nonfiction",
IF(D74="Reference","Nonfiction",
D74))))))))))))))))))))))))))))))))))))))))))</f>
        <v>Nonfiction</v>
      </c>
    </row>
    <row r="75" spans="1:14" ht="27" customHeight="1" x14ac:dyDescent="0.25">
      <c r="A75" s="10" t="str">
        <f ca="1">TEXT( INDIRECT( ADDRESS( ROW() + Row_Offset, INDIRECT( "Column_Number_" &amp; A$1), 4,1, tabname) ), "")</f>
        <v>In Library Use Only</v>
      </c>
      <c r="B75" s="10" t="str">
        <f ca="1">TEXT(  IFERROR( VLOOKUP( $D75, CollName_Simplifier_Table[], 2, FALSE),"") &amp;
        INDIRECT( ADDRESS( ROW() + Row_Offset, INDIRECT( "Column_Number_" &amp; $B$1), 4,1, tabname) ), "")</f>
        <v/>
      </c>
      <c r="C75" s="10" t="str">
        <f ca="1">TEXT( INDIRECT( ADDRESS( ROW() + Row_Offset, INDIRECT( "Column_Number_" &amp; C$1), 4,1, tabname) ), "")</f>
        <v>Health. v. 28 no. 6  (July/Aug. 2014)</v>
      </c>
      <c r="D75" s="10" t="str">
        <f ca="1">TEXT( INDIRECT( ADDRESS( ROW() + Row_Offset, INDIRECT( "Column_Number_" &amp; D$1), 4,1, tabname) ), "")</f>
        <v>Magazine</v>
      </c>
      <c r="E75" s="10" t="str">
        <f ca="1">TEXT( INDIRECT( ADDRESS( ROW() + Row_Offset, INDIRECT( "Column_Number_" &amp; E$1), 4,1, tabname) ), "####")</f>
        <v>1992</v>
      </c>
      <c r="F75" s="15"/>
      <c r="G75" s="22">
        <f ca="1">IFERROR(INDEX(Rank_Table[],MATCH($D75&amp;$A75,Table4[Join],0)),"")</f>
        <v>168</v>
      </c>
      <c r="H75" s="11" t="str">
        <f ca="1">IF(AND(D75="Juvenile Audiobook",LEFT(B75,8)="J CD BIO"),RIGHT(B75,LEN(B75)-9),
IF(AND(D75="Juvenile Audiobook",LEFT(B75,8)="J CD FIC"),B75,
IF(D75="Juvenile Audiobook",RIGHT(B75,LEN(B75)-5),
IF(AND(D75="Teen Audiobook",LEFT(B75,11)="TEEN CD BIO"),RIGHT(B75,LEN(B75)-12),
IF(AND(D75="Teen Audiobook",LEFT(B75,11)="TEEN CD FIC"),B75,
IF(D75="Juvenile Audiobook",RIGHT(B75,LEN(B75)-8),
IF(D75="Juvenile Nonfiction",RIGHT(B75,LEN(B75)-2),
IF(D75="Teen Nonfiction",RIGHT(B75,LEN(B75)-5),
IF(AND(D75="Audiobook",
              NOT(OR(Contains($B75,"CD BIO"),Contains($B75,"CD FIC")))),RIGHT(B75,LEN(B75)-3),
IF(D75="Juvenile Biography",RIGHT(B75,LEN(B75)-2),
IF(D75="Teen Biography",RIGHT(B75,LEN(B75)-5),
IF(AND(D75="Audiobook",
              IFERROR(FIND("BIO",$B75)&gt;0,FALSE)),RIGHT(B75,LEN(B75)-3),
IF(D75="Juvenile Large Type","J "&amp;RIGHT(B75,LEN(B75)-11),
IF(D75="Teen Large Type","TEEN "&amp;RIGHT(B75,LEN(B75)-14),
IF(D75="Reference",RIGHT(B75,LEN(B75)-4),
IF(D75="DVD Educational",RIGHT(B75,LEN(B75)-7),
IF(D75="Juvenile DVD Educational",RIGHT(B75,LEN(B75)-9),
B75)))))))))))))))))</f>
        <v/>
      </c>
      <c r="N75" s="11" t="str">
        <f ca="1">IF(IFERROR(FIND("New",$A75)&gt;0,FALSE),"New ","") &amp; IF(IFERROR(FIND("In Lib",$A75)&gt;0,FALSE),"Reference ","") &amp;
IF(AND(D75="Audiobook",LEFT(B75,6)="CD BIO"),"Biography",
IF(AND(D75="Teen Audiobook",LEFT(B75,11)="TEEN CD BIO"),"Biography",
IF(AND(D75="Juvenile Audiobook",LEFT(B75,8)="J CD BIO"),"Biography",
IF(AND(D75="Audiobook",LEFT(B75,6)="CD FIC"),"Audiobook Fiction",
IF(AND(D75="Teen Audiobook",LEFT(B75,11)="TEEN CD FIC"),"Teen Audiobook",
IF(AND(D75="Juvenile Audiobook",LEFT(B75,8)="J CD FIC"),"Juvenile Audiobook",
IF(D75="Audiobook","Nonfiction",
IF(D75="Juvenile Audiobook","Nonfiction",
IF(D75="Teen Audiobook","Nonfiction",
IF(D75="Juvenile Nonfiction","Nonfiction",
IF(D75="Teen Nonfiction","Nonfiction",
IF(D75="Juvenile Biography","Biography",
IF(D75="Teen Biography","Biography",
IF(D75="ESL","Nonfiction",
IF(LEFT(B75,11)="INTL-VIE J ","International Juvenile",IF(LEFT(B75,11)="INTL-TAG J ","International Juvenile",IF(LEFT(B75,11)="INTL-RUS J ","International Juvenile",IF(LEFT(B75,11)="INTL-KOR J ","International Juvenile",IF(LEFT(B75,11)="INTL-JAP J ","International Juvenile",IF(LEFT(B75,11)="INTL-CHI J ","International Juvenile",IF(LEFT(B75,11)="INTL-SPA J ","International Juvenile",IF(LEFT(B75,14)="INTL-VIE TEEN ","International Teen",IF(LEFT(B75,14)="INTL-TAG TEEN ","International Teen",IF(LEFT(B75,14)="INTL-RUS TEEN ","International Teen",IF(LEFT(B75,14)="INTL-KOR TEEN ","International Teen",IF(LEFT(B75,14)="INTL-JAP TEEN ","International Teen",IF(LEFT(B75,14)="INTL-CHI TEEN ","International Teen",IF(LEFT(B75,14)="INTL-SPA TEEN ","International Teen",IF(LEFT(B75,11)="INTL-VIE E ","International Easy",IF(LEFT(B75,11)="INTL-TAG E ","International Easy",IF(LEFT(B75,11)="INTL-RUS E ","International Easy",IF(LEFT(B75,11)="INTL-JAP E ","International Easy",IF(LEFT(B75,11)="INTL-KOR E ","International Easy",IF(LEFT(B75,11)="INTL-CHI E ","International Easy",IF(LEFT(B75,11)="INTL-SPA E ","International Easy",
IF(D75="Teen Large Type","Teen Fiction",
IF(D75="Juvenile Large Type","Juvenile Fiction",
IF(LEFT(B75,6)="J CD O","Juvenile Compact Disc",
IF(AND(LEFT(B75,4)="TEEN",D75="Fiction"),"Teen Fiction",
IF(D75="DVD Educational","Nonfiction",
IF(D75="Juvenile DVD Educational","Nonfiction",
IF(D75="Reference","Nonfiction",
D75))))))))))))))))))))))))))))))))))))))))))</f>
        <v>Teen Fiction</v>
      </c>
    </row>
    <row r="76" spans="1:14" ht="27" customHeight="1" x14ac:dyDescent="0.25">
      <c r="A76" s="10" t="str">
        <f ca="1">TEXT( INDIRECT( ADDRESS( ROW() + Row_Offset, INDIRECT( "Column_Number_" &amp; A$1), 4,1, tabname) ), "")</f>
        <v/>
      </c>
      <c r="B76" s="10" t="str">
        <f ca="1">TEXT(  IFERROR( VLOOKUP( $D76, CollName_Simplifier_Table[], 2, FALSE),"") &amp;
        INDIRECT( ADDRESS( ROW() + Row_Offset, INDIRECT( "Column_Number_" &amp; $B$1), 4,1, tabname) ), "")</f>
        <v/>
      </c>
      <c r="C76" s="10" t="str">
        <f ca="1">TEXT( INDIRECT( ADDRESS( ROW() + Row_Offset, INDIRECT( "Column_Number_" &amp; C$1), 4,1, tabname) ), "")</f>
        <v/>
      </c>
      <c r="D76" s="10" t="str">
        <f ca="1">TEXT( INDIRECT( ADDRESS( ROW() + Row_Offset, INDIRECT( "Column_Number_" &amp; D$1), 4,1, tabname) ), "")</f>
        <v/>
      </c>
      <c r="E76" s="10" t="str">
        <f ca="1">TEXT( INDIRECT( ADDRESS( ROW() + Row_Offset, INDIRECT( "Column_Number_" &amp; E$1), 4,1, tabname) ), "####")</f>
        <v/>
      </c>
      <c r="F76" s="15"/>
      <c r="G76" s="22" t="str">
        <f ca="1">IFERROR(INDEX(Rank_Table[],MATCH($D76&amp;$A76,Table4[Join],0)),"")</f>
        <v/>
      </c>
      <c r="H76" s="11" t="str">
        <f ca="1">IF(AND(D76="Juvenile Audiobook",LEFT(B76,8)="J CD BIO"),RIGHT(B76,LEN(B76)-9),
IF(AND(D76="Juvenile Audiobook",LEFT(B76,8)="J CD FIC"),B76,
IF(D76="Juvenile Audiobook",RIGHT(B76,LEN(B76)-5),
IF(AND(D76="Teen Audiobook",LEFT(B76,11)="TEEN CD BIO"),RIGHT(B76,LEN(B76)-12),
IF(AND(D76="Teen Audiobook",LEFT(B76,11)="TEEN CD FIC"),B76,
IF(D76="Juvenile Audiobook",RIGHT(B76,LEN(B76)-8),
IF(D76="Juvenile Nonfiction",RIGHT(B76,LEN(B76)-2),
IF(D76="Teen Nonfiction",RIGHT(B76,LEN(B76)-5),
IF(AND(D76="Audiobook",
              NOT(OR(Contains($B76,"CD BIO"),Contains($B76,"CD FIC")))),RIGHT(B76,LEN(B76)-3),
IF(D76="Juvenile Biography",RIGHT(B76,LEN(B76)-2),
IF(D76="Teen Biography",RIGHT(B76,LEN(B76)-5),
IF(AND(D76="Audiobook",
              IFERROR(FIND("BIO",$B76)&gt;0,FALSE)),RIGHT(B76,LEN(B76)-3),
IF(D76="Juvenile Large Type","J "&amp;RIGHT(B76,LEN(B76)-11),
IF(D76="Teen Large Type","TEEN "&amp;RIGHT(B76,LEN(B76)-14),
IF(D76="Reference",RIGHT(B76,LEN(B76)-4),
IF(D76="DVD Educational",RIGHT(B76,LEN(B76)-7),
IF(D76="Juvenile DVD Educational",RIGHT(B76,LEN(B76)-9),
B76)))))))))))))))))</f>
        <v/>
      </c>
      <c r="N76" s="11" t="str">
        <f ca="1">IF(IFERROR(FIND("New",$A76)&gt;0,FALSE),"New ","") &amp; IF(IFERROR(FIND("In Lib",$A76)&gt;0,FALSE),"Reference ","") &amp;
IF(AND(D76="Audiobook",LEFT(B76,6)="CD BIO"),"Biography",
IF(AND(D76="Teen Audiobook",LEFT(B76,11)="TEEN CD BIO"),"Biography",
IF(AND(D76="Juvenile Audiobook",LEFT(B76,8)="J CD BIO"),"Biography",
IF(AND(D76="Audiobook",LEFT(B76,6)="CD FIC"),"Audiobook Fiction",
IF(AND(D76="Teen Audiobook",LEFT(B76,11)="TEEN CD FIC"),"Teen Audiobook",
IF(AND(D76="Juvenile Audiobook",LEFT(B76,8)="J CD FIC"),"Juvenile Audiobook",
IF(D76="Audiobook","Nonfiction",
IF(D76="Juvenile Audiobook","Nonfiction",
IF(D76="Teen Audiobook","Nonfiction",
IF(D76="Juvenile Nonfiction","Nonfiction",
IF(D76="Teen Nonfiction","Nonfiction",
IF(D76="Juvenile Biography","Biography",
IF(D76="Teen Biography","Biography",
IF(D76="ESL","Nonfiction",
IF(LEFT(B76,11)="INTL-VIE J ","International Juvenile",IF(LEFT(B76,11)="INTL-TAG J ","International Juvenile",IF(LEFT(B76,11)="INTL-RUS J ","International Juvenile",IF(LEFT(B76,11)="INTL-KOR J ","International Juvenile",IF(LEFT(B76,11)="INTL-JAP J ","International Juvenile",IF(LEFT(B76,11)="INTL-CHI J ","International Juvenile",IF(LEFT(B76,11)="INTL-SPA J ","International Juvenile",IF(LEFT(B76,14)="INTL-VIE TEEN ","International Teen",IF(LEFT(B76,14)="INTL-TAG TEEN ","International Teen",IF(LEFT(B76,14)="INTL-RUS TEEN ","International Teen",IF(LEFT(B76,14)="INTL-KOR TEEN ","International Teen",IF(LEFT(B76,14)="INTL-JAP TEEN ","International Teen",IF(LEFT(B76,14)="INTL-CHI TEEN ","International Teen",IF(LEFT(B76,14)="INTL-SPA TEEN ","International Teen",IF(LEFT(B76,11)="INTL-VIE E ","International Easy",IF(LEFT(B76,11)="INTL-TAG E ","International Easy",IF(LEFT(B76,11)="INTL-RUS E ","International Easy",IF(LEFT(B76,11)="INTL-JAP E ","International Easy",IF(LEFT(B76,11)="INTL-KOR E ","International Easy",IF(LEFT(B76,11)="INTL-CHI E ","International Easy",IF(LEFT(B76,11)="INTL-SPA E ","International Easy",
IF(D76="Teen Large Type","Teen Fiction",
IF(D76="Juvenile Large Type","Juvenile Fiction",
IF(LEFT(B76,6)="J CD O","Juvenile Compact Disc",
IF(AND(LEFT(B76,4)="TEEN",D76="Fiction"),"Teen Fiction",
IF(D76="DVD Educational","Nonfiction",
IF(D76="Juvenile DVD Educational","Nonfiction",
IF(D76="Reference","Nonfiction",
D76))))))))))))))))))))))))))))))))))))))))))</f>
        <v/>
      </c>
    </row>
    <row r="77" spans="1:14" ht="27" customHeight="1" x14ac:dyDescent="0.25">
      <c r="A77" s="10" t="str">
        <f ca="1">TEXT( INDIRECT( ADDRESS( ROW() + Row_Offset, INDIRECT( "Column_Number_" &amp; A$1), 4,1, tabname) ), "")</f>
        <v/>
      </c>
      <c r="B77" s="10" t="str">
        <f ca="1">TEXT(  IFERROR( VLOOKUP( $D77, CollName_Simplifier_Table[], 2, FALSE),"") &amp;
        INDIRECT( ADDRESS( ROW() + Row_Offset, INDIRECT( "Column_Number_" &amp; $B$1), 4,1, tabname) ), "")</f>
        <v/>
      </c>
      <c r="C77" s="10" t="str">
        <f ca="1">TEXT( INDIRECT( ADDRESS( ROW() + Row_Offset, INDIRECT( "Column_Number_" &amp; C$1), 4,1, tabname) ), "")</f>
        <v/>
      </c>
      <c r="D77" s="10" t="str">
        <f ca="1">TEXT( INDIRECT( ADDRESS( ROW() + Row_Offset, INDIRECT( "Column_Number_" &amp; D$1), 4,1, tabname) ), "")</f>
        <v/>
      </c>
      <c r="E77" s="10" t="str">
        <f ca="1">TEXT( INDIRECT( ADDRESS( ROW() + Row_Offset, INDIRECT( "Column_Number_" &amp; E$1), 4,1, tabname) ), "####")</f>
        <v/>
      </c>
      <c r="F77" s="15"/>
      <c r="G77" s="22" t="str">
        <f ca="1">IFERROR(INDEX(Rank_Table[],MATCH($D77&amp;$A77,Table4[Join],0)),"")</f>
        <v/>
      </c>
      <c r="H77" s="11" t="str">
        <f ca="1">IF(AND(D77="Juvenile Audiobook",LEFT(B77,8)="J CD BIO"),RIGHT(B77,LEN(B77)-9),
IF(AND(D77="Juvenile Audiobook",LEFT(B77,8)="J CD FIC"),B77,
IF(D77="Juvenile Audiobook",RIGHT(B77,LEN(B77)-5),
IF(AND(D77="Teen Audiobook",LEFT(B77,11)="TEEN CD BIO"),RIGHT(B77,LEN(B77)-12),
IF(AND(D77="Teen Audiobook",LEFT(B77,11)="TEEN CD FIC"),B77,
IF(D77="Juvenile Audiobook",RIGHT(B77,LEN(B77)-8),
IF(D77="Juvenile Nonfiction",RIGHT(B77,LEN(B77)-2),
IF(D77="Teen Nonfiction",RIGHT(B77,LEN(B77)-5),
IF(AND(D77="Audiobook",
              NOT(OR(Contains($B77,"CD BIO"),Contains($B77,"CD FIC")))),RIGHT(B77,LEN(B77)-3),
IF(D77="Juvenile Biography",RIGHT(B77,LEN(B77)-2),
IF(D77="Teen Biography",RIGHT(B77,LEN(B77)-5),
IF(AND(D77="Audiobook",
              IFERROR(FIND("BIO",$B77)&gt;0,FALSE)),RIGHT(B77,LEN(B77)-3),
IF(D77="Juvenile Large Type","J "&amp;RIGHT(B77,LEN(B77)-11),
IF(D77="Teen Large Type","TEEN "&amp;RIGHT(B77,LEN(B77)-14),
IF(D77="Reference",RIGHT(B77,LEN(B77)-4),
IF(D77="DVD Educational",RIGHT(B77,LEN(B77)-7),
IF(D77="Juvenile DVD Educational",RIGHT(B77,LEN(B77)-9),
B77)))))))))))))))))</f>
        <v/>
      </c>
      <c r="N77" s="11" t="str">
        <f ca="1">IF(IFERROR(FIND("New",$A77)&gt;0,FALSE),"New ","") &amp; IF(IFERROR(FIND("In Lib",$A77)&gt;0,FALSE),"Reference ","") &amp;
IF(AND(D77="Audiobook",LEFT(B77,6)="CD BIO"),"Biography",
IF(AND(D77="Teen Audiobook",LEFT(B77,11)="TEEN CD BIO"),"Biography",
IF(AND(D77="Juvenile Audiobook",LEFT(B77,8)="J CD BIO"),"Biography",
IF(AND(D77="Audiobook",LEFT(B77,6)="CD FIC"),"Audiobook Fiction",
IF(AND(D77="Teen Audiobook",LEFT(B77,11)="TEEN CD FIC"),"Teen Audiobook",
IF(AND(D77="Juvenile Audiobook",LEFT(B77,8)="J CD FIC"),"Juvenile Audiobook",
IF(D77="Audiobook","Nonfiction",
IF(D77="Juvenile Audiobook","Nonfiction",
IF(D77="Teen Audiobook","Nonfiction",
IF(D77="Juvenile Nonfiction","Nonfiction",
IF(D77="Teen Nonfiction","Nonfiction",
IF(D77="Juvenile Biography","Biography",
IF(D77="Teen Biography","Biography",
IF(D77="ESL","Nonfiction",
IF(LEFT(B77,11)="INTL-VIE J ","International Juvenile",IF(LEFT(B77,11)="INTL-TAG J ","International Juvenile",IF(LEFT(B77,11)="INTL-RUS J ","International Juvenile",IF(LEFT(B77,11)="INTL-KOR J ","International Juvenile",IF(LEFT(B77,11)="INTL-JAP J ","International Juvenile",IF(LEFT(B77,11)="INTL-CHI J ","International Juvenile",IF(LEFT(B77,11)="INTL-SPA J ","International Juvenile",IF(LEFT(B77,14)="INTL-VIE TEEN ","International Teen",IF(LEFT(B77,14)="INTL-TAG TEEN ","International Teen",IF(LEFT(B77,14)="INTL-RUS TEEN ","International Teen",IF(LEFT(B77,14)="INTL-KOR TEEN ","International Teen",IF(LEFT(B77,14)="INTL-JAP TEEN ","International Teen",IF(LEFT(B77,14)="INTL-CHI TEEN ","International Teen",IF(LEFT(B77,14)="INTL-SPA TEEN ","International Teen",IF(LEFT(B77,11)="INTL-VIE E ","International Easy",IF(LEFT(B77,11)="INTL-TAG E ","International Easy",IF(LEFT(B77,11)="INTL-RUS E ","International Easy",IF(LEFT(B77,11)="INTL-JAP E ","International Easy",IF(LEFT(B77,11)="INTL-KOR E ","International Easy",IF(LEFT(B77,11)="INTL-CHI E ","International Easy",IF(LEFT(B77,11)="INTL-SPA E ","International Easy",
IF(D77="Teen Large Type","Teen Fiction",
IF(D77="Juvenile Large Type","Juvenile Fiction",
IF(LEFT(B77,6)="J CD O","Juvenile Compact Disc",
IF(AND(LEFT(B77,4)="TEEN",D77="Fiction"),"Teen Fiction",
IF(D77="DVD Educational","Nonfiction",
IF(D77="Juvenile DVD Educational","Nonfiction",
IF(D77="Reference","Nonfiction",
D77))))))))))))))))))))))))))))))))))))))))))</f>
        <v/>
      </c>
    </row>
    <row r="78" spans="1:14" ht="27" customHeight="1" x14ac:dyDescent="0.25">
      <c r="A78" s="10" t="str">
        <f ca="1">TEXT( INDIRECT( ADDRESS( ROW() + Row_Offset, INDIRECT( "Column_Number_" &amp; A$1), 4,1, tabname) ), "")</f>
        <v/>
      </c>
      <c r="B78" s="10" t="str">
        <f ca="1">TEXT(  IFERROR( VLOOKUP( $D78, CollName_Simplifier_Table[], 2, FALSE),"") &amp;
        INDIRECT( ADDRESS( ROW() + Row_Offset, INDIRECT( "Column_Number_" &amp; $B$1), 4,1, tabname) ), "")</f>
        <v/>
      </c>
      <c r="C78" s="10" t="str">
        <f ca="1">TEXT( INDIRECT( ADDRESS( ROW() + Row_Offset, INDIRECT( "Column_Number_" &amp; C$1), 4,1, tabname) ), "")</f>
        <v/>
      </c>
      <c r="D78" s="10" t="str">
        <f ca="1">TEXT( INDIRECT( ADDRESS( ROW() + Row_Offset, INDIRECT( "Column_Number_" &amp; D$1), 4,1, tabname) ), "")</f>
        <v/>
      </c>
      <c r="E78" s="10" t="str">
        <f ca="1">TEXT( INDIRECT( ADDRESS( ROW() + Row_Offset, INDIRECT( "Column_Number_" &amp; E$1), 4,1, tabname) ), "####")</f>
        <v/>
      </c>
      <c r="F78" s="15"/>
      <c r="G78" s="22" t="str">
        <f ca="1">IFERROR(INDEX(Rank_Table[],MATCH($D78&amp;$A78,Table4[Join],0)),"")</f>
        <v/>
      </c>
      <c r="H78" s="11" t="str">
        <f ca="1">IF(AND(D78="Juvenile Audiobook",LEFT(B78,8)="J CD BIO"),RIGHT(B78,LEN(B78)-9),
IF(AND(D78="Juvenile Audiobook",LEFT(B78,8)="J CD FIC"),B78,
IF(D78="Juvenile Audiobook",RIGHT(B78,LEN(B78)-5),
IF(AND(D78="Teen Audiobook",LEFT(B78,11)="TEEN CD BIO"),RIGHT(B78,LEN(B78)-12),
IF(AND(D78="Teen Audiobook",LEFT(B78,11)="TEEN CD FIC"),B78,
IF(D78="Juvenile Audiobook",RIGHT(B78,LEN(B78)-8),
IF(D78="Juvenile Nonfiction",RIGHT(B78,LEN(B78)-2),
IF(D78="Teen Nonfiction",RIGHT(B78,LEN(B78)-5),
IF(AND(D78="Audiobook",
              NOT(OR(Contains($B78,"CD BIO"),Contains($B78,"CD FIC")))),RIGHT(B78,LEN(B78)-3),
IF(D78="Juvenile Biography",RIGHT(B78,LEN(B78)-2),
IF(D78="Teen Biography",RIGHT(B78,LEN(B78)-5),
IF(AND(D78="Audiobook",
              IFERROR(FIND("BIO",$B78)&gt;0,FALSE)),RIGHT(B78,LEN(B78)-3),
IF(D78="Juvenile Large Type","J "&amp;RIGHT(B78,LEN(B78)-11),
IF(D78="Teen Large Type","TEEN "&amp;RIGHT(B78,LEN(B78)-14),
IF(D78="Reference",RIGHT(B78,LEN(B78)-4),
IF(D78="DVD Educational",RIGHT(B78,LEN(B78)-7),
IF(D78="Juvenile DVD Educational",RIGHT(B78,LEN(B78)-9),
B78)))))))))))))))))</f>
        <v/>
      </c>
      <c r="N78" s="11" t="str">
        <f ca="1">IF(IFERROR(FIND("New",$A78)&gt;0,FALSE),"New ","") &amp; IF(IFERROR(FIND("In Lib",$A78)&gt;0,FALSE),"Reference ","") &amp;
IF(AND(D78="Audiobook",LEFT(B78,6)="CD BIO"),"Biography",
IF(AND(D78="Teen Audiobook",LEFT(B78,11)="TEEN CD BIO"),"Biography",
IF(AND(D78="Juvenile Audiobook",LEFT(B78,8)="J CD BIO"),"Biography",
IF(AND(D78="Audiobook",LEFT(B78,6)="CD FIC"),"Audiobook Fiction",
IF(AND(D78="Teen Audiobook",LEFT(B78,11)="TEEN CD FIC"),"Teen Audiobook",
IF(AND(D78="Juvenile Audiobook",LEFT(B78,8)="J CD FIC"),"Juvenile Audiobook",
IF(D78="Audiobook","Nonfiction",
IF(D78="Juvenile Audiobook","Nonfiction",
IF(D78="Teen Audiobook","Nonfiction",
IF(D78="Juvenile Nonfiction","Nonfiction",
IF(D78="Teen Nonfiction","Nonfiction",
IF(D78="Juvenile Biography","Biography",
IF(D78="Teen Biography","Biography",
IF(D78="ESL","Nonfiction",
IF(LEFT(B78,11)="INTL-VIE J ","International Juvenile",IF(LEFT(B78,11)="INTL-TAG J ","International Juvenile",IF(LEFT(B78,11)="INTL-RUS J ","International Juvenile",IF(LEFT(B78,11)="INTL-KOR J ","International Juvenile",IF(LEFT(B78,11)="INTL-JAP J ","International Juvenile",IF(LEFT(B78,11)="INTL-CHI J ","International Juvenile",IF(LEFT(B78,11)="INTL-SPA J ","International Juvenile",IF(LEFT(B78,14)="INTL-VIE TEEN ","International Teen",IF(LEFT(B78,14)="INTL-TAG TEEN ","International Teen",IF(LEFT(B78,14)="INTL-RUS TEEN ","International Teen",IF(LEFT(B78,14)="INTL-KOR TEEN ","International Teen",IF(LEFT(B78,14)="INTL-JAP TEEN ","International Teen",IF(LEFT(B78,14)="INTL-CHI TEEN ","International Teen",IF(LEFT(B78,14)="INTL-SPA TEEN ","International Teen",IF(LEFT(B78,11)="INTL-VIE E ","International Easy",IF(LEFT(B78,11)="INTL-TAG E ","International Easy",IF(LEFT(B78,11)="INTL-RUS E ","International Easy",IF(LEFT(B78,11)="INTL-JAP E ","International Easy",IF(LEFT(B78,11)="INTL-KOR E ","International Easy",IF(LEFT(B78,11)="INTL-CHI E ","International Easy",IF(LEFT(B78,11)="INTL-SPA E ","International Easy",
IF(D78="Teen Large Type","Teen Fiction",
IF(D78="Juvenile Large Type","Juvenile Fiction",
IF(LEFT(B78,6)="J CD O","Juvenile Compact Disc",
IF(AND(LEFT(B78,4)="TEEN",D78="Fiction"),"Teen Fiction",
IF(D78="DVD Educational","Nonfiction",
IF(D78="Juvenile DVD Educational","Nonfiction",
IF(D78="Reference","Nonfiction",
D78))))))))))))))))))))))))))))))))))))))))))</f>
        <v/>
      </c>
    </row>
    <row r="79" spans="1:14" ht="27" customHeight="1" x14ac:dyDescent="0.25">
      <c r="A79" s="10" t="str">
        <f ca="1">TEXT( INDIRECT( ADDRESS( ROW() + Row_Offset, INDIRECT( "Column_Number_" &amp; A$1), 4,1, tabname) ), "")</f>
        <v/>
      </c>
      <c r="B79" s="10" t="str">
        <f ca="1">TEXT(  IFERROR( VLOOKUP( $D79, CollName_Simplifier_Table[], 2, FALSE),"") &amp;
        INDIRECT( ADDRESS( ROW() + Row_Offset, INDIRECT( "Column_Number_" &amp; $B$1), 4,1, tabname) ), "")</f>
        <v/>
      </c>
      <c r="C79" s="10" t="str">
        <f ca="1">TEXT( INDIRECT( ADDRESS( ROW() + Row_Offset, INDIRECT( "Column_Number_" &amp; C$1), 4,1, tabname) ), "")</f>
        <v/>
      </c>
      <c r="D79" s="10" t="str">
        <f ca="1">TEXT( INDIRECT( ADDRESS( ROW() + Row_Offset, INDIRECT( "Column_Number_" &amp; D$1), 4,1, tabname) ), "")</f>
        <v/>
      </c>
      <c r="E79" s="10" t="str">
        <f ca="1">TEXT( INDIRECT( ADDRESS( ROW() + Row_Offset, INDIRECT( "Column_Number_" &amp; E$1), 4,1, tabname) ), "####")</f>
        <v/>
      </c>
      <c r="F79" s="15"/>
      <c r="G79" s="22" t="str">
        <f ca="1">IFERROR(INDEX(Rank_Table[],MATCH($D79&amp;$A79,Table4[Join],0)),"")</f>
        <v/>
      </c>
      <c r="H79" s="11" t="str">
        <f ca="1">IF(AND(D79="Juvenile Audiobook",LEFT(B79,8)="J CD BIO"),RIGHT(B79,LEN(B79)-9),
IF(AND(D79="Juvenile Audiobook",LEFT(B79,8)="J CD FIC"),B79,
IF(D79="Juvenile Audiobook",RIGHT(B79,LEN(B79)-5),
IF(AND(D79="Teen Audiobook",LEFT(B79,11)="TEEN CD BIO"),RIGHT(B79,LEN(B79)-12),
IF(AND(D79="Teen Audiobook",LEFT(B79,11)="TEEN CD FIC"),B79,
IF(D79="Juvenile Audiobook",RIGHT(B79,LEN(B79)-8),
IF(D79="Juvenile Nonfiction",RIGHT(B79,LEN(B79)-2),
IF(D79="Teen Nonfiction",RIGHT(B79,LEN(B79)-5),
IF(AND(D79="Audiobook",
              NOT(OR(Contains($B79,"CD BIO"),Contains($B79,"CD FIC")))),RIGHT(B79,LEN(B79)-3),
IF(D79="Juvenile Biography",RIGHT(B79,LEN(B79)-2),
IF(D79="Teen Biography",RIGHT(B79,LEN(B79)-5),
IF(AND(D79="Audiobook",
              IFERROR(FIND("BIO",$B79)&gt;0,FALSE)),RIGHT(B79,LEN(B79)-3),
IF(D79="Juvenile Large Type","J "&amp;RIGHT(B79,LEN(B79)-11),
IF(D79="Teen Large Type","TEEN "&amp;RIGHT(B79,LEN(B79)-14),
IF(D79="Reference",RIGHT(B79,LEN(B79)-4),
IF(D79="DVD Educational",RIGHT(B79,LEN(B79)-7),
IF(D79="Juvenile DVD Educational",RIGHT(B79,LEN(B79)-9),
B79)))))))))))))))))</f>
        <v/>
      </c>
      <c r="N79" s="11" t="str">
        <f ca="1">IF(IFERROR(FIND("New",$A79)&gt;0,FALSE),"New ","") &amp; IF(IFERROR(FIND("In Lib",$A79)&gt;0,FALSE),"Reference ","") &amp;
IF(AND(D79="Audiobook",LEFT(B79,6)="CD BIO"),"Biography",
IF(AND(D79="Teen Audiobook",LEFT(B79,11)="TEEN CD BIO"),"Biography",
IF(AND(D79="Juvenile Audiobook",LEFT(B79,8)="J CD BIO"),"Biography",
IF(AND(D79="Audiobook",LEFT(B79,6)="CD FIC"),"Audiobook Fiction",
IF(AND(D79="Teen Audiobook",LEFT(B79,11)="TEEN CD FIC"),"Teen Audiobook",
IF(AND(D79="Juvenile Audiobook",LEFT(B79,8)="J CD FIC"),"Juvenile Audiobook",
IF(D79="Audiobook","Nonfiction",
IF(D79="Juvenile Audiobook","Nonfiction",
IF(D79="Teen Audiobook","Nonfiction",
IF(D79="Juvenile Nonfiction","Nonfiction",
IF(D79="Teen Nonfiction","Nonfiction",
IF(D79="Juvenile Biography","Biography",
IF(D79="Teen Biography","Biography",
IF(D79="ESL","Nonfiction",
IF(LEFT(B79,11)="INTL-VIE J ","International Juvenile",IF(LEFT(B79,11)="INTL-TAG J ","International Juvenile",IF(LEFT(B79,11)="INTL-RUS J ","International Juvenile",IF(LEFT(B79,11)="INTL-KOR J ","International Juvenile",IF(LEFT(B79,11)="INTL-JAP J ","International Juvenile",IF(LEFT(B79,11)="INTL-CHI J ","International Juvenile",IF(LEFT(B79,11)="INTL-SPA J ","International Juvenile",IF(LEFT(B79,14)="INTL-VIE TEEN ","International Teen",IF(LEFT(B79,14)="INTL-TAG TEEN ","International Teen",IF(LEFT(B79,14)="INTL-RUS TEEN ","International Teen",IF(LEFT(B79,14)="INTL-KOR TEEN ","International Teen",IF(LEFT(B79,14)="INTL-JAP TEEN ","International Teen",IF(LEFT(B79,14)="INTL-CHI TEEN ","International Teen",IF(LEFT(B79,14)="INTL-SPA TEEN ","International Teen",IF(LEFT(B79,11)="INTL-VIE E ","International Easy",IF(LEFT(B79,11)="INTL-TAG E ","International Easy",IF(LEFT(B79,11)="INTL-RUS E ","International Easy",IF(LEFT(B79,11)="INTL-JAP E ","International Easy",IF(LEFT(B79,11)="INTL-KOR E ","International Easy",IF(LEFT(B79,11)="INTL-CHI E ","International Easy",IF(LEFT(B79,11)="INTL-SPA E ","International Easy",
IF(D79="Teen Large Type","Teen Fiction",
IF(D79="Juvenile Large Type","Juvenile Fiction",
IF(LEFT(B79,6)="J CD O","Juvenile Compact Disc",
IF(AND(LEFT(B79,4)="TEEN",D79="Fiction"),"Teen Fiction",
IF(D79="DVD Educational","Nonfiction",
IF(D79="Juvenile DVD Educational","Nonfiction",
IF(D79="Reference","Nonfiction",
D79))))))))))))))))))))))))))))))))))))))))))</f>
        <v/>
      </c>
    </row>
    <row r="80" spans="1:14" ht="27" customHeight="1" x14ac:dyDescent="0.25">
      <c r="A80" s="10" t="str">
        <f ca="1">TEXT( INDIRECT( ADDRESS( ROW() + Row_Offset, INDIRECT( "Column_Number_" &amp; A$1), 4,1, tabname) ), "")</f>
        <v/>
      </c>
      <c r="B80" s="10" t="str">
        <f ca="1">TEXT(  IFERROR( VLOOKUP( $D80, CollName_Simplifier_Table[], 2, FALSE),"") &amp;
        INDIRECT( ADDRESS( ROW() + Row_Offset, INDIRECT( "Column_Number_" &amp; $B$1), 4,1, tabname) ), "")</f>
        <v/>
      </c>
      <c r="C80" s="10" t="str">
        <f ca="1">TEXT( INDIRECT( ADDRESS( ROW() + Row_Offset, INDIRECT( "Column_Number_" &amp; C$1), 4,1, tabname) ), "")</f>
        <v/>
      </c>
      <c r="D80" s="10" t="str">
        <f ca="1">TEXT( INDIRECT( ADDRESS( ROW() + Row_Offset, INDIRECT( "Column_Number_" &amp; D$1), 4,1, tabname) ), "")</f>
        <v/>
      </c>
      <c r="E80" s="10" t="str">
        <f ca="1">TEXT( INDIRECT( ADDRESS( ROW() + Row_Offset, INDIRECT( "Column_Number_" &amp; E$1), 4,1, tabname) ), "####")</f>
        <v/>
      </c>
      <c r="F80" s="15"/>
      <c r="G80" s="22" t="str">
        <f ca="1">IFERROR(INDEX(Rank_Table[],MATCH($D80&amp;$A80,Table4[Join],0)),"")</f>
        <v/>
      </c>
      <c r="H80" s="11" t="str">
        <f ca="1">IF(AND(D80="Juvenile Audiobook",LEFT(B80,8)="J CD BIO"),RIGHT(B80,LEN(B80)-9),
IF(AND(D80="Juvenile Audiobook",LEFT(B80,8)="J CD FIC"),B80,
IF(D80="Juvenile Audiobook",RIGHT(B80,LEN(B80)-5),
IF(AND(D80="Teen Audiobook",LEFT(B80,11)="TEEN CD BIO"),RIGHT(B80,LEN(B80)-12),
IF(AND(D80="Teen Audiobook",LEFT(B80,11)="TEEN CD FIC"),B80,
IF(D80="Juvenile Audiobook",RIGHT(B80,LEN(B80)-8),
IF(D80="Juvenile Nonfiction",RIGHT(B80,LEN(B80)-2),
IF(D80="Teen Nonfiction",RIGHT(B80,LEN(B80)-5),
IF(AND(D80="Audiobook",
              NOT(OR(Contains($B80,"CD BIO"),Contains($B80,"CD FIC")))),RIGHT(B80,LEN(B80)-3),
IF(D80="Juvenile Biography",RIGHT(B80,LEN(B80)-2),
IF(D80="Teen Biography",RIGHT(B80,LEN(B80)-5),
IF(AND(D80="Audiobook",
              IFERROR(FIND("BIO",$B80)&gt;0,FALSE)),RIGHT(B80,LEN(B80)-3),
IF(D80="Juvenile Large Type","J "&amp;RIGHT(B80,LEN(B80)-11),
IF(D80="Teen Large Type","TEEN "&amp;RIGHT(B80,LEN(B80)-14),
IF(D80="Reference",RIGHT(B80,LEN(B80)-4),
IF(D80="DVD Educational",RIGHT(B80,LEN(B80)-7),
IF(D80="Juvenile DVD Educational",RIGHT(B80,LEN(B80)-9),
B80)))))))))))))))))</f>
        <v/>
      </c>
      <c r="N80" s="11" t="str">
        <f ca="1">IF(IFERROR(FIND("New",$A80)&gt;0,FALSE),"New ","") &amp; IF(IFERROR(FIND("In Lib",$A80)&gt;0,FALSE),"Reference ","") &amp;
IF(AND(D80="Audiobook",LEFT(B80,6)="CD BIO"),"Biography",
IF(AND(D80="Teen Audiobook",LEFT(B80,11)="TEEN CD BIO"),"Biography",
IF(AND(D80="Juvenile Audiobook",LEFT(B80,8)="J CD BIO"),"Biography",
IF(AND(D80="Audiobook",LEFT(B80,6)="CD FIC"),"Audiobook Fiction",
IF(AND(D80="Teen Audiobook",LEFT(B80,11)="TEEN CD FIC"),"Teen Audiobook",
IF(AND(D80="Juvenile Audiobook",LEFT(B80,8)="J CD FIC"),"Juvenile Audiobook",
IF(D80="Audiobook","Nonfiction",
IF(D80="Juvenile Audiobook","Nonfiction",
IF(D80="Teen Audiobook","Nonfiction",
IF(D80="Juvenile Nonfiction","Nonfiction",
IF(D80="Teen Nonfiction","Nonfiction",
IF(D80="Juvenile Biography","Biography",
IF(D80="Teen Biography","Biography",
IF(D80="ESL","Nonfiction",
IF(LEFT(B80,11)="INTL-VIE J ","International Juvenile",IF(LEFT(B80,11)="INTL-TAG J ","International Juvenile",IF(LEFT(B80,11)="INTL-RUS J ","International Juvenile",IF(LEFT(B80,11)="INTL-KOR J ","International Juvenile",IF(LEFT(B80,11)="INTL-JAP J ","International Juvenile",IF(LEFT(B80,11)="INTL-CHI J ","International Juvenile",IF(LEFT(B80,11)="INTL-SPA J ","International Juvenile",IF(LEFT(B80,14)="INTL-VIE TEEN ","International Teen",IF(LEFT(B80,14)="INTL-TAG TEEN ","International Teen",IF(LEFT(B80,14)="INTL-RUS TEEN ","International Teen",IF(LEFT(B80,14)="INTL-KOR TEEN ","International Teen",IF(LEFT(B80,14)="INTL-JAP TEEN ","International Teen",IF(LEFT(B80,14)="INTL-CHI TEEN ","International Teen",IF(LEFT(B80,14)="INTL-SPA TEEN ","International Teen",IF(LEFT(B80,11)="INTL-VIE E ","International Easy",IF(LEFT(B80,11)="INTL-TAG E ","International Easy",IF(LEFT(B80,11)="INTL-RUS E ","International Easy",IF(LEFT(B80,11)="INTL-JAP E ","International Easy",IF(LEFT(B80,11)="INTL-KOR E ","International Easy",IF(LEFT(B80,11)="INTL-CHI E ","International Easy",IF(LEFT(B80,11)="INTL-SPA E ","International Easy",
IF(D80="Teen Large Type","Teen Fiction",
IF(D80="Juvenile Large Type","Juvenile Fiction",
IF(LEFT(B80,6)="J CD O","Juvenile Compact Disc",
IF(AND(LEFT(B80,4)="TEEN",D80="Fiction"),"Teen Fiction",
IF(D80="DVD Educational","Nonfiction",
IF(D80="Juvenile DVD Educational","Nonfiction",
IF(D80="Reference","Nonfiction",
D80))))))))))))))))))))))))))))))))))))))))))</f>
        <v/>
      </c>
    </row>
    <row r="81" spans="1:14" ht="27" customHeight="1" x14ac:dyDescent="0.25">
      <c r="A81" s="10" t="str">
        <f ca="1">TEXT( INDIRECT( ADDRESS( ROW() + Row_Offset, INDIRECT( "Column_Number_" &amp; A$1), 4,1, tabname) ), "")</f>
        <v/>
      </c>
      <c r="B81" s="10" t="str">
        <f ca="1">TEXT(  IFERROR( VLOOKUP( $D81, CollName_Simplifier_Table[], 2, FALSE),"") &amp;
        INDIRECT( ADDRESS( ROW() + Row_Offset, INDIRECT( "Column_Number_" &amp; $B$1), 4,1, tabname) ), "")</f>
        <v/>
      </c>
      <c r="C81" s="10" t="str">
        <f ca="1">TEXT( INDIRECT( ADDRESS( ROW() + Row_Offset, INDIRECT( "Column_Number_" &amp; C$1), 4,1, tabname) ), "")</f>
        <v/>
      </c>
      <c r="D81" s="10" t="str">
        <f ca="1">TEXT( INDIRECT( ADDRESS( ROW() + Row_Offset, INDIRECT( "Column_Number_" &amp; D$1), 4,1, tabname) ), "")</f>
        <v/>
      </c>
      <c r="E81" s="10" t="str">
        <f ca="1">TEXT( INDIRECT( ADDRESS( ROW() + Row_Offset, INDIRECT( "Column_Number_" &amp; E$1), 4,1, tabname) ), "####")</f>
        <v/>
      </c>
      <c r="F81" s="15"/>
      <c r="G81" s="22" t="str">
        <f ca="1">IFERROR(INDEX(Rank_Table[],MATCH($D81&amp;$A81,Table4[Join],0)),"")</f>
        <v/>
      </c>
      <c r="H81" s="11" t="str">
        <f ca="1">IF(AND(D81="Juvenile Audiobook",LEFT(B81,8)="J CD BIO"),RIGHT(B81,LEN(B81)-9),
IF(AND(D81="Juvenile Audiobook",LEFT(B81,8)="J CD FIC"),B81,
IF(D81="Juvenile Audiobook",RIGHT(B81,LEN(B81)-5),
IF(AND(D81="Teen Audiobook",LEFT(B81,11)="TEEN CD BIO"),RIGHT(B81,LEN(B81)-12),
IF(AND(D81="Teen Audiobook",LEFT(B81,11)="TEEN CD FIC"),B81,
IF(D81="Juvenile Audiobook",RIGHT(B81,LEN(B81)-8),
IF(D81="Juvenile Nonfiction",RIGHT(B81,LEN(B81)-2),
IF(D81="Teen Nonfiction",RIGHT(B81,LEN(B81)-5),
IF(AND(D81="Audiobook",
              NOT(OR(Contains($B81,"CD BIO"),Contains($B81,"CD FIC")))),RIGHT(B81,LEN(B81)-3),
IF(D81="Juvenile Biography",RIGHT(B81,LEN(B81)-2),
IF(D81="Teen Biography",RIGHT(B81,LEN(B81)-5),
IF(AND(D81="Audiobook",
              IFERROR(FIND("BIO",$B81)&gt;0,FALSE)),RIGHT(B81,LEN(B81)-3),
IF(D81="Juvenile Large Type","J "&amp;RIGHT(B81,LEN(B81)-11),
IF(D81="Teen Large Type","TEEN "&amp;RIGHT(B81,LEN(B81)-14),
IF(D81="Reference",RIGHT(B81,LEN(B81)-4),
IF(D81="DVD Educational",RIGHT(B81,LEN(B81)-7),
IF(D81="Juvenile DVD Educational",RIGHT(B81,LEN(B81)-9),
B81)))))))))))))))))</f>
        <v/>
      </c>
      <c r="N81" s="11" t="str">
        <f ca="1">IF(IFERROR(FIND("New",$A81)&gt;0,FALSE),"New ","") &amp; IF(IFERROR(FIND("In Lib",$A81)&gt;0,FALSE),"Reference ","") &amp;
IF(AND(D81="Audiobook",LEFT(B81,6)="CD BIO"),"Biography",
IF(AND(D81="Teen Audiobook",LEFT(B81,11)="TEEN CD BIO"),"Biography",
IF(AND(D81="Juvenile Audiobook",LEFT(B81,8)="J CD BIO"),"Biography",
IF(AND(D81="Audiobook",LEFT(B81,6)="CD FIC"),"Audiobook Fiction",
IF(AND(D81="Teen Audiobook",LEFT(B81,11)="TEEN CD FIC"),"Teen Audiobook",
IF(AND(D81="Juvenile Audiobook",LEFT(B81,8)="J CD FIC"),"Juvenile Audiobook",
IF(D81="Audiobook","Nonfiction",
IF(D81="Juvenile Audiobook","Nonfiction",
IF(D81="Teen Audiobook","Nonfiction",
IF(D81="Juvenile Nonfiction","Nonfiction",
IF(D81="Teen Nonfiction","Nonfiction",
IF(D81="Juvenile Biography","Biography",
IF(D81="Teen Biography","Biography",
IF(D81="ESL","Nonfiction",
IF(LEFT(B81,11)="INTL-VIE J ","International Juvenile",IF(LEFT(B81,11)="INTL-TAG J ","International Juvenile",IF(LEFT(B81,11)="INTL-RUS J ","International Juvenile",IF(LEFT(B81,11)="INTL-KOR J ","International Juvenile",IF(LEFT(B81,11)="INTL-JAP J ","International Juvenile",IF(LEFT(B81,11)="INTL-CHI J ","International Juvenile",IF(LEFT(B81,11)="INTL-SPA J ","International Juvenile",IF(LEFT(B81,14)="INTL-VIE TEEN ","International Teen",IF(LEFT(B81,14)="INTL-TAG TEEN ","International Teen",IF(LEFT(B81,14)="INTL-RUS TEEN ","International Teen",IF(LEFT(B81,14)="INTL-KOR TEEN ","International Teen",IF(LEFT(B81,14)="INTL-JAP TEEN ","International Teen",IF(LEFT(B81,14)="INTL-CHI TEEN ","International Teen",IF(LEFT(B81,14)="INTL-SPA TEEN ","International Teen",IF(LEFT(B81,11)="INTL-VIE E ","International Easy",IF(LEFT(B81,11)="INTL-TAG E ","International Easy",IF(LEFT(B81,11)="INTL-RUS E ","International Easy",IF(LEFT(B81,11)="INTL-JAP E ","International Easy",IF(LEFT(B81,11)="INTL-KOR E ","International Easy",IF(LEFT(B81,11)="INTL-CHI E ","International Easy",IF(LEFT(B81,11)="INTL-SPA E ","International Easy",
IF(D81="Teen Large Type","Teen Fiction",
IF(D81="Juvenile Large Type","Juvenile Fiction",
IF(LEFT(B81,6)="J CD O","Juvenile Compact Disc",
IF(AND(LEFT(B81,4)="TEEN",D81="Fiction"),"Teen Fiction",
IF(D81="DVD Educational","Nonfiction",
IF(D81="Juvenile DVD Educational","Nonfiction",
IF(D81="Reference","Nonfiction",
D81))))))))))))))))))))))))))))))))))))))))))</f>
        <v/>
      </c>
    </row>
    <row r="82" spans="1:14" ht="27" customHeight="1" x14ac:dyDescent="0.25">
      <c r="A82" s="10" t="str">
        <f ca="1">TEXT( INDIRECT( ADDRESS( ROW() + Row_Offset, INDIRECT( "Column_Number_" &amp; A$1), 4,1, tabname) ), "")</f>
        <v/>
      </c>
      <c r="B82" s="10" t="str">
        <f ca="1">TEXT(  IFERROR( VLOOKUP( $D82, CollName_Simplifier_Table[], 2, FALSE),"") &amp;
        INDIRECT( ADDRESS( ROW() + Row_Offset, INDIRECT( "Column_Number_" &amp; $B$1), 4,1, tabname) ), "")</f>
        <v/>
      </c>
      <c r="C82" s="10" t="str">
        <f ca="1">TEXT( INDIRECT( ADDRESS( ROW() + Row_Offset, INDIRECT( "Column_Number_" &amp; C$1), 4,1, tabname) ), "")</f>
        <v/>
      </c>
      <c r="D82" s="10" t="str">
        <f ca="1">TEXT( INDIRECT( ADDRESS( ROW() + Row_Offset, INDIRECT( "Column_Number_" &amp; D$1), 4,1, tabname) ), "")</f>
        <v/>
      </c>
      <c r="E82" s="10" t="str">
        <f ca="1">TEXT( INDIRECT( ADDRESS( ROW() + Row_Offset, INDIRECT( "Column_Number_" &amp; E$1), 4,1, tabname) ), "####")</f>
        <v/>
      </c>
      <c r="F82" s="15"/>
      <c r="G82" s="22" t="str">
        <f ca="1">IFERROR(INDEX(Rank_Table[],MATCH($D82&amp;$A82,Table4[Join],0)),"")</f>
        <v/>
      </c>
      <c r="H82" s="11" t="str">
        <f ca="1">IF(AND(D82="Juvenile Audiobook",LEFT(B82,8)="J CD BIO"),RIGHT(B82,LEN(B82)-9),
IF(AND(D82="Juvenile Audiobook",LEFT(B82,8)="J CD FIC"),B82,
IF(D82="Juvenile Audiobook",RIGHT(B82,LEN(B82)-5),
IF(AND(D82="Teen Audiobook",LEFT(B82,11)="TEEN CD BIO"),RIGHT(B82,LEN(B82)-12),
IF(AND(D82="Teen Audiobook",LEFT(B82,11)="TEEN CD FIC"),B82,
IF(D82="Juvenile Audiobook",RIGHT(B82,LEN(B82)-8),
IF(D82="Juvenile Nonfiction",RIGHT(B82,LEN(B82)-2),
IF(D82="Teen Nonfiction",RIGHT(B82,LEN(B82)-5),
IF(AND(D82="Audiobook",
              NOT(OR(Contains($B82,"CD BIO"),Contains($B82,"CD FIC")))),RIGHT(B82,LEN(B82)-3),
IF(D82="Juvenile Biography",RIGHT(B82,LEN(B82)-2),
IF(D82="Teen Biography",RIGHT(B82,LEN(B82)-5),
IF(AND(D82="Audiobook",
              IFERROR(FIND("BIO",$B82)&gt;0,FALSE)),RIGHT(B82,LEN(B82)-3),
IF(D82="Juvenile Large Type","J "&amp;RIGHT(B82,LEN(B82)-11),
IF(D82="Teen Large Type","TEEN "&amp;RIGHT(B82,LEN(B82)-14),
IF(D82="Reference",RIGHT(B82,LEN(B82)-4),
IF(D82="DVD Educational",RIGHT(B82,LEN(B82)-7),
IF(D82="Juvenile DVD Educational",RIGHT(B82,LEN(B82)-9),
B82)))))))))))))))))</f>
        <v/>
      </c>
      <c r="N82" s="11" t="str">
        <f ca="1">IF(IFERROR(FIND("New",$A82)&gt;0,FALSE),"New ","") &amp; IF(IFERROR(FIND("In Lib",$A82)&gt;0,FALSE),"Reference ","") &amp;
IF(AND(D82="Audiobook",LEFT(B82,6)="CD BIO"),"Biography",
IF(AND(D82="Teen Audiobook",LEFT(B82,11)="TEEN CD BIO"),"Biography",
IF(AND(D82="Juvenile Audiobook",LEFT(B82,8)="J CD BIO"),"Biography",
IF(AND(D82="Audiobook",LEFT(B82,6)="CD FIC"),"Audiobook Fiction",
IF(AND(D82="Teen Audiobook",LEFT(B82,11)="TEEN CD FIC"),"Teen Audiobook",
IF(AND(D82="Juvenile Audiobook",LEFT(B82,8)="J CD FIC"),"Juvenile Audiobook",
IF(D82="Audiobook","Nonfiction",
IF(D82="Juvenile Audiobook","Nonfiction",
IF(D82="Teen Audiobook","Nonfiction",
IF(D82="Juvenile Nonfiction","Nonfiction",
IF(D82="Teen Nonfiction","Nonfiction",
IF(D82="Juvenile Biography","Biography",
IF(D82="Teen Biography","Biography",
IF(D82="ESL","Nonfiction",
IF(LEFT(B82,11)="INTL-VIE J ","International Juvenile",IF(LEFT(B82,11)="INTL-TAG J ","International Juvenile",IF(LEFT(B82,11)="INTL-RUS J ","International Juvenile",IF(LEFT(B82,11)="INTL-KOR J ","International Juvenile",IF(LEFT(B82,11)="INTL-JAP J ","International Juvenile",IF(LEFT(B82,11)="INTL-CHI J ","International Juvenile",IF(LEFT(B82,11)="INTL-SPA J ","International Juvenile",IF(LEFT(B82,14)="INTL-VIE TEEN ","International Teen",IF(LEFT(B82,14)="INTL-TAG TEEN ","International Teen",IF(LEFT(B82,14)="INTL-RUS TEEN ","International Teen",IF(LEFT(B82,14)="INTL-KOR TEEN ","International Teen",IF(LEFT(B82,14)="INTL-JAP TEEN ","International Teen",IF(LEFT(B82,14)="INTL-CHI TEEN ","International Teen",IF(LEFT(B82,14)="INTL-SPA TEEN ","International Teen",IF(LEFT(B82,11)="INTL-VIE E ","International Easy",IF(LEFT(B82,11)="INTL-TAG E ","International Easy",IF(LEFT(B82,11)="INTL-RUS E ","International Easy",IF(LEFT(B82,11)="INTL-JAP E ","International Easy",IF(LEFT(B82,11)="INTL-KOR E ","International Easy",IF(LEFT(B82,11)="INTL-CHI E ","International Easy",IF(LEFT(B82,11)="INTL-SPA E ","International Easy",
IF(D82="Teen Large Type","Teen Fiction",
IF(D82="Juvenile Large Type","Juvenile Fiction",
IF(LEFT(B82,6)="J CD O","Juvenile Compact Disc",
IF(AND(LEFT(B82,4)="TEEN",D82="Fiction"),"Teen Fiction",
IF(D82="DVD Educational","Nonfiction",
IF(D82="Juvenile DVD Educational","Nonfiction",
IF(D82="Reference","Nonfiction",
D82))))))))))))))))))))))))))))))))))))))))))</f>
        <v/>
      </c>
    </row>
    <row r="83" spans="1:14" ht="27" customHeight="1" x14ac:dyDescent="0.25">
      <c r="A83" s="10" t="str">
        <f ca="1">TEXT( INDIRECT( ADDRESS( ROW() + Row_Offset, INDIRECT( "Column_Number_" &amp; A$1), 4,1, tabname) ), "")</f>
        <v/>
      </c>
      <c r="B83" s="10" t="str">
        <f ca="1">TEXT(  IFERROR( VLOOKUP( $D83, CollName_Simplifier_Table[], 2, FALSE),"") &amp;
        INDIRECT( ADDRESS( ROW() + Row_Offset, INDIRECT( "Column_Number_" &amp; $B$1), 4,1, tabname) ), "")</f>
        <v/>
      </c>
      <c r="C83" s="10" t="str">
        <f ca="1">TEXT( INDIRECT( ADDRESS( ROW() + Row_Offset, INDIRECT( "Column_Number_" &amp; C$1), 4,1, tabname) ), "")</f>
        <v/>
      </c>
      <c r="D83" s="10" t="str">
        <f ca="1">TEXT( INDIRECT( ADDRESS( ROW() + Row_Offset, INDIRECT( "Column_Number_" &amp; D$1), 4,1, tabname) ), "")</f>
        <v/>
      </c>
      <c r="E83" s="10" t="str">
        <f ca="1">TEXT( INDIRECT( ADDRESS( ROW() + Row_Offset, INDIRECT( "Column_Number_" &amp; E$1), 4,1, tabname) ), "####")</f>
        <v/>
      </c>
      <c r="F83" s="15"/>
      <c r="G83" s="22" t="str">
        <f ca="1">IFERROR(INDEX(Rank_Table[],MATCH($D83&amp;$A83,Table4[Join],0)),"")</f>
        <v/>
      </c>
      <c r="H83" s="11" t="str">
        <f ca="1">IF(AND(D83="Juvenile Audiobook",LEFT(B83,8)="J CD BIO"),RIGHT(B83,LEN(B83)-9),
IF(AND(D83="Juvenile Audiobook",LEFT(B83,8)="J CD FIC"),B83,
IF(D83="Juvenile Audiobook",RIGHT(B83,LEN(B83)-5),
IF(AND(D83="Teen Audiobook",LEFT(B83,11)="TEEN CD BIO"),RIGHT(B83,LEN(B83)-12),
IF(AND(D83="Teen Audiobook",LEFT(B83,11)="TEEN CD FIC"),B83,
IF(D83="Juvenile Audiobook",RIGHT(B83,LEN(B83)-8),
IF(D83="Juvenile Nonfiction",RIGHT(B83,LEN(B83)-2),
IF(D83="Teen Nonfiction",RIGHT(B83,LEN(B83)-5),
IF(AND(D83="Audiobook",
              NOT(OR(Contains($B83,"CD BIO"),Contains($B83,"CD FIC")))),RIGHT(B83,LEN(B83)-3),
IF(D83="Juvenile Biography",RIGHT(B83,LEN(B83)-2),
IF(D83="Teen Biography",RIGHT(B83,LEN(B83)-5),
IF(AND(D83="Audiobook",
              IFERROR(FIND("BIO",$B83)&gt;0,FALSE)),RIGHT(B83,LEN(B83)-3),
IF(D83="Juvenile Large Type","J "&amp;RIGHT(B83,LEN(B83)-11),
IF(D83="Teen Large Type","TEEN "&amp;RIGHT(B83,LEN(B83)-14),
IF(D83="Reference",RIGHT(B83,LEN(B83)-4),
IF(D83="DVD Educational",RIGHT(B83,LEN(B83)-7),
IF(D83="Juvenile DVD Educational",RIGHT(B83,LEN(B83)-9),
B83)))))))))))))))))</f>
        <v/>
      </c>
      <c r="N83" s="11" t="str">
        <f ca="1">IF(IFERROR(FIND("New",$A83)&gt;0,FALSE),"New ","") &amp; IF(IFERROR(FIND("In Lib",$A83)&gt;0,FALSE),"Reference ","") &amp;
IF(AND(D83="Audiobook",LEFT(B83,6)="CD BIO"),"Biography",
IF(AND(D83="Teen Audiobook",LEFT(B83,11)="TEEN CD BIO"),"Biography",
IF(AND(D83="Juvenile Audiobook",LEFT(B83,8)="J CD BIO"),"Biography",
IF(AND(D83="Audiobook",LEFT(B83,6)="CD FIC"),"Audiobook Fiction",
IF(AND(D83="Teen Audiobook",LEFT(B83,11)="TEEN CD FIC"),"Teen Audiobook",
IF(AND(D83="Juvenile Audiobook",LEFT(B83,8)="J CD FIC"),"Juvenile Audiobook",
IF(D83="Audiobook","Nonfiction",
IF(D83="Juvenile Audiobook","Nonfiction",
IF(D83="Teen Audiobook","Nonfiction",
IF(D83="Juvenile Nonfiction","Nonfiction",
IF(D83="Teen Nonfiction","Nonfiction",
IF(D83="Juvenile Biography","Biography",
IF(D83="Teen Biography","Biography",
IF(D83="ESL","Nonfiction",
IF(LEFT(B83,11)="INTL-VIE J ","International Juvenile",IF(LEFT(B83,11)="INTL-TAG J ","International Juvenile",IF(LEFT(B83,11)="INTL-RUS J ","International Juvenile",IF(LEFT(B83,11)="INTL-KOR J ","International Juvenile",IF(LEFT(B83,11)="INTL-JAP J ","International Juvenile",IF(LEFT(B83,11)="INTL-CHI J ","International Juvenile",IF(LEFT(B83,11)="INTL-SPA J ","International Juvenile",IF(LEFT(B83,14)="INTL-VIE TEEN ","International Teen",IF(LEFT(B83,14)="INTL-TAG TEEN ","International Teen",IF(LEFT(B83,14)="INTL-RUS TEEN ","International Teen",IF(LEFT(B83,14)="INTL-KOR TEEN ","International Teen",IF(LEFT(B83,14)="INTL-JAP TEEN ","International Teen",IF(LEFT(B83,14)="INTL-CHI TEEN ","International Teen",IF(LEFT(B83,14)="INTL-SPA TEEN ","International Teen",IF(LEFT(B83,11)="INTL-VIE E ","International Easy",IF(LEFT(B83,11)="INTL-TAG E ","International Easy",IF(LEFT(B83,11)="INTL-RUS E ","International Easy",IF(LEFT(B83,11)="INTL-JAP E ","International Easy",IF(LEFT(B83,11)="INTL-KOR E ","International Easy",IF(LEFT(B83,11)="INTL-CHI E ","International Easy",IF(LEFT(B83,11)="INTL-SPA E ","International Easy",
IF(D83="Teen Large Type","Teen Fiction",
IF(D83="Juvenile Large Type","Juvenile Fiction",
IF(LEFT(B83,6)="J CD O","Juvenile Compact Disc",
IF(AND(LEFT(B83,4)="TEEN",D83="Fiction"),"Teen Fiction",
IF(D83="DVD Educational","Nonfiction",
IF(D83="Juvenile DVD Educational","Nonfiction",
IF(D83="Reference","Nonfiction",
D83))))))))))))))))))))))))))))))))))))))))))</f>
        <v/>
      </c>
    </row>
    <row r="84" spans="1:14" ht="27" customHeight="1" x14ac:dyDescent="0.25">
      <c r="A84" s="10" t="str">
        <f ca="1">TEXT( INDIRECT( ADDRESS( ROW() + Row_Offset, INDIRECT( "Column_Number_" &amp; A$1), 4,1, tabname) ), "")</f>
        <v/>
      </c>
      <c r="B84" s="10" t="str">
        <f ca="1">TEXT(  IFERROR( VLOOKUP( $D84, CollName_Simplifier_Table[], 2, FALSE),"") &amp;
        INDIRECT( ADDRESS( ROW() + Row_Offset, INDIRECT( "Column_Number_" &amp; $B$1), 4,1, tabname) ), "")</f>
        <v/>
      </c>
      <c r="C84" s="10" t="str">
        <f ca="1">TEXT( INDIRECT( ADDRESS( ROW() + Row_Offset, INDIRECT( "Column_Number_" &amp; C$1), 4,1, tabname) ), "")</f>
        <v/>
      </c>
      <c r="D84" s="10" t="str">
        <f ca="1">TEXT( INDIRECT( ADDRESS( ROW() + Row_Offset, INDIRECT( "Column_Number_" &amp; D$1), 4,1, tabname) ), "")</f>
        <v/>
      </c>
      <c r="E84" s="10" t="str">
        <f ca="1">TEXT( INDIRECT( ADDRESS( ROW() + Row_Offset, INDIRECT( "Column_Number_" &amp; E$1), 4,1, tabname) ), "####")</f>
        <v/>
      </c>
      <c r="F84" s="15"/>
      <c r="G84" s="22" t="str">
        <f ca="1">IFERROR(INDEX(Rank_Table[],MATCH($D84&amp;$A84,Table4[Join],0)),"")</f>
        <v/>
      </c>
      <c r="H84" s="11" t="str">
        <f ca="1">IF(AND(D84="Juvenile Audiobook",LEFT(B84,8)="J CD BIO"),RIGHT(B84,LEN(B84)-9),
IF(AND(D84="Juvenile Audiobook",LEFT(B84,8)="J CD FIC"),B84,
IF(D84="Juvenile Audiobook",RIGHT(B84,LEN(B84)-5),
IF(AND(D84="Teen Audiobook",LEFT(B84,11)="TEEN CD BIO"),RIGHT(B84,LEN(B84)-12),
IF(AND(D84="Teen Audiobook",LEFT(B84,11)="TEEN CD FIC"),B84,
IF(D84="Juvenile Audiobook",RIGHT(B84,LEN(B84)-8),
IF(D84="Juvenile Nonfiction",RIGHT(B84,LEN(B84)-2),
IF(D84="Teen Nonfiction",RIGHT(B84,LEN(B84)-5),
IF(AND(D84="Audiobook",
              NOT(OR(Contains($B84,"CD BIO"),Contains($B84,"CD FIC")))),RIGHT(B84,LEN(B84)-3),
IF(D84="Juvenile Biography",RIGHT(B84,LEN(B84)-2),
IF(D84="Teen Biography",RIGHT(B84,LEN(B84)-5),
IF(AND(D84="Audiobook",
              IFERROR(FIND("BIO",$B84)&gt;0,FALSE)),RIGHT(B84,LEN(B84)-3),
IF(D84="Juvenile Large Type","J "&amp;RIGHT(B84,LEN(B84)-11),
IF(D84="Teen Large Type","TEEN "&amp;RIGHT(B84,LEN(B84)-14),
IF(D84="Reference",RIGHT(B84,LEN(B84)-4),
IF(D84="DVD Educational",RIGHT(B84,LEN(B84)-7),
IF(D84="Juvenile DVD Educational",RIGHT(B84,LEN(B84)-9),
B84)))))))))))))))))</f>
        <v/>
      </c>
      <c r="N84" s="11" t="str">
        <f ca="1">IF(IFERROR(FIND("New",$A84)&gt;0,FALSE),"New ","") &amp; IF(IFERROR(FIND("In Lib",$A84)&gt;0,FALSE),"Reference ","") &amp;
IF(AND(D84="Audiobook",LEFT(B84,6)="CD BIO"),"Biography",
IF(AND(D84="Teen Audiobook",LEFT(B84,11)="TEEN CD BIO"),"Biography",
IF(AND(D84="Juvenile Audiobook",LEFT(B84,8)="J CD BIO"),"Biography",
IF(AND(D84="Audiobook",LEFT(B84,6)="CD FIC"),"Audiobook Fiction",
IF(AND(D84="Teen Audiobook",LEFT(B84,11)="TEEN CD FIC"),"Teen Audiobook",
IF(AND(D84="Juvenile Audiobook",LEFT(B84,8)="J CD FIC"),"Juvenile Audiobook",
IF(D84="Audiobook","Nonfiction",
IF(D84="Juvenile Audiobook","Nonfiction",
IF(D84="Teen Audiobook","Nonfiction",
IF(D84="Juvenile Nonfiction","Nonfiction",
IF(D84="Teen Nonfiction","Nonfiction",
IF(D84="Juvenile Biography","Biography",
IF(D84="Teen Biography","Biography",
IF(D84="ESL","Nonfiction",
IF(LEFT(B84,11)="INTL-VIE J ","International Juvenile",IF(LEFT(B84,11)="INTL-TAG J ","International Juvenile",IF(LEFT(B84,11)="INTL-RUS J ","International Juvenile",IF(LEFT(B84,11)="INTL-KOR J ","International Juvenile",IF(LEFT(B84,11)="INTL-JAP J ","International Juvenile",IF(LEFT(B84,11)="INTL-CHI J ","International Juvenile",IF(LEFT(B84,11)="INTL-SPA J ","International Juvenile",IF(LEFT(B84,14)="INTL-VIE TEEN ","International Teen",IF(LEFT(B84,14)="INTL-TAG TEEN ","International Teen",IF(LEFT(B84,14)="INTL-RUS TEEN ","International Teen",IF(LEFT(B84,14)="INTL-KOR TEEN ","International Teen",IF(LEFT(B84,14)="INTL-JAP TEEN ","International Teen",IF(LEFT(B84,14)="INTL-CHI TEEN ","International Teen",IF(LEFT(B84,14)="INTL-SPA TEEN ","International Teen",IF(LEFT(B84,11)="INTL-VIE E ","International Easy",IF(LEFT(B84,11)="INTL-TAG E ","International Easy",IF(LEFT(B84,11)="INTL-RUS E ","International Easy",IF(LEFT(B84,11)="INTL-JAP E ","International Easy",IF(LEFT(B84,11)="INTL-KOR E ","International Easy",IF(LEFT(B84,11)="INTL-CHI E ","International Easy",IF(LEFT(B84,11)="INTL-SPA E ","International Easy",
IF(D84="Teen Large Type","Teen Fiction",
IF(D84="Juvenile Large Type","Juvenile Fiction",
IF(LEFT(B84,6)="J CD O","Juvenile Compact Disc",
IF(AND(LEFT(B84,4)="TEEN",D84="Fiction"),"Teen Fiction",
IF(D84="DVD Educational","Nonfiction",
IF(D84="Juvenile DVD Educational","Nonfiction",
IF(D84="Reference","Nonfiction",
D84))))))))))))))))))))))))))))))))))))))))))</f>
        <v/>
      </c>
    </row>
    <row r="85" spans="1:14" ht="27" customHeight="1" x14ac:dyDescent="0.25">
      <c r="A85" s="10" t="str">
        <f ca="1">TEXT( INDIRECT( ADDRESS( ROW() + Row_Offset, INDIRECT( "Column_Number_" &amp; A$1), 4,1, tabname) ), "")</f>
        <v/>
      </c>
      <c r="B85" s="10" t="str">
        <f ca="1">TEXT(  IFERROR( VLOOKUP( $D85, CollName_Simplifier_Table[], 2, FALSE),"") &amp;
        INDIRECT( ADDRESS( ROW() + Row_Offset, INDIRECT( "Column_Number_" &amp; $B$1), 4,1, tabname) ), "")</f>
        <v/>
      </c>
      <c r="C85" s="10" t="str">
        <f ca="1">TEXT( INDIRECT( ADDRESS( ROW() + Row_Offset, INDIRECT( "Column_Number_" &amp; C$1), 4,1, tabname) ), "")</f>
        <v/>
      </c>
      <c r="D85" s="10" t="str">
        <f ca="1">TEXT( INDIRECT( ADDRESS( ROW() + Row_Offset, INDIRECT( "Column_Number_" &amp; D$1), 4,1, tabname) ), "")</f>
        <v/>
      </c>
      <c r="E85" s="10" t="str">
        <f ca="1">TEXT( INDIRECT( ADDRESS( ROW() + Row_Offset, INDIRECT( "Column_Number_" &amp; E$1), 4,1, tabname) ), "####")</f>
        <v/>
      </c>
      <c r="F85" s="15"/>
      <c r="G85" s="22" t="str">
        <f ca="1">IFERROR(INDEX(Rank_Table[],MATCH($D85&amp;$A85,Table4[Join],0)),"")</f>
        <v/>
      </c>
      <c r="H85" s="11" t="str">
        <f ca="1">IF(AND(D85="Juvenile Audiobook",LEFT(B85,8)="J CD BIO"),RIGHT(B85,LEN(B85)-9),
IF(AND(D85="Juvenile Audiobook",LEFT(B85,8)="J CD FIC"),B85,
IF(D85="Juvenile Audiobook",RIGHT(B85,LEN(B85)-5),
IF(AND(D85="Teen Audiobook",LEFT(B85,11)="TEEN CD BIO"),RIGHT(B85,LEN(B85)-12),
IF(AND(D85="Teen Audiobook",LEFT(B85,11)="TEEN CD FIC"),B85,
IF(D85="Juvenile Audiobook",RIGHT(B85,LEN(B85)-8),
IF(D85="Juvenile Nonfiction",RIGHT(B85,LEN(B85)-2),
IF(D85="Teen Nonfiction",RIGHT(B85,LEN(B85)-5),
IF(AND(D85="Audiobook",
              NOT(OR(Contains($B85,"CD BIO"),Contains($B85,"CD FIC")))),RIGHT(B85,LEN(B85)-3),
IF(D85="Juvenile Biography",RIGHT(B85,LEN(B85)-2),
IF(D85="Teen Biography",RIGHT(B85,LEN(B85)-5),
IF(AND(D85="Audiobook",
              IFERROR(FIND("BIO",$B85)&gt;0,FALSE)),RIGHT(B85,LEN(B85)-3),
IF(D85="Juvenile Large Type","J "&amp;RIGHT(B85,LEN(B85)-11),
IF(D85="Teen Large Type","TEEN "&amp;RIGHT(B85,LEN(B85)-14),
IF(D85="Reference",RIGHT(B85,LEN(B85)-4),
IF(D85="DVD Educational",RIGHT(B85,LEN(B85)-7),
IF(D85="Juvenile DVD Educational",RIGHT(B85,LEN(B85)-9),
B85)))))))))))))))))</f>
        <v/>
      </c>
      <c r="N85" s="11" t="str">
        <f ca="1">IF(IFERROR(FIND("New",$A85)&gt;0,FALSE),"New ","") &amp; IF(IFERROR(FIND("In Lib",$A85)&gt;0,FALSE),"Reference ","") &amp;
IF(AND(D85="Audiobook",LEFT(B85,6)="CD BIO"),"Biography",
IF(AND(D85="Teen Audiobook",LEFT(B85,11)="TEEN CD BIO"),"Biography",
IF(AND(D85="Juvenile Audiobook",LEFT(B85,8)="J CD BIO"),"Biography",
IF(AND(D85="Audiobook",LEFT(B85,6)="CD FIC"),"Audiobook Fiction",
IF(AND(D85="Teen Audiobook",LEFT(B85,11)="TEEN CD FIC"),"Teen Audiobook",
IF(AND(D85="Juvenile Audiobook",LEFT(B85,8)="J CD FIC"),"Juvenile Audiobook",
IF(D85="Audiobook","Nonfiction",
IF(D85="Juvenile Audiobook","Nonfiction",
IF(D85="Teen Audiobook","Nonfiction",
IF(D85="Juvenile Nonfiction","Nonfiction",
IF(D85="Teen Nonfiction","Nonfiction",
IF(D85="Juvenile Biography","Biography",
IF(D85="Teen Biography","Biography",
IF(D85="ESL","Nonfiction",
IF(LEFT(B85,11)="INTL-VIE J ","International Juvenile",IF(LEFT(B85,11)="INTL-TAG J ","International Juvenile",IF(LEFT(B85,11)="INTL-RUS J ","International Juvenile",IF(LEFT(B85,11)="INTL-KOR J ","International Juvenile",IF(LEFT(B85,11)="INTL-JAP J ","International Juvenile",IF(LEFT(B85,11)="INTL-CHI J ","International Juvenile",IF(LEFT(B85,11)="INTL-SPA J ","International Juvenile",IF(LEFT(B85,14)="INTL-VIE TEEN ","International Teen",IF(LEFT(B85,14)="INTL-TAG TEEN ","International Teen",IF(LEFT(B85,14)="INTL-RUS TEEN ","International Teen",IF(LEFT(B85,14)="INTL-KOR TEEN ","International Teen",IF(LEFT(B85,14)="INTL-JAP TEEN ","International Teen",IF(LEFT(B85,14)="INTL-CHI TEEN ","International Teen",IF(LEFT(B85,14)="INTL-SPA TEEN ","International Teen",IF(LEFT(B85,11)="INTL-VIE E ","International Easy",IF(LEFT(B85,11)="INTL-TAG E ","International Easy",IF(LEFT(B85,11)="INTL-RUS E ","International Easy",IF(LEFT(B85,11)="INTL-JAP E ","International Easy",IF(LEFT(B85,11)="INTL-KOR E ","International Easy",IF(LEFT(B85,11)="INTL-CHI E ","International Easy",IF(LEFT(B85,11)="INTL-SPA E ","International Easy",
IF(D85="Teen Large Type","Teen Fiction",
IF(D85="Juvenile Large Type","Juvenile Fiction",
IF(LEFT(B85,6)="J CD O","Juvenile Compact Disc",
IF(AND(LEFT(B85,4)="TEEN",D85="Fiction"),"Teen Fiction",
IF(D85="DVD Educational","Nonfiction",
IF(D85="Juvenile DVD Educational","Nonfiction",
IF(D85="Reference","Nonfiction",
D85))))))))))))))))))))))))))))))))))))))))))</f>
        <v/>
      </c>
    </row>
    <row r="86" spans="1:14" ht="27" customHeight="1" x14ac:dyDescent="0.25">
      <c r="A86" s="10" t="str">
        <f ca="1">TEXT( INDIRECT( ADDRESS( ROW() + Row_Offset, INDIRECT( "Column_Number_" &amp; A$1), 4,1, tabname) ), "")</f>
        <v/>
      </c>
      <c r="B86" s="10" t="str">
        <f ca="1">TEXT(  IFERROR( VLOOKUP( $D86, CollName_Simplifier_Table[], 2, FALSE),"") &amp;
        INDIRECT( ADDRESS( ROW() + Row_Offset, INDIRECT( "Column_Number_" &amp; $B$1), 4,1, tabname) ), "")</f>
        <v/>
      </c>
      <c r="C86" s="10" t="str">
        <f ca="1">TEXT( INDIRECT( ADDRESS( ROW() + Row_Offset, INDIRECT( "Column_Number_" &amp; C$1), 4,1, tabname) ), "")</f>
        <v/>
      </c>
      <c r="D86" s="10" t="str">
        <f ca="1">TEXT( INDIRECT( ADDRESS( ROW() + Row_Offset, INDIRECT( "Column_Number_" &amp; D$1), 4,1, tabname) ), "")</f>
        <v/>
      </c>
      <c r="E86" s="10" t="str">
        <f ca="1">TEXT( INDIRECT( ADDRESS( ROW() + Row_Offset, INDIRECT( "Column_Number_" &amp; E$1), 4,1, tabname) ), "####")</f>
        <v/>
      </c>
      <c r="F86" s="15"/>
      <c r="G86" s="22" t="str">
        <f ca="1">IFERROR(INDEX(Rank_Table[],MATCH($D86&amp;$A86,Table4[Join],0)),"")</f>
        <v/>
      </c>
      <c r="H86" s="11" t="str">
        <f ca="1">IF(AND(D86="Juvenile Audiobook",LEFT(B86,8)="J CD BIO"),RIGHT(B86,LEN(B86)-9),
IF(AND(D86="Juvenile Audiobook",LEFT(B86,8)="J CD FIC"),B86,
IF(D86="Juvenile Audiobook",RIGHT(B86,LEN(B86)-5),
IF(AND(D86="Teen Audiobook",LEFT(B86,11)="TEEN CD BIO"),RIGHT(B86,LEN(B86)-12),
IF(AND(D86="Teen Audiobook",LEFT(B86,11)="TEEN CD FIC"),B86,
IF(D86="Juvenile Audiobook",RIGHT(B86,LEN(B86)-8),
IF(D86="Juvenile Nonfiction",RIGHT(B86,LEN(B86)-2),
IF(D86="Teen Nonfiction",RIGHT(B86,LEN(B86)-5),
IF(AND(D86="Audiobook",
              NOT(OR(Contains($B86,"CD BIO"),Contains($B86,"CD FIC")))),RIGHT(B86,LEN(B86)-3),
IF(D86="Juvenile Biography",RIGHT(B86,LEN(B86)-2),
IF(D86="Teen Biography",RIGHT(B86,LEN(B86)-5),
IF(AND(D86="Audiobook",
              IFERROR(FIND("BIO",$B86)&gt;0,FALSE)),RIGHT(B86,LEN(B86)-3),
IF(D86="Juvenile Large Type","J "&amp;RIGHT(B86,LEN(B86)-11),
IF(D86="Teen Large Type","TEEN "&amp;RIGHT(B86,LEN(B86)-14),
IF(D86="Reference",RIGHT(B86,LEN(B86)-4),
IF(D86="DVD Educational",RIGHT(B86,LEN(B86)-7),
IF(D86="Juvenile DVD Educational",RIGHT(B86,LEN(B86)-9),
B86)))))))))))))))))</f>
        <v/>
      </c>
      <c r="N86" s="11" t="str">
        <f ca="1">IF(IFERROR(FIND("New",$A86)&gt;0,FALSE),"New ","") &amp; IF(IFERROR(FIND("In Lib",$A86)&gt;0,FALSE),"Reference ","") &amp;
IF(AND(D86="Audiobook",LEFT(B86,6)="CD BIO"),"Biography",
IF(AND(D86="Teen Audiobook",LEFT(B86,11)="TEEN CD BIO"),"Biography",
IF(AND(D86="Juvenile Audiobook",LEFT(B86,8)="J CD BIO"),"Biography",
IF(AND(D86="Audiobook",LEFT(B86,6)="CD FIC"),"Audiobook Fiction",
IF(AND(D86="Teen Audiobook",LEFT(B86,11)="TEEN CD FIC"),"Teen Audiobook",
IF(AND(D86="Juvenile Audiobook",LEFT(B86,8)="J CD FIC"),"Juvenile Audiobook",
IF(D86="Audiobook","Nonfiction",
IF(D86="Juvenile Audiobook","Nonfiction",
IF(D86="Teen Audiobook","Nonfiction",
IF(D86="Juvenile Nonfiction","Nonfiction",
IF(D86="Teen Nonfiction","Nonfiction",
IF(D86="Juvenile Biography","Biography",
IF(D86="Teen Biography","Biography",
IF(D86="ESL","Nonfiction",
IF(LEFT(B86,11)="INTL-VIE J ","International Juvenile",IF(LEFT(B86,11)="INTL-TAG J ","International Juvenile",IF(LEFT(B86,11)="INTL-RUS J ","International Juvenile",IF(LEFT(B86,11)="INTL-KOR J ","International Juvenile",IF(LEFT(B86,11)="INTL-JAP J ","International Juvenile",IF(LEFT(B86,11)="INTL-CHI J ","International Juvenile",IF(LEFT(B86,11)="INTL-SPA J ","International Juvenile",IF(LEFT(B86,14)="INTL-VIE TEEN ","International Teen",IF(LEFT(B86,14)="INTL-TAG TEEN ","International Teen",IF(LEFT(B86,14)="INTL-RUS TEEN ","International Teen",IF(LEFT(B86,14)="INTL-KOR TEEN ","International Teen",IF(LEFT(B86,14)="INTL-JAP TEEN ","International Teen",IF(LEFT(B86,14)="INTL-CHI TEEN ","International Teen",IF(LEFT(B86,14)="INTL-SPA TEEN ","International Teen",IF(LEFT(B86,11)="INTL-VIE E ","International Easy",IF(LEFT(B86,11)="INTL-TAG E ","International Easy",IF(LEFT(B86,11)="INTL-RUS E ","International Easy",IF(LEFT(B86,11)="INTL-JAP E ","International Easy",IF(LEFT(B86,11)="INTL-KOR E ","International Easy",IF(LEFT(B86,11)="INTL-CHI E ","International Easy",IF(LEFT(B86,11)="INTL-SPA E ","International Easy",
IF(D86="Teen Large Type","Teen Fiction",
IF(D86="Juvenile Large Type","Juvenile Fiction",
IF(LEFT(B86,6)="J CD O","Juvenile Compact Disc",
IF(AND(LEFT(B86,4)="TEEN",D86="Fiction"),"Teen Fiction",
IF(D86="DVD Educational","Nonfiction",
IF(D86="Juvenile DVD Educational","Nonfiction",
IF(D86="Reference","Nonfiction",
D86))))))))))))))))))))))))))))))))))))))))))</f>
        <v/>
      </c>
    </row>
    <row r="87" spans="1:14" ht="27" customHeight="1" x14ac:dyDescent="0.25">
      <c r="A87" s="10" t="str">
        <f ca="1">TEXT( INDIRECT( ADDRESS( ROW() + Row_Offset, INDIRECT( "Column_Number_" &amp; A$1), 4,1, tabname) ), "")</f>
        <v/>
      </c>
      <c r="B87" s="10" t="str">
        <f ca="1">TEXT(  IFERROR( VLOOKUP( $D87, CollName_Simplifier_Table[], 2, FALSE),"") &amp;
        INDIRECT( ADDRESS( ROW() + Row_Offset, INDIRECT( "Column_Number_" &amp; $B$1), 4,1, tabname) ), "")</f>
        <v/>
      </c>
      <c r="C87" s="10" t="str">
        <f ca="1">TEXT( INDIRECT( ADDRESS( ROW() + Row_Offset, INDIRECT( "Column_Number_" &amp; C$1), 4,1, tabname) ), "")</f>
        <v/>
      </c>
      <c r="D87" s="10" t="str">
        <f ca="1">TEXT( INDIRECT( ADDRESS( ROW() + Row_Offset, INDIRECT( "Column_Number_" &amp; D$1), 4,1, tabname) ), "")</f>
        <v/>
      </c>
      <c r="E87" s="10" t="str">
        <f ca="1">TEXT( INDIRECT( ADDRESS( ROW() + Row_Offset, INDIRECT( "Column_Number_" &amp; E$1), 4,1, tabname) ), "####")</f>
        <v/>
      </c>
      <c r="F87" s="15"/>
      <c r="G87" s="22" t="str">
        <f ca="1">IFERROR(INDEX(Rank_Table[],MATCH($D87&amp;$A87,Table4[Join],0)),"")</f>
        <v/>
      </c>
      <c r="H87" s="11" t="str">
        <f ca="1">IF(AND(D87="Juvenile Audiobook",LEFT(B87,8)="J CD BIO"),RIGHT(B87,LEN(B87)-9),
IF(AND(D87="Juvenile Audiobook",LEFT(B87,8)="J CD FIC"),B87,
IF(D87="Juvenile Audiobook",RIGHT(B87,LEN(B87)-5),
IF(AND(D87="Teen Audiobook",LEFT(B87,11)="TEEN CD BIO"),RIGHT(B87,LEN(B87)-12),
IF(AND(D87="Teen Audiobook",LEFT(B87,11)="TEEN CD FIC"),B87,
IF(D87="Juvenile Audiobook",RIGHT(B87,LEN(B87)-8),
IF(D87="Juvenile Nonfiction",RIGHT(B87,LEN(B87)-2),
IF(D87="Teen Nonfiction",RIGHT(B87,LEN(B87)-5),
IF(AND(D87="Audiobook",
              NOT(OR(Contains($B87,"CD BIO"),Contains($B87,"CD FIC")))),RIGHT(B87,LEN(B87)-3),
IF(D87="Juvenile Biography",RIGHT(B87,LEN(B87)-2),
IF(D87="Teen Biography",RIGHT(B87,LEN(B87)-5),
IF(AND(D87="Audiobook",
              IFERROR(FIND("BIO",$B87)&gt;0,FALSE)),RIGHT(B87,LEN(B87)-3),
IF(D87="Juvenile Large Type","J "&amp;RIGHT(B87,LEN(B87)-11),
IF(D87="Teen Large Type","TEEN "&amp;RIGHT(B87,LEN(B87)-14),
IF(D87="Reference",RIGHT(B87,LEN(B87)-4),
IF(D87="DVD Educational",RIGHT(B87,LEN(B87)-7),
IF(D87="Juvenile DVD Educational",RIGHT(B87,LEN(B87)-9),
B87)))))))))))))))))</f>
        <v/>
      </c>
      <c r="N87" s="11" t="str">
        <f ca="1">IF(IFERROR(FIND("New",$A87)&gt;0,FALSE),"New ","") &amp; IF(IFERROR(FIND("In Lib",$A87)&gt;0,FALSE),"Reference ","") &amp;
IF(AND(D87="Audiobook",LEFT(B87,6)="CD BIO"),"Biography",
IF(AND(D87="Teen Audiobook",LEFT(B87,11)="TEEN CD BIO"),"Biography",
IF(AND(D87="Juvenile Audiobook",LEFT(B87,8)="J CD BIO"),"Biography",
IF(AND(D87="Audiobook",LEFT(B87,6)="CD FIC"),"Audiobook Fiction",
IF(AND(D87="Teen Audiobook",LEFT(B87,11)="TEEN CD FIC"),"Teen Audiobook",
IF(AND(D87="Juvenile Audiobook",LEFT(B87,8)="J CD FIC"),"Juvenile Audiobook",
IF(D87="Audiobook","Nonfiction",
IF(D87="Juvenile Audiobook","Nonfiction",
IF(D87="Teen Audiobook","Nonfiction",
IF(D87="Juvenile Nonfiction","Nonfiction",
IF(D87="Teen Nonfiction","Nonfiction",
IF(D87="Juvenile Biography","Biography",
IF(D87="Teen Biography","Biography",
IF(D87="ESL","Nonfiction",
IF(LEFT(B87,11)="INTL-VIE J ","International Juvenile",IF(LEFT(B87,11)="INTL-TAG J ","International Juvenile",IF(LEFT(B87,11)="INTL-RUS J ","International Juvenile",IF(LEFT(B87,11)="INTL-KOR J ","International Juvenile",IF(LEFT(B87,11)="INTL-JAP J ","International Juvenile",IF(LEFT(B87,11)="INTL-CHI J ","International Juvenile",IF(LEFT(B87,11)="INTL-SPA J ","International Juvenile",IF(LEFT(B87,14)="INTL-VIE TEEN ","International Teen",IF(LEFT(B87,14)="INTL-TAG TEEN ","International Teen",IF(LEFT(B87,14)="INTL-RUS TEEN ","International Teen",IF(LEFT(B87,14)="INTL-KOR TEEN ","International Teen",IF(LEFT(B87,14)="INTL-JAP TEEN ","International Teen",IF(LEFT(B87,14)="INTL-CHI TEEN ","International Teen",IF(LEFT(B87,14)="INTL-SPA TEEN ","International Teen",IF(LEFT(B87,11)="INTL-VIE E ","International Easy",IF(LEFT(B87,11)="INTL-TAG E ","International Easy",IF(LEFT(B87,11)="INTL-RUS E ","International Easy",IF(LEFT(B87,11)="INTL-JAP E ","International Easy",IF(LEFT(B87,11)="INTL-KOR E ","International Easy",IF(LEFT(B87,11)="INTL-CHI E ","International Easy",IF(LEFT(B87,11)="INTL-SPA E ","International Easy",
IF(D87="Teen Large Type","Teen Fiction",
IF(D87="Juvenile Large Type","Juvenile Fiction",
IF(LEFT(B87,6)="J CD O","Juvenile Compact Disc",
IF(AND(LEFT(B87,4)="TEEN",D87="Fiction"),"Teen Fiction",
IF(D87="DVD Educational","Nonfiction",
IF(D87="Juvenile DVD Educational","Nonfiction",
IF(D87="Reference","Nonfiction",
D87))))))))))))))))))))))))))))))))))))))))))</f>
        <v/>
      </c>
    </row>
    <row r="88" spans="1:14" ht="27" customHeight="1" x14ac:dyDescent="0.25">
      <c r="A88" s="10" t="str">
        <f ca="1">TEXT( INDIRECT( ADDRESS( ROW() + Row_Offset, INDIRECT( "Column_Number_" &amp; A$1), 4,1, tabname) ), "")</f>
        <v/>
      </c>
      <c r="B88" s="10" t="str">
        <f ca="1">TEXT(  IFERROR( VLOOKUP( $D88, CollName_Simplifier_Table[], 2, FALSE),"") &amp;
        INDIRECT( ADDRESS( ROW() + Row_Offset, INDIRECT( "Column_Number_" &amp; $B$1), 4,1, tabname) ), "")</f>
        <v/>
      </c>
      <c r="C88" s="10" t="str">
        <f ca="1">TEXT( INDIRECT( ADDRESS( ROW() + Row_Offset, INDIRECT( "Column_Number_" &amp; C$1), 4,1, tabname) ), "")</f>
        <v/>
      </c>
      <c r="D88" s="10" t="str">
        <f ca="1">TEXT( INDIRECT( ADDRESS( ROW() + Row_Offset, INDIRECT( "Column_Number_" &amp; D$1), 4,1, tabname) ), "")</f>
        <v/>
      </c>
      <c r="E88" s="10" t="str">
        <f ca="1">TEXT( INDIRECT( ADDRESS( ROW() + Row_Offset, INDIRECT( "Column_Number_" &amp; E$1), 4,1, tabname) ), "####")</f>
        <v/>
      </c>
      <c r="F88" s="15"/>
      <c r="G88" s="22" t="str">
        <f ca="1">IFERROR(INDEX(Rank_Table[],MATCH($D88&amp;$A88,Table4[Join],0)),"")</f>
        <v/>
      </c>
      <c r="H88" s="11" t="str">
        <f ca="1">IF(AND(D88="Juvenile Audiobook",LEFT(B88,8)="J CD BIO"),RIGHT(B88,LEN(B88)-9),
IF(AND(D88="Juvenile Audiobook",LEFT(B88,8)="J CD FIC"),B88,
IF(D88="Juvenile Audiobook",RIGHT(B88,LEN(B88)-5),
IF(AND(D88="Teen Audiobook",LEFT(B88,11)="TEEN CD BIO"),RIGHT(B88,LEN(B88)-12),
IF(AND(D88="Teen Audiobook",LEFT(B88,11)="TEEN CD FIC"),B88,
IF(D88="Juvenile Audiobook",RIGHT(B88,LEN(B88)-8),
IF(D88="Juvenile Nonfiction",RIGHT(B88,LEN(B88)-2),
IF(D88="Teen Nonfiction",RIGHT(B88,LEN(B88)-5),
IF(AND(D88="Audiobook",
              NOT(OR(Contains($B88,"CD BIO"),Contains($B88,"CD FIC")))),RIGHT(B88,LEN(B88)-3),
IF(D88="Juvenile Biography",RIGHT(B88,LEN(B88)-2),
IF(D88="Teen Biography",RIGHT(B88,LEN(B88)-5),
IF(AND(D88="Audiobook",
              IFERROR(FIND("BIO",$B88)&gt;0,FALSE)),RIGHT(B88,LEN(B88)-3),
IF(D88="Juvenile Large Type","J "&amp;RIGHT(B88,LEN(B88)-11),
IF(D88="Teen Large Type","TEEN "&amp;RIGHT(B88,LEN(B88)-14),
IF(D88="Reference",RIGHT(B88,LEN(B88)-4),
IF(D88="DVD Educational",RIGHT(B88,LEN(B88)-7),
IF(D88="Juvenile DVD Educational",RIGHT(B88,LEN(B88)-9),
B88)))))))))))))))))</f>
        <v/>
      </c>
      <c r="N88" s="11" t="str">
        <f ca="1">IF(IFERROR(FIND("New",$A88)&gt;0,FALSE),"New ","") &amp; IF(IFERROR(FIND("In Lib",$A88)&gt;0,FALSE),"Reference ","") &amp;
IF(AND(D88="Audiobook",LEFT(B88,6)="CD BIO"),"Biography",
IF(AND(D88="Teen Audiobook",LEFT(B88,11)="TEEN CD BIO"),"Biography",
IF(AND(D88="Juvenile Audiobook",LEFT(B88,8)="J CD BIO"),"Biography",
IF(AND(D88="Audiobook",LEFT(B88,6)="CD FIC"),"Audiobook Fiction",
IF(AND(D88="Teen Audiobook",LEFT(B88,11)="TEEN CD FIC"),"Teen Audiobook",
IF(AND(D88="Juvenile Audiobook",LEFT(B88,8)="J CD FIC"),"Juvenile Audiobook",
IF(D88="Audiobook","Nonfiction",
IF(D88="Juvenile Audiobook","Nonfiction",
IF(D88="Teen Audiobook","Nonfiction",
IF(D88="Juvenile Nonfiction","Nonfiction",
IF(D88="Teen Nonfiction","Nonfiction",
IF(D88="Juvenile Biography","Biography",
IF(D88="Teen Biography","Biography",
IF(D88="ESL","Nonfiction",
IF(LEFT(B88,11)="INTL-VIE J ","International Juvenile",IF(LEFT(B88,11)="INTL-TAG J ","International Juvenile",IF(LEFT(B88,11)="INTL-RUS J ","International Juvenile",IF(LEFT(B88,11)="INTL-KOR J ","International Juvenile",IF(LEFT(B88,11)="INTL-JAP J ","International Juvenile",IF(LEFT(B88,11)="INTL-CHI J ","International Juvenile",IF(LEFT(B88,11)="INTL-SPA J ","International Juvenile",IF(LEFT(B88,14)="INTL-VIE TEEN ","International Teen",IF(LEFT(B88,14)="INTL-TAG TEEN ","International Teen",IF(LEFT(B88,14)="INTL-RUS TEEN ","International Teen",IF(LEFT(B88,14)="INTL-KOR TEEN ","International Teen",IF(LEFT(B88,14)="INTL-JAP TEEN ","International Teen",IF(LEFT(B88,14)="INTL-CHI TEEN ","International Teen",IF(LEFT(B88,14)="INTL-SPA TEEN ","International Teen",IF(LEFT(B88,11)="INTL-VIE E ","International Easy",IF(LEFT(B88,11)="INTL-TAG E ","International Easy",IF(LEFT(B88,11)="INTL-RUS E ","International Easy",IF(LEFT(B88,11)="INTL-JAP E ","International Easy",IF(LEFT(B88,11)="INTL-KOR E ","International Easy",IF(LEFT(B88,11)="INTL-CHI E ","International Easy",IF(LEFT(B88,11)="INTL-SPA E ","International Easy",
IF(D88="Teen Large Type","Teen Fiction",
IF(D88="Juvenile Large Type","Juvenile Fiction",
IF(LEFT(B88,6)="J CD O","Juvenile Compact Disc",
IF(AND(LEFT(B88,4)="TEEN",D88="Fiction"),"Teen Fiction",
IF(D88="DVD Educational","Nonfiction",
IF(D88="Juvenile DVD Educational","Nonfiction",
IF(D88="Reference","Nonfiction",
D88))))))))))))))))))))))))))))))))))))))))))</f>
        <v/>
      </c>
    </row>
    <row r="89" spans="1:14" ht="27" customHeight="1" x14ac:dyDescent="0.25">
      <c r="A89" s="10" t="str">
        <f ca="1">TEXT( INDIRECT( ADDRESS( ROW() + Row_Offset, INDIRECT( "Column_Number_" &amp; A$1), 4,1, tabname) ), "")</f>
        <v/>
      </c>
      <c r="B89" s="10" t="str">
        <f ca="1">TEXT(  IFERROR( VLOOKUP( $D89, CollName_Simplifier_Table[], 2, FALSE),"") &amp;
        INDIRECT( ADDRESS( ROW() + Row_Offset, INDIRECT( "Column_Number_" &amp; $B$1), 4,1, tabname) ), "")</f>
        <v/>
      </c>
      <c r="C89" s="10" t="str">
        <f ca="1">TEXT( INDIRECT( ADDRESS( ROW() + Row_Offset, INDIRECT( "Column_Number_" &amp; C$1), 4,1, tabname) ), "")</f>
        <v/>
      </c>
      <c r="D89" s="10" t="str">
        <f ca="1">TEXT( INDIRECT( ADDRESS( ROW() + Row_Offset, INDIRECT( "Column_Number_" &amp; D$1), 4,1, tabname) ), "")</f>
        <v/>
      </c>
      <c r="E89" s="10" t="str">
        <f ca="1">TEXT( INDIRECT( ADDRESS( ROW() + Row_Offset, INDIRECT( "Column_Number_" &amp; E$1), 4,1, tabname) ), "####")</f>
        <v/>
      </c>
      <c r="F89" s="15"/>
      <c r="G89" s="22" t="str">
        <f ca="1">IFERROR(INDEX(Rank_Table[],MATCH($D89&amp;$A89,Table4[Join],0)),"")</f>
        <v/>
      </c>
      <c r="H89" s="11" t="str">
        <f ca="1">IF(AND(D89="Juvenile Audiobook",LEFT(B89,8)="J CD BIO"),RIGHT(B89,LEN(B89)-9),
IF(AND(D89="Juvenile Audiobook",LEFT(B89,8)="J CD FIC"),B89,
IF(D89="Juvenile Audiobook",RIGHT(B89,LEN(B89)-5),
IF(AND(D89="Teen Audiobook",LEFT(B89,11)="TEEN CD BIO"),RIGHT(B89,LEN(B89)-12),
IF(AND(D89="Teen Audiobook",LEFT(B89,11)="TEEN CD FIC"),B89,
IF(D89="Juvenile Audiobook",RIGHT(B89,LEN(B89)-8),
IF(D89="Juvenile Nonfiction",RIGHT(B89,LEN(B89)-2),
IF(D89="Teen Nonfiction",RIGHT(B89,LEN(B89)-5),
IF(AND(D89="Audiobook",
              NOT(OR(Contains($B89,"CD BIO"),Contains($B89,"CD FIC")))),RIGHT(B89,LEN(B89)-3),
IF(D89="Juvenile Biography",RIGHT(B89,LEN(B89)-2),
IF(D89="Teen Biography",RIGHT(B89,LEN(B89)-5),
IF(AND(D89="Audiobook",
              IFERROR(FIND("BIO",$B89)&gt;0,FALSE)),RIGHT(B89,LEN(B89)-3),
IF(D89="Juvenile Large Type","J "&amp;RIGHT(B89,LEN(B89)-11),
IF(D89="Teen Large Type","TEEN "&amp;RIGHT(B89,LEN(B89)-14),
IF(D89="Reference",RIGHT(B89,LEN(B89)-4),
IF(D89="DVD Educational",RIGHT(B89,LEN(B89)-7),
IF(D89="Juvenile DVD Educational",RIGHT(B89,LEN(B89)-9),
B89)))))))))))))))))</f>
        <v/>
      </c>
      <c r="N89" s="11" t="str">
        <f ca="1">IF(IFERROR(FIND("New",$A89)&gt;0,FALSE),"New ","") &amp; IF(IFERROR(FIND("In Lib",$A89)&gt;0,FALSE),"Reference ","") &amp;
IF(AND(D89="Audiobook",LEFT(B89,6)="CD BIO"),"Biography",
IF(AND(D89="Teen Audiobook",LEFT(B89,11)="TEEN CD BIO"),"Biography",
IF(AND(D89="Juvenile Audiobook",LEFT(B89,8)="J CD BIO"),"Biography",
IF(AND(D89="Audiobook",LEFT(B89,6)="CD FIC"),"Audiobook Fiction",
IF(AND(D89="Teen Audiobook",LEFT(B89,11)="TEEN CD FIC"),"Teen Audiobook",
IF(AND(D89="Juvenile Audiobook",LEFT(B89,8)="J CD FIC"),"Juvenile Audiobook",
IF(D89="Audiobook","Nonfiction",
IF(D89="Juvenile Audiobook","Nonfiction",
IF(D89="Teen Audiobook","Nonfiction",
IF(D89="Juvenile Nonfiction","Nonfiction",
IF(D89="Teen Nonfiction","Nonfiction",
IF(D89="Juvenile Biography","Biography",
IF(D89="Teen Biography","Biography",
IF(D89="ESL","Nonfiction",
IF(LEFT(B89,11)="INTL-VIE J ","International Juvenile",IF(LEFT(B89,11)="INTL-TAG J ","International Juvenile",IF(LEFT(B89,11)="INTL-RUS J ","International Juvenile",IF(LEFT(B89,11)="INTL-KOR J ","International Juvenile",IF(LEFT(B89,11)="INTL-JAP J ","International Juvenile",IF(LEFT(B89,11)="INTL-CHI J ","International Juvenile",IF(LEFT(B89,11)="INTL-SPA J ","International Juvenile",IF(LEFT(B89,14)="INTL-VIE TEEN ","International Teen",IF(LEFT(B89,14)="INTL-TAG TEEN ","International Teen",IF(LEFT(B89,14)="INTL-RUS TEEN ","International Teen",IF(LEFT(B89,14)="INTL-KOR TEEN ","International Teen",IF(LEFT(B89,14)="INTL-JAP TEEN ","International Teen",IF(LEFT(B89,14)="INTL-CHI TEEN ","International Teen",IF(LEFT(B89,14)="INTL-SPA TEEN ","International Teen",IF(LEFT(B89,11)="INTL-VIE E ","International Easy",IF(LEFT(B89,11)="INTL-TAG E ","International Easy",IF(LEFT(B89,11)="INTL-RUS E ","International Easy",IF(LEFT(B89,11)="INTL-JAP E ","International Easy",IF(LEFT(B89,11)="INTL-KOR E ","International Easy",IF(LEFT(B89,11)="INTL-CHI E ","International Easy",IF(LEFT(B89,11)="INTL-SPA E ","International Easy",
IF(D89="Teen Large Type","Teen Fiction",
IF(D89="Juvenile Large Type","Juvenile Fiction",
IF(LEFT(B89,6)="J CD O","Juvenile Compact Disc",
IF(AND(LEFT(B89,4)="TEEN",D89="Fiction"),"Teen Fiction",
IF(D89="DVD Educational","Nonfiction",
IF(D89="Juvenile DVD Educational","Nonfiction",
IF(D89="Reference","Nonfiction",
D89))))))))))))))))))))))))))))))))))))))))))</f>
        <v/>
      </c>
    </row>
    <row r="90" spans="1:14" ht="27" customHeight="1" x14ac:dyDescent="0.25">
      <c r="A90" s="10" t="str">
        <f ca="1">TEXT( INDIRECT( ADDRESS( ROW() + Row_Offset, INDIRECT( "Column_Number_" &amp; A$1), 4,1, tabname) ), "")</f>
        <v/>
      </c>
      <c r="B90" s="10" t="str">
        <f ca="1">TEXT(  IFERROR( VLOOKUP( $D90, CollName_Simplifier_Table[], 2, FALSE),"") &amp;
        INDIRECT( ADDRESS( ROW() + Row_Offset, INDIRECT( "Column_Number_" &amp; $B$1), 4,1, tabname) ), "")</f>
        <v/>
      </c>
      <c r="C90" s="10" t="str">
        <f ca="1">TEXT( INDIRECT( ADDRESS( ROW() + Row_Offset, INDIRECT( "Column_Number_" &amp; C$1), 4,1, tabname) ), "")</f>
        <v/>
      </c>
      <c r="D90" s="10" t="str">
        <f ca="1">TEXT( INDIRECT( ADDRESS( ROW() + Row_Offset, INDIRECT( "Column_Number_" &amp; D$1), 4,1, tabname) ), "")</f>
        <v/>
      </c>
      <c r="E90" s="10" t="str">
        <f ca="1">TEXT( INDIRECT( ADDRESS( ROW() + Row_Offset, INDIRECT( "Column_Number_" &amp; E$1), 4,1, tabname) ), "####")</f>
        <v/>
      </c>
      <c r="F90" s="15"/>
      <c r="G90" s="22" t="str">
        <f ca="1">IFERROR(INDEX(Rank_Table[],MATCH($D90&amp;$A90,Table4[Join],0)),"")</f>
        <v/>
      </c>
      <c r="H90" s="11" t="str">
        <f ca="1">IF(AND(D90="Juvenile Audiobook",LEFT(B90,8)="J CD BIO"),RIGHT(B90,LEN(B90)-9),
IF(AND(D90="Juvenile Audiobook",LEFT(B90,8)="J CD FIC"),B90,
IF(D90="Juvenile Audiobook",RIGHT(B90,LEN(B90)-5),
IF(AND(D90="Teen Audiobook",LEFT(B90,11)="TEEN CD BIO"),RIGHT(B90,LEN(B90)-12),
IF(AND(D90="Teen Audiobook",LEFT(B90,11)="TEEN CD FIC"),B90,
IF(D90="Juvenile Audiobook",RIGHT(B90,LEN(B90)-8),
IF(D90="Juvenile Nonfiction",RIGHT(B90,LEN(B90)-2),
IF(D90="Teen Nonfiction",RIGHT(B90,LEN(B90)-5),
IF(AND(D90="Audiobook",
              NOT(OR(Contains($B90,"CD BIO"),Contains($B90,"CD FIC")))),RIGHT(B90,LEN(B90)-3),
IF(D90="Juvenile Biography",RIGHT(B90,LEN(B90)-2),
IF(D90="Teen Biography",RIGHT(B90,LEN(B90)-5),
IF(AND(D90="Audiobook",
              IFERROR(FIND("BIO",$B90)&gt;0,FALSE)),RIGHT(B90,LEN(B90)-3),
IF(D90="Juvenile Large Type","J "&amp;RIGHT(B90,LEN(B90)-11),
IF(D90="Teen Large Type","TEEN "&amp;RIGHT(B90,LEN(B90)-14),
IF(D90="Reference",RIGHT(B90,LEN(B90)-4),
IF(D90="DVD Educational",RIGHT(B90,LEN(B90)-7),
IF(D90="Juvenile DVD Educational",RIGHT(B90,LEN(B90)-9),
B90)))))))))))))))))</f>
        <v/>
      </c>
      <c r="N90" s="11" t="str">
        <f ca="1">IF(IFERROR(FIND("New",$A90)&gt;0,FALSE),"New ","") &amp; IF(IFERROR(FIND("In Lib",$A90)&gt;0,FALSE),"Reference ","") &amp;
IF(AND(D90="Audiobook",LEFT(B90,6)="CD BIO"),"Biography",
IF(AND(D90="Teen Audiobook",LEFT(B90,11)="TEEN CD BIO"),"Biography",
IF(AND(D90="Juvenile Audiobook",LEFT(B90,8)="J CD BIO"),"Biography",
IF(AND(D90="Audiobook",LEFT(B90,6)="CD FIC"),"Audiobook Fiction",
IF(AND(D90="Teen Audiobook",LEFT(B90,11)="TEEN CD FIC"),"Teen Audiobook",
IF(AND(D90="Juvenile Audiobook",LEFT(B90,8)="J CD FIC"),"Juvenile Audiobook",
IF(D90="Audiobook","Nonfiction",
IF(D90="Juvenile Audiobook","Nonfiction",
IF(D90="Teen Audiobook","Nonfiction",
IF(D90="Juvenile Nonfiction","Nonfiction",
IF(D90="Teen Nonfiction","Nonfiction",
IF(D90="Juvenile Biography","Biography",
IF(D90="Teen Biography","Biography",
IF(D90="ESL","Nonfiction",
IF(LEFT(B90,11)="INTL-VIE J ","International Juvenile",IF(LEFT(B90,11)="INTL-TAG J ","International Juvenile",IF(LEFT(B90,11)="INTL-RUS J ","International Juvenile",IF(LEFT(B90,11)="INTL-KOR J ","International Juvenile",IF(LEFT(B90,11)="INTL-JAP J ","International Juvenile",IF(LEFT(B90,11)="INTL-CHI J ","International Juvenile",IF(LEFT(B90,11)="INTL-SPA J ","International Juvenile",IF(LEFT(B90,14)="INTL-VIE TEEN ","International Teen",IF(LEFT(B90,14)="INTL-TAG TEEN ","International Teen",IF(LEFT(B90,14)="INTL-RUS TEEN ","International Teen",IF(LEFT(B90,14)="INTL-KOR TEEN ","International Teen",IF(LEFT(B90,14)="INTL-JAP TEEN ","International Teen",IF(LEFT(B90,14)="INTL-CHI TEEN ","International Teen",IF(LEFT(B90,14)="INTL-SPA TEEN ","International Teen",IF(LEFT(B90,11)="INTL-VIE E ","International Easy",IF(LEFT(B90,11)="INTL-TAG E ","International Easy",IF(LEFT(B90,11)="INTL-RUS E ","International Easy",IF(LEFT(B90,11)="INTL-JAP E ","International Easy",IF(LEFT(B90,11)="INTL-KOR E ","International Easy",IF(LEFT(B90,11)="INTL-CHI E ","International Easy",IF(LEFT(B90,11)="INTL-SPA E ","International Easy",
IF(D90="Teen Large Type","Teen Fiction",
IF(D90="Juvenile Large Type","Juvenile Fiction",
IF(LEFT(B90,6)="J CD O","Juvenile Compact Disc",
IF(AND(LEFT(B90,4)="TEEN",D90="Fiction"),"Teen Fiction",
IF(D90="DVD Educational","Nonfiction",
IF(D90="Juvenile DVD Educational","Nonfiction",
IF(D90="Reference","Nonfiction",
D90))))))))))))))))))))))))))))))))))))))))))</f>
        <v/>
      </c>
    </row>
    <row r="91" spans="1:14" ht="27" customHeight="1" x14ac:dyDescent="0.25">
      <c r="A91" s="10" t="str">
        <f ca="1">TEXT( INDIRECT( ADDRESS( ROW() + Row_Offset, INDIRECT( "Column_Number_" &amp; A$1), 4,1, tabname) ), "")</f>
        <v/>
      </c>
      <c r="B91" s="10" t="str">
        <f ca="1">TEXT(  IFERROR( VLOOKUP( $D91, CollName_Simplifier_Table[], 2, FALSE),"") &amp;
        INDIRECT( ADDRESS( ROW() + Row_Offset, INDIRECT( "Column_Number_" &amp; $B$1), 4,1, tabname) ), "")</f>
        <v/>
      </c>
      <c r="C91" s="10" t="str">
        <f ca="1">TEXT( INDIRECT( ADDRESS( ROW() + Row_Offset, INDIRECT( "Column_Number_" &amp; C$1), 4,1, tabname) ), "")</f>
        <v/>
      </c>
      <c r="D91" s="10" t="str">
        <f ca="1">TEXT( INDIRECT( ADDRESS( ROW() + Row_Offset, INDIRECT( "Column_Number_" &amp; D$1), 4,1, tabname) ), "")</f>
        <v/>
      </c>
      <c r="E91" s="10" t="str">
        <f ca="1">TEXT( INDIRECT( ADDRESS( ROW() + Row_Offset, INDIRECT( "Column_Number_" &amp; E$1), 4,1, tabname) ), "####")</f>
        <v/>
      </c>
      <c r="F91" s="15"/>
      <c r="G91" s="22" t="str">
        <f ca="1">IFERROR(INDEX(Rank_Table[],MATCH($D91&amp;$A91,Table4[Join],0)),"")</f>
        <v/>
      </c>
      <c r="H91" s="11" t="str">
        <f ca="1">IF(AND(D91="Juvenile Audiobook",LEFT(B91,8)="J CD BIO"),RIGHT(B91,LEN(B91)-9),
IF(AND(D91="Juvenile Audiobook",LEFT(B91,8)="J CD FIC"),B91,
IF(D91="Juvenile Audiobook",RIGHT(B91,LEN(B91)-5),
IF(AND(D91="Teen Audiobook",LEFT(B91,11)="TEEN CD BIO"),RIGHT(B91,LEN(B91)-12),
IF(AND(D91="Teen Audiobook",LEFT(B91,11)="TEEN CD FIC"),B91,
IF(D91="Juvenile Audiobook",RIGHT(B91,LEN(B91)-8),
IF(D91="Juvenile Nonfiction",RIGHT(B91,LEN(B91)-2),
IF(D91="Teen Nonfiction",RIGHT(B91,LEN(B91)-5),
IF(AND(D91="Audiobook",
              NOT(OR(Contains($B91,"CD BIO"),Contains($B91,"CD FIC")))),RIGHT(B91,LEN(B91)-3),
IF(D91="Juvenile Biography",RIGHT(B91,LEN(B91)-2),
IF(D91="Teen Biography",RIGHT(B91,LEN(B91)-5),
IF(AND(D91="Audiobook",
              IFERROR(FIND("BIO",$B91)&gt;0,FALSE)),RIGHT(B91,LEN(B91)-3),
IF(D91="Juvenile Large Type","J "&amp;RIGHT(B91,LEN(B91)-11),
IF(D91="Teen Large Type","TEEN "&amp;RIGHT(B91,LEN(B91)-14),
IF(D91="Reference",RIGHT(B91,LEN(B91)-4),
IF(D91="DVD Educational",RIGHT(B91,LEN(B91)-7),
IF(D91="Juvenile DVD Educational",RIGHT(B91,LEN(B91)-9),
B91)))))))))))))))))</f>
        <v/>
      </c>
      <c r="N91" s="11" t="str">
        <f ca="1">IF(IFERROR(FIND("New",$A91)&gt;0,FALSE),"New ","") &amp; IF(IFERROR(FIND("In Lib",$A91)&gt;0,FALSE),"Reference ","") &amp;
IF(AND(D91="Audiobook",LEFT(B91,6)="CD BIO"),"Biography",
IF(AND(D91="Teen Audiobook",LEFT(B91,11)="TEEN CD BIO"),"Biography",
IF(AND(D91="Juvenile Audiobook",LEFT(B91,8)="J CD BIO"),"Biography",
IF(AND(D91="Audiobook",LEFT(B91,6)="CD FIC"),"Audiobook Fiction",
IF(AND(D91="Teen Audiobook",LEFT(B91,11)="TEEN CD FIC"),"Teen Audiobook",
IF(AND(D91="Juvenile Audiobook",LEFT(B91,8)="J CD FIC"),"Juvenile Audiobook",
IF(D91="Audiobook","Nonfiction",
IF(D91="Juvenile Audiobook","Nonfiction",
IF(D91="Teen Audiobook","Nonfiction",
IF(D91="Juvenile Nonfiction","Nonfiction",
IF(D91="Teen Nonfiction","Nonfiction",
IF(D91="Juvenile Biography","Biography",
IF(D91="Teen Biography","Biography",
IF(D91="ESL","Nonfiction",
IF(LEFT(B91,11)="INTL-VIE J ","International Juvenile",IF(LEFT(B91,11)="INTL-TAG J ","International Juvenile",IF(LEFT(B91,11)="INTL-RUS J ","International Juvenile",IF(LEFT(B91,11)="INTL-KOR J ","International Juvenile",IF(LEFT(B91,11)="INTL-JAP J ","International Juvenile",IF(LEFT(B91,11)="INTL-CHI J ","International Juvenile",IF(LEFT(B91,11)="INTL-SPA J ","International Juvenile",IF(LEFT(B91,14)="INTL-VIE TEEN ","International Teen",IF(LEFT(B91,14)="INTL-TAG TEEN ","International Teen",IF(LEFT(B91,14)="INTL-RUS TEEN ","International Teen",IF(LEFT(B91,14)="INTL-KOR TEEN ","International Teen",IF(LEFT(B91,14)="INTL-JAP TEEN ","International Teen",IF(LEFT(B91,14)="INTL-CHI TEEN ","International Teen",IF(LEFT(B91,14)="INTL-SPA TEEN ","International Teen",IF(LEFT(B91,11)="INTL-VIE E ","International Easy",IF(LEFT(B91,11)="INTL-TAG E ","International Easy",IF(LEFT(B91,11)="INTL-RUS E ","International Easy",IF(LEFT(B91,11)="INTL-JAP E ","International Easy",IF(LEFT(B91,11)="INTL-KOR E ","International Easy",IF(LEFT(B91,11)="INTL-CHI E ","International Easy",IF(LEFT(B91,11)="INTL-SPA E ","International Easy",
IF(D91="Teen Large Type","Teen Fiction",
IF(D91="Juvenile Large Type","Juvenile Fiction",
IF(LEFT(B91,6)="J CD O","Juvenile Compact Disc",
IF(AND(LEFT(B91,4)="TEEN",D91="Fiction"),"Teen Fiction",
IF(D91="DVD Educational","Nonfiction",
IF(D91="Juvenile DVD Educational","Nonfiction",
IF(D91="Reference","Nonfiction",
D91))))))))))))))))))))))))))))))))))))))))))</f>
        <v/>
      </c>
    </row>
    <row r="92" spans="1:14" ht="27" customHeight="1" x14ac:dyDescent="0.25">
      <c r="A92" s="10" t="str">
        <f ca="1">TEXT( INDIRECT( ADDRESS( ROW() + Row_Offset, INDIRECT( "Column_Number_" &amp; A$1), 4,1, tabname) ), "")</f>
        <v/>
      </c>
      <c r="B92" s="10" t="str">
        <f ca="1">TEXT(  IFERROR( VLOOKUP( $D92, CollName_Simplifier_Table[], 2, FALSE),"") &amp;
        INDIRECT( ADDRESS( ROW() + Row_Offset, INDIRECT( "Column_Number_" &amp; $B$1), 4,1, tabname) ), "")</f>
        <v/>
      </c>
      <c r="C92" s="10" t="str">
        <f ca="1">TEXT( INDIRECT( ADDRESS( ROW() + Row_Offset, INDIRECT( "Column_Number_" &amp; C$1), 4,1, tabname) ), "")</f>
        <v/>
      </c>
      <c r="D92" s="10" t="str">
        <f ca="1">TEXT( INDIRECT( ADDRESS( ROW() + Row_Offset, INDIRECT( "Column_Number_" &amp; D$1), 4,1, tabname) ), "")</f>
        <v/>
      </c>
      <c r="E92" s="10" t="str">
        <f ca="1">TEXT( INDIRECT( ADDRESS( ROW() + Row_Offset, INDIRECT( "Column_Number_" &amp; E$1), 4,1, tabname) ), "####")</f>
        <v/>
      </c>
      <c r="F92" s="15"/>
      <c r="G92" s="22" t="str">
        <f ca="1">IFERROR(INDEX(Rank_Table[],MATCH($D92&amp;$A92,Table4[Join],0)),"")</f>
        <v/>
      </c>
      <c r="H92" s="11" t="str">
        <f ca="1">IF(AND(D92="Juvenile Audiobook",LEFT(B92,8)="J CD BIO"),RIGHT(B92,LEN(B92)-9),
IF(AND(D92="Juvenile Audiobook",LEFT(B92,8)="J CD FIC"),B92,
IF(D92="Juvenile Audiobook",RIGHT(B92,LEN(B92)-5),
IF(AND(D92="Teen Audiobook",LEFT(B92,11)="TEEN CD BIO"),RIGHT(B92,LEN(B92)-12),
IF(AND(D92="Teen Audiobook",LEFT(B92,11)="TEEN CD FIC"),B92,
IF(D92="Juvenile Audiobook",RIGHT(B92,LEN(B92)-8),
IF(D92="Juvenile Nonfiction",RIGHT(B92,LEN(B92)-2),
IF(D92="Teen Nonfiction",RIGHT(B92,LEN(B92)-5),
IF(AND(D92="Audiobook",
              NOT(OR(Contains($B92,"CD BIO"),Contains($B92,"CD FIC")))),RIGHT(B92,LEN(B92)-3),
IF(D92="Juvenile Biography",RIGHT(B92,LEN(B92)-2),
IF(D92="Teen Biography",RIGHT(B92,LEN(B92)-5),
IF(AND(D92="Audiobook",
              IFERROR(FIND("BIO",$B92)&gt;0,FALSE)),RIGHT(B92,LEN(B92)-3),
IF(D92="Juvenile Large Type","J "&amp;RIGHT(B92,LEN(B92)-11),
IF(D92="Teen Large Type","TEEN "&amp;RIGHT(B92,LEN(B92)-14),
IF(D92="Reference",RIGHT(B92,LEN(B92)-4),
IF(D92="DVD Educational",RIGHT(B92,LEN(B92)-7),
IF(D92="Juvenile DVD Educational",RIGHT(B92,LEN(B92)-9),
B92)))))))))))))))))</f>
        <v/>
      </c>
      <c r="N92" s="11" t="str">
        <f ca="1">IF(IFERROR(FIND("New",$A92)&gt;0,FALSE),"New ","") &amp; IF(IFERROR(FIND("In Lib",$A92)&gt;0,FALSE),"Reference ","") &amp;
IF(AND(D92="Audiobook",LEFT(B92,6)="CD BIO"),"Biography",
IF(AND(D92="Teen Audiobook",LEFT(B92,11)="TEEN CD BIO"),"Biography",
IF(AND(D92="Juvenile Audiobook",LEFT(B92,8)="J CD BIO"),"Biography",
IF(AND(D92="Audiobook",LEFT(B92,6)="CD FIC"),"Audiobook Fiction",
IF(AND(D92="Teen Audiobook",LEFT(B92,11)="TEEN CD FIC"),"Teen Audiobook",
IF(AND(D92="Juvenile Audiobook",LEFT(B92,8)="J CD FIC"),"Juvenile Audiobook",
IF(D92="Audiobook","Nonfiction",
IF(D92="Juvenile Audiobook","Nonfiction",
IF(D92="Teen Audiobook","Nonfiction",
IF(D92="Juvenile Nonfiction","Nonfiction",
IF(D92="Teen Nonfiction","Nonfiction",
IF(D92="Juvenile Biography","Biography",
IF(D92="Teen Biography","Biography",
IF(D92="ESL","Nonfiction",
IF(LEFT(B92,11)="INTL-VIE J ","International Juvenile",IF(LEFT(B92,11)="INTL-TAG J ","International Juvenile",IF(LEFT(B92,11)="INTL-RUS J ","International Juvenile",IF(LEFT(B92,11)="INTL-KOR J ","International Juvenile",IF(LEFT(B92,11)="INTL-JAP J ","International Juvenile",IF(LEFT(B92,11)="INTL-CHI J ","International Juvenile",IF(LEFT(B92,11)="INTL-SPA J ","International Juvenile",IF(LEFT(B92,14)="INTL-VIE TEEN ","International Teen",IF(LEFT(B92,14)="INTL-TAG TEEN ","International Teen",IF(LEFT(B92,14)="INTL-RUS TEEN ","International Teen",IF(LEFT(B92,14)="INTL-KOR TEEN ","International Teen",IF(LEFT(B92,14)="INTL-JAP TEEN ","International Teen",IF(LEFT(B92,14)="INTL-CHI TEEN ","International Teen",IF(LEFT(B92,14)="INTL-SPA TEEN ","International Teen",IF(LEFT(B92,11)="INTL-VIE E ","International Easy",IF(LEFT(B92,11)="INTL-TAG E ","International Easy",IF(LEFT(B92,11)="INTL-RUS E ","International Easy",IF(LEFT(B92,11)="INTL-JAP E ","International Easy",IF(LEFT(B92,11)="INTL-KOR E ","International Easy",IF(LEFT(B92,11)="INTL-CHI E ","International Easy",IF(LEFT(B92,11)="INTL-SPA E ","International Easy",
IF(D92="Teen Large Type","Teen Fiction",
IF(D92="Juvenile Large Type","Juvenile Fiction",
IF(LEFT(B92,6)="J CD O","Juvenile Compact Disc",
IF(AND(LEFT(B92,4)="TEEN",D92="Fiction"),"Teen Fiction",
IF(D92="DVD Educational","Nonfiction",
IF(D92="Juvenile DVD Educational","Nonfiction",
IF(D92="Reference","Nonfiction",
D92))))))))))))))))))))))))))))))))))))))))))</f>
        <v/>
      </c>
    </row>
    <row r="93" spans="1:14" ht="27" customHeight="1" x14ac:dyDescent="0.25">
      <c r="A93" s="10" t="str">
        <f ca="1">TEXT( INDIRECT( ADDRESS( ROW() + Row_Offset, INDIRECT( "Column_Number_" &amp; A$1), 4,1, tabname) ), "")</f>
        <v/>
      </c>
      <c r="B93" s="10" t="str">
        <f ca="1">TEXT(  IFERROR( VLOOKUP( $D93, CollName_Simplifier_Table[], 2, FALSE),"") &amp;
        INDIRECT( ADDRESS( ROW() + Row_Offset, INDIRECT( "Column_Number_" &amp; $B$1), 4,1, tabname) ), "")</f>
        <v/>
      </c>
      <c r="C93" s="10" t="str">
        <f ca="1">TEXT( INDIRECT( ADDRESS( ROW() + Row_Offset, INDIRECT( "Column_Number_" &amp; C$1), 4,1, tabname) ), "")</f>
        <v/>
      </c>
      <c r="D93" s="10" t="str">
        <f ca="1">TEXT( INDIRECT( ADDRESS( ROW() + Row_Offset, INDIRECT( "Column_Number_" &amp; D$1), 4,1, tabname) ), "")</f>
        <v/>
      </c>
      <c r="E93" s="10" t="str">
        <f ca="1">TEXT( INDIRECT( ADDRESS( ROW() + Row_Offset, INDIRECT( "Column_Number_" &amp; E$1), 4,1, tabname) ), "####")</f>
        <v/>
      </c>
      <c r="F93" s="15"/>
      <c r="G93" s="22" t="str">
        <f ca="1">IFERROR(INDEX(Rank_Table[],MATCH($D93&amp;$A93,Table4[Join],0)),"")</f>
        <v/>
      </c>
      <c r="H93" s="11" t="str">
        <f ca="1">IF(AND(D93="Juvenile Audiobook",LEFT(B93,8)="J CD BIO"),RIGHT(B93,LEN(B93)-9),
IF(AND(D93="Juvenile Audiobook",LEFT(B93,8)="J CD FIC"),B93,
IF(D93="Juvenile Audiobook",RIGHT(B93,LEN(B93)-5),
IF(AND(D93="Teen Audiobook",LEFT(B93,11)="TEEN CD BIO"),RIGHT(B93,LEN(B93)-12),
IF(AND(D93="Teen Audiobook",LEFT(B93,11)="TEEN CD FIC"),B93,
IF(D93="Juvenile Audiobook",RIGHT(B93,LEN(B93)-8),
IF(D93="Juvenile Nonfiction",RIGHT(B93,LEN(B93)-2),
IF(D93="Teen Nonfiction",RIGHT(B93,LEN(B93)-5),
IF(AND(D93="Audiobook",
              NOT(OR(Contains($B93,"CD BIO"),Contains($B93,"CD FIC")))),RIGHT(B93,LEN(B93)-3),
IF(D93="Juvenile Biography",RIGHT(B93,LEN(B93)-2),
IF(D93="Teen Biography",RIGHT(B93,LEN(B93)-5),
IF(AND(D93="Audiobook",
              IFERROR(FIND("BIO",$B93)&gt;0,FALSE)),RIGHT(B93,LEN(B93)-3),
IF(D93="Juvenile Large Type","J "&amp;RIGHT(B93,LEN(B93)-11),
IF(D93="Teen Large Type","TEEN "&amp;RIGHT(B93,LEN(B93)-14),
IF(D93="Reference",RIGHT(B93,LEN(B93)-4),
IF(D93="DVD Educational",RIGHT(B93,LEN(B93)-7),
IF(D93="Juvenile DVD Educational",RIGHT(B93,LEN(B93)-9),
B93)))))))))))))))))</f>
        <v/>
      </c>
      <c r="N93" s="11" t="str">
        <f ca="1">IF(IFERROR(FIND("New",$A93)&gt;0,FALSE),"New ","") &amp; IF(IFERROR(FIND("In Lib",$A93)&gt;0,FALSE),"Reference ","") &amp;
IF(AND(D93="Audiobook",LEFT(B93,6)="CD BIO"),"Biography",
IF(AND(D93="Teen Audiobook",LEFT(B93,11)="TEEN CD BIO"),"Biography",
IF(AND(D93="Juvenile Audiobook",LEFT(B93,8)="J CD BIO"),"Biography",
IF(AND(D93="Audiobook",LEFT(B93,6)="CD FIC"),"Audiobook Fiction",
IF(AND(D93="Teen Audiobook",LEFT(B93,11)="TEEN CD FIC"),"Teen Audiobook",
IF(AND(D93="Juvenile Audiobook",LEFT(B93,8)="J CD FIC"),"Juvenile Audiobook",
IF(D93="Audiobook","Nonfiction",
IF(D93="Juvenile Audiobook","Nonfiction",
IF(D93="Teen Audiobook","Nonfiction",
IF(D93="Juvenile Nonfiction","Nonfiction",
IF(D93="Teen Nonfiction","Nonfiction",
IF(D93="Juvenile Biography","Biography",
IF(D93="Teen Biography","Biography",
IF(D93="ESL","Nonfiction",
IF(LEFT(B93,11)="INTL-VIE J ","International Juvenile",IF(LEFT(B93,11)="INTL-TAG J ","International Juvenile",IF(LEFT(B93,11)="INTL-RUS J ","International Juvenile",IF(LEFT(B93,11)="INTL-KOR J ","International Juvenile",IF(LEFT(B93,11)="INTL-JAP J ","International Juvenile",IF(LEFT(B93,11)="INTL-CHI J ","International Juvenile",IF(LEFT(B93,11)="INTL-SPA J ","International Juvenile",IF(LEFT(B93,14)="INTL-VIE TEEN ","International Teen",IF(LEFT(B93,14)="INTL-TAG TEEN ","International Teen",IF(LEFT(B93,14)="INTL-RUS TEEN ","International Teen",IF(LEFT(B93,14)="INTL-KOR TEEN ","International Teen",IF(LEFT(B93,14)="INTL-JAP TEEN ","International Teen",IF(LEFT(B93,14)="INTL-CHI TEEN ","International Teen",IF(LEFT(B93,14)="INTL-SPA TEEN ","International Teen",IF(LEFT(B93,11)="INTL-VIE E ","International Easy",IF(LEFT(B93,11)="INTL-TAG E ","International Easy",IF(LEFT(B93,11)="INTL-RUS E ","International Easy",IF(LEFT(B93,11)="INTL-JAP E ","International Easy",IF(LEFT(B93,11)="INTL-KOR E ","International Easy",IF(LEFT(B93,11)="INTL-CHI E ","International Easy",IF(LEFT(B93,11)="INTL-SPA E ","International Easy",
IF(D93="Teen Large Type","Teen Fiction",
IF(D93="Juvenile Large Type","Juvenile Fiction",
IF(LEFT(B93,6)="J CD O","Juvenile Compact Disc",
IF(AND(LEFT(B93,4)="TEEN",D93="Fiction"),"Teen Fiction",
IF(D93="DVD Educational","Nonfiction",
IF(D93="Juvenile DVD Educational","Nonfiction",
IF(D93="Reference","Nonfiction",
D93))))))))))))))))))))))))))))))))))))))))))</f>
        <v/>
      </c>
    </row>
    <row r="94" spans="1:14" ht="27" customHeight="1" x14ac:dyDescent="0.25">
      <c r="A94" s="10" t="str">
        <f ca="1">TEXT( INDIRECT( ADDRESS( ROW() + Row_Offset, INDIRECT( "Column_Number_" &amp; A$1), 4,1, tabname) ), "")</f>
        <v/>
      </c>
      <c r="B94" s="10" t="str">
        <f ca="1">TEXT(  IFERROR( VLOOKUP( $D94, CollName_Simplifier_Table[], 2, FALSE),"") &amp;
        INDIRECT( ADDRESS( ROW() + Row_Offset, INDIRECT( "Column_Number_" &amp; $B$1), 4,1, tabname) ), "")</f>
        <v/>
      </c>
      <c r="C94" s="10" t="str">
        <f ca="1">TEXT( INDIRECT( ADDRESS( ROW() + Row_Offset, INDIRECT( "Column_Number_" &amp; C$1), 4,1, tabname) ), "")</f>
        <v/>
      </c>
      <c r="D94" s="10" t="str">
        <f ca="1">TEXT( INDIRECT( ADDRESS( ROW() + Row_Offset, INDIRECT( "Column_Number_" &amp; D$1), 4,1, tabname) ), "")</f>
        <v/>
      </c>
      <c r="E94" s="10" t="str">
        <f ca="1">TEXT( INDIRECT( ADDRESS( ROW() + Row_Offset, INDIRECT( "Column_Number_" &amp; E$1), 4,1, tabname) ), "####")</f>
        <v/>
      </c>
      <c r="F94" s="15"/>
      <c r="G94" s="22" t="str">
        <f ca="1">IFERROR(INDEX(Rank_Table[],MATCH($D94&amp;$A94,Table4[Join],0)),"")</f>
        <v/>
      </c>
      <c r="H94" s="11" t="str">
        <f ca="1">IF(AND(D94="Juvenile Audiobook",LEFT(B94,8)="J CD BIO"),RIGHT(B94,LEN(B94)-9),
IF(AND(D94="Juvenile Audiobook",LEFT(B94,8)="J CD FIC"),B94,
IF(D94="Juvenile Audiobook",RIGHT(B94,LEN(B94)-5),
IF(AND(D94="Teen Audiobook",LEFT(B94,11)="TEEN CD BIO"),RIGHT(B94,LEN(B94)-12),
IF(AND(D94="Teen Audiobook",LEFT(B94,11)="TEEN CD FIC"),B94,
IF(D94="Juvenile Audiobook",RIGHT(B94,LEN(B94)-8),
IF(D94="Juvenile Nonfiction",RIGHT(B94,LEN(B94)-2),
IF(D94="Teen Nonfiction",RIGHT(B94,LEN(B94)-5),
IF(AND(D94="Audiobook",
              NOT(OR(Contains($B94,"CD BIO"),Contains($B94,"CD FIC")))),RIGHT(B94,LEN(B94)-3),
IF(D94="Juvenile Biography",RIGHT(B94,LEN(B94)-2),
IF(D94="Teen Biography",RIGHT(B94,LEN(B94)-5),
IF(AND(D94="Audiobook",
              IFERROR(FIND("BIO",$B94)&gt;0,FALSE)),RIGHT(B94,LEN(B94)-3),
IF(D94="Juvenile Large Type","J "&amp;RIGHT(B94,LEN(B94)-11),
IF(D94="Teen Large Type","TEEN "&amp;RIGHT(B94,LEN(B94)-14),
IF(D94="Reference",RIGHT(B94,LEN(B94)-4),
IF(D94="DVD Educational",RIGHT(B94,LEN(B94)-7),
IF(D94="Juvenile DVD Educational",RIGHT(B94,LEN(B94)-9),
B94)))))))))))))))))</f>
        <v/>
      </c>
      <c r="N94" s="11" t="str">
        <f ca="1">IF(IFERROR(FIND("New",$A94)&gt;0,FALSE),"New ","") &amp; IF(IFERROR(FIND("In Lib",$A94)&gt;0,FALSE),"Reference ","") &amp;
IF(AND(D94="Audiobook",LEFT(B94,6)="CD BIO"),"Biography",
IF(AND(D94="Teen Audiobook",LEFT(B94,11)="TEEN CD BIO"),"Biography",
IF(AND(D94="Juvenile Audiobook",LEFT(B94,8)="J CD BIO"),"Biography",
IF(AND(D94="Audiobook",LEFT(B94,6)="CD FIC"),"Audiobook Fiction",
IF(AND(D94="Teen Audiobook",LEFT(B94,11)="TEEN CD FIC"),"Teen Audiobook",
IF(AND(D94="Juvenile Audiobook",LEFT(B94,8)="J CD FIC"),"Juvenile Audiobook",
IF(D94="Audiobook","Nonfiction",
IF(D94="Juvenile Audiobook","Nonfiction",
IF(D94="Teen Audiobook","Nonfiction",
IF(D94="Juvenile Nonfiction","Nonfiction",
IF(D94="Teen Nonfiction","Nonfiction",
IF(D94="Juvenile Biography","Biography",
IF(D94="Teen Biography","Biography",
IF(D94="ESL","Nonfiction",
IF(LEFT(B94,11)="INTL-VIE J ","International Juvenile",IF(LEFT(B94,11)="INTL-TAG J ","International Juvenile",IF(LEFT(B94,11)="INTL-RUS J ","International Juvenile",IF(LEFT(B94,11)="INTL-KOR J ","International Juvenile",IF(LEFT(B94,11)="INTL-JAP J ","International Juvenile",IF(LEFT(B94,11)="INTL-CHI J ","International Juvenile",IF(LEFT(B94,11)="INTL-SPA J ","International Juvenile",IF(LEFT(B94,14)="INTL-VIE TEEN ","International Teen",IF(LEFT(B94,14)="INTL-TAG TEEN ","International Teen",IF(LEFT(B94,14)="INTL-RUS TEEN ","International Teen",IF(LEFT(B94,14)="INTL-KOR TEEN ","International Teen",IF(LEFT(B94,14)="INTL-JAP TEEN ","International Teen",IF(LEFT(B94,14)="INTL-CHI TEEN ","International Teen",IF(LEFT(B94,14)="INTL-SPA TEEN ","International Teen",IF(LEFT(B94,11)="INTL-VIE E ","International Easy",IF(LEFT(B94,11)="INTL-TAG E ","International Easy",IF(LEFT(B94,11)="INTL-RUS E ","International Easy",IF(LEFT(B94,11)="INTL-JAP E ","International Easy",IF(LEFT(B94,11)="INTL-KOR E ","International Easy",IF(LEFT(B94,11)="INTL-CHI E ","International Easy",IF(LEFT(B94,11)="INTL-SPA E ","International Easy",
IF(D94="Teen Large Type","Teen Fiction",
IF(D94="Juvenile Large Type","Juvenile Fiction",
IF(LEFT(B94,6)="J CD O","Juvenile Compact Disc",
IF(AND(LEFT(B94,4)="TEEN",D94="Fiction"),"Teen Fiction",
IF(D94="DVD Educational","Nonfiction",
IF(D94="Juvenile DVD Educational","Nonfiction",
IF(D94="Reference","Nonfiction",
D94))))))))))))))))))))))))))))))))))))))))))</f>
        <v/>
      </c>
    </row>
    <row r="95" spans="1:14" ht="27" customHeight="1" x14ac:dyDescent="0.25">
      <c r="A95" s="10" t="str">
        <f ca="1">TEXT( INDIRECT( ADDRESS( ROW() + Row_Offset, INDIRECT( "Column_Number_" &amp; A$1), 4,1, tabname) ), "")</f>
        <v/>
      </c>
      <c r="B95" s="10" t="str">
        <f ca="1">TEXT(  IFERROR( VLOOKUP( $D95, CollName_Simplifier_Table[], 2, FALSE),"") &amp;
        INDIRECT( ADDRESS( ROW() + Row_Offset, INDIRECT( "Column_Number_" &amp; $B$1), 4,1, tabname) ), "")</f>
        <v/>
      </c>
      <c r="C95" s="10" t="str">
        <f ca="1">TEXT( INDIRECT( ADDRESS( ROW() + Row_Offset, INDIRECT( "Column_Number_" &amp; C$1), 4,1, tabname) ), "")</f>
        <v/>
      </c>
      <c r="D95" s="10" t="str">
        <f ca="1">TEXT( INDIRECT( ADDRESS( ROW() + Row_Offset, INDIRECT( "Column_Number_" &amp; D$1), 4,1, tabname) ), "")</f>
        <v/>
      </c>
      <c r="E95" s="10" t="str">
        <f ca="1">TEXT( INDIRECT( ADDRESS( ROW() + Row_Offset, INDIRECT( "Column_Number_" &amp; E$1), 4,1, tabname) ), "####")</f>
        <v/>
      </c>
      <c r="F95" s="15"/>
      <c r="G95" s="22" t="str">
        <f ca="1">IFERROR(INDEX(Rank_Table[],MATCH($D95&amp;$A95,Table4[Join],0)),"")</f>
        <v/>
      </c>
      <c r="H95" s="11" t="str">
        <f ca="1">IF(AND(D95="Juvenile Audiobook",LEFT(B95,8)="J CD BIO"),RIGHT(B95,LEN(B95)-9),
IF(AND(D95="Juvenile Audiobook",LEFT(B95,8)="J CD FIC"),B95,
IF(D95="Juvenile Audiobook",RIGHT(B95,LEN(B95)-5),
IF(AND(D95="Teen Audiobook",LEFT(B95,11)="TEEN CD BIO"),RIGHT(B95,LEN(B95)-12),
IF(AND(D95="Teen Audiobook",LEFT(B95,11)="TEEN CD FIC"),B95,
IF(D95="Juvenile Audiobook",RIGHT(B95,LEN(B95)-8),
IF(D95="Juvenile Nonfiction",RIGHT(B95,LEN(B95)-2),
IF(D95="Teen Nonfiction",RIGHT(B95,LEN(B95)-5),
IF(AND(D95="Audiobook",
              NOT(OR(Contains($B95,"CD BIO"),Contains($B95,"CD FIC")))),RIGHT(B95,LEN(B95)-3),
IF(D95="Juvenile Biography",RIGHT(B95,LEN(B95)-2),
IF(D95="Teen Biography",RIGHT(B95,LEN(B95)-5),
IF(AND(D95="Audiobook",
              IFERROR(FIND("BIO",$B95)&gt;0,FALSE)),RIGHT(B95,LEN(B95)-3),
IF(D95="Juvenile Large Type","J "&amp;RIGHT(B95,LEN(B95)-11),
IF(D95="Teen Large Type","TEEN "&amp;RIGHT(B95,LEN(B95)-14),
IF(D95="Reference",RIGHT(B95,LEN(B95)-4),
IF(D95="DVD Educational",RIGHT(B95,LEN(B95)-7),
IF(D95="Juvenile DVD Educational",RIGHT(B95,LEN(B95)-9),
B95)))))))))))))))))</f>
        <v/>
      </c>
      <c r="N95" s="11" t="str">
        <f ca="1">IF(IFERROR(FIND("New",$A95)&gt;0,FALSE),"New ","") &amp; IF(IFERROR(FIND("In Lib",$A95)&gt;0,FALSE),"Reference ","") &amp;
IF(AND(D95="Audiobook",LEFT(B95,6)="CD BIO"),"Biography",
IF(AND(D95="Teen Audiobook",LEFT(B95,11)="TEEN CD BIO"),"Biography",
IF(AND(D95="Juvenile Audiobook",LEFT(B95,8)="J CD BIO"),"Biography",
IF(AND(D95="Audiobook",LEFT(B95,6)="CD FIC"),"Audiobook Fiction",
IF(AND(D95="Teen Audiobook",LEFT(B95,11)="TEEN CD FIC"),"Teen Audiobook",
IF(AND(D95="Juvenile Audiobook",LEFT(B95,8)="J CD FIC"),"Juvenile Audiobook",
IF(D95="Audiobook","Nonfiction",
IF(D95="Juvenile Audiobook","Nonfiction",
IF(D95="Teen Audiobook","Nonfiction",
IF(D95="Juvenile Nonfiction","Nonfiction",
IF(D95="Teen Nonfiction","Nonfiction",
IF(D95="Juvenile Biography","Biography",
IF(D95="Teen Biography","Biography",
IF(D95="ESL","Nonfiction",
IF(LEFT(B95,11)="INTL-VIE J ","International Juvenile",IF(LEFT(B95,11)="INTL-TAG J ","International Juvenile",IF(LEFT(B95,11)="INTL-RUS J ","International Juvenile",IF(LEFT(B95,11)="INTL-KOR J ","International Juvenile",IF(LEFT(B95,11)="INTL-JAP J ","International Juvenile",IF(LEFT(B95,11)="INTL-CHI J ","International Juvenile",IF(LEFT(B95,11)="INTL-SPA J ","International Juvenile",IF(LEFT(B95,14)="INTL-VIE TEEN ","International Teen",IF(LEFT(B95,14)="INTL-TAG TEEN ","International Teen",IF(LEFT(B95,14)="INTL-RUS TEEN ","International Teen",IF(LEFT(B95,14)="INTL-KOR TEEN ","International Teen",IF(LEFT(B95,14)="INTL-JAP TEEN ","International Teen",IF(LEFT(B95,14)="INTL-CHI TEEN ","International Teen",IF(LEFT(B95,14)="INTL-SPA TEEN ","International Teen",IF(LEFT(B95,11)="INTL-VIE E ","International Easy",IF(LEFT(B95,11)="INTL-TAG E ","International Easy",IF(LEFT(B95,11)="INTL-RUS E ","International Easy",IF(LEFT(B95,11)="INTL-JAP E ","International Easy",IF(LEFT(B95,11)="INTL-KOR E ","International Easy",IF(LEFT(B95,11)="INTL-CHI E ","International Easy",IF(LEFT(B95,11)="INTL-SPA E ","International Easy",
IF(D95="Teen Large Type","Teen Fiction",
IF(D95="Juvenile Large Type","Juvenile Fiction",
IF(LEFT(B95,6)="J CD O","Juvenile Compact Disc",
IF(AND(LEFT(B95,4)="TEEN",D95="Fiction"),"Teen Fiction",
IF(D95="DVD Educational","Nonfiction",
IF(D95="Juvenile DVD Educational","Nonfiction",
IF(D95="Reference","Nonfiction",
D95))))))))))))))))))))))))))))))))))))))))))</f>
        <v/>
      </c>
    </row>
    <row r="96" spans="1:14" ht="27" customHeight="1" x14ac:dyDescent="0.25">
      <c r="A96" s="10" t="str">
        <f ca="1">TEXT( INDIRECT( ADDRESS( ROW() + Row_Offset, INDIRECT( "Column_Number_" &amp; A$1), 4,1, tabname) ), "")</f>
        <v/>
      </c>
      <c r="B96" s="10" t="str">
        <f ca="1">TEXT(  IFERROR( VLOOKUP( $D96, CollName_Simplifier_Table[], 2, FALSE),"") &amp;
        INDIRECT( ADDRESS( ROW() + Row_Offset, INDIRECT( "Column_Number_" &amp; $B$1), 4,1, tabname) ), "")</f>
        <v/>
      </c>
      <c r="C96" s="10" t="str">
        <f ca="1">TEXT( INDIRECT( ADDRESS( ROW() + Row_Offset, INDIRECT( "Column_Number_" &amp; C$1), 4,1, tabname) ), "")</f>
        <v/>
      </c>
      <c r="D96" s="10" t="str">
        <f ca="1">TEXT( INDIRECT( ADDRESS( ROW() + Row_Offset, INDIRECT( "Column_Number_" &amp; D$1), 4,1, tabname) ), "")</f>
        <v/>
      </c>
      <c r="E96" s="10" t="str">
        <f ca="1">TEXT( INDIRECT( ADDRESS( ROW() + Row_Offset, INDIRECT( "Column_Number_" &amp; E$1), 4,1, tabname) ), "####")</f>
        <v/>
      </c>
      <c r="F96" s="15"/>
      <c r="G96" s="22" t="str">
        <f ca="1">IFERROR(INDEX(Rank_Table[],MATCH($D96&amp;$A96,Table4[Join],0)),"")</f>
        <v/>
      </c>
      <c r="H96" s="11" t="str">
        <f ca="1">IF(AND(D96="Juvenile Audiobook",LEFT(B96,8)="J CD BIO"),RIGHT(B96,LEN(B96)-9),
IF(AND(D96="Juvenile Audiobook",LEFT(B96,8)="J CD FIC"),B96,
IF(D96="Juvenile Audiobook",RIGHT(B96,LEN(B96)-5),
IF(AND(D96="Teen Audiobook",LEFT(B96,11)="TEEN CD BIO"),RIGHT(B96,LEN(B96)-12),
IF(AND(D96="Teen Audiobook",LEFT(B96,11)="TEEN CD FIC"),B96,
IF(D96="Juvenile Audiobook",RIGHT(B96,LEN(B96)-8),
IF(D96="Juvenile Nonfiction",RIGHT(B96,LEN(B96)-2),
IF(D96="Teen Nonfiction",RIGHT(B96,LEN(B96)-5),
IF(AND(D96="Audiobook",
              NOT(OR(Contains($B96,"CD BIO"),Contains($B96,"CD FIC")))),RIGHT(B96,LEN(B96)-3),
IF(D96="Juvenile Biography",RIGHT(B96,LEN(B96)-2),
IF(D96="Teen Biography",RIGHT(B96,LEN(B96)-5),
IF(AND(D96="Audiobook",
              IFERROR(FIND("BIO",$B96)&gt;0,FALSE)),RIGHT(B96,LEN(B96)-3),
IF(D96="Juvenile Large Type","J "&amp;RIGHT(B96,LEN(B96)-11),
IF(D96="Teen Large Type","TEEN "&amp;RIGHT(B96,LEN(B96)-14),
IF(D96="Reference",RIGHT(B96,LEN(B96)-4),
IF(D96="DVD Educational",RIGHT(B96,LEN(B96)-7),
IF(D96="Juvenile DVD Educational",RIGHT(B96,LEN(B96)-9),
B96)))))))))))))))))</f>
        <v/>
      </c>
      <c r="N96" s="11" t="str">
        <f ca="1">IF(IFERROR(FIND("New",$A96)&gt;0,FALSE),"New ","") &amp; IF(IFERROR(FIND("In Lib",$A96)&gt;0,FALSE),"Reference ","") &amp;
IF(AND(D96="Audiobook",LEFT(B96,6)="CD BIO"),"Biography",
IF(AND(D96="Teen Audiobook",LEFT(B96,11)="TEEN CD BIO"),"Biography",
IF(AND(D96="Juvenile Audiobook",LEFT(B96,8)="J CD BIO"),"Biography",
IF(AND(D96="Audiobook",LEFT(B96,6)="CD FIC"),"Audiobook Fiction",
IF(AND(D96="Teen Audiobook",LEFT(B96,11)="TEEN CD FIC"),"Teen Audiobook",
IF(AND(D96="Juvenile Audiobook",LEFT(B96,8)="J CD FIC"),"Juvenile Audiobook",
IF(D96="Audiobook","Nonfiction",
IF(D96="Juvenile Audiobook","Nonfiction",
IF(D96="Teen Audiobook","Nonfiction",
IF(D96="Juvenile Nonfiction","Nonfiction",
IF(D96="Teen Nonfiction","Nonfiction",
IF(D96="Juvenile Biography","Biography",
IF(D96="Teen Biography","Biography",
IF(D96="ESL","Nonfiction",
IF(LEFT(B96,11)="INTL-VIE J ","International Juvenile",IF(LEFT(B96,11)="INTL-TAG J ","International Juvenile",IF(LEFT(B96,11)="INTL-RUS J ","International Juvenile",IF(LEFT(B96,11)="INTL-KOR J ","International Juvenile",IF(LEFT(B96,11)="INTL-JAP J ","International Juvenile",IF(LEFT(B96,11)="INTL-CHI J ","International Juvenile",IF(LEFT(B96,11)="INTL-SPA J ","International Juvenile",IF(LEFT(B96,14)="INTL-VIE TEEN ","International Teen",IF(LEFT(B96,14)="INTL-TAG TEEN ","International Teen",IF(LEFT(B96,14)="INTL-RUS TEEN ","International Teen",IF(LEFT(B96,14)="INTL-KOR TEEN ","International Teen",IF(LEFT(B96,14)="INTL-JAP TEEN ","International Teen",IF(LEFT(B96,14)="INTL-CHI TEEN ","International Teen",IF(LEFT(B96,14)="INTL-SPA TEEN ","International Teen",IF(LEFT(B96,11)="INTL-VIE E ","International Easy",IF(LEFT(B96,11)="INTL-TAG E ","International Easy",IF(LEFT(B96,11)="INTL-RUS E ","International Easy",IF(LEFT(B96,11)="INTL-JAP E ","International Easy",IF(LEFT(B96,11)="INTL-KOR E ","International Easy",IF(LEFT(B96,11)="INTL-CHI E ","International Easy",IF(LEFT(B96,11)="INTL-SPA E ","International Easy",
IF(D96="Teen Large Type","Teen Fiction",
IF(D96="Juvenile Large Type","Juvenile Fiction",
IF(LEFT(B96,6)="J CD O","Juvenile Compact Disc",
IF(AND(LEFT(B96,4)="TEEN",D96="Fiction"),"Teen Fiction",
IF(D96="DVD Educational","Nonfiction",
IF(D96="Juvenile DVD Educational","Nonfiction",
IF(D96="Reference","Nonfiction",
D96))))))))))))))))))))))))))))))))))))))))))</f>
        <v/>
      </c>
    </row>
    <row r="97" spans="1:14" ht="27" customHeight="1" x14ac:dyDescent="0.25">
      <c r="A97" s="10" t="str">
        <f ca="1">TEXT( INDIRECT( ADDRESS( ROW() + Row_Offset, INDIRECT( "Column_Number_" &amp; A$1), 4,1, tabname) ), "")</f>
        <v/>
      </c>
      <c r="B97" s="10" t="str">
        <f ca="1">TEXT(  IFERROR( VLOOKUP( $D97, CollName_Simplifier_Table[], 2, FALSE),"") &amp;
        INDIRECT( ADDRESS( ROW() + Row_Offset, INDIRECT( "Column_Number_" &amp; $B$1), 4,1, tabname) ), "")</f>
        <v/>
      </c>
      <c r="C97" s="10" t="str">
        <f ca="1">TEXT( INDIRECT( ADDRESS( ROW() + Row_Offset, INDIRECT( "Column_Number_" &amp; C$1), 4,1, tabname) ), "")</f>
        <v/>
      </c>
      <c r="D97" s="10" t="str">
        <f ca="1">TEXT( INDIRECT( ADDRESS( ROW() + Row_Offset, INDIRECT( "Column_Number_" &amp; D$1), 4,1, tabname) ), "")</f>
        <v/>
      </c>
      <c r="E97" s="10" t="str">
        <f ca="1">TEXT( INDIRECT( ADDRESS( ROW() + Row_Offset, INDIRECT( "Column_Number_" &amp; E$1), 4,1, tabname) ), "####")</f>
        <v/>
      </c>
      <c r="F97" s="15"/>
      <c r="G97" s="22" t="str">
        <f ca="1">IFERROR(INDEX(Rank_Table[],MATCH($D97&amp;$A97,Table4[Join],0)),"")</f>
        <v/>
      </c>
      <c r="H97" s="11" t="str">
        <f ca="1">IF(AND(D97="Juvenile Audiobook",LEFT(B97,8)="J CD BIO"),RIGHT(B97,LEN(B97)-9),
IF(AND(D97="Juvenile Audiobook",LEFT(B97,8)="J CD FIC"),B97,
IF(D97="Juvenile Audiobook",RIGHT(B97,LEN(B97)-5),
IF(AND(D97="Teen Audiobook",LEFT(B97,11)="TEEN CD BIO"),RIGHT(B97,LEN(B97)-12),
IF(AND(D97="Teen Audiobook",LEFT(B97,11)="TEEN CD FIC"),B97,
IF(D97="Juvenile Audiobook",RIGHT(B97,LEN(B97)-8),
IF(D97="Juvenile Nonfiction",RIGHT(B97,LEN(B97)-2),
IF(D97="Teen Nonfiction",RIGHT(B97,LEN(B97)-5),
IF(AND(D97="Audiobook",
              NOT(OR(Contains($B97,"CD BIO"),Contains($B97,"CD FIC")))),RIGHT(B97,LEN(B97)-3),
IF(D97="Juvenile Biography",RIGHT(B97,LEN(B97)-2),
IF(D97="Teen Biography",RIGHT(B97,LEN(B97)-5),
IF(AND(D97="Audiobook",
              IFERROR(FIND("BIO",$B97)&gt;0,FALSE)),RIGHT(B97,LEN(B97)-3),
IF(D97="Juvenile Large Type","J "&amp;RIGHT(B97,LEN(B97)-11),
IF(D97="Teen Large Type","TEEN "&amp;RIGHT(B97,LEN(B97)-14),
IF(D97="Reference",RIGHT(B97,LEN(B97)-4),
IF(D97="DVD Educational",RIGHT(B97,LEN(B97)-7),
IF(D97="Juvenile DVD Educational",RIGHT(B97,LEN(B97)-9),
B97)))))))))))))))))</f>
        <v/>
      </c>
      <c r="N97" s="11" t="str">
        <f ca="1">IF(IFERROR(FIND("New",$A97)&gt;0,FALSE),"New ","") &amp; IF(IFERROR(FIND("In Lib",$A97)&gt;0,FALSE),"Reference ","") &amp;
IF(AND(D97="Audiobook",LEFT(B97,6)="CD BIO"),"Biography",
IF(AND(D97="Teen Audiobook",LEFT(B97,11)="TEEN CD BIO"),"Biography",
IF(AND(D97="Juvenile Audiobook",LEFT(B97,8)="J CD BIO"),"Biography",
IF(AND(D97="Audiobook",LEFT(B97,6)="CD FIC"),"Audiobook Fiction",
IF(AND(D97="Teen Audiobook",LEFT(B97,11)="TEEN CD FIC"),"Teen Audiobook",
IF(AND(D97="Juvenile Audiobook",LEFT(B97,8)="J CD FIC"),"Juvenile Audiobook",
IF(D97="Audiobook","Nonfiction",
IF(D97="Juvenile Audiobook","Nonfiction",
IF(D97="Teen Audiobook","Nonfiction",
IF(D97="Juvenile Nonfiction","Nonfiction",
IF(D97="Teen Nonfiction","Nonfiction",
IF(D97="Juvenile Biography","Biography",
IF(D97="Teen Biography","Biography",
IF(D97="ESL","Nonfiction",
IF(LEFT(B97,11)="INTL-VIE J ","International Juvenile",IF(LEFT(B97,11)="INTL-TAG J ","International Juvenile",IF(LEFT(B97,11)="INTL-RUS J ","International Juvenile",IF(LEFT(B97,11)="INTL-KOR J ","International Juvenile",IF(LEFT(B97,11)="INTL-JAP J ","International Juvenile",IF(LEFT(B97,11)="INTL-CHI J ","International Juvenile",IF(LEFT(B97,11)="INTL-SPA J ","International Juvenile",IF(LEFT(B97,14)="INTL-VIE TEEN ","International Teen",IF(LEFT(B97,14)="INTL-TAG TEEN ","International Teen",IF(LEFT(B97,14)="INTL-RUS TEEN ","International Teen",IF(LEFT(B97,14)="INTL-KOR TEEN ","International Teen",IF(LEFT(B97,14)="INTL-JAP TEEN ","International Teen",IF(LEFT(B97,14)="INTL-CHI TEEN ","International Teen",IF(LEFT(B97,14)="INTL-SPA TEEN ","International Teen",IF(LEFT(B97,11)="INTL-VIE E ","International Easy",IF(LEFT(B97,11)="INTL-TAG E ","International Easy",IF(LEFT(B97,11)="INTL-RUS E ","International Easy",IF(LEFT(B97,11)="INTL-JAP E ","International Easy",IF(LEFT(B97,11)="INTL-KOR E ","International Easy",IF(LEFT(B97,11)="INTL-CHI E ","International Easy",IF(LEFT(B97,11)="INTL-SPA E ","International Easy",
IF(D97="Teen Large Type","Teen Fiction",
IF(D97="Juvenile Large Type","Juvenile Fiction",
IF(LEFT(B97,6)="J CD O","Juvenile Compact Disc",
IF(AND(LEFT(B97,4)="TEEN",D97="Fiction"),"Teen Fiction",
IF(D97="DVD Educational","Nonfiction",
IF(D97="Juvenile DVD Educational","Nonfiction",
IF(D97="Reference","Nonfiction",
D97))))))))))))))))))))))))))))))))))))))))))</f>
        <v/>
      </c>
    </row>
    <row r="98" spans="1:14" ht="27" customHeight="1" x14ac:dyDescent="0.25">
      <c r="A98" s="10" t="str">
        <f ca="1">TEXT( INDIRECT( ADDRESS( ROW() + Row_Offset, INDIRECT( "Column_Number_" &amp; A$1), 4,1, tabname) ), "")</f>
        <v/>
      </c>
      <c r="B98" s="10" t="str">
        <f ca="1">TEXT(  IFERROR( VLOOKUP( $D98, CollName_Simplifier_Table[], 2, FALSE),"") &amp;
        INDIRECT( ADDRESS( ROW() + Row_Offset, INDIRECT( "Column_Number_" &amp; $B$1), 4,1, tabname) ), "")</f>
        <v/>
      </c>
      <c r="C98" s="10" t="str">
        <f ca="1">TEXT( INDIRECT( ADDRESS( ROW() + Row_Offset, INDIRECT( "Column_Number_" &amp; C$1), 4,1, tabname) ), "")</f>
        <v/>
      </c>
      <c r="D98" s="10" t="str">
        <f ca="1">TEXT( INDIRECT( ADDRESS( ROW() + Row_Offset, INDIRECT( "Column_Number_" &amp; D$1), 4,1, tabname) ), "")</f>
        <v/>
      </c>
      <c r="E98" s="10" t="str">
        <f ca="1">TEXT( INDIRECT( ADDRESS( ROW() + Row_Offset, INDIRECT( "Column_Number_" &amp; E$1), 4,1, tabname) ), "####")</f>
        <v/>
      </c>
      <c r="F98" s="15"/>
      <c r="G98" s="22" t="str">
        <f ca="1">IFERROR(INDEX(Rank_Table[],MATCH($D98&amp;$A98,Table4[Join],0)),"")</f>
        <v/>
      </c>
      <c r="H98" s="11" t="str">
        <f ca="1">IF(AND(D98="Juvenile Audiobook",LEFT(B98,8)="J CD BIO"),RIGHT(B98,LEN(B98)-9),
IF(AND(D98="Juvenile Audiobook",LEFT(B98,8)="J CD FIC"),B98,
IF(D98="Juvenile Audiobook",RIGHT(B98,LEN(B98)-5),
IF(AND(D98="Teen Audiobook",LEFT(B98,11)="TEEN CD BIO"),RIGHT(B98,LEN(B98)-12),
IF(AND(D98="Teen Audiobook",LEFT(B98,11)="TEEN CD FIC"),B98,
IF(D98="Juvenile Audiobook",RIGHT(B98,LEN(B98)-8),
IF(D98="Juvenile Nonfiction",RIGHT(B98,LEN(B98)-2),
IF(D98="Teen Nonfiction",RIGHT(B98,LEN(B98)-5),
IF(AND(D98="Audiobook",
              NOT(OR(Contains($B98,"CD BIO"),Contains($B98,"CD FIC")))),RIGHT(B98,LEN(B98)-3),
IF(D98="Juvenile Biography",RIGHT(B98,LEN(B98)-2),
IF(D98="Teen Biography",RIGHT(B98,LEN(B98)-5),
IF(AND(D98="Audiobook",
              IFERROR(FIND("BIO",$B98)&gt;0,FALSE)),RIGHT(B98,LEN(B98)-3),
IF(D98="Juvenile Large Type","J "&amp;RIGHT(B98,LEN(B98)-11),
IF(D98="Teen Large Type","TEEN "&amp;RIGHT(B98,LEN(B98)-14),
IF(D98="Reference",RIGHT(B98,LEN(B98)-4),
IF(D98="DVD Educational",RIGHT(B98,LEN(B98)-7),
IF(D98="Juvenile DVD Educational",RIGHT(B98,LEN(B98)-9),
B98)))))))))))))))))</f>
        <v/>
      </c>
      <c r="N98" s="11" t="str">
        <f ca="1">IF(IFERROR(FIND("New",$A98)&gt;0,FALSE),"New ","") &amp; IF(IFERROR(FIND("In Lib",$A98)&gt;0,FALSE),"Reference ","") &amp;
IF(AND(D98="Audiobook",LEFT(B98,6)="CD BIO"),"Biography",
IF(AND(D98="Teen Audiobook",LEFT(B98,11)="TEEN CD BIO"),"Biography",
IF(AND(D98="Juvenile Audiobook",LEFT(B98,8)="J CD BIO"),"Biography",
IF(AND(D98="Audiobook",LEFT(B98,6)="CD FIC"),"Audiobook Fiction",
IF(AND(D98="Teen Audiobook",LEFT(B98,11)="TEEN CD FIC"),"Teen Audiobook",
IF(AND(D98="Juvenile Audiobook",LEFT(B98,8)="J CD FIC"),"Juvenile Audiobook",
IF(D98="Audiobook","Nonfiction",
IF(D98="Juvenile Audiobook","Nonfiction",
IF(D98="Teen Audiobook","Nonfiction",
IF(D98="Juvenile Nonfiction","Nonfiction",
IF(D98="Teen Nonfiction","Nonfiction",
IF(D98="Juvenile Biography","Biography",
IF(D98="Teen Biography","Biography",
IF(D98="ESL","Nonfiction",
IF(LEFT(B98,11)="INTL-VIE J ","International Juvenile",IF(LEFT(B98,11)="INTL-TAG J ","International Juvenile",IF(LEFT(B98,11)="INTL-RUS J ","International Juvenile",IF(LEFT(B98,11)="INTL-KOR J ","International Juvenile",IF(LEFT(B98,11)="INTL-JAP J ","International Juvenile",IF(LEFT(B98,11)="INTL-CHI J ","International Juvenile",IF(LEFT(B98,11)="INTL-SPA J ","International Juvenile",IF(LEFT(B98,14)="INTL-VIE TEEN ","International Teen",IF(LEFT(B98,14)="INTL-TAG TEEN ","International Teen",IF(LEFT(B98,14)="INTL-RUS TEEN ","International Teen",IF(LEFT(B98,14)="INTL-KOR TEEN ","International Teen",IF(LEFT(B98,14)="INTL-JAP TEEN ","International Teen",IF(LEFT(B98,14)="INTL-CHI TEEN ","International Teen",IF(LEFT(B98,14)="INTL-SPA TEEN ","International Teen",IF(LEFT(B98,11)="INTL-VIE E ","International Easy",IF(LEFT(B98,11)="INTL-TAG E ","International Easy",IF(LEFT(B98,11)="INTL-RUS E ","International Easy",IF(LEFT(B98,11)="INTL-JAP E ","International Easy",IF(LEFT(B98,11)="INTL-KOR E ","International Easy",IF(LEFT(B98,11)="INTL-CHI E ","International Easy",IF(LEFT(B98,11)="INTL-SPA E ","International Easy",
IF(D98="Teen Large Type","Teen Fiction",
IF(D98="Juvenile Large Type","Juvenile Fiction",
IF(LEFT(B98,6)="J CD O","Juvenile Compact Disc",
IF(AND(LEFT(B98,4)="TEEN",D98="Fiction"),"Teen Fiction",
IF(D98="DVD Educational","Nonfiction",
IF(D98="Juvenile DVD Educational","Nonfiction",
IF(D98="Reference","Nonfiction",
D98))))))))))))))))))))))))))))))))))))))))))</f>
        <v/>
      </c>
    </row>
    <row r="99" spans="1:14" ht="27" customHeight="1" x14ac:dyDescent="0.25">
      <c r="A99" s="10" t="str">
        <f ca="1">TEXT( INDIRECT( ADDRESS( ROW() + Row_Offset, INDIRECT( "Column_Number_" &amp; A$1), 4,1, tabname) ), "")</f>
        <v/>
      </c>
      <c r="B99" s="10" t="str">
        <f ca="1">TEXT(  IFERROR( VLOOKUP( $D99, CollName_Simplifier_Table[], 2, FALSE),"") &amp;
        INDIRECT( ADDRESS( ROW() + Row_Offset, INDIRECT( "Column_Number_" &amp; $B$1), 4,1, tabname) ), "")</f>
        <v/>
      </c>
      <c r="C99" s="10" t="str">
        <f ca="1">TEXT( INDIRECT( ADDRESS( ROW() + Row_Offset, INDIRECT( "Column_Number_" &amp; C$1), 4,1, tabname) ), "")</f>
        <v/>
      </c>
      <c r="D99" s="10" t="str">
        <f ca="1">TEXT( INDIRECT( ADDRESS( ROW() + Row_Offset, INDIRECT( "Column_Number_" &amp; D$1), 4,1, tabname) ), "")</f>
        <v/>
      </c>
      <c r="E99" s="10" t="str">
        <f ca="1">TEXT( INDIRECT( ADDRESS( ROW() + Row_Offset, INDIRECT( "Column_Number_" &amp; E$1), 4,1, tabname) ), "####")</f>
        <v/>
      </c>
      <c r="F99" s="15"/>
      <c r="G99" s="22" t="str">
        <f ca="1">IFERROR(INDEX(Rank_Table[],MATCH($D99&amp;$A99,Table4[Join],0)),"")</f>
        <v/>
      </c>
      <c r="H99" s="11" t="str">
        <f ca="1">IF(AND(D99="Juvenile Audiobook",LEFT(B99,8)="J CD BIO"),RIGHT(B99,LEN(B99)-9),
IF(AND(D99="Juvenile Audiobook",LEFT(B99,8)="J CD FIC"),B99,
IF(D99="Juvenile Audiobook",RIGHT(B99,LEN(B99)-5),
IF(AND(D99="Teen Audiobook",LEFT(B99,11)="TEEN CD BIO"),RIGHT(B99,LEN(B99)-12),
IF(AND(D99="Teen Audiobook",LEFT(B99,11)="TEEN CD FIC"),B99,
IF(D99="Juvenile Audiobook",RIGHT(B99,LEN(B99)-8),
IF(D99="Juvenile Nonfiction",RIGHT(B99,LEN(B99)-2),
IF(D99="Teen Nonfiction",RIGHT(B99,LEN(B99)-5),
IF(AND(D99="Audiobook",
              NOT(OR(Contains($B99,"CD BIO"),Contains($B99,"CD FIC")))),RIGHT(B99,LEN(B99)-3),
IF(D99="Juvenile Biography",RIGHT(B99,LEN(B99)-2),
IF(D99="Teen Biography",RIGHT(B99,LEN(B99)-5),
IF(AND(D99="Audiobook",
              IFERROR(FIND("BIO",$B99)&gt;0,FALSE)),RIGHT(B99,LEN(B99)-3),
IF(D99="Juvenile Large Type","J "&amp;RIGHT(B99,LEN(B99)-11),
IF(D99="Teen Large Type","TEEN "&amp;RIGHT(B99,LEN(B99)-14),
IF(D99="Reference",RIGHT(B99,LEN(B99)-4),
IF(D99="DVD Educational",RIGHT(B99,LEN(B99)-7),
IF(D99="Juvenile DVD Educational",RIGHT(B99,LEN(B99)-9),
B99)))))))))))))))))</f>
        <v/>
      </c>
      <c r="N99" s="11" t="str">
        <f ca="1">IF(IFERROR(FIND("New",$A99)&gt;0,FALSE),"New ","") &amp; IF(IFERROR(FIND("In Lib",$A99)&gt;0,FALSE),"Reference ","") &amp;
IF(AND(D99="Audiobook",LEFT(B99,6)="CD BIO"),"Biography",
IF(AND(D99="Teen Audiobook",LEFT(B99,11)="TEEN CD BIO"),"Biography",
IF(AND(D99="Juvenile Audiobook",LEFT(B99,8)="J CD BIO"),"Biography",
IF(AND(D99="Audiobook",LEFT(B99,6)="CD FIC"),"Audiobook Fiction",
IF(AND(D99="Teen Audiobook",LEFT(B99,11)="TEEN CD FIC"),"Teen Audiobook",
IF(AND(D99="Juvenile Audiobook",LEFT(B99,8)="J CD FIC"),"Juvenile Audiobook",
IF(D99="Audiobook","Nonfiction",
IF(D99="Juvenile Audiobook","Nonfiction",
IF(D99="Teen Audiobook","Nonfiction",
IF(D99="Juvenile Nonfiction","Nonfiction",
IF(D99="Teen Nonfiction","Nonfiction",
IF(D99="Juvenile Biography","Biography",
IF(D99="Teen Biography","Biography",
IF(D99="ESL","Nonfiction",
IF(LEFT(B99,11)="INTL-VIE J ","International Juvenile",IF(LEFT(B99,11)="INTL-TAG J ","International Juvenile",IF(LEFT(B99,11)="INTL-RUS J ","International Juvenile",IF(LEFT(B99,11)="INTL-KOR J ","International Juvenile",IF(LEFT(B99,11)="INTL-JAP J ","International Juvenile",IF(LEFT(B99,11)="INTL-CHI J ","International Juvenile",IF(LEFT(B99,11)="INTL-SPA J ","International Juvenile",IF(LEFT(B99,14)="INTL-VIE TEEN ","International Teen",IF(LEFT(B99,14)="INTL-TAG TEEN ","International Teen",IF(LEFT(B99,14)="INTL-RUS TEEN ","International Teen",IF(LEFT(B99,14)="INTL-KOR TEEN ","International Teen",IF(LEFT(B99,14)="INTL-JAP TEEN ","International Teen",IF(LEFT(B99,14)="INTL-CHI TEEN ","International Teen",IF(LEFT(B99,14)="INTL-SPA TEEN ","International Teen",IF(LEFT(B99,11)="INTL-VIE E ","International Easy",IF(LEFT(B99,11)="INTL-TAG E ","International Easy",IF(LEFT(B99,11)="INTL-RUS E ","International Easy",IF(LEFT(B99,11)="INTL-JAP E ","International Easy",IF(LEFT(B99,11)="INTL-KOR E ","International Easy",IF(LEFT(B99,11)="INTL-CHI E ","International Easy",IF(LEFT(B99,11)="INTL-SPA E ","International Easy",
IF(D99="Teen Large Type","Teen Fiction",
IF(D99="Juvenile Large Type","Juvenile Fiction",
IF(LEFT(B99,6)="J CD O","Juvenile Compact Disc",
IF(AND(LEFT(B99,4)="TEEN",D99="Fiction"),"Teen Fiction",
IF(D99="DVD Educational","Nonfiction",
IF(D99="Juvenile DVD Educational","Nonfiction",
IF(D99="Reference","Nonfiction",
D99))))))))))))))))))))))))))))))))))))))))))</f>
        <v/>
      </c>
    </row>
    <row r="100" spans="1:14" ht="27" customHeight="1" x14ac:dyDescent="0.25">
      <c r="A100" s="10" t="str">
        <f ca="1">TEXT( INDIRECT( ADDRESS( ROW() + Row_Offset, INDIRECT( "Column_Number_" &amp; A$1), 4,1, tabname) ), "")</f>
        <v/>
      </c>
      <c r="B100" s="10" t="str">
        <f ca="1">TEXT(  IFERROR( VLOOKUP( $D100, CollName_Simplifier_Table[], 2, FALSE),"") &amp;
        INDIRECT( ADDRESS( ROW() + Row_Offset, INDIRECT( "Column_Number_" &amp; $B$1), 4,1, tabname) ), "")</f>
        <v/>
      </c>
      <c r="C100" s="10" t="str">
        <f ca="1">TEXT( INDIRECT( ADDRESS( ROW() + Row_Offset, INDIRECT( "Column_Number_" &amp; C$1), 4,1, tabname) ), "")</f>
        <v/>
      </c>
      <c r="D100" s="10" t="str">
        <f ca="1">TEXT( INDIRECT( ADDRESS( ROW() + Row_Offset, INDIRECT( "Column_Number_" &amp; D$1), 4,1, tabname) ), "")</f>
        <v/>
      </c>
      <c r="E100" s="10" t="str">
        <f ca="1">TEXT( INDIRECT( ADDRESS( ROW() + Row_Offset, INDIRECT( "Column_Number_" &amp; E$1), 4,1, tabname) ), "####")</f>
        <v/>
      </c>
      <c r="F100" s="15"/>
      <c r="G100" s="22" t="str">
        <f ca="1">IFERROR(INDEX(Rank_Table[],MATCH($D100&amp;$A100,Table4[Join],0)),"")</f>
        <v/>
      </c>
      <c r="H100" s="11" t="str">
        <f ca="1">IF(AND(D100="Juvenile Audiobook",LEFT(B100,8)="J CD BIO"),RIGHT(B100,LEN(B100)-9),
IF(AND(D100="Juvenile Audiobook",LEFT(B100,8)="J CD FIC"),B100,
IF(D100="Juvenile Audiobook",RIGHT(B100,LEN(B100)-5),
IF(AND(D100="Teen Audiobook",LEFT(B100,11)="TEEN CD BIO"),RIGHT(B100,LEN(B100)-12),
IF(AND(D100="Teen Audiobook",LEFT(B100,11)="TEEN CD FIC"),B100,
IF(D100="Juvenile Audiobook",RIGHT(B100,LEN(B100)-8),
IF(D100="Juvenile Nonfiction",RIGHT(B100,LEN(B100)-2),
IF(D100="Teen Nonfiction",RIGHT(B100,LEN(B100)-5),
IF(AND(D100="Audiobook",
              NOT(OR(Contains($B100,"CD BIO"),Contains($B100,"CD FIC")))),RIGHT(B100,LEN(B100)-3),
IF(D100="Juvenile Biography",RIGHT(B100,LEN(B100)-2),
IF(D100="Teen Biography",RIGHT(B100,LEN(B100)-5),
IF(AND(D100="Audiobook",
              IFERROR(FIND("BIO",$B100)&gt;0,FALSE)),RIGHT(B100,LEN(B100)-3),
IF(D100="Juvenile Large Type","J "&amp;RIGHT(B100,LEN(B100)-11),
IF(D100="Teen Large Type","TEEN "&amp;RIGHT(B100,LEN(B100)-14),
IF(D100="Reference",RIGHT(B100,LEN(B100)-4),
IF(D100="DVD Educational",RIGHT(B100,LEN(B100)-7),
IF(D100="Juvenile DVD Educational",RIGHT(B100,LEN(B100)-9),
B100)))))))))))))))))</f>
        <v/>
      </c>
      <c r="N100" s="11" t="str">
        <f ca="1">IF(IFERROR(FIND("New",$A100)&gt;0,FALSE),"New ","") &amp; IF(IFERROR(FIND("In Lib",$A100)&gt;0,FALSE),"Reference ","") &amp;
IF(AND(D100="Audiobook",LEFT(B100,6)="CD BIO"),"Biography",
IF(AND(D100="Teen Audiobook",LEFT(B100,11)="TEEN CD BIO"),"Biography",
IF(AND(D100="Juvenile Audiobook",LEFT(B100,8)="J CD BIO"),"Biography",
IF(AND(D100="Audiobook",LEFT(B100,6)="CD FIC"),"Audiobook Fiction",
IF(AND(D100="Teen Audiobook",LEFT(B100,11)="TEEN CD FIC"),"Teen Audiobook",
IF(AND(D100="Juvenile Audiobook",LEFT(B100,8)="J CD FIC"),"Juvenile Audiobook",
IF(D100="Audiobook","Nonfiction",
IF(D100="Juvenile Audiobook","Nonfiction",
IF(D100="Teen Audiobook","Nonfiction",
IF(D100="Juvenile Nonfiction","Nonfiction",
IF(D100="Teen Nonfiction","Nonfiction",
IF(D100="Juvenile Biography","Biography",
IF(D100="Teen Biography","Biography",
IF(D100="ESL","Nonfiction",
IF(LEFT(B100,11)="INTL-VIE J ","International Juvenile",IF(LEFT(B100,11)="INTL-TAG J ","International Juvenile",IF(LEFT(B100,11)="INTL-RUS J ","International Juvenile",IF(LEFT(B100,11)="INTL-KOR J ","International Juvenile",IF(LEFT(B100,11)="INTL-JAP J ","International Juvenile",IF(LEFT(B100,11)="INTL-CHI J ","International Juvenile",IF(LEFT(B100,11)="INTL-SPA J ","International Juvenile",IF(LEFT(B100,14)="INTL-VIE TEEN ","International Teen",IF(LEFT(B100,14)="INTL-TAG TEEN ","International Teen",IF(LEFT(B100,14)="INTL-RUS TEEN ","International Teen",IF(LEFT(B100,14)="INTL-KOR TEEN ","International Teen",IF(LEFT(B100,14)="INTL-JAP TEEN ","International Teen",IF(LEFT(B100,14)="INTL-CHI TEEN ","International Teen",IF(LEFT(B100,14)="INTL-SPA TEEN ","International Teen",IF(LEFT(B100,11)="INTL-VIE E ","International Easy",IF(LEFT(B100,11)="INTL-TAG E ","International Easy",IF(LEFT(B100,11)="INTL-RUS E ","International Easy",IF(LEFT(B100,11)="INTL-JAP E ","International Easy",IF(LEFT(B100,11)="INTL-KOR E ","International Easy",IF(LEFT(B100,11)="INTL-CHI E ","International Easy",IF(LEFT(B100,11)="INTL-SPA E ","International Easy",
IF(D100="Teen Large Type","Teen Fiction",
IF(D100="Juvenile Large Type","Juvenile Fiction",
IF(LEFT(B100,6)="J CD O","Juvenile Compact Disc",
IF(AND(LEFT(B100,4)="TEEN",D100="Fiction"),"Teen Fiction",
IF(D100="DVD Educational","Nonfiction",
IF(D100="Juvenile DVD Educational","Nonfiction",
IF(D100="Reference","Nonfiction",
D100))))))))))))))))))))))))))))))))))))))))))</f>
        <v/>
      </c>
    </row>
    <row r="101" spans="1:14" ht="27" customHeight="1" x14ac:dyDescent="0.25">
      <c r="A101" s="10" t="str">
        <f ca="1">TEXT( INDIRECT( ADDRESS( ROW() + Row_Offset, INDIRECT( "Column_Number_" &amp; A$1), 4,1, tabname) ), "")</f>
        <v/>
      </c>
      <c r="B101" s="10" t="str">
        <f ca="1">TEXT(  IFERROR( VLOOKUP( $D101, CollName_Simplifier_Table[], 2, FALSE),"") &amp;
        INDIRECT( ADDRESS( ROW() + Row_Offset, INDIRECT( "Column_Number_" &amp; $B$1), 4,1, tabname) ), "")</f>
        <v/>
      </c>
      <c r="C101" s="10" t="str">
        <f ca="1">TEXT( INDIRECT( ADDRESS( ROW() + Row_Offset, INDIRECT( "Column_Number_" &amp; C$1), 4,1, tabname) ), "")</f>
        <v/>
      </c>
      <c r="D101" s="10" t="str">
        <f ca="1">TEXT( INDIRECT( ADDRESS( ROW() + Row_Offset, INDIRECT( "Column_Number_" &amp; D$1), 4,1, tabname) ), "")</f>
        <v/>
      </c>
      <c r="E101" s="10" t="str">
        <f ca="1">TEXT( INDIRECT( ADDRESS( ROW() + Row_Offset, INDIRECT( "Column_Number_" &amp; E$1), 4,1, tabname) ), "####")</f>
        <v/>
      </c>
      <c r="F101" s="15"/>
      <c r="G101" s="22" t="str">
        <f ca="1">IFERROR(INDEX(Rank_Table[],MATCH($D101&amp;$A101,Table4[Join],0)),"")</f>
        <v/>
      </c>
      <c r="H101" s="11" t="str">
        <f ca="1">IF(AND(D101="Juvenile Audiobook",LEFT(B101,8)="J CD BIO"),RIGHT(B101,LEN(B101)-9),
IF(AND(D101="Juvenile Audiobook",LEFT(B101,8)="J CD FIC"),B101,
IF(D101="Juvenile Audiobook",RIGHT(B101,LEN(B101)-5),
IF(AND(D101="Teen Audiobook",LEFT(B101,11)="TEEN CD BIO"),RIGHT(B101,LEN(B101)-12),
IF(AND(D101="Teen Audiobook",LEFT(B101,11)="TEEN CD FIC"),B101,
IF(D101="Juvenile Audiobook",RIGHT(B101,LEN(B101)-8),
IF(D101="Juvenile Nonfiction",RIGHT(B101,LEN(B101)-2),
IF(D101="Teen Nonfiction",RIGHT(B101,LEN(B101)-5),
IF(AND(D101="Audiobook",
              NOT(OR(Contains($B101,"CD BIO"),Contains($B101,"CD FIC")))),RIGHT(B101,LEN(B101)-3),
IF(D101="Juvenile Biography",RIGHT(B101,LEN(B101)-2),
IF(D101="Teen Biography",RIGHT(B101,LEN(B101)-5),
IF(AND(D101="Audiobook",
              IFERROR(FIND("BIO",$B101)&gt;0,FALSE)),RIGHT(B101,LEN(B101)-3),
IF(D101="Juvenile Large Type","J "&amp;RIGHT(B101,LEN(B101)-11),
IF(D101="Teen Large Type","TEEN "&amp;RIGHT(B101,LEN(B101)-14),
IF(D101="Reference",RIGHT(B101,LEN(B101)-4),
IF(D101="DVD Educational",RIGHT(B101,LEN(B101)-7),
IF(D101="Juvenile DVD Educational",RIGHT(B101,LEN(B101)-9),
B101)))))))))))))))))</f>
        <v/>
      </c>
      <c r="N101" s="11" t="str">
        <f ca="1">IF(IFERROR(FIND("New",$A101)&gt;0,FALSE),"New ","") &amp; IF(IFERROR(FIND("In Lib",$A101)&gt;0,FALSE),"Reference ","") &amp;
IF(AND(D101="Audiobook",LEFT(B101,6)="CD BIO"),"Biography",
IF(AND(D101="Teen Audiobook",LEFT(B101,11)="TEEN CD BIO"),"Biography",
IF(AND(D101="Juvenile Audiobook",LEFT(B101,8)="J CD BIO"),"Biography",
IF(AND(D101="Audiobook",LEFT(B101,6)="CD FIC"),"Audiobook Fiction",
IF(AND(D101="Teen Audiobook",LEFT(B101,11)="TEEN CD FIC"),"Teen Audiobook",
IF(AND(D101="Juvenile Audiobook",LEFT(B101,8)="J CD FIC"),"Juvenile Audiobook",
IF(D101="Audiobook","Nonfiction",
IF(D101="Juvenile Audiobook","Nonfiction",
IF(D101="Teen Audiobook","Nonfiction",
IF(D101="Juvenile Nonfiction","Nonfiction",
IF(D101="Teen Nonfiction","Nonfiction",
IF(D101="Juvenile Biography","Biography",
IF(D101="Teen Biography","Biography",
IF(D101="ESL","Nonfiction",
IF(LEFT(B101,11)="INTL-VIE J ","International Juvenile",IF(LEFT(B101,11)="INTL-TAG J ","International Juvenile",IF(LEFT(B101,11)="INTL-RUS J ","International Juvenile",IF(LEFT(B101,11)="INTL-KOR J ","International Juvenile",IF(LEFT(B101,11)="INTL-JAP J ","International Juvenile",IF(LEFT(B101,11)="INTL-CHI J ","International Juvenile",IF(LEFT(B101,11)="INTL-SPA J ","International Juvenile",IF(LEFT(B101,14)="INTL-VIE TEEN ","International Teen",IF(LEFT(B101,14)="INTL-TAG TEEN ","International Teen",IF(LEFT(B101,14)="INTL-RUS TEEN ","International Teen",IF(LEFT(B101,14)="INTL-KOR TEEN ","International Teen",IF(LEFT(B101,14)="INTL-JAP TEEN ","International Teen",IF(LEFT(B101,14)="INTL-CHI TEEN ","International Teen",IF(LEFT(B101,14)="INTL-SPA TEEN ","International Teen",IF(LEFT(B101,11)="INTL-VIE E ","International Easy",IF(LEFT(B101,11)="INTL-TAG E ","International Easy",IF(LEFT(B101,11)="INTL-RUS E ","International Easy",IF(LEFT(B101,11)="INTL-JAP E ","International Easy",IF(LEFT(B101,11)="INTL-KOR E ","International Easy",IF(LEFT(B101,11)="INTL-CHI E ","International Easy",IF(LEFT(B101,11)="INTL-SPA E ","International Easy",
IF(D101="Teen Large Type","Teen Fiction",
IF(D101="Juvenile Large Type","Juvenile Fiction",
IF(LEFT(B101,6)="J CD O","Juvenile Compact Disc",
IF(AND(LEFT(B101,4)="TEEN",D101="Fiction"),"Teen Fiction",
IF(D101="DVD Educational","Nonfiction",
IF(D101="Juvenile DVD Educational","Nonfiction",
IF(D101="Reference","Nonfiction",
D101))))))))))))))))))))))))))))))))))))))))))</f>
        <v/>
      </c>
    </row>
    <row r="102" spans="1:14" ht="27" customHeight="1" x14ac:dyDescent="0.25">
      <c r="A102" s="10" t="str">
        <f ca="1">TEXT( INDIRECT( ADDRESS( ROW() + Row_Offset, INDIRECT( "Column_Number_" &amp; A$1), 4,1, tabname) ), "")</f>
        <v/>
      </c>
      <c r="B102" s="10" t="str">
        <f ca="1">TEXT(  IFERROR( VLOOKUP( $D102, CollName_Simplifier_Table[], 2, FALSE),"") &amp;
        INDIRECT( ADDRESS( ROW() + Row_Offset, INDIRECT( "Column_Number_" &amp; $B$1), 4,1, tabname) ), "")</f>
        <v/>
      </c>
      <c r="C102" s="10" t="str">
        <f ca="1">TEXT( INDIRECT( ADDRESS( ROW() + Row_Offset, INDIRECT( "Column_Number_" &amp; C$1), 4,1, tabname) ), "")</f>
        <v/>
      </c>
      <c r="D102" s="10" t="str">
        <f ca="1">TEXT( INDIRECT( ADDRESS( ROW() + Row_Offset, INDIRECT( "Column_Number_" &amp; D$1), 4,1, tabname) ), "")</f>
        <v/>
      </c>
      <c r="E102" s="10" t="str">
        <f ca="1">TEXT( INDIRECT( ADDRESS( ROW() + Row_Offset, INDIRECT( "Column_Number_" &amp; E$1), 4,1, tabname) ), "####")</f>
        <v/>
      </c>
      <c r="F102" s="15"/>
      <c r="G102" s="22" t="str">
        <f ca="1">IFERROR(INDEX(Rank_Table[],MATCH($D102&amp;$A102,Table4[Join],0)),"")</f>
        <v/>
      </c>
      <c r="H102" s="11" t="str">
        <f ca="1">IF(AND(D102="Juvenile Audiobook",LEFT(B102,8)="J CD BIO"),RIGHT(B102,LEN(B102)-9),
IF(AND(D102="Juvenile Audiobook",LEFT(B102,8)="J CD FIC"),B102,
IF(D102="Juvenile Audiobook",RIGHT(B102,LEN(B102)-5),
IF(AND(D102="Teen Audiobook",LEFT(B102,11)="TEEN CD BIO"),RIGHT(B102,LEN(B102)-12),
IF(AND(D102="Teen Audiobook",LEFT(B102,11)="TEEN CD FIC"),B102,
IF(D102="Juvenile Audiobook",RIGHT(B102,LEN(B102)-8),
IF(D102="Juvenile Nonfiction",RIGHT(B102,LEN(B102)-2),
IF(D102="Teen Nonfiction",RIGHT(B102,LEN(B102)-5),
IF(AND(D102="Audiobook",
              NOT(OR(Contains($B102,"CD BIO"),Contains($B102,"CD FIC")))),RIGHT(B102,LEN(B102)-3),
IF(D102="Juvenile Biography",RIGHT(B102,LEN(B102)-2),
IF(D102="Teen Biography",RIGHT(B102,LEN(B102)-5),
IF(AND(D102="Audiobook",
              IFERROR(FIND("BIO",$B102)&gt;0,FALSE)),RIGHT(B102,LEN(B102)-3),
IF(D102="Juvenile Large Type","J "&amp;RIGHT(B102,LEN(B102)-11),
IF(D102="Teen Large Type","TEEN "&amp;RIGHT(B102,LEN(B102)-14),
IF(D102="Reference",RIGHT(B102,LEN(B102)-4),
IF(D102="DVD Educational",RIGHT(B102,LEN(B102)-7),
IF(D102="Juvenile DVD Educational",RIGHT(B102,LEN(B102)-9),
B102)))))))))))))))))</f>
        <v/>
      </c>
      <c r="N102" s="11" t="str">
        <f ca="1">IF(IFERROR(FIND("New",$A102)&gt;0,FALSE),"New ","") &amp; IF(IFERROR(FIND("In Lib",$A102)&gt;0,FALSE),"Reference ","") &amp;
IF(AND(D102="Audiobook",LEFT(B102,6)="CD BIO"),"Biography",
IF(AND(D102="Teen Audiobook",LEFT(B102,11)="TEEN CD BIO"),"Biography",
IF(AND(D102="Juvenile Audiobook",LEFT(B102,8)="J CD BIO"),"Biography",
IF(AND(D102="Audiobook",LEFT(B102,6)="CD FIC"),"Audiobook Fiction",
IF(AND(D102="Teen Audiobook",LEFT(B102,11)="TEEN CD FIC"),"Teen Audiobook",
IF(AND(D102="Juvenile Audiobook",LEFT(B102,8)="J CD FIC"),"Juvenile Audiobook",
IF(D102="Audiobook","Nonfiction",
IF(D102="Juvenile Audiobook","Nonfiction",
IF(D102="Teen Audiobook","Nonfiction",
IF(D102="Juvenile Nonfiction","Nonfiction",
IF(D102="Teen Nonfiction","Nonfiction",
IF(D102="Juvenile Biography","Biography",
IF(D102="Teen Biography","Biography",
IF(D102="ESL","Nonfiction",
IF(LEFT(B102,11)="INTL-VIE J ","International Juvenile",IF(LEFT(B102,11)="INTL-TAG J ","International Juvenile",IF(LEFT(B102,11)="INTL-RUS J ","International Juvenile",IF(LEFT(B102,11)="INTL-KOR J ","International Juvenile",IF(LEFT(B102,11)="INTL-JAP J ","International Juvenile",IF(LEFT(B102,11)="INTL-CHI J ","International Juvenile",IF(LEFT(B102,11)="INTL-SPA J ","International Juvenile",IF(LEFT(B102,14)="INTL-VIE TEEN ","International Teen",IF(LEFT(B102,14)="INTL-TAG TEEN ","International Teen",IF(LEFT(B102,14)="INTL-RUS TEEN ","International Teen",IF(LEFT(B102,14)="INTL-KOR TEEN ","International Teen",IF(LEFT(B102,14)="INTL-JAP TEEN ","International Teen",IF(LEFT(B102,14)="INTL-CHI TEEN ","International Teen",IF(LEFT(B102,14)="INTL-SPA TEEN ","International Teen",IF(LEFT(B102,11)="INTL-VIE E ","International Easy",IF(LEFT(B102,11)="INTL-TAG E ","International Easy",IF(LEFT(B102,11)="INTL-RUS E ","International Easy",IF(LEFT(B102,11)="INTL-JAP E ","International Easy",IF(LEFT(B102,11)="INTL-KOR E ","International Easy",IF(LEFT(B102,11)="INTL-CHI E ","International Easy",IF(LEFT(B102,11)="INTL-SPA E ","International Easy",
IF(D102="Teen Large Type","Teen Fiction",
IF(D102="Juvenile Large Type","Juvenile Fiction",
IF(LEFT(B102,6)="J CD O","Juvenile Compact Disc",
IF(AND(LEFT(B102,4)="TEEN",D102="Fiction"),"Teen Fiction",
IF(D102="DVD Educational","Nonfiction",
IF(D102="Juvenile DVD Educational","Nonfiction",
IF(D102="Reference","Nonfiction",
D102))))))))))))))))))))))))))))))))))))))))))</f>
        <v/>
      </c>
    </row>
    <row r="103" spans="1:14" ht="27" customHeight="1" x14ac:dyDescent="0.25">
      <c r="A103" s="10" t="str">
        <f ca="1">TEXT( INDIRECT( ADDRESS( ROW() + Row_Offset, INDIRECT( "Column_Number_" &amp; A$1), 4,1, tabname) ), "")</f>
        <v/>
      </c>
      <c r="B103" s="10" t="str">
        <f ca="1">TEXT(  IFERROR( VLOOKUP( $D103, CollName_Simplifier_Table[], 2, FALSE),"") &amp;
        INDIRECT( ADDRESS( ROW() + Row_Offset, INDIRECT( "Column_Number_" &amp; $B$1), 4,1, tabname) ), "")</f>
        <v/>
      </c>
      <c r="C103" s="10" t="str">
        <f ca="1">TEXT( INDIRECT( ADDRESS( ROW() + Row_Offset, INDIRECT( "Column_Number_" &amp; C$1), 4,1, tabname) ), "")</f>
        <v/>
      </c>
      <c r="D103" s="10" t="str">
        <f ca="1">TEXT( INDIRECT( ADDRESS( ROW() + Row_Offset, INDIRECT( "Column_Number_" &amp; D$1), 4,1, tabname) ), "")</f>
        <v/>
      </c>
      <c r="E103" s="10" t="str">
        <f ca="1">TEXT( INDIRECT( ADDRESS( ROW() + Row_Offset, INDIRECT( "Column_Number_" &amp; E$1), 4,1, tabname) ), "####")</f>
        <v/>
      </c>
      <c r="F103" s="15"/>
      <c r="G103" s="22" t="str">
        <f ca="1">IFERROR(INDEX(Rank_Table[],MATCH($D103&amp;$A103,Table4[Join],0)),"")</f>
        <v/>
      </c>
      <c r="H103" s="11" t="str">
        <f ca="1">IF(AND(D103="Juvenile Audiobook",LEFT(B103,8)="J CD BIO"),RIGHT(B103,LEN(B103)-9),
IF(AND(D103="Juvenile Audiobook",LEFT(B103,8)="J CD FIC"),B103,
IF(D103="Juvenile Audiobook",RIGHT(B103,LEN(B103)-5),
IF(AND(D103="Teen Audiobook",LEFT(B103,11)="TEEN CD BIO"),RIGHT(B103,LEN(B103)-12),
IF(AND(D103="Teen Audiobook",LEFT(B103,11)="TEEN CD FIC"),B103,
IF(D103="Juvenile Audiobook",RIGHT(B103,LEN(B103)-8),
IF(D103="Juvenile Nonfiction",RIGHT(B103,LEN(B103)-2),
IF(D103="Teen Nonfiction",RIGHT(B103,LEN(B103)-5),
IF(AND(D103="Audiobook",
              NOT(OR(Contains($B103,"CD BIO"),Contains($B103,"CD FIC")))),RIGHT(B103,LEN(B103)-3),
IF(D103="Juvenile Biography",RIGHT(B103,LEN(B103)-2),
IF(D103="Teen Biography",RIGHT(B103,LEN(B103)-5),
IF(AND(D103="Audiobook",
              IFERROR(FIND("BIO",$B103)&gt;0,FALSE)),RIGHT(B103,LEN(B103)-3),
IF(D103="Juvenile Large Type","J "&amp;RIGHT(B103,LEN(B103)-11),
IF(D103="Teen Large Type","TEEN "&amp;RIGHT(B103,LEN(B103)-14),
IF(D103="Reference",RIGHT(B103,LEN(B103)-4),
IF(D103="DVD Educational",RIGHT(B103,LEN(B103)-7),
IF(D103="Juvenile DVD Educational",RIGHT(B103,LEN(B103)-9),
B103)))))))))))))))))</f>
        <v/>
      </c>
      <c r="N103" s="11" t="str">
        <f ca="1">IF(IFERROR(FIND("New",$A103)&gt;0,FALSE),"New ","") &amp; IF(IFERROR(FIND("In Lib",$A103)&gt;0,FALSE),"Reference ","") &amp;
IF(AND(D103="Audiobook",LEFT(B103,6)="CD BIO"),"Biography",
IF(AND(D103="Teen Audiobook",LEFT(B103,11)="TEEN CD BIO"),"Biography",
IF(AND(D103="Juvenile Audiobook",LEFT(B103,8)="J CD BIO"),"Biography",
IF(AND(D103="Audiobook",LEFT(B103,6)="CD FIC"),"Audiobook Fiction",
IF(AND(D103="Teen Audiobook",LEFT(B103,11)="TEEN CD FIC"),"Teen Audiobook",
IF(AND(D103="Juvenile Audiobook",LEFT(B103,8)="J CD FIC"),"Juvenile Audiobook",
IF(D103="Audiobook","Nonfiction",
IF(D103="Juvenile Audiobook","Nonfiction",
IF(D103="Teen Audiobook","Nonfiction",
IF(D103="Juvenile Nonfiction","Nonfiction",
IF(D103="Teen Nonfiction","Nonfiction",
IF(D103="Juvenile Biography","Biography",
IF(D103="Teen Biography","Biography",
IF(D103="ESL","Nonfiction",
IF(LEFT(B103,11)="INTL-VIE J ","International Juvenile",IF(LEFT(B103,11)="INTL-TAG J ","International Juvenile",IF(LEFT(B103,11)="INTL-RUS J ","International Juvenile",IF(LEFT(B103,11)="INTL-KOR J ","International Juvenile",IF(LEFT(B103,11)="INTL-JAP J ","International Juvenile",IF(LEFT(B103,11)="INTL-CHI J ","International Juvenile",IF(LEFT(B103,11)="INTL-SPA J ","International Juvenile",IF(LEFT(B103,14)="INTL-VIE TEEN ","International Teen",IF(LEFT(B103,14)="INTL-TAG TEEN ","International Teen",IF(LEFT(B103,14)="INTL-RUS TEEN ","International Teen",IF(LEFT(B103,14)="INTL-KOR TEEN ","International Teen",IF(LEFT(B103,14)="INTL-JAP TEEN ","International Teen",IF(LEFT(B103,14)="INTL-CHI TEEN ","International Teen",IF(LEFT(B103,14)="INTL-SPA TEEN ","International Teen",IF(LEFT(B103,11)="INTL-VIE E ","International Easy",IF(LEFT(B103,11)="INTL-TAG E ","International Easy",IF(LEFT(B103,11)="INTL-RUS E ","International Easy",IF(LEFT(B103,11)="INTL-JAP E ","International Easy",IF(LEFT(B103,11)="INTL-KOR E ","International Easy",IF(LEFT(B103,11)="INTL-CHI E ","International Easy",IF(LEFT(B103,11)="INTL-SPA E ","International Easy",
IF(D103="Teen Large Type","Teen Fiction",
IF(D103="Juvenile Large Type","Juvenile Fiction",
IF(LEFT(B103,6)="J CD O","Juvenile Compact Disc",
IF(AND(LEFT(B103,4)="TEEN",D103="Fiction"),"Teen Fiction",
IF(D103="DVD Educational","Nonfiction",
IF(D103="Juvenile DVD Educational","Nonfiction",
IF(D103="Reference","Nonfiction",
D103))))))))))))))))))))))))))))))))))))))))))</f>
        <v/>
      </c>
    </row>
    <row r="104" spans="1:14" ht="27" customHeight="1" x14ac:dyDescent="0.25">
      <c r="A104" s="10" t="str">
        <f ca="1">TEXT( INDIRECT( ADDRESS( ROW() + Row_Offset, INDIRECT( "Column_Number_" &amp; A$1), 4,1, tabname) ), "")</f>
        <v/>
      </c>
      <c r="B104" s="10" t="str">
        <f ca="1">TEXT(  IFERROR( VLOOKUP( $D104, CollName_Simplifier_Table[], 2, FALSE),"") &amp;
        INDIRECT( ADDRESS( ROW() + Row_Offset, INDIRECT( "Column_Number_" &amp; $B$1), 4,1, tabname) ), "")</f>
        <v/>
      </c>
      <c r="C104" s="10" t="str">
        <f ca="1">TEXT( INDIRECT( ADDRESS( ROW() + Row_Offset, INDIRECT( "Column_Number_" &amp; C$1), 4,1, tabname) ), "")</f>
        <v/>
      </c>
      <c r="D104" s="10" t="str">
        <f ca="1">TEXT( INDIRECT( ADDRESS( ROW() + Row_Offset, INDIRECT( "Column_Number_" &amp; D$1), 4,1, tabname) ), "")</f>
        <v/>
      </c>
      <c r="E104" s="10" t="str">
        <f ca="1">TEXT( INDIRECT( ADDRESS( ROW() + Row_Offset, INDIRECT( "Column_Number_" &amp; E$1), 4,1, tabname) ), "####")</f>
        <v/>
      </c>
      <c r="F104" s="15"/>
      <c r="G104" s="22" t="str">
        <f ca="1">IFERROR(INDEX(Rank_Table[],MATCH($D104&amp;$A104,Table4[Join],0)),"")</f>
        <v/>
      </c>
      <c r="H104" s="11" t="str">
        <f ca="1">IF(AND(D104="Juvenile Audiobook",LEFT(B104,8)="J CD BIO"),RIGHT(B104,LEN(B104)-9),
IF(AND(D104="Juvenile Audiobook",LEFT(B104,8)="J CD FIC"),B104,
IF(D104="Juvenile Audiobook",RIGHT(B104,LEN(B104)-5),
IF(AND(D104="Teen Audiobook",LEFT(B104,11)="TEEN CD BIO"),RIGHT(B104,LEN(B104)-12),
IF(AND(D104="Teen Audiobook",LEFT(B104,11)="TEEN CD FIC"),B104,
IF(D104="Juvenile Audiobook",RIGHT(B104,LEN(B104)-8),
IF(D104="Juvenile Nonfiction",RIGHT(B104,LEN(B104)-2),
IF(D104="Teen Nonfiction",RIGHT(B104,LEN(B104)-5),
IF(AND(D104="Audiobook",
              NOT(OR(Contains($B104,"CD BIO"),Contains($B104,"CD FIC")))),RIGHT(B104,LEN(B104)-3),
IF(D104="Juvenile Biography",RIGHT(B104,LEN(B104)-2),
IF(D104="Teen Biography",RIGHT(B104,LEN(B104)-5),
IF(AND(D104="Audiobook",
              IFERROR(FIND("BIO",$B104)&gt;0,FALSE)),RIGHT(B104,LEN(B104)-3),
IF(D104="Juvenile Large Type","J "&amp;RIGHT(B104,LEN(B104)-11),
IF(D104="Teen Large Type","TEEN "&amp;RIGHT(B104,LEN(B104)-14),
IF(D104="Reference",RIGHT(B104,LEN(B104)-4),
IF(D104="DVD Educational",RIGHT(B104,LEN(B104)-7),
IF(D104="Juvenile DVD Educational",RIGHT(B104,LEN(B104)-9),
B104)))))))))))))))))</f>
        <v/>
      </c>
      <c r="N104" s="11" t="str">
        <f ca="1">IF(IFERROR(FIND("New",$A104)&gt;0,FALSE),"New ","") &amp; IF(IFERROR(FIND("In Lib",$A104)&gt;0,FALSE),"Reference ","") &amp;
IF(AND(D104="Audiobook",LEFT(B104,6)="CD BIO"),"Biography",
IF(AND(D104="Teen Audiobook",LEFT(B104,11)="TEEN CD BIO"),"Biography",
IF(AND(D104="Juvenile Audiobook",LEFT(B104,8)="J CD BIO"),"Biography",
IF(AND(D104="Audiobook",LEFT(B104,6)="CD FIC"),"Audiobook Fiction",
IF(AND(D104="Teen Audiobook",LEFT(B104,11)="TEEN CD FIC"),"Teen Audiobook",
IF(AND(D104="Juvenile Audiobook",LEFT(B104,8)="J CD FIC"),"Juvenile Audiobook",
IF(D104="Audiobook","Nonfiction",
IF(D104="Juvenile Audiobook","Nonfiction",
IF(D104="Teen Audiobook","Nonfiction",
IF(D104="Juvenile Nonfiction","Nonfiction",
IF(D104="Teen Nonfiction","Nonfiction",
IF(D104="Juvenile Biography","Biography",
IF(D104="Teen Biography","Biography",
IF(D104="ESL","Nonfiction",
IF(LEFT(B104,11)="INTL-VIE J ","International Juvenile",IF(LEFT(B104,11)="INTL-TAG J ","International Juvenile",IF(LEFT(B104,11)="INTL-RUS J ","International Juvenile",IF(LEFT(B104,11)="INTL-KOR J ","International Juvenile",IF(LEFT(B104,11)="INTL-JAP J ","International Juvenile",IF(LEFT(B104,11)="INTL-CHI J ","International Juvenile",IF(LEFT(B104,11)="INTL-SPA J ","International Juvenile",IF(LEFT(B104,14)="INTL-VIE TEEN ","International Teen",IF(LEFT(B104,14)="INTL-TAG TEEN ","International Teen",IF(LEFT(B104,14)="INTL-RUS TEEN ","International Teen",IF(LEFT(B104,14)="INTL-KOR TEEN ","International Teen",IF(LEFT(B104,14)="INTL-JAP TEEN ","International Teen",IF(LEFT(B104,14)="INTL-CHI TEEN ","International Teen",IF(LEFT(B104,14)="INTL-SPA TEEN ","International Teen",IF(LEFT(B104,11)="INTL-VIE E ","International Easy",IF(LEFT(B104,11)="INTL-TAG E ","International Easy",IF(LEFT(B104,11)="INTL-RUS E ","International Easy",IF(LEFT(B104,11)="INTL-JAP E ","International Easy",IF(LEFT(B104,11)="INTL-KOR E ","International Easy",IF(LEFT(B104,11)="INTL-CHI E ","International Easy",IF(LEFT(B104,11)="INTL-SPA E ","International Easy",
IF(D104="Teen Large Type","Teen Fiction",
IF(D104="Juvenile Large Type","Juvenile Fiction",
IF(LEFT(B104,6)="J CD O","Juvenile Compact Disc",
IF(AND(LEFT(B104,4)="TEEN",D104="Fiction"),"Teen Fiction",
IF(D104="DVD Educational","Nonfiction",
IF(D104="Juvenile DVD Educational","Nonfiction",
IF(D104="Reference","Nonfiction",
D104))))))))))))))))))))))))))))))))))))))))))</f>
        <v/>
      </c>
    </row>
    <row r="105" spans="1:14" ht="27" customHeight="1" x14ac:dyDescent="0.25">
      <c r="A105" s="10" t="str">
        <f ca="1">TEXT( INDIRECT( ADDRESS( ROW() + Row_Offset, INDIRECT( "Column_Number_" &amp; A$1), 4,1, tabname) ), "")</f>
        <v/>
      </c>
      <c r="B105" s="10" t="str">
        <f ca="1">TEXT(  IFERROR( VLOOKUP( $D105, CollName_Simplifier_Table[], 2, FALSE),"") &amp;
        INDIRECT( ADDRESS( ROW() + Row_Offset, INDIRECT( "Column_Number_" &amp; $B$1), 4,1, tabname) ), "")</f>
        <v/>
      </c>
      <c r="C105" s="10" t="str">
        <f ca="1">TEXT( INDIRECT( ADDRESS( ROW() + Row_Offset, INDIRECT( "Column_Number_" &amp; C$1), 4,1, tabname) ), "")</f>
        <v/>
      </c>
      <c r="D105" s="10" t="str">
        <f ca="1">TEXT( INDIRECT( ADDRESS( ROW() + Row_Offset, INDIRECT( "Column_Number_" &amp; D$1), 4,1, tabname) ), "")</f>
        <v/>
      </c>
      <c r="E105" s="10" t="str">
        <f ca="1">TEXT( INDIRECT( ADDRESS( ROW() + Row_Offset, INDIRECT( "Column_Number_" &amp; E$1), 4,1, tabname) ), "####")</f>
        <v/>
      </c>
      <c r="F105" s="15"/>
      <c r="G105" s="22" t="str">
        <f ca="1">IFERROR(INDEX(Rank_Table[],MATCH($D105&amp;$A105,Table4[Join],0)),"")</f>
        <v/>
      </c>
      <c r="H105" s="11" t="str">
        <f ca="1">IF(AND(D105="Juvenile Audiobook",LEFT(B105,8)="J CD BIO"),RIGHT(B105,LEN(B105)-9),
IF(AND(D105="Juvenile Audiobook",LEFT(B105,8)="J CD FIC"),B105,
IF(D105="Juvenile Audiobook",RIGHT(B105,LEN(B105)-5),
IF(AND(D105="Teen Audiobook",LEFT(B105,11)="TEEN CD BIO"),RIGHT(B105,LEN(B105)-12),
IF(AND(D105="Teen Audiobook",LEFT(B105,11)="TEEN CD FIC"),B105,
IF(D105="Juvenile Audiobook",RIGHT(B105,LEN(B105)-8),
IF(D105="Juvenile Nonfiction",RIGHT(B105,LEN(B105)-2),
IF(D105="Teen Nonfiction",RIGHT(B105,LEN(B105)-5),
IF(AND(D105="Audiobook",
              NOT(OR(Contains($B105,"CD BIO"),Contains($B105,"CD FIC")))),RIGHT(B105,LEN(B105)-3),
IF(D105="Juvenile Biography",RIGHT(B105,LEN(B105)-2),
IF(D105="Teen Biography",RIGHT(B105,LEN(B105)-5),
IF(AND(D105="Audiobook",
              IFERROR(FIND("BIO",$B105)&gt;0,FALSE)),RIGHT(B105,LEN(B105)-3),
IF(D105="Juvenile Large Type","J "&amp;RIGHT(B105,LEN(B105)-11),
IF(D105="Teen Large Type","TEEN "&amp;RIGHT(B105,LEN(B105)-14),
IF(D105="Reference",RIGHT(B105,LEN(B105)-4),
IF(D105="DVD Educational",RIGHT(B105,LEN(B105)-7),
IF(D105="Juvenile DVD Educational",RIGHT(B105,LEN(B105)-9),
B105)))))))))))))))))</f>
        <v/>
      </c>
      <c r="N105" s="11" t="str">
        <f ca="1">IF(IFERROR(FIND("New",$A105)&gt;0,FALSE),"New ","") &amp; IF(IFERROR(FIND("In Lib",$A105)&gt;0,FALSE),"Reference ","") &amp;
IF(AND(D105="Audiobook",LEFT(B105,6)="CD BIO"),"Biography",
IF(AND(D105="Teen Audiobook",LEFT(B105,11)="TEEN CD BIO"),"Biography",
IF(AND(D105="Juvenile Audiobook",LEFT(B105,8)="J CD BIO"),"Biography",
IF(AND(D105="Audiobook",LEFT(B105,6)="CD FIC"),"Audiobook Fiction",
IF(AND(D105="Teen Audiobook",LEFT(B105,11)="TEEN CD FIC"),"Teen Audiobook",
IF(AND(D105="Juvenile Audiobook",LEFT(B105,8)="J CD FIC"),"Juvenile Audiobook",
IF(D105="Audiobook","Nonfiction",
IF(D105="Juvenile Audiobook","Nonfiction",
IF(D105="Teen Audiobook","Nonfiction",
IF(D105="Juvenile Nonfiction","Nonfiction",
IF(D105="Teen Nonfiction","Nonfiction",
IF(D105="Juvenile Biography","Biography",
IF(D105="Teen Biography","Biography",
IF(D105="ESL","Nonfiction",
IF(LEFT(B105,11)="INTL-VIE J ","International Juvenile",IF(LEFT(B105,11)="INTL-TAG J ","International Juvenile",IF(LEFT(B105,11)="INTL-RUS J ","International Juvenile",IF(LEFT(B105,11)="INTL-KOR J ","International Juvenile",IF(LEFT(B105,11)="INTL-JAP J ","International Juvenile",IF(LEFT(B105,11)="INTL-CHI J ","International Juvenile",IF(LEFT(B105,11)="INTL-SPA J ","International Juvenile",IF(LEFT(B105,14)="INTL-VIE TEEN ","International Teen",IF(LEFT(B105,14)="INTL-TAG TEEN ","International Teen",IF(LEFT(B105,14)="INTL-RUS TEEN ","International Teen",IF(LEFT(B105,14)="INTL-KOR TEEN ","International Teen",IF(LEFT(B105,14)="INTL-JAP TEEN ","International Teen",IF(LEFT(B105,14)="INTL-CHI TEEN ","International Teen",IF(LEFT(B105,14)="INTL-SPA TEEN ","International Teen",IF(LEFT(B105,11)="INTL-VIE E ","International Easy",IF(LEFT(B105,11)="INTL-TAG E ","International Easy",IF(LEFT(B105,11)="INTL-RUS E ","International Easy",IF(LEFT(B105,11)="INTL-JAP E ","International Easy",IF(LEFT(B105,11)="INTL-KOR E ","International Easy",IF(LEFT(B105,11)="INTL-CHI E ","International Easy",IF(LEFT(B105,11)="INTL-SPA E ","International Easy",
IF(D105="Teen Large Type","Teen Fiction",
IF(D105="Juvenile Large Type","Juvenile Fiction",
IF(LEFT(B105,6)="J CD O","Juvenile Compact Disc",
IF(AND(LEFT(B105,4)="TEEN",D105="Fiction"),"Teen Fiction",
IF(D105="DVD Educational","Nonfiction",
IF(D105="Juvenile DVD Educational","Nonfiction",
IF(D105="Reference","Nonfiction",
D105))))))))))))))))))))))))))))))))))))))))))</f>
        <v/>
      </c>
    </row>
    <row r="106" spans="1:14" ht="27" customHeight="1" x14ac:dyDescent="0.25">
      <c r="A106" s="10" t="str">
        <f ca="1">TEXT( INDIRECT( ADDRESS( ROW() + Row_Offset, INDIRECT( "Column_Number_" &amp; A$1), 4,1, tabname) ), "")</f>
        <v/>
      </c>
      <c r="B106" s="10" t="str">
        <f ca="1">TEXT(  IFERROR( VLOOKUP( $D106, CollName_Simplifier_Table[], 2, FALSE),"") &amp;
        INDIRECT( ADDRESS( ROW() + Row_Offset, INDIRECT( "Column_Number_" &amp; $B$1), 4,1, tabname) ), "")</f>
        <v/>
      </c>
      <c r="C106" s="10" t="str">
        <f ca="1">TEXT( INDIRECT( ADDRESS( ROW() + Row_Offset, INDIRECT( "Column_Number_" &amp; C$1), 4,1, tabname) ), "")</f>
        <v/>
      </c>
      <c r="D106" s="10" t="str">
        <f ca="1">TEXT( INDIRECT( ADDRESS( ROW() + Row_Offset, INDIRECT( "Column_Number_" &amp; D$1), 4,1, tabname) ), "")</f>
        <v/>
      </c>
      <c r="E106" s="10" t="str">
        <f ca="1">TEXT( INDIRECT( ADDRESS( ROW() + Row_Offset, INDIRECT( "Column_Number_" &amp; E$1), 4,1, tabname) ), "####")</f>
        <v/>
      </c>
      <c r="F106" s="15"/>
      <c r="G106" s="22" t="str">
        <f ca="1">IFERROR(INDEX(Rank_Table[],MATCH($D106&amp;$A106,Table4[Join],0)),"")</f>
        <v/>
      </c>
      <c r="H106" s="11" t="str">
        <f ca="1">IF(AND(D106="Juvenile Audiobook",LEFT(B106,8)="J CD BIO"),RIGHT(B106,LEN(B106)-9),
IF(AND(D106="Juvenile Audiobook",LEFT(B106,8)="J CD FIC"),B106,
IF(D106="Juvenile Audiobook",RIGHT(B106,LEN(B106)-5),
IF(AND(D106="Teen Audiobook",LEFT(B106,11)="TEEN CD BIO"),RIGHT(B106,LEN(B106)-12),
IF(AND(D106="Teen Audiobook",LEFT(B106,11)="TEEN CD FIC"),B106,
IF(D106="Juvenile Audiobook",RIGHT(B106,LEN(B106)-8),
IF(D106="Juvenile Nonfiction",RIGHT(B106,LEN(B106)-2),
IF(D106="Teen Nonfiction",RIGHT(B106,LEN(B106)-5),
IF(AND(D106="Audiobook",
              NOT(OR(Contains($B106,"CD BIO"),Contains($B106,"CD FIC")))),RIGHT(B106,LEN(B106)-3),
IF(D106="Juvenile Biography",RIGHT(B106,LEN(B106)-2),
IF(D106="Teen Biography",RIGHT(B106,LEN(B106)-5),
IF(AND(D106="Audiobook",
              IFERROR(FIND("BIO",$B106)&gt;0,FALSE)),RIGHT(B106,LEN(B106)-3),
IF(D106="Juvenile Large Type","J "&amp;RIGHT(B106,LEN(B106)-11),
IF(D106="Teen Large Type","TEEN "&amp;RIGHT(B106,LEN(B106)-14),
IF(D106="Reference",RIGHT(B106,LEN(B106)-4),
IF(D106="DVD Educational",RIGHT(B106,LEN(B106)-7),
IF(D106="Juvenile DVD Educational",RIGHT(B106,LEN(B106)-9),
B106)))))))))))))))))</f>
        <v/>
      </c>
      <c r="N106" s="11" t="str">
        <f ca="1">IF(IFERROR(FIND("New",$A106)&gt;0,FALSE),"New ","") &amp; IF(IFERROR(FIND("In Lib",$A106)&gt;0,FALSE),"Reference ","") &amp;
IF(AND(D106="Audiobook",LEFT(B106,6)="CD BIO"),"Biography",
IF(AND(D106="Teen Audiobook",LEFT(B106,11)="TEEN CD BIO"),"Biography",
IF(AND(D106="Juvenile Audiobook",LEFT(B106,8)="J CD BIO"),"Biography",
IF(AND(D106="Audiobook",LEFT(B106,6)="CD FIC"),"Audiobook Fiction",
IF(AND(D106="Teen Audiobook",LEFT(B106,11)="TEEN CD FIC"),"Teen Audiobook",
IF(AND(D106="Juvenile Audiobook",LEFT(B106,8)="J CD FIC"),"Juvenile Audiobook",
IF(D106="Audiobook","Nonfiction",
IF(D106="Juvenile Audiobook","Nonfiction",
IF(D106="Teen Audiobook","Nonfiction",
IF(D106="Juvenile Nonfiction","Nonfiction",
IF(D106="Teen Nonfiction","Nonfiction",
IF(D106="Juvenile Biography","Biography",
IF(D106="Teen Biography","Biography",
IF(D106="ESL","Nonfiction",
IF(LEFT(B106,11)="INTL-VIE J ","International Juvenile",IF(LEFT(B106,11)="INTL-TAG J ","International Juvenile",IF(LEFT(B106,11)="INTL-RUS J ","International Juvenile",IF(LEFT(B106,11)="INTL-KOR J ","International Juvenile",IF(LEFT(B106,11)="INTL-JAP J ","International Juvenile",IF(LEFT(B106,11)="INTL-CHI J ","International Juvenile",IF(LEFT(B106,11)="INTL-SPA J ","International Juvenile",IF(LEFT(B106,14)="INTL-VIE TEEN ","International Teen",IF(LEFT(B106,14)="INTL-TAG TEEN ","International Teen",IF(LEFT(B106,14)="INTL-RUS TEEN ","International Teen",IF(LEFT(B106,14)="INTL-KOR TEEN ","International Teen",IF(LEFT(B106,14)="INTL-JAP TEEN ","International Teen",IF(LEFT(B106,14)="INTL-CHI TEEN ","International Teen",IF(LEFT(B106,14)="INTL-SPA TEEN ","International Teen",IF(LEFT(B106,11)="INTL-VIE E ","International Easy",IF(LEFT(B106,11)="INTL-TAG E ","International Easy",IF(LEFT(B106,11)="INTL-RUS E ","International Easy",IF(LEFT(B106,11)="INTL-JAP E ","International Easy",IF(LEFT(B106,11)="INTL-KOR E ","International Easy",IF(LEFT(B106,11)="INTL-CHI E ","International Easy",IF(LEFT(B106,11)="INTL-SPA E ","International Easy",
IF(D106="Teen Large Type","Teen Fiction",
IF(D106="Juvenile Large Type","Juvenile Fiction",
IF(LEFT(B106,6)="J CD O","Juvenile Compact Disc",
IF(AND(LEFT(B106,4)="TEEN",D106="Fiction"),"Teen Fiction",
IF(D106="DVD Educational","Nonfiction",
IF(D106="Juvenile DVD Educational","Nonfiction",
IF(D106="Reference","Nonfiction",
D106))))))))))))))))))))))))))))))))))))))))))</f>
        <v/>
      </c>
    </row>
    <row r="107" spans="1:14" ht="27" customHeight="1" x14ac:dyDescent="0.25">
      <c r="A107" s="10" t="str">
        <f ca="1">TEXT( INDIRECT( ADDRESS( ROW() + Row_Offset, INDIRECT( "Column_Number_" &amp; A$1), 4,1, tabname) ), "")</f>
        <v/>
      </c>
      <c r="B107" s="10" t="str">
        <f ca="1">TEXT(  IFERROR( VLOOKUP( $D107, CollName_Simplifier_Table[], 2, FALSE),"") &amp;
        INDIRECT( ADDRESS( ROW() + Row_Offset, INDIRECT( "Column_Number_" &amp; $B$1), 4,1, tabname) ), "")</f>
        <v/>
      </c>
      <c r="C107" s="10" t="str">
        <f ca="1">TEXT( INDIRECT( ADDRESS( ROW() + Row_Offset, INDIRECT( "Column_Number_" &amp; C$1), 4,1, tabname) ), "")</f>
        <v/>
      </c>
      <c r="D107" s="10" t="str">
        <f ca="1">TEXT( INDIRECT( ADDRESS( ROW() + Row_Offset, INDIRECT( "Column_Number_" &amp; D$1), 4,1, tabname) ), "")</f>
        <v/>
      </c>
      <c r="E107" s="10" t="str">
        <f ca="1">TEXT( INDIRECT( ADDRESS( ROW() + Row_Offset, INDIRECT( "Column_Number_" &amp; E$1), 4,1, tabname) ), "####")</f>
        <v/>
      </c>
      <c r="F107" s="15"/>
      <c r="G107" s="22" t="str">
        <f ca="1">IFERROR(INDEX(Rank_Table[],MATCH($D107&amp;$A107,Table4[Join],0)),"")</f>
        <v/>
      </c>
      <c r="H107" s="11" t="str">
        <f ca="1">IF(AND(D107="Juvenile Audiobook",LEFT(B107,8)="J CD BIO"),RIGHT(B107,LEN(B107)-9),
IF(AND(D107="Juvenile Audiobook",LEFT(B107,8)="J CD FIC"),B107,
IF(D107="Juvenile Audiobook",RIGHT(B107,LEN(B107)-5),
IF(AND(D107="Teen Audiobook",LEFT(B107,11)="TEEN CD BIO"),RIGHT(B107,LEN(B107)-12),
IF(AND(D107="Teen Audiobook",LEFT(B107,11)="TEEN CD FIC"),B107,
IF(D107="Juvenile Audiobook",RIGHT(B107,LEN(B107)-8),
IF(D107="Juvenile Nonfiction",RIGHT(B107,LEN(B107)-2),
IF(D107="Teen Nonfiction",RIGHT(B107,LEN(B107)-5),
IF(AND(D107="Audiobook",
              NOT(OR(Contains($B107,"CD BIO"),Contains($B107,"CD FIC")))),RIGHT(B107,LEN(B107)-3),
IF(D107="Juvenile Biography",RIGHT(B107,LEN(B107)-2),
IF(D107="Teen Biography",RIGHT(B107,LEN(B107)-5),
IF(AND(D107="Audiobook",
              IFERROR(FIND("BIO",$B107)&gt;0,FALSE)),RIGHT(B107,LEN(B107)-3),
IF(D107="Juvenile Large Type","J "&amp;RIGHT(B107,LEN(B107)-11),
IF(D107="Teen Large Type","TEEN "&amp;RIGHT(B107,LEN(B107)-14),
IF(D107="Reference",RIGHT(B107,LEN(B107)-4),
IF(D107="DVD Educational",RIGHT(B107,LEN(B107)-7),
IF(D107="Juvenile DVD Educational",RIGHT(B107,LEN(B107)-9),
B107)))))))))))))))))</f>
        <v/>
      </c>
      <c r="N107" s="11" t="str">
        <f ca="1">IF(IFERROR(FIND("New",$A107)&gt;0,FALSE),"New ","") &amp; IF(IFERROR(FIND("In Lib",$A107)&gt;0,FALSE),"Reference ","") &amp;
IF(AND(D107="Audiobook",LEFT(B107,6)="CD BIO"),"Biography",
IF(AND(D107="Teen Audiobook",LEFT(B107,11)="TEEN CD BIO"),"Biography",
IF(AND(D107="Juvenile Audiobook",LEFT(B107,8)="J CD BIO"),"Biography",
IF(AND(D107="Audiobook",LEFT(B107,6)="CD FIC"),"Audiobook Fiction",
IF(AND(D107="Teen Audiobook",LEFT(B107,11)="TEEN CD FIC"),"Teen Audiobook",
IF(AND(D107="Juvenile Audiobook",LEFT(B107,8)="J CD FIC"),"Juvenile Audiobook",
IF(D107="Audiobook","Nonfiction",
IF(D107="Juvenile Audiobook","Nonfiction",
IF(D107="Teen Audiobook","Nonfiction",
IF(D107="Juvenile Nonfiction","Nonfiction",
IF(D107="Teen Nonfiction","Nonfiction",
IF(D107="Juvenile Biography","Biography",
IF(D107="Teen Biography","Biography",
IF(D107="ESL","Nonfiction",
IF(LEFT(B107,11)="INTL-VIE J ","International Juvenile",IF(LEFT(B107,11)="INTL-TAG J ","International Juvenile",IF(LEFT(B107,11)="INTL-RUS J ","International Juvenile",IF(LEFT(B107,11)="INTL-KOR J ","International Juvenile",IF(LEFT(B107,11)="INTL-JAP J ","International Juvenile",IF(LEFT(B107,11)="INTL-CHI J ","International Juvenile",IF(LEFT(B107,11)="INTL-SPA J ","International Juvenile",IF(LEFT(B107,14)="INTL-VIE TEEN ","International Teen",IF(LEFT(B107,14)="INTL-TAG TEEN ","International Teen",IF(LEFT(B107,14)="INTL-RUS TEEN ","International Teen",IF(LEFT(B107,14)="INTL-KOR TEEN ","International Teen",IF(LEFT(B107,14)="INTL-JAP TEEN ","International Teen",IF(LEFT(B107,14)="INTL-CHI TEEN ","International Teen",IF(LEFT(B107,14)="INTL-SPA TEEN ","International Teen",IF(LEFT(B107,11)="INTL-VIE E ","International Easy",IF(LEFT(B107,11)="INTL-TAG E ","International Easy",IF(LEFT(B107,11)="INTL-RUS E ","International Easy",IF(LEFT(B107,11)="INTL-JAP E ","International Easy",IF(LEFT(B107,11)="INTL-KOR E ","International Easy",IF(LEFT(B107,11)="INTL-CHI E ","International Easy",IF(LEFT(B107,11)="INTL-SPA E ","International Easy",
IF(D107="Teen Large Type","Teen Fiction",
IF(D107="Juvenile Large Type","Juvenile Fiction",
IF(LEFT(B107,6)="J CD O","Juvenile Compact Disc",
IF(AND(LEFT(B107,4)="TEEN",D107="Fiction"),"Teen Fiction",
IF(D107="DVD Educational","Nonfiction",
IF(D107="Juvenile DVD Educational","Nonfiction",
IF(D107="Reference","Nonfiction",
D107))))))))))))))))))))))))))))))))))))))))))</f>
        <v/>
      </c>
    </row>
    <row r="108" spans="1:14" ht="27" customHeight="1" x14ac:dyDescent="0.25">
      <c r="A108" s="10" t="str">
        <f ca="1">TEXT( INDIRECT( ADDRESS( ROW() + Row_Offset, INDIRECT( "Column_Number_" &amp; A$1), 4,1, tabname) ), "")</f>
        <v/>
      </c>
      <c r="B108" s="10" t="str">
        <f ca="1">TEXT(  IFERROR( VLOOKUP( $D108, CollName_Simplifier_Table[], 2, FALSE),"") &amp;
        INDIRECT( ADDRESS( ROW() + Row_Offset, INDIRECT( "Column_Number_" &amp; $B$1), 4,1, tabname) ), "")</f>
        <v/>
      </c>
      <c r="C108" s="10" t="str">
        <f ca="1">TEXT( INDIRECT( ADDRESS( ROW() + Row_Offset, INDIRECT( "Column_Number_" &amp; C$1), 4,1, tabname) ), "")</f>
        <v/>
      </c>
      <c r="D108" s="10" t="str">
        <f ca="1">TEXT( INDIRECT( ADDRESS( ROW() + Row_Offset, INDIRECT( "Column_Number_" &amp; D$1), 4,1, tabname) ), "")</f>
        <v/>
      </c>
      <c r="E108" s="10" t="str">
        <f ca="1">TEXT( INDIRECT( ADDRESS( ROW() + Row_Offset, INDIRECT( "Column_Number_" &amp; E$1), 4,1, tabname) ), "####")</f>
        <v/>
      </c>
      <c r="F108" s="15"/>
      <c r="G108" s="22" t="str">
        <f ca="1">IFERROR(INDEX(Rank_Table[],MATCH($D108&amp;$A108,Table4[Join],0)),"")</f>
        <v/>
      </c>
      <c r="H108" s="11" t="str">
        <f ca="1">IF(AND(D108="Juvenile Audiobook",LEFT(B108,8)="J CD BIO"),RIGHT(B108,LEN(B108)-9),
IF(AND(D108="Juvenile Audiobook",LEFT(B108,8)="J CD FIC"),B108,
IF(D108="Juvenile Audiobook",RIGHT(B108,LEN(B108)-5),
IF(AND(D108="Teen Audiobook",LEFT(B108,11)="TEEN CD BIO"),RIGHT(B108,LEN(B108)-12),
IF(AND(D108="Teen Audiobook",LEFT(B108,11)="TEEN CD FIC"),B108,
IF(D108="Juvenile Audiobook",RIGHT(B108,LEN(B108)-8),
IF(D108="Juvenile Nonfiction",RIGHT(B108,LEN(B108)-2),
IF(D108="Teen Nonfiction",RIGHT(B108,LEN(B108)-5),
IF(AND(D108="Audiobook",
              NOT(OR(Contains($B108,"CD BIO"),Contains($B108,"CD FIC")))),RIGHT(B108,LEN(B108)-3),
IF(D108="Juvenile Biography",RIGHT(B108,LEN(B108)-2),
IF(D108="Teen Biography",RIGHT(B108,LEN(B108)-5),
IF(AND(D108="Audiobook",
              IFERROR(FIND("BIO",$B108)&gt;0,FALSE)),RIGHT(B108,LEN(B108)-3),
IF(D108="Juvenile Large Type","J "&amp;RIGHT(B108,LEN(B108)-11),
IF(D108="Teen Large Type","TEEN "&amp;RIGHT(B108,LEN(B108)-14),
IF(D108="Reference",RIGHT(B108,LEN(B108)-4),
IF(D108="DVD Educational",RIGHT(B108,LEN(B108)-7),
IF(D108="Juvenile DVD Educational",RIGHT(B108,LEN(B108)-9),
B108)))))))))))))))))</f>
        <v/>
      </c>
      <c r="N108" s="11" t="str">
        <f ca="1">IF(IFERROR(FIND("New",$A108)&gt;0,FALSE),"New ","") &amp; IF(IFERROR(FIND("In Lib",$A108)&gt;0,FALSE),"Reference ","") &amp;
IF(AND(D108="Audiobook",LEFT(B108,6)="CD BIO"),"Biography",
IF(AND(D108="Teen Audiobook",LEFT(B108,11)="TEEN CD BIO"),"Biography",
IF(AND(D108="Juvenile Audiobook",LEFT(B108,8)="J CD BIO"),"Biography",
IF(AND(D108="Audiobook",LEFT(B108,6)="CD FIC"),"Audiobook Fiction",
IF(AND(D108="Teen Audiobook",LEFT(B108,11)="TEEN CD FIC"),"Teen Audiobook",
IF(AND(D108="Juvenile Audiobook",LEFT(B108,8)="J CD FIC"),"Juvenile Audiobook",
IF(D108="Audiobook","Nonfiction",
IF(D108="Juvenile Audiobook","Nonfiction",
IF(D108="Teen Audiobook","Nonfiction",
IF(D108="Juvenile Nonfiction","Nonfiction",
IF(D108="Teen Nonfiction","Nonfiction",
IF(D108="Juvenile Biography","Biography",
IF(D108="Teen Biography","Biography",
IF(D108="ESL","Nonfiction",
IF(LEFT(B108,11)="INTL-VIE J ","International Juvenile",IF(LEFT(B108,11)="INTL-TAG J ","International Juvenile",IF(LEFT(B108,11)="INTL-RUS J ","International Juvenile",IF(LEFT(B108,11)="INTL-KOR J ","International Juvenile",IF(LEFT(B108,11)="INTL-JAP J ","International Juvenile",IF(LEFT(B108,11)="INTL-CHI J ","International Juvenile",IF(LEFT(B108,11)="INTL-SPA J ","International Juvenile",IF(LEFT(B108,14)="INTL-VIE TEEN ","International Teen",IF(LEFT(B108,14)="INTL-TAG TEEN ","International Teen",IF(LEFT(B108,14)="INTL-RUS TEEN ","International Teen",IF(LEFT(B108,14)="INTL-KOR TEEN ","International Teen",IF(LEFT(B108,14)="INTL-JAP TEEN ","International Teen",IF(LEFT(B108,14)="INTL-CHI TEEN ","International Teen",IF(LEFT(B108,14)="INTL-SPA TEEN ","International Teen",IF(LEFT(B108,11)="INTL-VIE E ","International Easy",IF(LEFT(B108,11)="INTL-TAG E ","International Easy",IF(LEFT(B108,11)="INTL-RUS E ","International Easy",IF(LEFT(B108,11)="INTL-JAP E ","International Easy",IF(LEFT(B108,11)="INTL-KOR E ","International Easy",IF(LEFT(B108,11)="INTL-CHI E ","International Easy",IF(LEFT(B108,11)="INTL-SPA E ","International Easy",
IF(D108="Teen Large Type","Teen Fiction",
IF(D108="Juvenile Large Type","Juvenile Fiction",
IF(LEFT(B108,6)="J CD O","Juvenile Compact Disc",
IF(AND(LEFT(B108,4)="TEEN",D108="Fiction"),"Teen Fiction",
IF(D108="DVD Educational","Nonfiction",
IF(D108="Juvenile DVD Educational","Nonfiction",
IF(D108="Reference","Nonfiction",
D108))))))))))))))))))))))))))))))))))))))))))</f>
        <v/>
      </c>
    </row>
    <row r="109" spans="1:14" ht="27" customHeight="1" x14ac:dyDescent="0.25">
      <c r="A109" s="10" t="str">
        <f ca="1">TEXT( INDIRECT( ADDRESS( ROW() + Row_Offset, INDIRECT( "Column_Number_" &amp; A$1), 4,1, tabname) ), "")</f>
        <v/>
      </c>
      <c r="B109" s="10" t="str">
        <f ca="1">TEXT(  IFERROR( VLOOKUP( $D109, CollName_Simplifier_Table[], 2, FALSE),"") &amp;
        INDIRECT( ADDRESS( ROW() + Row_Offset, INDIRECT( "Column_Number_" &amp; $B$1), 4,1, tabname) ), "")</f>
        <v/>
      </c>
      <c r="C109" s="10" t="str">
        <f ca="1">TEXT( INDIRECT( ADDRESS( ROW() + Row_Offset, INDIRECT( "Column_Number_" &amp; C$1), 4,1, tabname) ), "")</f>
        <v/>
      </c>
      <c r="D109" s="10" t="str">
        <f ca="1">TEXT( INDIRECT( ADDRESS( ROW() + Row_Offset, INDIRECT( "Column_Number_" &amp; D$1), 4,1, tabname) ), "")</f>
        <v/>
      </c>
      <c r="E109" s="10" t="str">
        <f ca="1">TEXT( INDIRECT( ADDRESS( ROW() + Row_Offset, INDIRECT( "Column_Number_" &amp; E$1), 4,1, tabname) ), "####")</f>
        <v/>
      </c>
      <c r="F109" s="15"/>
      <c r="G109" s="22" t="str">
        <f ca="1">IFERROR(INDEX(Rank_Table[],MATCH($D109&amp;$A109,Table4[Join],0)),"")</f>
        <v/>
      </c>
      <c r="H109" s="11" t="str">
        <f ca="1">IF(AND(D109="Juvenile Audiobook",LEFT(B109,8)="J CD BIO"),RIGHT(B109,LEN(B109)-9),
IF(AND(D109="Juvenile Audiobook",LEFT(B109,8)="J CD FIC"),B109,
IF(D109="Juvenile Audiobook",RIGHT(B109,LEN(B109)-5),
IF(AND(D109="Teen Audiobook",LEFT(B109,11)="TEEN CD BIO"),RIGHT(B109,LEN(B109)-12),
IF(AND(D109="Teen Audiobook",LEFT(B109,11)="TEEN CD FIC"),B109,
IF(D109="Juvenile Audiobook",RIGHT(B109,LEN(B109)-8),
IF(D109="Juvenile Nonfiction",RIGHT(B109,LEN(B109)-2),
IF(D109="Teen Nonfiction",RIGHT(B109,LEN(B109)-5),
IF(AND(D109="Audiobook",
              NOT(OR(Contains($B109,"CD BIO"),Contains($B109,"CD FIC")))),RIGHT(B109,LEN(B109)-3),
IF(D109="Juvenile Biography",RIGHT(B109,LEN(B109)-2),
IF(D109="Teen Biography",RIGHT(B109,LEN(B109)-5),
IF(AND(D109="Audiobook",
              IFERROR(FIND("BIO",$B109)&gt;0,FALSE)),RIGHT(B109,LEN(B109)-3),
IF(D109="Juvenile Large Type","J "&amp;RIGHT(B109,LEN(B109)-11),
IF(D109="Teen Large Type","TEEN "&amp;RIGHT(B109,LEN(B109)-14),
IF(D109="Reference",RIGHT(B109,LEN(B109)-4),
IF(D109="DVD Educational",RIGHT(B109,LEN(B109)-7),
IF(D109="Juvenile DVD Educational",RIGHT(B109,LEN(B109)-9),
B109)))))))))))))))))</f>
        <v/>
      </c>
      <c r="N109" s="11" t="str">
        <f ca="1">IF(IFERROR(FIND("New",$A109)&gt;0,FALSE),"New ","") &amp; IF(IFERROR(FIND("In Lib",$A109)&gt;0,FALSE),"Reference ","") &amp;
IF(AND(D109="Audiobook",LEFT(B109,6)="CD BIO"),"Biography",
IF(AND(D109="Teen Audiobook",LEFT(B109,11)="TEEN CD BIO"),"Biography",
IF(AND(D109="Juvenile Audiobook",LEFT(B109,8)="J CD BIO"),"Biography",
IF(AND(D109="Audiobook",LEFT(B109,6)="CD FIC"),"Audiobook Fiction",
IF(AND(D109="Teen Audiobook",LEFT(B109,11)="TEEN CD FIC"),"Teen Audiobook",
IF(AND(D109="Juvenile Audiobook",LEFT(B109,8)="J CD FIC"),"Juvenile Audiobook",
IF(D109="Audiobook","Nonfiction",
IF(D109="Juvenile Audiobook","Nonfiction",
IF(D109="Teen Audiobook","Nonfiction",
IF(D109="Juvenile Nonfiction","Nonfiction",
IF(D109="Teen Nonfiction","Nonfiction",
IF(D109="Juvenile Biography","Biography",
IF(D109="Teen Biography","Biography",
IF(D109="ESL","Nonfiction",
IF(LEFT(B109,11)="INTL-VIE J ","International Juvenile",IF(LEFT(B109,11)="INTL-TAG J ","International Juvenile",IF(LEFT(B109,11)="INTL-RUS J ","International Juvenile",IF(LEFT(B109,11)="INTL-KOR J ","International Juvenile",IF(LEFT(B109,11)="INTL-JAP J ","International Juvenile",IF(LEFT(B109,11)="INTL-CHI J ","International Juvenile",IF(LEFT(B109,11)="INTL-SPA J ","International Juvenile",IF(LEFT(B109,14)="INTL-VIE TEEN ","International Teen",IF(LEFT(B109,14)="INTL-TAG TEEN ","International Teen",IF(LEFT(B109,14)="INTL-RUS TEEN ","International Teen",IF(LEFT(B109,14)="INTL-KOR TEEN ","International Teen",IF(LEFT(B109,14)="INTL-JAP TEEN ","International Teen",IF(LEFT(B109,14)="INTL-CHI TEEN ","International Teen",IF(LEFT(B109,14)="INTL-SPA TEEN ","International Teen",IF(LEFT(B109,11)="INTL-VIE E ","International Easy",IF(LEFT(B109,11)="INTL-TAG E ","International Easy",IF(LEFT(B109,11)="INTL-RUS E ","International Easy",IF(LEFT(B109,11)="INTL-JAP E ","International Easy",IF(LEFT(B109,11)="INTL-KOR E ","International Easy",IF(LEFT(B109,11)="INTL-CHI E ","International Easy",IF(LEFT(B109,11)="INTL-SPA E ","International Easy",
IF(D109="Teen Large Type","Teen Fiction",
IF(D109="Juvenile Large Type","Juvenile Fiction",
IF(LEFT(B109,6)="J CD O","Juvenile Compact Disc",
IF(AND(LEFT(B109,4)="TEEN",D109="Fiction"),"Teen Fiction",
IF(D109="DVD Educational","Nonfiction",
IF(D109="Juvenile DVD Educational","Nonfiction",
IF(D109="Reference","Nonfiction",
D109))))))))))))))))))))))))))))))))))))))))))</f>
        <v/>
      </c>
    </row>
    <row r="110" spans="1:14" ht="27" customHeight="1" x14ac:dyDescent="0.25">
      <c r="A110" s="10" t="str">
        <f ca="1">TEXT( INDIRECT( ADDRESS( ROW() + Row_Offset, INDIRECT( "Column_Number_" &amp; A$1), 4,1, tabname) ), "")</f>
        <v/>
      </c>
      <c r="B110" s="10" t="str">
        <f ca="1">TEXT(  IFERROR( VLOOKUP( $D110, CollName_Simplifier_Table[], 2, FALSE),"") &amp;
        INDIRECT( ADDRESS( ROW() + Row_Offset, INDIRECT( "Column_Number_" &amp; $B$1), 4,1, tabname) ), "")</f>
        <v/>
      </c>
      <c r="C110" s="10" t="str">
        <f ca="1">TEXT( INDIRECT( ADDRESS( ROW() + Row_Offset, INDIRECT( "Column_Number_" &amp; C$1), 4,1, tabname) ), "")</f>
        <v/>
      </c>
      <c r="D110" s="10" t="str">
        <f ca="1">TEXT( INDIRECT( ADDRESS( ROW() + Row_Offset, INDIRECT( "Column_Number_" &amp; D$1), 4,1, tabname) ), "")</f>
        <v/>
      </c>
      <c r="E110" s="10" t="str">
        <f ca="1">TEXT( INDIRECT( ADDRESS( ROW() + Row_Offset, INDIRECT( "Column_Number_" &amp; E$1), 4,1, tabname) ), "####")</f>
        <v/>
      </c>
      <c r="F110" s="15"/>
      <c r="G110" s="22" t="str">
        <f ca="1">IFERROR(INDEX(Rank_Table[],MATCH($D110&amp;$A110,Table4[Join],0)),"")</f>
        <v/>
      </c>
      <c r="H110" s="11" t="str">
        <f ca="1">IF(AND(D110="Juvenile Audiobook",LEFT(B110,8)="J CD BIO"),RIGHT(B110,LEN(B110)-9),
IF(AND(D110="Juvenile Audiobook",LEFT(B110,8)="J CD FIC"),B110,
IF(D110="Juvenile Audiobook",RIGHT(B110,LEN(B110)-5),
IF(AND(D110="Teen Audiobook",LEFT(B110,11)="TEEN CD BIO"),RIGHT(B110,LEN(B110)-12),
IF(AND(D110="Teen Audiobook",LEFT(B110,11)="TEEN CD FIC"),B110,
IF(D110="Juvenile Audiobook",RIGHT(B110,LEN(B110)-8),
IF(D110="Juvenile Nonfiction",RIGHT(B110,LEN(B110)-2),
IF(D110="Teen Nonfiction",RIGHT(B110,LEN(B110)-5),
IF(AND(D110="Audiobook",
              NOT(OR(Contains($B110,"CD BIO"),Contains($B110,"CD FIC")))),RIGHT(B110,LEN(B110)-3),
IF(D110="Juvenile Biography",RIGHT(B110,LEN(B110)-2),
IF(D110="Teen Biography",RIGHT(B110,LEN(B110)-5),
IF(AND(D110="Audiobook",
              IFERROR(FIND("BIO",$B110)&gt;0,FALSE)),RIGHT(B110,LEN(B110)-3),
IF(D110="Juvenile Large Type","J "&amp;RIGHT(B110,LEN(B110)-11),
IF(D110="Teen Large Type","TEEN "&amp;RIGHT(B110,LEN(B110)-14),
IF(D110="Reference",RIGHT(B110,LEN(B110)-4),
IF(D110="DVD Educational",RIGHT(B110,LEN(B110)-7),
IF(D110="Juvenile DVD Educational",RIGHT(B110,LEN(B110)-9),
B110)))))))))))))))))</f>
        <v/>
      </c>
      <c r="N110" s="11" t="str">
        <f ca="1">IF(IFERROR(FIND("New",$A110)&gt;0,FALSE),"New ","") &amp; IF(IFERROR(FIND("In Lib",$A110)&gt;0,FALSE),"Reference ","") &amp;
IF(AND(D110="Audiobook",LEFT(B110,6)="CD BIO"),"Biography",
IF(AND(D110="Teen Audiobook",LEFT(B110,11)="TEEN CD BIO"),"Biography",
IF(AND(D110="Juvenile Audiobook",LEFT(B110,8)="J CD BIO"),"Biography",
IF(AND(D110="Audiobook",LEFT(B110,6)="CD FIC"),"Audiobook Fiction",
IF(AND(D110="Teen Audiobook",LEFT(B110,11)="TEEN CD FIC"),"Teen Audiobook",
IF(AND(D110="Juvenile Audiobook",LEFT(B110,8)="J CD FIC"),"Juvenile Audiobook",
IF(D110="Audiobook","Nonfiction",
IF(D110="Juvenile Audiobook","Nonfiction",
IF(D110="Teen Audiobook","Nonfiction",
IF(D110="Juvenile Nonfiction","Nonfiction",
IF(D110="Teen Nonfiction","Nonfiction",
IF(D110="Juvenile Biography","Biography",
IF(D110="Teen Biography","Biography",
IF(D110="ESL","Nonfiction",
IF(LEFT(B110,11)="INTL-VIE J ","International Juvenile",IF(LEFT(B110,11)="INTL-TAG J ","International Juvenile",IF(LEFT(B110,11)="INTL-RUS J ","International Juvenile",IF(LEFT(B110,11)="INTL-KOR J ","International Juvenile",IF(LEFT(B110,11)="INTL-JAP J ","International Juvenile",IF(LEFT(B110,11)="INTL-CHI J ","International Juvenile",IF(LEFT(B110,11)="INTL-SPA J ","International Juvenile",IF(LEFT(B110,14)="INTL-VIE TEEN ","International Teen",IF(LEFT(B110,14)="INTL-TAG TEEN ","International Teen",IF(LEFT(B110,14)="INTL-RUS TEEN ","International Teen",IF(LEFT(B110,14)="INTL-KOR TEEN ","International Teen",IF(LEFT(B110,14)="INTL-JAP TEEN ","International Teen",IF(LEFT(B110,14)="INTL-CHI TEEN ","International Teen",IF(LEFT(B110,14)="INTL-SPA TEEN ","International Teen",IF(LEFT(B110,11)="INTL-VIE E ","International Easy",IF(LEFT(B110,11)="INTL-TAG E ","International Easy",IF(LEFT(B110,11)="INTL-RUS E ","International Easy",IF(LEFT(B110,11)="INTL-JAP E ","International Easy",IF(LEFT(B110,11)="INTL-KOR E ","International Easy",IF(LEFT(B110,11)="INTL-CHI E ","International Easy",IF(LEFT(B110,11)="INTL-SPA E ","International Easy",
IF(D110="Teen Large Type","Teen Fiction",
IF(D110="Juvenile Large Type","Juvenile Fiction",
IF(LEFT(B110,6)="J CD O","Juvenile Compact Disc",
IF(AND(LEFT(B110,4)="TEEN",D110="Fiction"),"Teen Fiction",
IF(D110="DVD Educational","Nonfiction",
IF(D110="Juvenile DVD Educational","Nonfiction",
IF(D110="Reference","Nonfiction",
D110))))))))))))))))))))))))))))))))))))))))))</f>
        <v/>
      </c>
    </row>
    <row r="111" spans="1:14" ht="27" customHeight="1" x14ac:dyDescent="0.25">
      <c r="A111" s="10" t="str">
        <f ca="1">TEXT( INDIRECT( ADDRESS( ROW() + Row_Offset, INDIRECT( "Column_Number_" &amp; A$1), 4,1, tabname) ), "")</f>
        <v/>
      </c>
      <c r="B111" s="10" t="str">
        <f ca="1">TEXT(  IFERROR( VLOOKUP( $D111, CollName_Simplifier_Table[], 2, FALSE),"") &amp;
        INDIRECT( ADDRESS( ROW() + Row_Offset, INDIRECT( "Column_Number_" &amp; $B$1), 4,1, tabname) ), "")</f>
        <v/>
      </c>
      <c r="C111" s="10" t="str">
        <f ca="1">TEXT( INDIRECT( ADDRESS( ROW() + Row_Offset, INDIRECT( "Column_Number_" &amp; C$1), 4,1, tabname) ), "")</f>
        <v/>
      </c>
      <c r="D111" s="10" t="str">
        <f ca="1">TEXT( INDIRECT( ADDRESS( ROW() + Row_Offset, INDIRECT( "Column_Number_" &amp; D$1), 4,1, tabname) ), "")</f>
        <v/>
      </c>
      <c r="E111" s="10" t="str">
        <f ca="1">TEXT( INDIRECT( ADDRESS( ROW() + Row_Offset, INDIRECT( "Column_Number_" &amp; E$1), 4,1, tabname) ), "####")</f>
        <v/>
      </c>
      <c r="F111" s="15"/>
      <c r="G111" s="22" t="str">
        <f ca="1">IFERROR(INDEX(Rank_Table[],MATCH($D111&amp;$A111,Table4[Join],0)),"")</f>
        <v/>
      </c>
      <c r="H111" s="11" t="str">
        <f ca="1">IF(AND(D111="Juvenile Audiobook",LEFT(B111,8)="J CD BIO"),RIGHT(B111,LEN(B111)-9),
IF(AND(D111="Juvenile Audiobook",LEFT(B111,8)="J CD FIC"),B111,
IF(D111="Juvenile Audiobook",RIGHT(B111,LEN(B111)-5),
IF(AND(D111="Teen Audiobook",LEFT(B111,11)="TEEN CD BIO"),RIGHT(B111,LEN(B111)-12),
IF(AND(D111="Teen Audiobook",LEFT(B111,11)="TEEN CD FIC"),B111,
IF(D111="Juvenile Audiobook",RIGHT(B111,LEN(B111)-8),
IF(D111="Juvenile Nonfiction",RIGHT(B111,LEN(B111)-2),
IF(D111="Teen Nonfiction",RIGHT(B111,LEN(B111)-5),
IF(AND(D111="Audiobook",
              NOT(OR(Contains($B111,"CD BIO"),Contains($B111,"CD FIC")))),RIGHT(B111,LEN(B111)-3),
IF(D111="Juvenile Biography",RIGHT(B111,LEN(B111)-2),
IF(D111="Teen Biography",RIGHT(B111,LEN(B111)-5),
IF(AND(D111="Audiobook",
              IFERROR(FIND("BIO",$B111)&gt;0,FALSE)),RIGHT(B111,LEN(B111)-3),
IF(D111="Juvenile Large Type","J "&amp;RIGHT(B111,LEN(B111)-11),
IF(D111="Teen Large Type","TEEN "&amp;RIGHT(B111,LEN(B111)-14),
IF(D111="Reference",RIGHT(B111,LEN(B111)-4),
IF(D111="DVD Educational",RIGHT(B111,LEN(B111)-7),
IF(D111="Juvenile DVD Educational",RIGHT(B111,LEN(B111)-9),
B111)))))))))))))))))</f>
        <v/>
      </c>
      <c r="N111" s="11" t="str">
        <f ca="1">IF(IFERROR(FIND("New",$A111)&gt;0,FALSE),"New ","") &amp; IF(IFERROR(FIND("In Lib",$A111)&gt;0,FALSE),"Reference ","") &amp;
IF(AND(D111="Audiobook",LEFT(B111,6)="CD BIO"),"Biography",
IF(AND(D111="Teen Audiobook",LEFT(B111,11)="TEEN CD BIO"),"Biography",
IF(AND(D111="Juvenile Audiobook",LEFT(B111,8)="J CD BIO"),"Biography",
IF(AND(D111="Audiobook",LEFT(B111,6)="CD FIC"),"Audiobook Fiction",
IF(AND(D111="Teen Audiobook",LEFT(B111,11)="TEEN CD FIC"),"Teen Audiobook",
IF(AND(D111="Juvenile Audiobook",LEFT(B111,8)="J CD FIC"),"Juvenile Audiobook",
IF(D111="Audiobook","Nonfiction",
IF(D111="Juvenile Audiobook","Nonfiction",
IF(D111="Teen Audiobook","Nonfiction",
IF(D111="Juvenile Nonfiction","Nonfiction",
IF(D111="Teen Nonfiction","Nonfiction",
IF(D111="Juvenile Biography","Biography",
IF(D111="Teen Biography","Biography",
IF(D111="ESL","Nonfiction",
IF(LEFT(B111,11)="INTL-VIE J ","International Juvenile",IF(LEFT(B111,11)="INTL-TAG J ","International Juvenile",IF(LEFT(B111,11)="INTL-RUS J ","International Juvenile",IF(LEFT(B111,11)="INTL-KOR J ","International Juvenile",IF(LEFT(B111,11)="INTL-JAP J ","International Juvenile",IF(LEFT(B111,11)="INTL-CHI J ","International Juvenile",IF(LEFT(B111,11)="INTL-SPA J ","International Juvenile",IF(LEFT(B111,14)="INTL-VIE TEEN ","International Teen",IF(LEFT(B111,14)="INTL-TAG TEEN ","International Teen",IF(LEFT(B111,14)="INTL-RUS TEEN ","International Teen",IF(LEFT(B111,14)="INTL-KOR TEEN ","International Teen",IF(LEFT(B111,14)="INTL-JAP TEEN ","International Teen",IF(LEFT(B111,14)="INTL-CHI TEEN ","International Teen",IF(LEFT(B111,14)="INTL-SPA TEEN ","International Teen",IF(LEFT(B111,11)="INTL-VIE E ","International Easy",IF(LEFT(B111,11)="INTL-TAG E ","International Easy",IF(LEFT(B111,11)="INTL-RUS E ","International Easy",IF(LEFT(B111,11)="INTL-JAP E ","International Easy",IF(LEFT(B111,11)="INTL-KOR E ","International Easy",IF(LEFT(B111,11)="INTL-CHI E ","International Easy",IF(LEFT(B111,11)="INTL-SPA E ","International Easy",
IF(D111="Teen Large Type","Teen Fiction",
IF(D111="Juvenile Large Type","Juvenile Fiction",
IF(LEFT(B111,6)="J CD O","Juvenile Compact Disc",
IF(AND(LEFT(B111,4)="TEEN",D111="Fiction"),"Teen Fiction",
IF(D111="DVD Educational","Nonfiction",
IF(D111="Juvenile DVD Educational","Nonfiction",
IF(D111="Reference","Nonfiction",
D111))))))))))))))))))))))))))))))))))))))))))</f>
        <v/>
      </c>
    </row>
    <row r="112" spans="1:14" ht="27" customHeight="1" x14ac:dyDescent="0.25">
      <c r="A112" s="10" t="str">
        <f ca="1">TEXT( INDIRECT( ADDRESS( ROW() + Row_Offset, INDIRECT( "Column_Number_" &amp; A$1), 4,1, tabname) ), "")</f>
        <v/>
      </c>
      <c r="B112" s="10" t="str">
        <f ca="1">TEXT(  IFERROR( VLOOKUP( $D112, CollName_Simplifier_Table[], 2, FALSE),"") &amp;
        INDIRECT( ADDRESS( ROW() + Row_Offset, INDIRECT( "Column_Number_" &amp; $B$1), 4,1, tabname) ), "")</f>
        <v/>
      </c>
      <c r="C112" s="10" t="str">
        <f ca="1">TEXT( INDIRECT( ADDRESS( ROW() + Row_Offset, INDIRECT( "Column_Number_" &amp; C$1), 4,1, tabname) ), "")</f>
        <v/>
      </c>
      <c r="D112" s="10" t="str">
        <f ca="1">TEXT( INDIRECT( ADDRESS( ROW() + Row_Offset, INDIRECT( "Column_Number_" &amp; D$1), 4,1, tabname) ), "")</f>
        <v/>
      </c>
      <c r="E112" s="10" t="str">
        <f ca="1">TEXT( INDIRECT( ADDRESS( ROW() + Row_Offset, INDIRECT( "Column_Number_" &amp; E$1), 4,1, tabname) ), "####")</f>
        <v/>
      </c>
      <c r="F112" s="15"/>
      <c r="G112" s="22" t="str">
        <f ca="1">IFERROR(INDEX(Rank_Table[],MATCH($D112&amp;$A112,Table4[Join],0)),"")</f>
        <v/>
      </c>
      <c r="H112" s="11" t="str">
        <f ca="1">IF(AND(D112="Juvenile Audiobook",LEFT(B112,8)="J CD BIO"),RIGHT(B112,LEN(B112)-9),
IF(AND(D112="Juvenile Audiobook",LEFT(B112,8)="J CD FIC"),B112,
IF(D112="Juvenile Audiobook",RIGHT(B112,LEN(B112)-5),
IF(AND(D112="Teen Audiobook",LEFT(B112,11)="TEEN CD BIO"),RIGHT(B112,LEN(B112)-12),
IF(AND(D112="Teen Audiobook",LEFT(B112,11)="TEEN CD FIC"),B112,
IF(D112="Juvenile Audiobook",RIGHT(B112,LEN(B112)-8),
IF(D112="Juvenile Nonfiction",RIGHT(B112,LEN(B112)-2),
IF(D112="Teen Nonfiction",RIGHT(B112,LEN(B112)-5),
IF(AND(D112="Audiobook",
              NOT(OR(Contains($B112,"CD BIO"),Contains($B112,"CD FIC")))),RIGHT(B112,LEN(B112)-3),
IF(D112="Juvenile Biography",RIGHT(B112,LEN(B112)-2),
IF(D112="Teen Biography",RIGHT(B112,LEN(B112)-5),
IF(AND(D112="Audiobook",
              IFERROR(FIND("BIO",$B112)&gt;0,FALSE)),RIGHT(B112,LEN(B112)-3),
IF(D112="Juvenile Large Type","J "&amp;RIGHT(B112,LEN(B112)-11),
IF(D112="Teen Large Type","TEEN "&amp;RIGHT(B112,LEN(B112)-14),
IF(D112="Reference",RIGHT(B112,LEN(B112)-4),
IF(D112="DVD Educational",RIGHT(B112,LEN(B112)-7),
IF(D112="Juvenile DVD Educational",RIGHT(B112,LEN(B112)-9),
B112)))))))))))))))))</f>
        <v/>
      </c>
      <c r="N112" s="11" t="str">
        <f ca="1">IF(IFERROR(FIND("New",$A112)&gt;0,FALSE),"New ","") &amp; IF(IFERROR(FIND("In Lib",$A112)&gt;0,FALSE),"Reference ","") &amp;
IF(AND(D112="Audiobook",LEFT(B112,6)="CD BIO"),"Biography",
IF(AND(D112="Teen Audiobook",LEFT(B112,11)="TEEN CD BIO"),"Biography",
IF(AND(D112="Juvenile Audiobook",LEFT(B112,8)="J CD BIO"),"Biography",
IF(AND(D112="Audiobook",LEFT(B112,6)="CD FIC"),"Audiobook Fiction",
IF(AND(D112="Teen Audiobook",LEFT(B112,11)="TEEN CD FIC"),"Teen Audiobook",
IF(AND(D112="Juvenile Audiobook",LEFT(B112,8)="J CD FIC"),"Juvenile Audiobook",
IF(D112="Audiobook","Nonfiction",
IF(D112="Juvenile Audiobook","Nonfiction",
IF(D112="Teen Audiobook","Nonfiction",
IF(D112="Juvenile Nonfiction","Nonfiction",
IF(D112="Teen Nonfiction","Nonfiction",
IF(D112="Juvenile Biography","Biography",
IF(D112="Teen Biography","Biography",
IF(D112="ESL","Nonfiction",
IF(LEFT(B112,11)="INTL-VIE J ","International Juvenile",IF(LEFT(B112,11)="INTL-TAG J ","International Juvenile",IF(LEFT(B112,11)="INTL-RUS J ","International Juvenile",IF(LEFT(B112,11)="INTL-KOR J ","International Juvenile",IF(LEFT(B112,11)="INTL-JAP J ","International Juvenile",IF(LEFT(B112,11)="INTL-CHI J ","International Juvenile",IF(LEFT(B112,11)="INTL-SPA J ","International Juvenile",IF(LEFT(B112,14)="INTL-VIE TEEN ","International Teen",IF(LEFT(B112,14)="INTL-TAG TEEN ","International Teen",IF(LEFT(B112,14)="INTL-RUS TEEN ","International Teen",IF(LEFT(B112,14)="INTL-KOR TEEN ","International Teen",IF(LEFT(B112,14)="INTL-JAP TEEN ","International Teen",IF(LEFT(B112,14)="INTL-CHI TEEN ","International Teen",IF(LEFT(B112,14)="INTL-SPA TEEN ","International Teen",IF(LEFT(B112,11)="INTL-VIE E ","International Easy",IF(LEFT(B112,11)="INTL-TAG E ","International Easy",IF(LEFT(B112,11)="INTL-RUS E ","International Easy",IF(LEFT(B112,11)="INTL-JAP E ","International Easy",IF(LEFT(B112,11)="INTL-KOR E ","International Easy",IF(LEFT(B112,11)="INTL-CHI E ","International Easy",IF(LEFT(B112,11)="INTL-SPA E ","International Easy",
IF(D112="Teen Large Type","Teen Fiction",
IF(D112="Juvenile Large Type","Juvenile Fiction",
IF(LEFT(B112,6)="J CD O","Juvenile Compact Disc",
IF(AND(LEFT(B112,4)="TEEN",D112="Fiction"),"Teen Fiction",
IF(D112="DVD Educational","Nonfiction",
IF(D112="Juvenile DVD Educational","Nonfiction",
IF(D112="Reference","Nonfiction",
D112))))))))))))))))))))))))))))))))))))))))))</f>
        <v/>
      </c>
    </row>
    <row r="113" spans="1:14" ht="27" customHeight="1" x14ac:dyDescent="0.25">
      <c r="A113" s="10" t="str">
        <f ca="1">TEXT( INDIRECT( ADDRESS( ROW() + Row_Offset, INDIRECT( "Column_Number_" &amp; A$1), 4,1, tabname) ), "")</f>
        <v/>
      </c>
      <c r="B113" s="10" t="str">
        <f ca="1">TEXT(  IFERROR( VLOOKUP( $D113, CollName_Simplifier_Table[], 2, FALSE),"") &amp;
        INDIRECT( ADDRESS( ROW() + Row_Offset, INDIRECT( "Column_Number_" &amp; $B$1), 4,1, tabname) ), "")</f>
        <v/>
      </c>
      <c r="C113" s="10" t="str">
        <f ca="1">TEXT( INDIRECT( ADDRESS( ROW() + Row_Offset, INDIRECT( "Column_Number_" &amp; C$1), 4,1, tabname) ), "")</f>
        <v/>
      </c>
      <c r="D113" s="10" t="str">
        <f ca="1">TEXT( INDIRECT( ADDRESS( ROW() + Row_Offset, INDIRECT( "Column_Number_" &amp; D$1), 4,1, tabname) ), "")</f>
        <v/>
      </c>
      <c r="E113" s="10" t="str">
        <f ca="1">TEXT( INDIRECT( ADDRESS( ROW() + Row_Offset, INDIRECT( "Column_Number_" &amp; E$1), 4,1, tabname) ), "####")</f>
        <v/>
      </c>
      <c r="F113" s="15"/>
      <c r="G113" s="22" t="str">
        <f ca="1">IFERROR(INDEX(Rank_Table[],MATCH($D113&amp;$A113,Table4[Join],0)),"")</f>
        <v/>
      </c>
      <c r="H113" s="11" t="str">
        <f ca="1">IF(AND(D113="Juvenile Audiobook",LEFT(B113,8)="J CD BIO"),RIGHT(B113,LEN(B113)-9),
IF(AND(D113="Juvenile Audiobook",LEFT(B113,8)="J CD FIC"),B113,
IF(D113="Juvenile Audiobook",RIGHT(B113,LEN(B113)-5),
IF(AND(D113="Teen Audiobook",LEFT(B113,11)="TEEN CD BIO"),RIGHT(B113,LEN(B113)-12),
IF(AND(D113="Teen Audiobook",LEFT(B113,11)="TEEN CD FIC"),B113,
IF(D113="Juvenile Audiobook",RIGHT(B113,LEN(B113)-8),
IF(D113="Juvenile Nonfiction",RIGHT(B113,LEN(B113)-2),
IF(D113="Teen Nonfiction",RIGHT(B113,LEN(B113)-5),
IF(AND(D113="Audiobook",
              NOT(OR(Contains($B113,"CD BIO"),Contains($B113,"CD FIC")))),RIGHT(B113,LEN(B113)-3),
IF(D113="Juvenile Biography",RIGHT(B113,LEN(B113)-2),
IF(D113="Teen Biography",RIGHT(B113,LEN(B113)-5),
IF(AND(D113="Audiobook",
              IFERROR(FIND("BIO",$B113)&gt;0,FALSE)),RIGHT(B113,LEN(B113)-3),
IF(D113="Juvenile Large Type","J "&amp;RIGHT(B113,LEN(B113)-11),
IF(D113="Teen Large Type","TEEN "&amp;RIGHT(B113,LEN(B113)-14),
IF(D113="Reference",RIGHT(B113,LEN(B113)-4),
IF(D113="DVD Educational",RIGHT(B113,LEN(B113)-7),
IF(D113="Juvenile DVD Educational",RIGHT(B113,LEN(B113)-9),
B113)))))))))))))))))</f>
        <v/>
      </c>
      <c r="N113" s="11" t="str">
        <f ca="1">IF(IFERROR(FIND("New",$A113)&gt;0,FALSE),"New ","") &amp; IF(IFERROR(FIND("In Lib",$A113)&gt;0,FALSE),"Reference ","") &amp;
IF(AND(D113="Audiobook",LEFT(B113,6)="CD BIO"),"Biography",
IF(AND(D113="Teen Audiobook",LEFT(B113,11)="TEEN CD BIO"),"Biography",
IF(AND(D113="Juvenile Audiobook",LEFT(B113,8)="J CD BIO"),"Biography",
IF(AND(D113="Audiobook",LEFT(B113,6)="CD FIC"),"Audiobook Fiction",
IF(AND(D113="Teen Audiobook",LEFT(B113,11)="TEEN CD FIC"),"Teen Audiobook",
IF(AND(D113="Juvenile Audiobook",LEFT(B113,8)="J CD FIC"),"Juvenile Audiobook",
IF(D113="Audiobook","Nonfiction",
IF(D113="Juvenile Audiobook","Nonfiction",
IF(D113="Teen Audiobook","Nonfiction",
IF(D113="Juvenile Nonfiction","Nonfiction",
IF(D113="Teen Nonfiction","Nonfiction",
IF(D113="Juvenile Biography","Biography",
IF(D113="Teen Biography","Biography",
IF(D113="ESL","Nonfiction",
IF(LEFT(B113,11)="INTL-VIE J ","International Juvenile",IF(LEFT(B113,11)="INTL-TAG J ","International Juvenile",IF(LEFT(B113,11)="INTL-RUS J ","International Juvenile",IF(LEFT(B113,11)="INTL-KOR J ","International Juvenile",IF(LEFT(B113,11)="INTL-JAP J ","International Juvenile",IF(LEFT(B113,11)="INTL-CHI J ","International Juvenile",IF(LEFT(B113,11)="INTL-SPA J ","International Juvenile",IF(LEFT(B113,14)="INTL-VIE TEEN ","International Teen",IF(LEFT(B113,14)="INTL-TAG TEEN ","International Teen",IF(LEFT(B113,14)="INTL-RUS TEEN ","International Teen",IF(LEFT(B113,14)="INTL-KOR TEEN ","International Teen",IF(LEFT(B113,14)="INTL-JAP TEEN ","International Teen",IF(LEFT(B113,14)="INTL-CHI TEEN ","International Teen",IF(LEFT(B113,14)="INTL-SPA TEEN ","International Teen",IF(LEFT(B113,11)="INTL-VIE E ","International Easy",IF(LEFT(B113,11)="INTL-TAG E ","International Easy",IF(LEFT(B113,11)="INTL-RUS E ","International Easy",IF(LEFT(B113,11)="INTL-JAP E ","International Easy",IF(LEFT(B113,11)="INTL-KOR E ","International Easy",IF(LEFT(B113,11)="INTL-CHI E ","International Easy",IF(LEFT(B113,11)="INTL-SPA E ","International Easy",
IF(D113="Teen Large Type","Teen Fiction",
IF(D113="Juvenile Large Type","Juvenile Fiction",
IF(LEFT(B113,6)="J CD O","Juvenile Compact Disc",
IF(AND(LEFT(B113,4)="TEEN",D113="Fiction"),"Teen Fiction",
IF(D113="DVD Educational","Nonfiction",
IF(D113="Juvenile DVD Educational","Nonfiction",
IF(D113="Reference","Nonfiction",
D113))))))))))))))))))))))))))))))))))))))))))</f>
        <v/>
      </c>
    </row>
    <row r="114" spans="1:14" ht="27" customHeight="1" x14ac:dyDescent="0.25">
      <c r="A114" s="10" t="str">
        <f ca="1">TEXT( INDIRECT( ADDRESS( ROW() + Row_Offset, INDIRECT( "Column_Number_" &amp; A$1), 4,1, tabname) ), "")</f>
        <v/>
      </c>
      <c r="B114" s="10" t="str">
        <f ca="1">TEXT(  IFERROR( VLOOKUP( $D114, CollName_Simplifier_Table[], 2, FALSE),"") &amp;
        INDIRECT( ADDRESS( ROW() + Row_Offset, INDIRECT( "Column_Number_" &amp; $B$1), 4,1, tabname) ), "")</f>
        <v/>
      </c>
      <c r="C114" s="10" t="str">
        <f ca="1">TEXT( INDIRECT( ADDRESS( ROW() + Row_Offset, INDIRECT( "Column_Number_" &amp; C$1), 4,1, tabname) ), "")</f>
        <v/>
      </c>
      <c r="D114" s="10" t="str">
        <f ca="1">TEXT( INDIRECT( ADDRESS( ROW() + Row_Offset, INDIRECT( "Column_Number_" &amp; D$1), 4,1, tabname) ), "")</f>
        <v/>
      </c>
      <c r="E114" s="10" t="str">
        <f ca="1">TEXT( INDIRECT( ADDRESS( ROW() + Row_Offset, INDIRECT( "Column_Number_" &amp; E$1), 4,1, tabname) ), "####")</f>
        <v/>
      </c>
      <c r="F114" s="15"/>
      <c r="G114" s="22" t="str">
        <f ca="1">IFERROR(INDEX(Rank_Table[],MATCH($D114&amp;$A114,Table4[Join],0)),"")</f>
        <v/>
      </c>
      <c r="H114" s="11" t="str">
        <f ca="1">IF(AND(D114="Juvenile Audiobook",LEFT(B114,8)="J CD BIO"),RIGHT(B114,LEN(B114)-9),
IF(AND(D114="Juvenile Audiobook",LEFT(B114,8)="J CD FIC"),B114,
IF(D114="Juvenile Audiobook",RIGHT(B114,LEN(B114)-5),
IF(AND(D114="Teen Audiobook",LEFT(B114,11)="TEEN CD BIO"),RIGHT(B114,LEN(B114)-12),
IF(AND(D114="Teen Audiobook",LEFT(B114,11)="TEEN CD FIC"),B114,
IF(D114="Juvenile Audiobook",RIGHT(B114,LEN(B114)-8),
IF(D114="Juvenile Nonfiction",RIGHT(B114,LEN(B114)-2),
IF(D114="Teen Nonfiction",RIGHT(B114,LEN(B114)-5),
IF(AND(D114="Audiobook",
              NOT(OR(Contains($B114,"CD BIO"),Contains($B114,"CD FIC")))),RIGHT(B114,LEN(B114)-3),
IF(D114="Juvenile Biography",RIGHT(B114,LEN(B114)-2),
IF(D114="Teen Biography",RIGHT(B114,LEN(B114)-5),
IF(AND(D114="Audiobook",
              IFERROR(FIND("BIO",$B114)&gt;0,FALSE)),RIGHT(B114,LEN(B114)-3),
IF(D114="Juvenile Large Type","J "&amp;RIGHT(B114,LEN(B114)-11),
IF(D114="Teen Large Type","TEEN "&amp;RIGHT(B114,LEN(B114)-14),
IF(D114="Reference",RIGHT(B114,LEN(B114)-4),
IF(D114="DVD Educational",RIGHT(B114,LEN(B114)-7),
IF(D114="Juvenile DVD Educational",RIGHT(B114,LEN(B114)-9),
B114)))))))))))))))))</f>
        <v/>
      </c>
      <c r="N114" s="11" t="str">
        <f ca="1">IF(IFERROR(FIND("New",$A114)&gt;0,FALSE),"New ","") &amp; IF(IFERROR(FIND("In Lib",$A114)&gt;0,FALSE),"Reference ","") &amp;
IF(AND(D114="Audiobook",LEFT(B114,6)="CD BIO"),"Biography",
IF(AND(D114="Teen Audiobook",LEFT(B114,11)="TEEN CD BIO"),"Biography",
IF(AND(D114="Juvenile Audiobook",LEFT(B114,8)="J CD BIO"),"Biography",
IF(AND(D114="Audiobook",LEFT(B114,6)="CD FIC"),"Audiobook Fiction",
IF(AND(D114="Teen Audiobook",LEFT(B114,11)="TEEN CD FIC"),"Teen Audiobook",
IF(AND(D114="Juvenile Audiobook",LEFT(B114,8)="J CD FIC"),"Juvenile Audiobook",
IF(D114="Audiobook","Nonfiction",
IF(D114="Juvenile Audiobook","Nonfiction",
IF(D114="Teen Audiobook","Nonfiction",
IF(D114="Juvenile Nonfiction","Nonfiction",
IF(D114="Teen Nonfiction","Nonfiction",
IF(D114="Juvenile Biography","Biography",
IF(D114="Teen Biography","Biography",
IF(D114="ESL","Nonfiction",
IF(LEFT(B114,11)="INTL-VIE J ","International Juvenile",IF(LEFT(B114,11)="INTL-TAG J ","International Juvenile",IF(LEFT(B114,11)="INTL-RUS J ","International Juvenile",IF(LEFT(B114,11)="INTL-KOR J ","International Juvenile",IF(LEFT(B114,11)="INTL-JAP J ","International Juvenile",IF(LEFT(B114,11)="INTL-CHI J ","International Juvenile",IF(LEFT(B114,11)="INTL-SPA J ","International Juvenile",IF(LEFT(B114,14)="INTL-VIE TEEN ","International Teen",IF(LEFT(B114,14)="INTL-TAG TEEN ","International Teen",IF(LEFT(B114,14)="INTL-RUS TEEN ","International Teen",IF(LEFT(B114,14)="INTL-KOR TEEN ","International Teen",IF(LEFT(B114,14)="INTL-JAP TEEN ","International Teen",IF(LEFT(B114,14)="INTL-CHI TEEN ","International Teen",IF(LEFT(B114,14)="INTL-SPA TEEN ","International Teen",IF(LEFT(B114,11)="INTL-VIE E ","International Easy",IF(LEFT(B114,11)="INTL-TAG E ","International Easy",IF(LEFT(B114,11)="INTL-RUS E ","International Easy",IF(LEFT(B114,11)="INTL-JAP E ","International Easy",IF(LEFT(B114,11)="INTL-KOR E ","International Easy",IF(LEFT(B114,11)="INTL-CHI E ","International Easy",IF(LEFT(B114,11)="INTL-SPA E ","International Easy",
IF(D114="Teen Large Type","Teen Fiction",
IF(D114="Juvenile Large Type","Juvenile Fiction",
IF(LEFT(B114,6)="J CD O","Juvenile Compact Disc",
IF(AND(LEFT(B114,4)="TEEN",D114="Fiction"),"Teen Fiction",
IF(D114="DVD Educational","Nonfiction",
IF(D114="Juvenile DVD Educational","Nonfiction",
IF(D114="Reference","Nonfiction",
D114))))))))))))))))))))))))))))))))))))))))))</f>
        <v/>
      </c>
    </row>
    <row r="115" spans="1:14" ht="27" customHeight="1" x14ac:dyDescent="0.25">
      <c r="A115" s="10" t="str">
        <f ca="1">TEXT( INDIRECT( ADDRESS( ROW() + Row_Offset, INDIRECT( "Column_Number_" &amp; A$1), 4,1, tabname) ), "")</f>
        <v/>
      </c>
      <c r="B115" s="10" t="str">
        <f ca="1">TEXT(  IFERROR( VLOOKUP( $D115, CollName_Simplifier_Table[], 2, FALSE),"") &amp;
        INDIRECT( ADDRESS( ROW() + Row_Offset, INDIRECT( "Column_Number_" &amp; $B$1), 4,1, tabname) ), "")</f>
        <v/>
      </c>
      <c r="C115" s="10" t="str">
        <f ca="1">TEXT( INDIRECT( ADDRESS( ROW() + Row_Offset, INDIRECT( "Column_Number_" &amp; C$1), 4,1, tabname) ), "")</f>
        <v/>
      </c>
      <c r="D115" s="10" t="str">
        <f ca="1">TEXT( INDIRECT( ADDRESS( ROW() + Row_Offset, INDIRECT( "Column_Number_" &amp; D$1), 4,1, tabname) ), "")</f>
        <v/>
      </c>
      <c r="E115" s="10" t="str">
        <f ca="1">TEXT( INDIRECT( ADDRESS( ROW() + Row_Offset, INDIRECT( "Column_Number_" &amp; E$1), 4,1, tabname) ), "####")</f>
        <v/>
      </c>
      <c r="F115" s="15"/>
      <c r="G115" s="22" t="str">
        <f ca="1">IFERROR(INDEX(Rank_Table[],MATCH($D115&amp;$A115,Table4[Join],0)),"")</f>
        <v/>
      </c>
      <c r="H115" s="11" t="str">
        <f ca="1">IF(AND(D115="Juvenile Audiobook",LEFT(B115,8)="J CD BIO"),RIGHT(B115,LEN(B115)-9),
IF(AND(D115="Juvenile Audiobook",LEFT(B115,8)="J CD FIC"),B115,
IF(D115="Juvenile Audiobook",RIGHT(B115,LEN(B115)-5),
IF(AND(D115="Teen Audiobook",LEFT(B115,11)="TEEN CD BIO"),RIGHT(B115,LEN(B115)-12),
IF(AND(D115="Teen Audiobook",LEFT(B115,11)="TEEN CD FIC"),B115,
IF(D115="Juvenile Audiobook",RIGHT(B115,LEN(B115)-8),
IF(D115="Juvenile Nonfiction",RIGHT(B115,LEN(B115)-2),
IF(D115="Teen Nonfiction",RIGHT(B115,LEN(B115)-5),
IF(AND(D115="Audiobook",
              NOT(OR(Contains($B115,"CD BIO"),Contains($B115,"CD FIC")))),RIGHT(B115,LEN(B115)-3),
IF(D115="Juvenile Biography",RIGHT(B115,LEN(B115)-2),
IF(D115="Teen Biography",RIGHT(B115,LEN(B115)-5),
IF(AND(D115="Audiobook",
              IFERROR(FIND("BIO",$B115)&gt;0,FALSE)),RIGHT(B115,LEN(B115)-3),
IF(D115="Juvenile Large Type","J "&amp;RIGHT(B115,LEN(B115)-11),
IF(D115="Teen Large Type","TEEN "&amp;RIGHT(B115,LEN(B115)-14),
IF(D115="Reference",RIGHT(B115,LEN(B115)-4),
IF(D115="DVD Educational",RIGHT(B115,LEN(B115)-7),
IF(D115="Juvenile DVD Educational",RIGHT(B115,LEN(B115)-9),
B115)))))))))))))))))</f>
        <v/>
      </c>
      <c r="N115" s="11" t="str">
        <f ca="1">IF(IFERROR(FIND("New",$A115)&gt;0,FALSE),"New ","") &amp; IF(IFERROR(FIND("In Lib",$A115)&gt;0,FALSE),"Reference ","") &amp;
IF(AND(D115="Audiobook",LEFT(B115,6)="CD BIO"),"Biography",
IF(AND(D115="Teen Audiobook",LEFT(B115,11)="TEEN CD BIO"),"Biography",
IF(AND(D115="Juvenile Audiobook",LEFT(B115,8)="J CD BIO"),"Biography",
IF(AND(D115="Audiobook",LEFT(B115,6)="CD FIC"),"Audiobook Fiction",
IF(AND(D115="Teen Audiobook",LEFT(B115,11)="TEEN CD FIC"),"Teen Audiobook",
IF(AND(D115="Juvenile Audiobook",LEFT(B115,8)="J CD FIC"),"Juvenile Audiobook",
IF(D115="Audiobook","Nonfiction",
IF(D115="Juvenile Audiobook","Nonfiction",
IF(D115="Teen Audiobook","Nonfiction",
IF(D115="Juvenile Nonfiction","Nonfiction",
IF(D115="Teen Nonfiction","Nonfiction",
IF(D115="Juvenile Biography","Biography",
IF(D115="Teen Biography","Biography",
IF(D115="ESL","Nonfiction",
IF(LEFT(B115,11)="INTL-VIE J ","International Juvenile",IF(LEFT(B115,11)="INTL-TAG J ","International Juvenile",IF(LEFT(B115,11)="INTL-RUS J ","International Juvenile",IF(LEFT(B115,11)="INTL-KOR J ","International Juvenile",IF(LEFT(B115,11)="INTL-JAP J ","International Juvenile",IF(LEFT(B115,11)="INTL-CHI J ","International Juvenile",IF(LEFT(B115,11)="INTL-SPA J ","International Juvenile",IF(LEFT(B115,14)="INTL-VIE TEEN ","International Teen",IF(LEFT(B115,14)="INTL-TAG TEEN ","International Teen",IF(LEFT(B115,14)="INTL-RUS TEEN ","International Teen",IF(LEFT(B115,14)="INTL-KOR TEEN ","International Teen",IF(LEFT(B115,14)="INTL-JAP TEEN ","International Teen",IF(LEFT(B115,14)="INTL-CHI TEEN ","International Teen",IF(LEFT(B115,14)="INTL-SPA TEEN ","International Teen",IF(LEFT(B115,11)="INTL-VIE E ","International Easy",IF(LEFT(B115,11)="INTL-TAG E ","International Easy",IF(LEFT(B115,11)="INTL-RUS E ","International Easy",IF(LEFT(B115,11)="INTL-JAP E ","International Easy",IF(LEFT(B115,11)="INTL-KOR E ","International Easy",IF(LEFT(B115,11)="INTL-CHI E ","International Easy",IF(LEFT(B115,11)="INTL-SPA E ","International Easy",
IF(D115="Teen Large Type","Teen Fiction",
IF(D115="Juvenile Large Type","Juvenile Fiction",
IF(LEFT(B115,6)="J CD O","Juvenile Compact Disc",
IF(AND(LEFT(B115,4)="TEEN",D115="Fiction"),"Teen Fiction",
IF(D115="DVD Educational","Nonfiction",
IF(D115="Juvenile DVD Educational","Nonfiction",
IF(D115="Reference","Nonfiction",
D115))))))))))))))))))))))))))))))))))))))))))</f>
        <v/>
      </c>
    </row>
    <row r="116" spans="1:14" ht="27" customHeight="1" x14ac:dyDescent="0.25">
      <c r="A116" s="10" t="str">
        <f ca="1">TEXT( INDIRECT( ADDRESS( ROW() + Row_Offset, INDIRECT( "Column_Number_" &amp; A$1), 4,1, tabname) ), "")</f>
        <v/>
      </c>
      <c r="B116" s="10" t="str">
        <f ca="1">TEXT(  IFERROR( VLOOKUP( $D116, CollName_Simplifier_Table[], 2, FALSE),"") &amp;
        INDIRECT( ADDRESS( ROW() + Row_Offset, INDIRECT( "Column_Number_" &amp; $B$1), 4,1, tabname) ), "")</f>
        <v/>
      </c>
      <c r="C116" s="10" t="str">
        <f ca="1">TEXT( INDIRECT( ADDRESS( ROW() + Row_Offset, INDIRECT( "Column_Number_" &amp; C$1), 4,1, tabname) ), "")</f>
        <v/>
      </c>
      <c r="D116" s="10" t="str">
        <f ca="1">TEXT( INDIRECT( ADDRESS( ROW() + Row_Offset, INDIRECT( "Column_Number_" &amp; D$1), 4,1, tabname) ), "")</f>
        <v/>
      </c>
      <c r="E116" s="10" t="str">
        <f ca="1">TEXT( INDIRECT( ADDRESS( ROW() + Row_Offset, INDIRECT( "Column_Number_" &amp; E$1), 4,1, tabname) ), "####")</f>
        <v/>
      </c>
      <c r="F116" s="15"/>
      <c r="G116" s="22" t="str">
        <f ca="1">IFERROR(INDEX(Rank_Table[],MATCH($D116&amp;$A116,Table4[Join],0)),"")</f>
        <v/>
      </c>
      <c r="H116" s="11" t="str">
        <f ca="1">IF(AND(D116="Juvenile Audiobook",LEFT(B116,8)="J CD BIO"),RIGHT(B116,LEN(B116)-9),
IF(AND(D116="Juvenile Audiobook",LEFT(B116,8)="J CD FIC"),B116,
IF(D116="Juvenile Audiobook",RIGHT(B116,LEN(B116)-5),
IF(AND(D116="Teen Audiobook",LEFT(B116,11)="TEEN CD BIO"),RIGHT(B116,LEN(B116)-12),
IF(AND(D116="Teen Audiobook",LEFT(B116,11)="TEEN CD FIC"),B116,
IF(D116="Juvenile Audiobook",RIGHT(B116,LEN(B116)-8),
IF(D116="Juvenile Nonfiction",RIGHT(B116,LEN(B116)-2),
IF(D116="Teen Nonfiction",RIGHT(B116,LEN(B116)-5),
IF(AND(D116="Audiobook",
              NOT(OR(Contains($B116,"CD BIO"),Contains($B116,"CD FIC")))),RIGHT(B116,LEN(B116)-3),
IF(D116="Juvenile Biography",RIGHT(B116,LEN(B116)-2),
IF(D116="Teen Biography",RIGHT(B116,LEN(B116)-5),
IF(AND(D116="Audiobook",
              IFERROR(FIND("BIO",$B116)&gt;0,FALSE)),RIGHT(B116,LEN(B116)-3),
IF(D116="Juvenile Large Type","J "&amp;RIGHT(B116,LEN(B116)-11),
IF(D116="Teen Large Type","TEEN "&amp;RIGHT(B116,LEN(B116)-14),
IF(D116="Reference",RIGHT(B116,LEN(B116)-4),
IF(D116="DVD Educational",RIGHT(B116,LEN(B116)-7),
IF(D116="Juvenile DVD Educational",RIGHT(B116,LEN(B116)-9),
B116)))))))))))))))))</f>
        <v/>
      </c>
      <c r="N116" s="11" t="str">
        <f ca="1">IF(IFERROR(FIND("New",$A116)&gt;0,FALSE),"New ","") &amp; IF(IFERROR(FIND("In Lib",$A116)&gt;0,FALSE),"Reference ","") &amp;
IF(AND(D116="Audiobook",LEFT(B116,6)="CD BIO"),"Biography",
IF(AND(D116="Teen Audiobook",LEFT(B116,11)="TEEN CD BIO"),"Biography",
IF(AND(D116="Juvenile Audiobook",LEFT(B116,8)="J CD BIO"),"Biography",
IF(AND(D116="Audiobook",LEFT(B116,6)="CD FIC"),"Audiobook Fiction",
IF(AND(D116="Teen Audiobook",LEFT(B116,11)="TEEN CD FIC"),"Teen Audiobook",
IF(AND(D116="Juvenile Audiobook",LEFT(B116,8)="J CD FIC"),"Juvenile Audiobook",
IF(D116="Audiobook","Nonfiction",
IF(D116="Juvenile Audiobook","Nonfiction",
IF(D116="Teen Audiobook","Nonfiction",
IF(D116="Juvenile Nonfiction","Nonfiction",
IF(D116="Teen Nonfiction","Nonfiction",
IF(D116="Juvenile Biography","Biography",
IF(D116="Teen Biography","Biography",
IF(D116="ESL","Nonfiction",
IF(LEFT(B116,11)="INTL-VIE J ","International Juvenile",IF(LEFT(B116,11)="INTL-TAG J ","International Juvenile",IF(LEFT(B116,11)="INTL-RUS J ","International Juvenile",IF(LEFT(B116,11)="INTL-KOR J ","International Juvenile",IF(LEFT(B116,11)="INTL-JAP J ","International Juvenile",IF(LEFT(B116,11)="INTL-CHI J ","International Juvenile",IF(LEFT(B116,11)="INTL-SPA J ","International Juvenile",IF(LEFT(B116,14)="INTL-VIE TEEN ","International Teen",IF(LEFT(B116,14)="INTL-TAG TEEN ","International Teen",IF(LEFT(B116,14)="INTL-RUS TEEN ","International Teen",IF(LEFT(B116,14)="INTL-KOR TEEN ","International Teen",IF(LEFT(B116,14)="INTL-JAP TEEN ","International Teen",IF(LEFT(B116,14)="INTL-CHI TEEN ","International Teen",IF(LEFT(B116,14)="INTL-SPA TEEN ","International Teen",IF(LEFT(B116,11)="INTL-VIE E ","International Easy",IF(LEFT(B116,11)="INTL-TAG E ","International Easy",IF(LEFT(B116,11)="INTL-RUS E ","International Easy",IF(LEFT(B116,11)="INTL-JAP E ","International Easy",IF(LEFT(B116,11)="INTL-KOR E ","International Easy",IF(LEFT(B116,11)="INTL-CHI E ","International Easy",IF(LEFT(B116,11)="INTL-SPA E ","International Easy",
IF(D116="Teen Large Type","Teen Fiction",
IF(D116="Juvenile Large Type","Juvenile Fiction",
IF(LEFT(B116,6)="J CD O","Juvenile Compact Disc",
IF(AND(LEFT(B116,4)="TEEN",D116="Fiction"),"Teen Fiction",
IF(D116="DVD Educational","Nonfiction",
IF(D116="Juvenile DVD Educational","Nonfiction",
IF(D116="Reference","Nonfiction",
D116))))))))))))))))))))))))))))))))))))))))))</f>
        <v/>
      </c>
    </row>
    <row r="117" spans="1:14" ht="27" customHeight="1" x14ac:dyDescent="0.25">
      <c r="A117" s="10" t="str">
        <f ca="1">TEXT( INDIRECT( ADDRESS( ROW() + Row_Offset, INDIRECT( "Column_Number_" &amp; A$1), 4,1, tabname) ), "")</f>
        <v/>
      </c>
      <c r="B117" s="10" t="str">
        <f ca="1">TEXT(  IFERROR( VLOOKUP( $D117, CollName_Simplifier_Table[], 2, FALSE),"") &amp;
        INDIRECT( ADDRESS( ROW() + Row_Offset, INDIRECT( "Column_Number_" &amp; $B$1), 4,1, tabname) ), "")</f>
        <v/>
      </c>
      <c r="C117" s="10" t="str">
        <f ca="1">TEXT( INDIRECT( ADDRESS( ROW() + Row_Offset, INDIRECT( "Column_Number_" &amp; C$1), 4,1, tabname) ), "")</f>
        <v/>
      </c>
      <c r="D117" s="10" t="str">
        <f ca="1">TEXT( INDIRECT( ADDRESS( ROW() + Row_Offset, INDIRECT( "Column_Number_" &amp; D$1), 4,1, tabname) ), "")</f>
        <v/>
      </c>
      <c r="E117" s="10" t="str">
        <f ca="1">TEXT( INDIRECT( ADDRESS( ROW() + Row_Offset, INDIRECT( "Column_Number_" &amp; E$1), 4,1, tabname) ), "####")</f>
        <v/>
      </c>
      <c r="F117" s="15"/>
      <c r="G117" s="22" t="str">
        <f ca="1">IFERROR(INDEX(Rank_Table[],MATCH($D117&amp;$A117,Table4[Join],0)),"")</f>
        <v/>
      </c>
      <c r="H117" s="11" t="str">
        <f ca="1">IF(AND(D117="Juvenile Audiobook",LEFT(B117,8)="J CD BIO"),RIGHT(B117,LEN(B117)-9),
IF(AND(D117="Juvenile Audiobook",LEFT(B117,8)="J CD FIC"),B117,
IF(D117="Juvenile Audiobook",RIGHT(B117,LEN(B117)-5),
IF(AND(D117="Teen Audiobook",LEFT(B117,11)="TEEN CD BIO"),RIGHT(B117,LEN(B117)-12),
IF(AND(D117="Teen Audiobook",LEFT(B117,11)="TEEN CD FIC"),B117,
IF(D117="Juvenile Audiobook",RIGHT(B117,LEN(B117)-8),
IF(D117="Juvenile Nonfiction",RIGHT(B117,LEN(B117)-2),
IF(D117="Teen Nonfiction",RIGHT(B117,LEN(B117)-5),
IF(AND(D117="Audiobook",
              NOT(OR(Contains($B117,"CD BIO"),Contains($B117,"CD FIC")))),RIGHT(B117,LEN(B117)-3),
IF(D117="Juvenile Biography",RIGHT(B117,LEN(B117)-2),
IF(D117="Teen Biography",RIGHT(B117,LEN(B117)-5),
IF(AND(D117="Audiobook",
              IFERROR(FIND("BIO",$B117)&gt;0,FALSE)),RIGHT(B117,LEN(B117)-3),
IF(D117="Juvenile Large Type","J "&amp;RIGHT(B117,LEN(B117)-11),
IF(D117="Teen Large Type","TEEN "&amp;RIGHT(B117,LEN(B117)-14),
IF(D117="Reference",RIGHT(B117,LEN(B117)-4),
IF(D117="DVD Educational",RIGHT(B117,LEN(B117)-7),
IF(D117="Juvenile DVD Educational",RIGHT(B117,LEN(B117)-9),
B117)))))))))))))))))</f>
        <v/>
      </c>
      <c r="N117" s="11" t="str">
        <f ca="1">IF(IFERROR(FIND("New",$A117)&gt;0,FALSE),"New ","") &amp; IF(IFERROR(FIND("In Lib",$A117)&gt;0,FALSE),"Reference ","") &amp;
IF(AND(D117="Audiobook",LEFT(B117,6)="CD BIO"),"Biography",
IF(AND(D117="Teen Audiobook",LEFT(B117,11)="TEEN CD BIO"),"Biography",
IF(AND(D117="Juvenile Audiobook",LEFT(B117,8)="J CD BIO"),"Biography",
IF(AND(D117="Audiobook",LEFT(B117,6)="CD FIC"),"Audiobook Fiction",
IF(AND(D117="Teen Audiobook",LEFT(B117,11)="TEEN CD FIC"),"Teen Audiobook",
IF(AND(D117="Juvenile Audiobook",LEFT(B117,8)="J CD FIC"),"Juvenile Audiobook",
IF(D117="Audiobook","Nonfiction",
IF(D117="Juvenile Audiobook","Nonfiction",
IF(D117="Teen Audiobook","Nonfiction",
IF(D117="Juvenile Nonfiction","Nonfiction",
IF(D117="Teen Nonfiction","Nonfiction",
IF(D117="Juvenile Biography","Biography",
IF(D117="Teen Biography","Biography",
IF(D117="ESL","Nonfiction",
IF(LEFT(B117,11)="INTL-VIE J ","International Juvenile",IF(LEFT(B117,11)="INTL-TAG J ","International Juvenile",IF(LEFT(B117,11)="INTL-RUS J ","International Juvenile",IF(LEFT(B117,11)="INTL-KOR J ","International Juvenile",IF(LEFT(B117,11)="INTL-JAP J ","International Juvenile",IF(LEFT(B117,11)="INTL-CHI J ","International Juvenile",IF(LEFT(B117,11)="INTL-SPA J ","International Juvenile",IF(LEFT(B117,14)="INTL-VIE TEEN ","International Teen",IF(LEFT(B117,14)="INTL-TAG TEEN ","International Teen",IF(LEFT(B117,14)="INTL-RUS TEEN ","International Teen",IF(LEFT(B117,14)="INTL-KOR TEEN ","International Teen",IF(LEFT(B117,14)="INTL-JAP TEEN ","International Teen",IF(LEFT(B117,14)="INTL-CHI TEEN ","International Teen",IF(LEFT(B117,14)="INTL-SPA TEEN ","International Teen",IF(LEFT(B117,11)="INTL-VIE E ","International Easy",IF(LEFT(B117,11)="INTL-TAG E ","International Easy",IF(LEFT(B117,11)="INTL-RUS E ","International Easy",IF(LEFT(B117,11)="INTL-JAP E ","International Easy",IF(LEFT(B117,11)="INTL-KOR E ","International Easy",IF(LEFT(B117,11)="INTL-CHI E ","International Easy",IF(LEFT(B117,11)="INTL-SPA E ","International Easy",
IF(D117="Teen Large Type","Teen Fiction",
IF(D117="Juvenile Large Type","Juvenile Fiction",
IF(LEFT(B117,6)="J CD O","Juvenile Compact Disc",
IF(AND(LEFT(B117,4)="TEEN",D117="Fiction"),"Teen Fiction",
IF(D117="DVD Educational","Nonfiction",
IF(D117="Juvenile DVD Educational","Nonfiction",
IF(D117="Reference","Nonfiction",
D117))))))))))))))))))))))))))))))))))))))))))</f>
        <v/>
      </c>
    </row>
    <row r="118" spans="1:14" ht="27" customHeight="1" x14ac:dyDescent="0.25">
      <c r="A118" s="10" t="str">
        <f ca="1">TEXT( INDIRECT( ADDRESS( ROW() + Row_Offset, INDIRECT( "Column_Number_" &amp; A$1), 4,1, tabname) ), "")</f>
        <v/>
      </c>
      <c r="B118" s="10" t="str">
        <f ca="1">TEXT(  IFERROR( VLOOKUP( $D118, CollName_Simplifier_Table[], 2, FALSE),"") &amp;
        INDIRECT( ADDRESS( ROW() + Row_Offset, INDIRECT( "Column_Number_" &amp; $B$1), 4,1, tabname) ), "")</f>
        <v/>
      </c>
      <c r="C118" s="10" t="str">
        <f ca="1">TEXT( INDIRECT( ADDRESS( ROW() + Row_Offset, INDIRECT( "Column_Number_" &amp; C$1), 4,1, tabname) ), "")</f>
        <v/>
      </c>
      <c r="D118" s="10" t="str">
        <f ca="1">TEXT( INDIRECT( ADDRESS( ROW() + Row_Offset, INDIRECT( "Column_Number_" &amp; D$1), 4,1, tabname) ), "")</f>
        <v/>
      </c>
      <c r="E118" s="10" t="str">
        <f ca="1">TEXT( INDIRECT( ADDRESS( ROW() + Row_Offset, INDIRECT( "Column_Number_" &amp; E$1), 4,1, tabname) ), "####")</f>
        <v/>
      </c>
      <c r="F118" s="15"/>
      <c r="G118" s="22" t="str">
        <f ca="1">IFERROR(INDEX(Rank_Table[],MATCH($D118&amp;$A118,Table4[Join],0)),"")</f>
        <v/>
      </c>
      <c r="H118" s="11" t="str">
        <f ca="1">IF(AND(D118="Juvenile Audiobook",LEFT(B118,8)="J CD BIO"),RIGHT(B118,LEN(B118)-9),
IF(AND(D118="Juvenile Audiobook",LEFT(B118,8)="J CD FIC"),B118,
IF(D118="Juvenile Audiobook",RIGHT(B118,LEN(B118)-5),
IF(AND(D118="Teen Audiobook",LEFT(B118,11)="TEEN CD BIO"),RIGHT(B118,LEN(B118)-12),
IF(AND(D118="Teen Audiobook",LEFT(B118,11)="TEEN CD FIC"),B118,
IF(D118="Juvenile Audiobook",RIGHT(B118,LEN(B118)-8),
IF(D118="Juvenile Nonfiction",RIGHT(B118,LEN(B118)-2),
IF(D118="Teen Nonfiction",RIGHT(B118,LEN(B118)-5),
IF(AND(D118="Audiobook",
              NOT(OR(Contains($B118,"CD BIO"),Contains($B118,"CD FIC")))),RIGHT(B118,LEN(B118)-3),
IF(D118="Juvenile Biography",RIGHT(B118,LEN(B118)-2),
IF(D118="Teen Biography",RIGHT(B118,LEN(B118)-5),
IF(AND(D118="Audiobook",
              IFERROR(FIND("BIO",$B118)&gt;0,FALSE)),RIGHT(B118,LEN(B118)-3),
IF(D118="Juvenile Large Type","J "&amp;RIGHT(B118,LEN(B118)-11),
IF(D118="Teen Large Type","TEEN "&amp;RIGHT(B118,LEN(B118)-14),
IF(D118="Reference",RIGHT(B118,LEN(B118)-4),
IF(D118="DVD Educational",RIGHT(B118,LEN(B118)-7),
IF(D118="Juvenile DVD Educational",RIGHT(B118,LEN(B118)-9),
B118)))))))))))))))))</f>
        <v/>
      </c>
      <c r="N118" s="11" t="str">
        <f ca="1">IF(IFERROR(FIND("New",$A118)&gt;0,FALSE),"New ","") &amp; IF(IFERROR(FIND("In Lib",$A118)&gt;0,FALSE),"Reference ","") &amp;
IF(AND(D118="Audiobook",LEFT(B118,6)="CD BIO"),"Biography",
IF(AND(D118="Teen Audiobook",LEFT(B118,11)="TEEN CD BIO"),"Biography",
IF(AND(D118="Juvenile Audiobook",LEFT(B118,8)="J CD BIO"),"Biography",
IF(AND(D118="Audiobook",LEFT(B118,6)="CD FIC"),"Audiobook Fiction",
IF(AND(D118="Teen Audiobook",LEFT(B118,11)="TEEN CD FIC"),"Teen Audiobook",
IF(AND(D118="Juvenile Audiobook",LEFT(B118,8)="J CD FIC"),"Juvenile Audiobook",
IF(D118="Audiobook","Nonfiction",
IF(D118="Juvenile Audiobook","Nonfiction",
IF(D118="Teen Audiobook","Nonfiction",
IF(D118="Juvenile Nonfiction","Nonfiction",
IF(D118="Teen Nonfiction","Nonfiction",
IF(D118="Juvenile Biography","Biography",
IF(D118="Teen Biography","Biography",
IF(D118="ESL","Nonfiction",
IF(LEFT(B118,11)="INTL-VIE J ","International Juvenile",IF(LEFT(B118,11)="INTL-TAG J ","International Juvenile",IF(LEFT(B118,11)="INTL-RUS J ","International Juvenile",IF(LEFT(B118,11)="INTL-KOR J ","International Juvenile",IF(LEFT(B118,11)="INTL-JAP J ","International Juvenile",IF(LEFT(B118,11)="INTL-CHI J ","International Juvenile",IF(LEFT(B118,11)="INTL-SPA J ","International Juvenile",IF(LEFT(B118,14)="INTL-VIE TEEN ","International Teen",IF(LEFT(B118,14)="INTL-TAG TEEN ","International Teen",IF(LEFT(B118,14)="INTL-RUS TEEN ","International Teen",IF(LEFT(B118,14)="INTL-KOR TEEN ","International Teen",IF(LEFT(B118,14)="INTL-JAP TEEN ","International Teen",IF(LEFT(B118,14)="INTL-CHI TEEN ","International Teen",IF(LEFT(B118,14)="INTL-SPA TEEN ","International Teen",IF(LEFT(B118,11)="INTL-VIE E ","International Easy",IF(LEFT(B118,11)="INTL-TAG E ","International Easy",IF(LEFT(B118,11)="INTL-RUS E ","International Easy",IF(LEFT(B118,11)="INTL-JAP E ","International Easy",IF(LEFT(B118,11)="INTL-KOR E ","International Easy",IF(LEFT(B118,11)="INTL-CHI E ","International Easy",IF(LEFT(B118,11)="INTL-SPA E ","International Easy",
IF(D118="Teen Large Type","Teen Fiction",
IF(D118="Juvenile Large Type","Juvenile Fiction",
IF(LEFT(B118,6)="J CD O","Juvenile Compact Disc",
IF(AND(LEFT(B118,4)="TEEN",D118="Fiction"),"Teen Fiction",
IF(D118="DVD Educational","Nonfiction",
IF(D118="Juvenile DVD Educational","Nonfiction",
IF(D118="Reference","Nonfiction",
D118))))))))))))))))))))))))))))))))))))))))))</f>
        <v/>
      </c>
    </row>
    <row r="119" spans="1:14" ht="27" customHeight="1" x14ac:dyDescent="0.25">
      <c r="A119" s="10" t="str">
        <f ca="1">TEXT( INDIRECT( ADDRESS( ROW() + Row_Offset, INDIRECT( "Column_Number_" &amp; A$1), 4,1, tabname) ), "")</f>
        <v/>
      </c>
      <c r="B119" s="10" t="str">
        <f ca="1">TEXT(  IFERROR( VLOOKUP( $D119, CollName_Simplifier_Table[], 2, FALSE),"") &amp;
        INDIRECT( ADDRESS( ROW() + Row_Offset, INDIRECT( "Column_Number_" &amp; $B$1), 4,1, tabname) ), "")</f>
        <v/>
      </c>
      <c r="C119" s="10" t="str">
        <f ca="1">TEXT( INDIRECT( ADDRESS( ROW() + Row_Offset, INDIRECT( "Column_Number_" &amp; C$1), 4,1, tabname) ), "")</f>
        <v/>
      </c>
      <c r="D119" s="10" t="str">
        <f ca="1">TEXT( INDIRECT( ADDRESS( ROW() + Row_Offset, INDIRECT( "Column_Number_" &amp; D$1), 4,1, tabname) ), "")</f>
        <v/>
      </c>
      <c r="E119" s="10" t="str">
        <f ca="1">TEXT( INDIRECT( ADDRESS( ROW() + Row_Offset, INDIRECT( "Column_Number_" &amp; E$1), 4,1, tabname) ), "####")</f>
        <v/>
      </c>
      <c r="F119" s="15"/>
      <c r="G119" s="22" t="str">
        <f ca="1">IFERROR(INDEX(Rank_Table[],MATCH($D119&amp;$A119,Table4[Join],0)),"")</f>
        <v/>
      </c>
      <c r="H119" s="11" t="str">
        <f ca="1">IF(AND(D119="Juvenile Audiobook",LEFT(B119,8)="J CD BIO"),RIGHT(B119,LEN(B119)-9),
IF(AND(D119="Juvenile Audiobook",LEFT(B119,8)="J CD FIC"),B119,
IF(D119="Juvenile Audiobook",RIGHT(B119,LEN(B119)-5),
IF(AND(D119="Teen Audiobook",LEFT(B119,11)="TEEN CD BIO"),RIGHT(B119,LEN(B119)-12),
IF(AND(D119="Teen Audiobook",LEFT(B119,11)="TEEN CD FIC"),B119,
IF(D119="Juvenile Audiobook",RIGHT(B119,LEN(B119)-8),
IF(D119="Juvenile Nonfiction",RIGHT(B119,LEN(B119)-2),
IF(D119="Teen Nonfiction",RIGHT(B119,LEN(B119)-5),
IF(AND(D119="Audiobook",
              NOT(OR(Contains($B119,"CD BIO"),Contains($B119,"CD FIC")))),RIGHT(B119,LEN(B119)-3),
IF(D119="Juvenile Biography",RIGHT(B119,LEN(B119)-2),
IF(D119="Teen Biography",RIGHT(B119,LEN(B119)-5),
IF(AND(D119="Audiobook",
              IFERROR(FIND("BIO",$B119)&gt;0,FALSE)),RIGHT(B119,LEN(B119)-3),
IF(D119="Juvenile Large Type","J "&amp;RIGHT(B119,LEN(B119)-11),
IF(D119="Teen Large Type","TEEN "&amp;RIGHT(B119,LEN(B119)-14),
IF(D119="Reference",RIGHT(B119,LEN(B119)-4),
IF(D119="DVD Educational",RIGHT(B119,LEN(B119)-7),
IF(D119="Juvenile DVD Educational",RIGHT(B119,LEN(B119)-9),
B119)))))))))))))))))</f>
        <v/>
      </c>
      <c r="N119" s="11" t="str">
        <f ca="1">IF(IFERROR(FIND("New",$A119)&gt;0,FALSE),"New ","") &amp; IF(IFERROR(FIND("In Lib",$A119)&gt;0,FALSE),"Reference ","") &amp;
IF(AND(D119="Audiobook",LEFT(B119,6)="CD BIO"),"Biography",
IF(AND(D119="Teen Audiobook",LEFT(B119,11)="TEEN CD BIO"),"Biography",
IF(AND(D119="Juvenile Audiobook",LEFT(B119,8)="J CD BIO"),"Biography",
IF(AND(D119="Audiobook",LEFT(B119,6)="CD FIC"),"Audiobook Fiction",
IF(AND(D119="Teen Audiobook",LEFT(B119,11)="TEEN CD FIC"),"Teen Audiobook",
IF(AND(D119="Juvenile Audiobook",LEFT(B119,8)="J CD FIC"),"Juvenile Audiobook",
IF(D119="Audiobook","Nonfiction",
IF(D119="Juvenile Audiobook","Nonfiction",
IF(D119="Teen Audiobook","Nonfiction",
IF(D119="Juvenile Nonfiction","Nonfiction",
IF(D119="Teen Nonfiction","Nonfiction",
IF(D119="Juvenile Biography","Biography",
IF(D119="Teen Biography","Biography",
IF(D119="ESL","Nonfiction",
IF(LEFT(B119,11)="INTL-VIE J ","International Juvenile",IF(LEFT(B119,11)="INTL-TAG J ","International Juvenile",IF(LEFT(B119,11)="INTL-RUS J ","International Juvenile",IF(LEFT(B119,11)="INTL-KOR J ","International Juvenile",IF(LEFT(B119,11)="INTL-JAP J ","International Juvenile",IF(LEFT(B119,11)="INTL-CHI J ","International Juvenile",IF(LEFT(B119,11)="INTL-SPA J ","International Juvenile",IF(LEFT(B119,14)="INTL-VIE TEEN ","International Teen",IF(LEFT(B119,14)="INTL-TAG TEEN ","International Teen",IF(LEFT(B119,14)="INTL-RUS TEEN ","International Teen",IF(LEFT(B119,14)="INTL-KOR TEEN ","International Teen",IF(LEFT(B119,14)="INTL-JAP TEEN ","International Teen",IF(LEFT(B119,14)="INTL-CHI TEEN ","International Teen",IF(LEFT(B119,14)="INTL-SPA TEEN ","International Teen",IF(LEFT(B119,11)="INTL-VIE E ","International Easy",IF(LEFT(B119,11)="INTL-TAG E ","International Easy",IF(LEFT(B119,11)="INTL-RUS E ","International Easy",IF(LEFT(B119,11)="INTL-JAP E ","International Easy",IF(LEFT(B119,11)="INTL-KOR E ","International Easy",IF(LEFT(B119,11)="INTL-CHI E ","International Easy",IF(LEFT(B119,11)="INTL-SPA E ","International Easy",
IF(D119="Teen Large Type","Teen Fiction",
IF(D119="Juvenile Large Type","Juvenile Fiction",
IF(LEFT(B119,6)="J CD O","Juvenile Compact Disc",
IF(AND(LEFT(B119,4)="TEEN",D119="Fiction"),"Teen Fiction",
IF(D119="DVD Educational","Nonfiction",
IF(D119="Juvenile DVD Educational","Nonfiction",
IF(D119="Reference","Nonfiction",
D119))))))))))))))))))))))))))))))))))))))))))</f>
        <v/>
      </c>
    </row>
    <row r="120" spans="1:14" ht="27" customHeight="1" x14ac:dyDescent="0.25">
      <c r="A120" s="10" t="str">
        <f ca="1">TEXT( INDIRECT( ADDRESS( ROW() + Row_Offset, INDIRECT( "Column_Number_" &amp; A$1), 4,1, tabname) ), "")</f>
        <v/>
      </c>
      <c r="B120" s="10" t="str">
        <f ca="1">TEXT(  IFERROR( VLOOKUP( $D120, CollName_Simplifier_Table[], 2, FALSE),"") &amp;
        INDIRECT( ADDRESS( ROW() + Row_Offset, INDIRECT( "Column_Number_" &amp; $B$1), 4,1, tabname) ), "")</f>
        <v/>
      </c>
      <c r="C120" s="10" t="str">
        <f ca="1">TEXT( INDIRECT( ADDRESS( ROW() + Row_Offset, INDIRECT( "Column_Number_" &amp; C$1), 4,1, tabname) ), "")</f>
        <v/>
      </c>
      <c r="D120" s="10" t="str">
        <f ca="1">TEXT( INDIRECT( ADDRESS( ROW() + Row_Offset, INDIRECT( "Column_Number_" &amp; D$1), 4,1, tabname) ), "")</f>
        <v/>
      </c>
      <c r="E120" s="10" t="str">
        <f ca="1">TEXT( INDIRECT( ADDRESS( ROW() + Row_Offset, INDIRECT( "Column_Number_" &amp; E$1), 4,1, tabname) ), "####")</f>
        <v/>
      </c>
      <c r="F120" s="15"/>
      <c r="G120" s="22" t="str">
        <f ca="1">IFERROR(INDEX(Rank_Table[],MATCH($D120&amp;$A120,Table4[Join],0)),"")</f>
        <v/>
      </c>
      <c r="H120" s="11" t="str">
        <f ca="1">IF(AND(D120="Juvenile Audiobook",LEFT(B120,8)="J CD BIO"),RIGHT(B120,LEN(B120)-9),
IF(AND(D120="Juvenile Audiobook",LEFT(B120,8)="J CD FIC"),B120,
IF(D120="Juvenile Audiobook",RIGHT(B120,LEN(B120)-5),
IF(AND(D120="Teen Audiobook",LEFT(B120,11)="TEEN CD BIO"),RIGHT(B120,LEN(B120)-12),
IF(AND(D120="Teen Audiobook",LEFT(B120,11)="TEEN CD FIC"),B120,
IF(D120="Juvenile Audiobook",RIGHT(B120,LEN(B120)-8),
IF(D120="Juvenile Nonfiction",RIGHT(B120,LEN(B120)-2),
IF(D120="Teen Nonfiction",RIGHT(B120,LEN(B120)-5),
IF(AND(D120="Audiobook",
              NOT(OR(Contains($B120,"CD BIO"),Contains($B120,"CD FIC")))),RIGHT(B120,LEN(B120)-3),
IF(D120="Juvenile Biography",RIGHT(B120,LEN(B120)-2),
IF(D120="Teen Biography",RIGHT(B120,LEN(B120)-5),
IF(AND(D120="Audiobook",
              IFERROR(FIND("BIO",$B120)&gt;0,FALSE)),RIGHT(B120,LEN(B120)-3),
IF(D120="Juvenile Large Type","J "&amp;RIGHT(B120,LEN(B120)-11),
IF(D120="Teen Large Type","TEEN "&amp;RIGHT(B120,LEN(B120)-14),
IF(D120="Reference",RIGHT(B120,LEN(B120)-4),
IF(D120="DVD Educational",RIGHT(B120,LEN(B120)-7),
IF(D120="Juvenile DVD Educational",RIGHT(B120,LEN(B120)-9),
B120)))))))))))))))))</f>
        <v/>
      </c>
      <c r="N120" s="11" t="str">
        <f ca="1">IF(IFERROR(FIND("New",$A120)&gt;0,FALSE),"New ","") &amp; IF(IFERROR(FIND("In Lib",$A120)&gt;0,FALSE),"Reference ","") &amp;
IF(AND(D120="Audiobook",LEFT(B120,6)="CD BIO"),"Biography",
IF(AND(D120="Teen Audiobook",LEFT(B120,11)="TEEN CD BIO"),"Biography",
IF(AND(D120="Juvenile Audiobook",LEFT(B120,8)="J CD BIO"),"Biography",
IF(AND(D120="Audiobook",LEFT(B120,6)="CD FIC"),"Audiobook Fiction",
IF(AND(D120="Teen Audiobook",LEFT(B120,11)="TEEN CD FIC"),"Teen Audiobook",
IF(AND(D120="Juvenile Audiobook",LEFT(B120,8)="J CD FIC"),"Juvenile Audiobook",
IF(D120="Audiobook","Nonfiction",
IF(D120="Juvenile Audiobook","Nonfiction",
IF(D120="Teen Audiobook","Nonfiction",
IF(D120="Juvenile Nonfiction","Nonfiction",
IF(D120="Teen Nonfiction","Nonfiction",
IF(D120="Juvenile Biography","Biography",
IF(D120="Teen Biography","Biography",
IF(D120="ESL","Nonfiction",
IF(LEFT(B120,11)="INTL-VIE J ","International Juvenile",IF(LEFT(B120,11)="INTL-TAG J ","International Juvenile",IF(LEFT(B120,11)="INTL-RUS J ","International Juvenile",IF(LEFT(B120,11)="INTL-KOR J ","International Juvenile",IF(LEFT(B120,11)="INTL-JAP J ","International Juvenile",IF(LEFT(B120,11)="INTL-CHI J ","International Juvenile",IF(LEFT(B120,11)="INTL-SPA J ","International Juvenile",IF(LEFT(B120,14)="INTL-VIE TEEN ","International Teen",IF(LEFT(B120,14)="INTL-TAG TEEN ","International Teen",IF(LEFT(B120,14)="INTL-RUS TEEN ","International Teen",IF(LEFT(B120,14)="INTL-KOR TEEN ","International Teen",IF(LEFT(B120,14)="INTL-JAP TEEN ","International Teen",IF(LEFT(B120,14)="INTL-CHI TEEN ","International Teen",IF(LEFT(B120,14)="INTL-SPA TEEN ","International Teen",IF(LEFT(B120,11)="INTL-VIE E ","International Easy",IF(LEFT(B120,11)="INTL-TAG E ","International Easy",IF(LEFT(B120,11)="INTL-RUS E ","International Easy",IF(LEFT(B120,11)="INTL-JAP E ","International Easy",IF(LEFT(B120,11)="INTL-KOR E ","International Easy",IF(LEFT(B120,11)="INTL-CHI E ","International Easy",IF(LEFT(B120,11)="INTL-SPA E ","International Easy",
IF(D120="Teen Large Type","Teen Fiction",
IF(D120="Juvenile Large Type","Juvenile Fiction",
IF(LEFT(B120,6)="J CD O","Juvenile Compact Disc",
IF(AND(LEFT(B120,4)="TEEN",D120="Fiction"),"Teen Fiction",
IF(D120="DVD Educational","Nonfiction",
IF(D120="Juvenile DVD Educational","Nonfiction",
IF(D120="Reference","Nonfiction",
D120))))))))))))))))))))))))))))))))))))))))))</f>
        <v/>
      </c>
    </row>
    <row r="121" spans="1:14" ht="27" customHeight="1" x14ac:dyDescent="0.25">
      <c r="A121" s="10" t="str">
        <f ca="1">TEXT( INDIRECT( ADDRESS( ROW() + Row_Offset, INDIRECT( "Column_Number_" &amp; A$1), 4,1, tabname) ), "")</f>
        <v/>
      </c>
      <c r="B121" s="10" t="str">
        <f ca="1">TEXT(  IFERROR( VLOOKUP( $D121, CollName_Simplifier_Table[], 2, FALSE),"") &amp;
        INDIRECT( ADDRESS( ROW() + Row_Offset, INDIRECT( "Column_Number_" &amp; $B$1), 4,1, tabname) ), "")</f>
        <v/>
      </c>
      <c r="C121" s="10" t="str">
        <f ca="1">TEXT( INDIRECT( ADDRESS( ROW() + Row_Offset, INDIRECT( "Column_Number_" &amp; C$1), 4,1, tabname) ), "")</f>
        <v/>
      </c>
      <c r="D121" s="10" t="str">
        <f ca="1">TEXT( INDIRECT( ADDRESS( ROW() + Row_Offset, INDIRECT( "Column_Number_" &amp; D$1), 4,1, tabname) ), "")</f>
        <v/>
      </c>
      <c r="E121" s="10" t="str">
        <f ca="1">TEXT( INDIRECT( ADDRESS( ROW() + Row_Offset, INDIRECT( "Column_Number_" &amp; E$1), 4,1, tabname) ), "####")</f>
        <v/>
      </c>
      <c r="F121" s="15"/>
      <c r="G121" s="22" t="str">
        <f ca="1">IFERROR(INDEX(Rank_Table[],MATCH($D121&amp;$A121,Table4[Join],0)),"")</f>
        <v/>
      </c>
      <c r="H121" s="11" t="str">
        <f ca="1">IF(AND(D121="Juvenile Audiobook",LEFT(B121,8)="J CD BIO"),RIGHT(B121,LEN(B121)-9),
IF(AND(D121="Juvenile Audiobook",LEFT(B121,8)="J CD FIC"),B121,
IF(D121="Juvenile Audiobook",RIGHT(B121,LEN(B121)-5),
IF(AND(D121="Teen Audiobook",LEFT(B121,11)="TEEN CD BIO"),RIGHT(B121,LEN(B121)-12),
IF(AND(D121="Teen Audiobook",LEFT(B121,11)="TEEN CD FIC"),B121,
IF(D121="Juvenile Audiobook",RIGHT(B121,LEN(B121)-8),
IF(D121="Juvenile Nonfiction",RIGHT(B121,LEN(B121)-2),
IF(D121="Teen Nonfiction",RIGHT(B121,LEN(B121)-5),
IF(AND(D121="Audiobook",
              NOT(OR(Contains($B121,"CD BIO"),Contains($B121,"CD FIC")))),RIGHT(B121,LEN(B121)-3),
IF(D121="Juvenile Biography",RIGHT(B121,LEN(B121)-2),
IF(D121="Teen Biography",RIGHT(B121,LEN(B121)-5),
IF(AND(D121="Audiobook",
              IFERROR(FIND("BIO",$B121)&gt;0,FALSE)),RIGHT(B121,LEN(B121)-3),
IF(D121="Juvenile Large Type","J "&amp;RIGHT(B121,LEN(B121)-11),
IF(D121="Teen Large Type","TEEN "&amp;RIGHT(B121,LEN(B121)-14),
IF(D121="Reference",RIGHT(B121,LEN(B121)-4),
IF(D121="DVD Educational",RIGHT(B121,LEN(B121)-7),
IF(D121="Juvenile DVD Educational",RIGHT(B121,LEN(B121)-9),
B121)))))))))))))))))</f>
        <v/>
      </c>
      <c r="N121" s="11" t="str">
        <f ca="1">IF(IFERROR(FIND("New",$A121)&gt;0,FALSE),"New ","") &amp; IF(IFERROR(FIND("In Lib",$A121)&gt;0,FALSE),"Reference ","") &amp;
IF(AND(D121="Audiobook",LEFT(B121,6)="CD BIO"),"Biography",
IF(AND(D121="Teen Audiobook",LEFT(B121,11)="TEEN CD BIO"),"Biography",
IF(AND(D121="Juvenile Audiobook",LEFT(B121,8)="J CD BIO"),"Biography",
IF(AND(D121="Audiobook",LEFT(B121,6)="CD FIC"),"Audiobook Fiction",
IF(AND(D121="Teen Audiobook",LEFT(B121,11)="TEEN CD FIC"),"Teen Audiobook",
IF(AND(D121="Juvenile Audiobook",LEFT(B121,8)="J CD FIC"),"Juvenile Audiobook",
IF(D121="Audiobook","Nonfiction",
IF(D121="Juvenile Audiobook","Nonfiction",
IF(D121="Teen Audiobook","Nonfiction",
IF(D121="Juvenile Nonfiction","Nonfiction",
IF(D121="Teen Nonfiction","Nonfiction",
IF(D121="Juvenile Biography","Biography",
IF(D121="Teen Biography","Biography",
IF(D121="ESL","Nonfiction",
IF(LEFT(B121,11)="INTL-VIE J ","International Juvenile",IF(LEFT(B121,11)="INTL-TAG J ","International Juvenile",IF(LEFT(B121,11)="INTL-RUS J ","International Juvenile",IF(LEFT(B121,11)="INTL-KOR J ","International Juvenile",IF(LEFT(B121,11)="INTL-JAP J ","International Juvenile",IF(LEFT(B121,11)="INTL-CHI J ","International Juvenile",IF(LEFT(B121,11)="INTL-SPA J ","International Juvenile",IF(LEFT(B121,14)="INTL-VIE TEEN ","International Teen",IF(LEFT(B121,14)="INTL-TAG TEEN ","International Teen",IF(LEFT(B121,14)="INTL-RUS TEEN ","International Teen",IF(LEFT(B121,14)="INTL-KOR TEEN ","International Teen",IF(LEFT(B121,14)="INTL-JAP TEEN ","International Teen",IF(LEFT(B121,14)="INTL-CHI TEEN ","International Teen",IF(LEFT(B121,14)="INTL-SPA TEEN ","International Teen",IF(LEFT(B121,11)="INTL-VIE E ","International Easy",IF(LEFT(B121,11)="INTL-TAG E ","International Easy",IF(LEFT(B121,11)="INTL-RUS E ","International Easy",IF(LEFT(B121,11)="INTL-JAP E ","International Easy",IF(LEFT(B121,11)="INTL-KOR E ","International Easy",IF(LEFT(B121,11)="INTL-CHI E ","International Easy",IF(LEFT(B121,11)="INTL-SPA E ","International Easy",
IF(D121="Teen Large Type","Teen Fiction",
IF(D121="Juvenile Large Type","Juvenile Fiction",
IF(LEFT(B121,6)="J CD O","Juvenile Compact Disc",
IF(AND(LEFT(B121,4)="TEEN",D121="Fiction"),"Teen Fiction",
IF(D121="DVD Educational","Nonfiction",
IF(D121="Juvenile DVD Educational","Nonfiction",
IF(D121="Reference","Nonfiction",
D121))))))))))))))))))))))))))))))))))))))))))</f>
        <v/>
      </c>
    </row>
    <row r="122" spans="1:14" ht="27" customHeight="1" x14ac:dyDescent="0.25">
      <c r="A122" s="10" t="str">
        <f ca="1">TEXT( INDIRECT( ADDRESS( ROW() + Row_Offset, INDIRECT( "Column_Number_" &amp; A$1), 4,1, tabname) ), "")</f>
        <v/>
      </c>
      <c r="B122" s="10" t="str">
        <f ca="1">TEXT(  IFERROR( VLOOKUP( $D122, CollName_Simplifier_Table[], 2, FALSE),"") &amp;
        INDIRECT( ADDRESS( ROW() + Row_Offset, INDIRECT( "Column_Number_" &amp; $B$1), 4,1, tabname) ), "")</f>
        <v/>
      </c>
      <c r="C122" s="10" t="str">
        <f ca="1">TEXT( INDIRECT( ADDRESS( ROW() + Row_Offset, INDIRECT( "Column_Number_" &amp; C$1), 4,1, tabname) ), "")</f>
        <v/>
      </c>
      <c r="D122" s="10" t="str">
        <f ca="1">TEXT( INDIRECT( ADDRESS( ROW() + Row_Offset, INDIRECT( "Column_Number_" &amp; D$1), 4,1, tabname) ), "")</f>
        <v/>
      </c>
      <c r="E122" s="10" t="str">
        <f ca="1">TEXT( INDIRECT( ADDRESS( ROW() + Row_Offset, INDIRECT( "Column_Number_" &amp; E$1), 4,1, tabname) ), "####")</f>
        <v/>
      </c>
      <c r="F122" s="15"/>
      <c r="G122" s="22" t="str">
        <f ca="1">IFERROR(INDEX(Rank_Table[],MATCH($D122&amp;$A122,Table4[Join],0)),"")</f>
        <v/>
      </c>
      <c r="H122" s="11" t="str">
        <f ca="1">IF(AND(D122="Juvenile Audiobook",LEFT(B122,8)="J CD BIO"),RIGHT(B122,LEN(B122)-9),
IF(AND(D122="Juvenile Audiobook",LEFT(B122,8)="J CD FIC"),B122,
IF(D122="Juvenile Audiobook",RIGHT(B122,LEN(B122)-5),
IF(AND(D122="Teen Audiobook",LEFT(B122,11)="TEEN CD BIO"),RIGHT(B122,LEN(B122)-12),
IF(AND(D122="Teen Audiobook",LEFT(B122,11)="TEEN CD FIC"),B122,
IF(D122="Juvenile Audiobook",RIGHT(B122,LEN(B122)-8),
IF(D122="Juvenile Nonfiction",RIGHT(B122,LEN(B122)-2),
IF(D122="Teen Nonfiction",RIGHT(B122,LEN(B122)-5),
IF(AND(D122="Audiobook",
              NOT(OR(Contains($B122,"CD BIO"),Contains($B122,"CD FIC")))),RIGHT(B122,LEN(B122)-3),
IF(D122="Juvenile Biography",RIGHT(B122,LEN(B122)-2),
IF(D122="Teen Biography",RIGHT(B122,LEN(B122)-5),
IF(AND(D122="Audiobook",
              IFERROR(FIND("BIO",$B122)&gt;0,FALSE)),RIGHT(B122,LEN(B122)-3),
IF(D122="Juvenile Large Type","J "&amp;RIGHT(B122,LEN(B122)-11),
IF(D122="Teen Large Type","TEEN "&amp;RIGHT(B122,LEN(B122)-14),
IF(D122="Reference",RIGHT(B122,LEN(B122)-4),
IF(D122="DVD Educational",RIGHT(B122,LEN(B122)-7),
IF(D122="Juvenile DVD Educational",RIGHT(B122,LEN(B122)-9),
B122)))))))))))))))))</f>
        <v/>
      </c>
      <c r="N122" s="11" t="str">
        <f ca="1">IF(IFERROR(FIND("New",$A122)&gt;0,FALSE),"New ","") &amp; IF(IFERROR(FIND("In Lib",$A122)&gt;0,FALSE),"Reference ","") &amp;
IF(AND(D122="Audiobook",LEFT(B122,6)="CD BIO"),"Biography",
IF(AND(D122="Teen Audiobook",LEFT(B122,11)="TEEN CD BIO"),"Biography",
IF(AND(D122="Juvenile Audiobook",LEFT(B122,8)="J CD BIO"),"Biography",
IF(AND(D122="Audiobook",LEFT(B122,6)="CD FIC"),"Audiobook Fiction",
IF(AND(D122="Teen Audiobook",LEFT(B122,11)="TEEN CD FIC"),"Teen Audiobook",
IF(AND(D122="Juvenile Audiobook",LEFT(B122,8)="J CD FIC"),"Juvenile Audiobook",
IF(D122="Audiobook","Nonfiction",
IF(D122="Juvenile Audiobook","Nonfiction",
IF(D122="Teen Audiobook","Nonfiction",
IF(D122="Juvenile Nonfiction","Nonfiction",
IF(D122="Teen Nonfiction","Nonfiction",
IF(D122="Juvenile Biography","Biography",
IF(D122="Teen Biography","Biography",
IF(D122="ESL","Nonfiction",
IF(LEFT(B122,11)="INTL-VIE J ","International Juvenile",IF(LEFT(B122,11)="INTL-TAG J ","International Juvenile",IF(LEFT(B122,11)="INTL-RUS J ","International Juvenile",IF(LEFT(B122,11)="INTL-KOR J ","International Juvenile",IF(LEFT(B122,11)="INTL-JAP J ","International Juvenile",IF(LEFT(B122,11)="INTL-CHI J ","International Juvenile",IF(LEFT(B122,11)="INTL-SPA J ","International Juvenile",IF(LEFT(B122,14)="INTL-VIE TEEN ","International Teen",IF(LEFT(B122,14)="INTL-TAG TEEN ","International Teen",IF(LEFT(B122,14)="INTL-RUS TEEN ","International Teen",IF(LEFT(B122,14)="INTL-KOR TEEN ","International Teen",IF(LEFT(B122,14)="INTL-JAP TEEN ","International Teen",IF(LEFT(B122,14)="INTL-CHI TEEN ","International Teen",IF(LEFT(B122,14)="INTL-SPA TEEN ","International Teen",IF(LEFT(B122,11)="INTL-VIE E ","International Easy",IF(LEFT(B122,11)="INTL-TAG E ","International Easy",IF(LEFT(B122,11)="INTL-RUS E ","International Easy",IF(LEFT(B122,11)="INTL-JAP E ","International Easy",IF(LEFT(B122,11)="INTL-KOR E ","International Easy",IF(LEFT(B122,11)="INTL-CHI E ","International Easy",IF(LEFT(B122,11)="INTL-SPA E ","International Easy",
IF(D122="Teen Large Type","Teen Fiction",
IF(D122="Juvenile Large Type","Juvenile Fiction",
IF(LEFT(B122,6)="J CD O","Juvenile Compact Disc",
IF(AND(LEFT(B122,4)="TEEN",D122="Fiction"),"Teen Fiction",
IF(D122="DVD Educational","Nonfiction",
IF(D122="Juvenile DVD Educational","Nonfiction",
IF(D122="Reference","Nonfiction",
D122))))))))))))))))))))))))))))))))))))))))))</f>
        <v/>
      </c>
    </row>
    <row r="123" spans="1:14" ht="27" customHeight="1" x14ac:dyDescent="0.25">
      <c r="A123" s="10" t="str">
        <f ca="1">TEXT( INDIRECT( ADDRESS( ROW() + Row_Offset, INDIRECT( "Column_Number_" &amp; A$1), 4,1, tabname) ), "")</f>
        <v/>
      </c>
      <c r="B123" s="10" t="str">
        <f ca="1">TEXT(  IFERROR( VLOOKUP( $D123, CollName_Simplifier_Table[], 2, FALSE),"") &amp;
        INDIRECT( ADDRESS( ROW() + Row_Offset, INDIRECT( "Column_Number_" &amp; $B$1), 4,1, tabname) ), "")</f>
        <v/>
      </c>
      <c r="C123" s="10" t="str">
        <f ca="1">TEXT( INDIRECT( ADDRESS( ROW() + Row_Offset, INDIRECT( "Column_Number_" &amp; C$1), 4,1, tabname) ), "")</f>
        <v/>
      </c>
      <c r="D123" s="10" t="str">
        <f ca="1">TEXT( INDIRECT( ADDRESS( ROW() + Row_Offset, INDIRECT( "Column_Number_" &amp; D$1), 4,1, tabname) ), "")</f>
        <v/>
      </c>
      <c r="E123" s="10" t="str">
        <f ca="1">TEXT( INDIRECT( ADDRESS( ROW() + Row_Offset, INDIRECT( "Column_Number_" &amp; E$1), 4,1, tabname) ), "####")</f>
        <v/>
      </c>
      <c r="F123" s="15"/>
      <c r="G123" s="22" t="str">
        <f ca="1">IFERROR(INDEX(Rank_Table[],MATCH($D123&amp;$A123,Table4[Join],0)),"")</f>
        <v/>
      </c>
      <c r="H123" s="11" t="str">
        <f ca="1">IF(AND(D123="Juvenile Audiobook",LEFT(B123,8)="J CD BIO"),RIGHT(B123,LEN(B123)-9),
IF(AND(D123="Juvenile Audiobook",LEFT(B123,8)="J CD FIC"),B123,
IF(D123="Juvenile Audiobook",RIGHT(B123,LEN(B123)-5),
IF(AND(D123="Teen Audiobook",LEFT(B123,11)="TEEN CD BIO"),RIGHT(B123,LEN(B123)-12),
IF(AND(D123="Teen Audiobook",LEFT(B123,11)="TEEN CD FIC"),B123,
IF(D123="Juvenile Audiobook",RIGHT(B123,LEN(B123)-8),
IF(D123="Juvenile Nonfiction",RIGHT(B123,LEN(B123)-2),
IF(D123="Teen Nonfiction",RIGHT(B123,LEN(B123)-5),
IF(AND(D123="Audiobook",
              NOT(OR(Contains($B123,"CD BIO"),Contains($B123,"CD FIC")))),RIGHT(B123,LEN(B123)-3),
IF(D123="Juvenile Biography",RIGHT(B123,LEN(B123)-2),
IF(D123="Teen Biography",RIGHT(B123,LEN(B123)-5),
IF(AND(D123="Audiobook",
              IFERROR(FIND("BIO",$B123)&gt;0,FALSE)),RIGHT(B123,LEN(B123)-3),
IF(D123="Juvenile Large Type","J "&amp;RIGHT(B123,LEN(B123)-11),
IF(D123="Teen Large Type","TEEN "&amp;RIGHT(B123,LEN(B123)-14),
IF(D123="Reference",RIGHT(B123,LEN(B123)-4),
IF(D123="DVD Educational",RIGHT(B123,LEN(B123)-7),
IF(D123="Juvenile DVD Educational",RIGHT(B123,LEN(B123)-9),
B123)))))))))))))))))</f>
        <v/>
      </c>
      <c r="N123" s="11" t="str">
        <f ca="1">IF(IFERROR(FIND("New",$A123)&gt;0,FALSE),"New ","") &amp; IF(IFERROR(FIND("In Lib",$A123)&gt;0,FALSE),"Reference ","") &amp;
IF(AND(D123="Audiobook",LEFT(B123,6)="CD BIO"),"Biography",
IF(AND(D123="Teen Audiobook",LEFT(B123,11)="TEEN CD BIO"),"Biography",
IF(AND(D123="Juvenile Audiobook",LEFT(B123,8)="J CD BIO"),"Biography",
IF(AND(D123="Audiobook",LEFT(B123,6)="CD FIC"),"Audiobook Fiction",
IF(AND(D123="Teen Audiobook",LEFT(B123,11)="TEEN CD FIC"),"Teen Audiobook",
IF(AND(D123="Juvenile Audiobook",LEFT(B123,8)="J CD FIC"),"Juvenile Audiobook",
IF(D123="Audiobook","Nonfiction",
IF(D123="Juvenile Audiobook","Nonfiction",
IF(D123="Teen Audiobook","Nonfiction",
IF(D123="Juvenile Nonfiction","Nonfiction",
IF(D123="Teen Nonfiction","Nonfiction",
IF(D123="Juvenile Biography","Biography",
IF(D123="Teen Biography","Biography",
IF(D123="ESL","Nonfiction",
IF(LEFT(B123,11)="INTL-VIE J ","International Juvenile",IF(LEFT(B123,11)="INTL-TAG J ","International Juvenile",IF(LEFT(B123,11)="INTL-RUS J ","International Juvenile",IF(LEFT(B123,11)="INTL-KOR J ","International Juvenile",IF(LEFT(B123,11)="INTL-JAP J ","International Juvenile",IF(LEFT(B123,11)="INTL-CHI J ","International Juvenile",IF(LEFT(B123,11)="INTL-SPA J ","International Juvenile",IF(LEFT(B123,14)="INTL-VIE TEEN ","International Teen",IF(LEFT(B123,14)="INTL-TAG TEEN ","International Teen",IF(LEFT(B123,14)="INTL-RUS TEEN ","International Teen",IF(LEFT(B123,14)="INTL-KOR TEEN ","International Teen",IF(LEFT(B123,14)="INTL-JAP TEEN ","International Teen",IF(LEFT(B123,14)="INTL-CHI TEEN ","International Teen",IF(LEFT(B123,14)="INTL-SPA TEEN ","International Teen",IF(LEFT(B123,11)="INTL-VIE E ","International Easy",IF(LEFT(B123,11)="INTL-TAG E ","International Easy",IF(LEFT(B123,11)="INTL-RUS E ","International Easy",IF(LEFT(B123,11)="INTL-JAP E ","International Easy",IF(LEFT(B123,11)="INTL-KOR E ","International Easy",IF(LEFT(B123,11)="INTL-CHI E ","International Easy",IF(LEFT(B123,11)="INTL-SPA E ","International Easy",
IF(D123="Teen Large Type","Teen Fiction",
IF(D123="Juvenile Large Type","Juvenile Fiction",
IF(LEFT(B123,6)="J CD O","Juvenile Compact Disc",
IF(AND(LEFT(B123,4)="TEEN",D123="Fiction"),"Teen Fiction",
IF(D123="DVD Educational","Nonfiction",
IF(D123="Juvenile DVD Educational","Nonfiction",
IF(D123="Reference","Nonfiction",
D123))))))))))))))))))))))))))))))))))))))))))</f>
        <v/>
      </c>
    </row>
    <row r="124" spans="1:14" ht="27" customHeight="1" x14ac:dyDescent="0.25">
      <c r="A124" s="10" t="str">
        <f ca="1">TEXT( INDIRECT( ADDRESS( ROW() + Row_Offset, INDIRECT( "Column_Number_" &amp; A$1), 4,1, tabname) ), "")</f>
        <v/>
      </c>
      <c r="B124" s="10" t="str">
        <f ca="1">TEXT(  IFERROR( VLOOKUP( $D124, CollName_Simplifier_Table[], 2, FALSE),"") &amp;
        INDIRECT( ADDRESS( ROW() + Row_Offset, INDIRECT( "Column_Number_" &amp; $B$1), 4,1, tabname) ), "")</f>
        <v/>
      </c>
      <c r="C124" s="10" t="str">
        <f ca="1">TEXT( INDIRECT( ADDRESS( ROW() + Row_Offset, INDIRECT( "Column_Number_" &amp; C$1), 4,1, tabname) ), "")</f>
        <v/>
      </c>
      <c r="D124" s="10" t="str">
        <f ca="1">TEXT( INDIRECT( ADDRESS( ROW() + Row_Offset, INDIRECT( "Column_Number_" &amp; D$1), 4,1, tabname) ), "")</f>
        <v/>
      </c>
      <c r="E124" s="10" t="str">
        <f ca="1">TEXT( INDIRECT( ADDRESS( ROW() + Row_Offset, INDIRECT( "Column_Number_" &amp; E$1), 4,1, tabname) ), "####")</f>
        <v/>
      </c>
      <c r="F124" s="15"/>
      <c r="G124" s="22" t="str">
        <f ca="1">IFERROR(INDEX(Rank_Table[],MATCH($D124&amp;$A124,Table4[Join],0)),"")</f>
        <v/>
      </c>
      <c r="H124" s="11" t="str">
        <f ca="1">IF(AND(D124="Juvenile Audiobook",LEFT(B124,8)="J CD BIO"),RIGHT(B124,LEN(B124)-9),
IF(AND(D124="Juvenile Audiobook",LEFT(B124,8)="J CD FIC"),B124,
IF(D124="Juvenile Audiobook",RIGHT(B124,LEN(B124)-5),
IF(AND(D124="Teen Audiobook",LEFT(B124,11)="TEEN CD BIO"),RIGHT(B124,LEN(B124)-12),
IF(AND(D124="Teen Audiobook",LEFT(B124,11)="TEEN CD FIC"),B124,
IF(D124="Juvenile Audiobook",RIGHT(B124,LEN(B124)-8),
IF(D124="Juvenile Nonfiction",RIGHT(B124,LEN(B124)-2),
IF(D124="Teen Nonfiction",RIGHT(B124,LEN(B124)-5),
IF(AND(D124="Audiobook",
              NOT(OR(Contains($B124,"CD BIO"),Contains($B124,"CD FIC")))),RIGHT(B124,LEN(B124)-3),
IF(D124="Juvenile Biography",RIGHT(B124,LEN(B124)-2),
IF(D124="Teen Biography",RIGHT(B124,LEN(B124)-5),
IF(AND(D124="Audiobook",
              IFERROR(FIND("BIO",$B124)&gt;0,FALSE)),RIGHT(B124,LEN(B124)-3),
IF(D124="Juvenile Large Type","J "&amp;RIGHT(B124,LEN(B124)-11),
IF(D124="Teen Large Type","TEEN "&amp;RIGHT(B124,LEN(B124)-14),
IF(D124="Reference",RIGHT(B124,LEN(B124)-4),
IF(D124="DVD Educational",RIGHT(B124,LEN(B124)-7),
IF(D124="Juvenile DVD Educational",RIGHT(B124,LEN(B124)-9),
B124)))))))))))))))))</f>
        <v/>
      </c>
      <c r="N124" s="11" t="str">
        <f ca="1">IF(IFERROR(FIND("New",$A124)&gt;0,FALSE),"New ","") &amp; IF(IFERROR(FIND("In Lib",$A124)&gt;0,FALSE),"Reference ","") &amp;
IF(AND(D124="Audiobook",LEFT(B124,6)="CD BIO"),"Biography",
IF(AND(D124="Teen Audiobook",LEFT(B124,11)="TEEN CD BIO"),"Biography",
IF(AND(D124="Juvenile Audiobook",LEFT(B124,8)="J CD BIO"),"Biography",
IF(AND(D124="Audiobook",LEFT(B124,6)="CD FIC"),"Audiobook Fiction",
IF(AND(D124="Teen Audiobook",LEFT(B124,11)="TEEN CD FIC"),"Teen Audiobook",
IF(AND(D124="Juvenile Audiobook",LEFT(B124,8)="J CD FIC"),"Juvenile Audiobook",
IF(D124="Audiobook","Nonfiction",
IF(D124="Juvenile Audiobook","Nonfiction",
IF(D124="Teen Audiobook","Nonfiction",
IF(D124="Juvenile Nonfiction","Nonfiction",
IF(D124="Teen Nonfiction","Nonfiction",
IF(D124="Juvenile Biography","Biography",
IF(D124="Teen Biography","Biography",
IF(D124="ESL","Nonfiction",
IF(LEFT(B124,11)="INTL-VIE J ","International Juvenile",IF(LEFT(B124,11)="INTL-TAG J ","International Juvenile",IF(LEFT(B124,11)="INTL-RUS J ","International Juvenile",IF(LEFT(B124,11)="INTL-KOR J ","International Juvenile",IF(LEFT(B124,11)="INTL-JAP J ","International Juvenile",IF(LEFT(B124,11)="INTL-CHI J ","International Juvenile",IF(LEFT(B124,11)="INTL-SPA J ","International Juvenile",IF(LEFT(B124,14)="INTL-VIE TEEN ","International Teen",IF(LEFT(B124,14)="INTL-TAG TEEN ","International Teen",IF(LEFT(B124,14)="INTL-RUS TEEN ","International Teen",IF(LEFT(B124,14)="INTL-KOR TEEN ","International Teen",IF(LEFT(B124,14)="INTL-JAP TEEN ","International Teen",IF(LEFT(B124,14)="INTL-CHI TEEN ","International Teen",IF(LEFT(B124,14)="INTL-SPA TEEN ","International Teen",IF(LEFT(B124,11)="INTL-VIE E ","International Easy",IF(LEFT(B124,11)="INTL-TAG E ","International Easy",IF(LEFT(B124,11)="INTL-RUS E ","International Easy",IF(LEFT(B124,11)="INTL-JAP E ","International Easy",IF(LEFT(B124,11)="INTL-KOR E ","International Easy",IF(LEFT(B124,11)="INTL-CHI E ","International Easy",IF(LEFT(B124,11)="INTL-SPA E ","International Easy",
IF(D124="Teen Large Type","Teen Fiction",
IF(D124="Juvenile Large Type","Juvenile Fiction",
IF(LEFT(B124,6)="J CD O","Juvenile Compact Disc",
IF(AND(LEFT(B124,4)="TEEN",D124="Fiction"),"Teen Fiction",
IF(D124="DVD Educational","Nonfiction",
IF(D124="Juvenile DVD Educational","Nonfiction",
IF(D124="Reference","Nonfiction",
D124))))))))))))))))))))))))))))))))))))))))))</f>
        <v/>
      </c>
    </row>
    <row r="125" spans="1:14" ht="27" customHeight="1" x14ac:dyDescent="0.25">
      <c r="A125" s="10" t="str">
        <f ca="1">TEXT( INDIRECT( ADDRESS( ROW() + Row_Offset, INDIRECT( "Column_Number_" &amp; A$1), 4,1, tabname) ), "")</f>
        <v/>
      </c>
      <c r="B125" s="10" t="str">
        <f ca="1">TEXT(  IFERROR( VLOOKUP( $D125, CollName_Simplifier_Table[], 2, FALSE),"") &amp;
        INDIRECT( ADDRESS( ROW() + Row_Offset, INDIRECT( "Column_Number_" &amp; $B$1), 4,1, tabname) ), "")</f>
        <v/>
      </c>
      <c r="C125" s="10" t="str">
        <f ca="1">TEXT( INDIRECT( ADDRESS( ROW() + Row_Offset, INDIRECT( "Column_Number_" &amp; C$1), 4,1, tabname) ), "")</f>
        <v/>
      </c>
      <c r="D125" s="10" t="str">
        <f ca="1">TEXT( INDIRECT( ADDRESS( ROW() + Row_Offset, INDIRECT( "Column_Number_" &amp; D$1), 4,1, tabname) ), "")</f>
        <v/>
      </c>
      <c r="E125" s="10" t="str">
        <f ca="1">TEXT( INDIRECT( ADDRESS( ROW() + Row_Offset, INDIRECT( "Column_Number_" &amp; E$1), 4,1, tabname) ), "####")</f>
        <v/>
      </c>
      <c r="F125" s="15"/>
      <c r="G125" s="22" t="str">
        <f ca="1">IFERROR(INDEX(Rank_Table[],MATCH($D125&amp;$A125,Table4[Join],0)),"")</f>
        <v/>
      </c>
      <c r="H125" s="11" t="str">
        <f ca="1">IF(AND(D125="Juvenile Audiobook",LEFT(B125,8)="J CD BIO"),RIGHT(B125,LEN(B125)-9),
IF(AND(D125="Juvenile Audiobook",LEFT(B125,8)="J CD FIC"),B125,
IF(D125="Juvenile Audiobook",RIGHT(B125,LEN(B125)-5),
IF(AND(D125="Teen Audiobook",LEFT(B125,11)="TEEN CD BIO"),RIGHT(B125,LEN(B125)-12),
IF(AND(D125="Teen Audiobook",LEFT(B125,11)="TEEN CD FIC"),B125,
IF(D125="Juvenile Audiobook",RIGHT(B125,LEN(B125)-8),
IF(D125="Juvenile Nonfiction",RIGHT(B125,LEN(B125)-2),
IF(D125="Teen Nonfiction",RIGHT(B125,LEN(B125)-5),
IF(AND(D125="Audiobook",
              NOT(OR(Contains($B125,"CD BIO"),Contains($B125,"CD FIC")))),RIGHT(B125,LEN(B125)-3),
IF(D125="Juvenile Biography",RIGHT(B125,LEN(B125)-2),
IF(D125="Teen Biography",RIGHT(B125,LEN(B125)-5),
IF(AND(D125="Audiobook",
              IFERROR(FIND("BIO",$B125)&gt;0,FALSE)),RIGHT(B125,LEN(B125)-3),
IF(D125="Juvenile Large Type","J "&amp;RIGHT(B125,LEN(B125)-11),
IF(D125="Teen Large Type","TEEN "&amp;RIGHT(B125,LEN(B125)-14),
IF(D125="Reference",RIGHT(B125,LEN(B125)-4),
IF(D125="DVD Educational",RIGHT(B125,LEN(B125)-7),
IF(D125="Juvenile DVD Educational",RIGHT(B125,LEN(B125)-9),
B125)))))))))))))))))</f>
        <v/>
      </c>
      <c r="N125" s="11" t="str">
        <f ca="1">IF(IFERROR(FIND("New",$A125)&gt;0,FALSE),"New ","") &amp; IF(IFERROR(FIND("In Lib",$A125)&gt;0,FALSE),"Reference ","") &amp;
IF(AND(D125="Audiobook",LEFT(B125,6)="CD BIO"),"Biography",
IF(AND(D125="Teen Audiobook",LEFT(B125,11)="TEEN CD BIO"),"Biography",
IF(AND(D125="Juvenile Audiobook",LEFT(B125,8)="J CD BIO"),"Biography",
IF(AND(D125="Audiobook",LEFT(B125,6)="CD FIC"),"Audiobook Fiction",
IF(AND(D125="Teen Audiobook",LEFT(B125,11)="TEEN CD FIC"),"Teen Audiobook",
IF(AND(D125="Juvenile Audiobook",LEFT(B125,8)="J CD FIC"),"Juvenile Audiobook",
IF(D125="Audiobook","Nonfiction",
IF(D125="Juvenile Audiobook","Nonfiction",
IF(D125="Teen Audiobook","Nonfiction",
IF(D125="Juvenile Nonfiction","Nonfiction",
IF(D125="Teen Nonfiction","Nonfiction",
IF(D125="Juvenile Biography","Biography",
IF(D125="Teen Biography","Biography",
IF(D125="ESL","Nonfiction",
IF(LEFT(B125,11)="INTL-VIE J ","International Juvenile",IF(LEFT(B125,11)="INTL-TAG J ","International Juvenile",IF(LEFT(B125,11)="INTL-RUS J ","International Juvenile",IF(LEFT(B125,11)="INTL-KOR J ","International Juvenile",IF(LEFT(B125,11)="INTL-JAP J ","International Juvenile",IF(LEFT(B125,11)="INTL-CHI J ","International Juvenile",IF(LEFT(B125,11)="INTL-SPA J ","International Juvenile",IF(LEFT(B125,14)="INTL-VIE TEEN ","International Teen",IF(LEFT(B125,14)="INTL-TAG TEEN ","International Teen",IF(LEFT(B125,14)="INTL-RUS TEEN ","International Teen",IF(LEFT(B125,14)="INTL-KOR TEEN ","International Teen",IF(LEFT(B125,14)="INTL-JAP TEEN ","International Teen",IF(LEFT(B125,14)="INTL-CHI TEEN ","International Teen",IF(LEFT(B125,14)="INTL-SPA TEEN ","International Teen",IF(LEFT(B125,11)="INTL-VIE E ","International Easy",IF(LEFT(B125,11)="INTL-TAG E ","International Easy",IF(LEFT(B125,11)="INTL-RUS E ","International Easy",IF(LEFT(B125,11)="INTL-JAP E ","International Easy",IF(LEFT(B125,11)="INTL-KOR E ","International Easy",IF(LEFT(B125,11)="INTL-CHI E ","International Easy",IF(LEFT(B125,11)="INTL-SPA E ","International Easy",
IF(D125="Teen Large Type","Teen Fiction",
IF(D125="Juvenile Large Type","Juvenile Fiction",
IF(LEFT(B125,6)="J CD O","Juvenile Compact Disc",
IF(AND(LEFT(B125,4)="TEEN",D125="Fiction"),"Teen Fiction",
IF(D125="DVD Educational","Nonfiction",
IF(D125="Juvenile DVD Educational","Nonfiction",
IF(D125="Reference","Nonfiction",
D125))))))))))))))))))))))))))))))))))))))))))</f>
        <v/>
      </c>
    </row>
    <row r="126" spans="1:14" ht="27" customHeight="1" x14ac:dyDescent="0.25">
      <c r="A126" s="10" t="str">
        <f ca="1">TEXT( INDIRECT( ADDRESS( ROW() + Row_Offset, INDIRECT( "Column_Number_" &amp; A$1), 4,1, tabname) ), "")</f>
        <v/>
      </c>
      <c r="B126" s="10" t="str">
        <f ca="1">TEXT(  IFERROR( VLOOKUP( $D126, CollName_Simplifier_Table[], 2, FALSE),"") &amp;
        INDIRECT( ADDRESS( ROW() + Row_Offset, INDIRECT( "Column_Number_" &amp; $B$1), 4,1, tabname) ), "")</f>
        <v/>
      </c>
      <c r="C126" s="10" t="str">
        <f ca="1">TEXT( INDIRECT( ADDRESS( ROW() + Row_Offset, INDIRECT( "Column_Number_" &amp; C$1), 4,1, tabname) ), "")</f>
        <v/>
      </c>
      <c r="D126" s="10" t="str">
        <f ca="1">TEXT( INDIRECT( ADDRESS( ROW() + Row_Offset, INDIRECT( "Column_Number_" &amp; D$1), 4,1, tabname) ), "")</f>
        <v/>
      </c>
      <c r="E126" s="10" t="str">
        <f ca="1">TEXT( INDIRECT( ADDRESS( ROW() + Row_Offset, INDIRECT( "Column_Number_" &amp; E$1), 4,1, tabname) ), "####")</f>
        <v/>
      </c>
      <c r="F126" s="15"/>
      <c r="G126" s="22" t="str">
        <f ca="1">IFERROR(INDEX(Rank_Table[],MATCH($D126&amp;$A126,Table4[Join],0)),"")</f>
        <v/>
      </c>
      <c r="H126" s="11" t="str">
        <f ca="1">IF(AND(D126="Juvenile Audiobook",LEFT(B126,8)="J CD BIO"),RIGHT(B126,LEN(B126)-9),
IF(AND(D126="Juvenile Audiobook",LEFT(B126,8)="J CD FIC"),B126,
IF(D126="Juvenile Audiobook",RIGHT(B126,LEN(B126)-5),
IF(AND(D126="Teen Audiobook",LEFT(B126,11)="TEEN CD BIO"),RIGHT(B126,LEN(B126)-12),
IF(AND(D126="Teen Audiobook",LEFT(B126,11)="TEEN CD FIC"),B126,
IF(D126="Juvenile Audiobook",RIGHT(B126,LEN(B126)-8),
IF(D126="Juvenile Nonfiction",RIGHT(B126,LEN(B126)-2),
IF(D126="Teen Nonfiction",RIGHT(B126,LEN(B126)-5),
IF(AND(D126="Audiobook",
              NOT(OR(Contains($B126,"CD BIO"),Contains($B126,"CD FIC")))),RIGHT(B126,LEN(B126)-3),
IF(D126="Juvenile Biography",RIGHT(B126,LEN(B126)-2),
IF(D126="Teen Biography",RIGHT(B126,LEN(B126)-5),
IF(AND(D126="Audiobook",
              IFERROR(FIND("BIO",$B126)&gt;0,FALSE)),RIGHT(B126,LEN(B126)-3),
IF(D126="Juvenile Large Type","J "&amp;RIGHT(B126,LEN(B126)-11),
IF(D126="Teen Large Type","TEEN "&amp;RIGHT(B126,LEN(B126)-14),
IF(D126="Reference",RIGHT(B126,LEN(B126)-4),
IF(D126="DVD Educational",RIGHT(B126,LEN(B126)-7),
IF(D126="Juvenile DVD Educational",RIGHT(B126,LEN(B126)-9),
B126)))))))))))))))))</f>
        <v/>
      </c>
      <c r="N126" s="11" t="str">
        <f ca="1">IF(IFERROR(FIND("New",$A126)&gt;0,FALSE),"New ","") &amp; IF(IFERROR(FIND("In Lib",$A126)&gt;0,FALSE),"Reference ","") &amp;
IF(AND(D126="Audiobook",LEFT(B126,6)="CD BIO"),"Biography",
IF(AND(D126="Teen Audiobook",LEFT(B126,11)="TEEN CD BIO"),"Biography",
IF(AND(D126="Juvenile Audiobook",LEFT(B126,8)="J CD BIO"),"Biography",
IF(AND(D126="Audiobook",LEFT(B126,6)="CD FIC"),"Audiobook Fiction",
IF(AND(D126="Teen Audiobook",LEFT(B126,11)="TEEN CD FIC"),"Teen Audiobook",
IF(AND(D126="Juvenile Audiobook",LEFT(B126,8)="J CD FIC"),"Juvenile Audiobook",
IF(D126="Audiobook","Nonfiction",
IF(D126="Juvenile Audiobook","Nonfiction",
IF(D126="Teen Audiobook","Nonfiction",
IF(D126="Juvenile Nonfiction","Nonfiction",
IF(D126="Teen Nonfiction","Nonfiction",
IF(D126="Juvenile Biography","Biography",
IF(D126="Teen Biography","Biography",
IF(D126="ESL","Nonfiction",
IF(LEFT(B126,11)="INTL-VIE J ","International Juvenile",IF(LEFT(B126,11)="INTL-TAG J ","International Juvenile",IF(LEFT(B126,11)="INTL-RUS J ","International Juvenile",IF(LEFT(B126,11)="INTL-KOR J ","International Juvenile",IF(LEFT(B126,11)="INTL-JAP J ","International Juvenile",IF(LEFT(B126,11)="INTL-CHI J ","International Juvenile",IF(LEFT(B126,11)="INTL-SPA J ","International Juvenile",IF(LEFT(B126,14)="INTL-VIE TEEN ","International Teen",IF(LEFT(B126,14)="INTL-TAG TEEN ","International Teen",IF(LEFT(B126,14)="INTL-RUS TEEN ","International Teen",IF(LEFT(B126,14)="INTL-KOR TEEN ","International Teen",IF(LEFT(B126,14)="INTL-JAP TEEN ","International Teen",IF(LEFT(B126,14)="INTL-CHI TEEN ","International Teen",IF(LEFT(B126,14)="INTL-SPA TEEN ","International Teen",IF(LEFT(B126,11)="INTL-VIE E ","International Easy",IF(LEFT(B126,11)="INTL-TAG E ","International Easy",IF(LEFT(B126,11)="INTL-RUS E ","International Easy",IF(LEFT(B126,11)="INTL-JAP E ","International Easy",IF(LEFT(B126,11)="INTL-KOR E ","International Easy",IF(LEFT(B126,11)="INTL-CHI E ","International Easy",IF(LEFT(B126,11)="INTL-SPA E ","International Easy",
IF(D126="Teen Large Type","Teen Fiction",
IF(D126="Juvenile Large Type","Juvenile Fiction",
IF(LEFT(B126,6)="J CD O","Juvenile Compact Disc",
IF(AND(LEFT(B126,4)="TEEN",D126="Fiction"),"Teen Fiction",
IF(D126="DVD Educational","Nonfiction",
IF(D126="Juvenile DVD Educational","Nonfiction",
IF(D126="Reference","Nonfiction",
D126))))))))))))))))))))))))))))))))))))))))))</f>
        <v/>
      </c>
    </row>
    <row r="127" spans="1:14" ht="27" customHeight="1" x14ac:dyDescent="0.25">
      <c r="A127" s="10" t="str">
        <f ca="1">TEXT( INDIRECT( ADDRESS( ROW() + Row_Offset, INDIRECT( "Column_Number_" &amp; A$1), 4,1, tabname) ), "")</f>
        <v/>
      </c>
      <c r="B127" s="10" t="str">
        <f ca="1">TEXT(  IFERROR( VLOOKUP( $D127, CollName_Simplifier_Table[], 2, FALSE),"") &amp;
        INDIRECT( ADDRESS( ROW() + Row_Offset, INDIRECT( "Column_Number_" &amp; $B$1), 4,1, tabname) ), "")</f>
        <v/>
      </c>
      <c r="C127" s="10" t="str">
        <f ca="1">TEXT( INDIRECT( ADDRESS( ROW() + Row_Offset, INDIRECT( "Column_Number_" &amp; C$1), 4,1, tabname) ), "")</f>
        <v/>
      </c>
      <c r="D127" s="10" t="str">
        <f ca="1">TEXT( INDIRECT( ADDRESS( ROW() + Row_Offset, INDIRECT( "Column_Number_" &amp; D$1), 4,1, tabname) ), "")</f>
        <v/>
      </c>
      <c r="E127" s="10" t="str">
        <f ca="1">TEXT( INDIRECT( ADDRESS( ROW() + Row_Offset, INDIRECT( "Column_Number_" &amp; E$1), 4,1, tabname) ), "####")</f>
        <v/>
      </c>
      <c r="F127" s="15"/>
      <c r="G127" s="22" t="str">
        <f ca="1">IFERROR(INDEX(Rank_Table[],MATCH($D127&amp;$A127,Table4[Join],0)),"")</f>
        <v/>
      </c>
      <c r="H127" s="11" t="str">
        <f ca="1">IF(AND(D127="Juvenile Audiobook",LEFT(B127,8)="J CD BIO"),RIGHT(B127,LEN(B127)-9),
IF(AND(D127="Juvenile Audiobook",LEFT(B127,8)="J CD FIC"),B127,
IF(D127="Juvenile Audiobook",RIGHT(B127,LEN(B127)-5),
IF(AND(D127="Teen Audiobook",LEFT(B127,11)="TEEN CD BIO"),RIGHT(B127,LEN(B127)-12),
IF(AND(D127="Teen Audiobook",LEFT(B127,11)="TEEN CD FIC"),B127,
IF(D127="Juvenile Audiobook",RIGHT(B127,LEN(B127)-8),
IF(D127="Juvenile Nonfiction",RIGHT(B127,LEN(B127)-2),
IF(D127="Teen Nonfiction",RIGHT(B127,LEN(B127)-5),
IF(AND(D127="Audiobook",
              NOT(OR(Contains($B127,"CD BIO"),Contains($B127,"CD FIC")))),RIGHT(B127,LEN(B127)-3),
IF(D127="Juvenile Biography",RIGHT(B127,LEN(B127)-2),
IF(D127="Teen Biography",RIGHT(B127,LEN(B127)-5),
IF(AND(D127="Audiobook",
              IFERROR(FIND("BIO",$B127)&gt;0,FALSE)),RIGHT(B127,LEN(B127)-3),
IF(D127="Juvenile Large Type","J "&amp;RIGHT(B127,LEN(B127)-11),
IF(D127="Teen Large Type","TEEN "&amp;RIGHT(B127,LEN(B127)-14),
IF(D127="Reference",RIGHT(B127,LEN(B127)-4),
IF(D127="DVD Educational",RIGHT(B127,LEN(B127)-7),
IF(D127="Juvenile DVD Educational",RIGHT(B127,LEN(B127)-9),
B127)))))))))))))))))</f>
        <v/>
      </c>
      <c r="N127" s="11" t="str">
        <f ca="1">IF(IFERROR(FIND("New",$A127)&gt;0,FALSE),"New ","") &amp; IF(IFERROR(FIND("In Lib",$A127)&gt;0,FALSE),"Reference ","") &amp;
IF(AND(D127="Audiobook",LEFT(B127,6)="CD BIO"),"Biography",
IF(AND(D127="Teen Audiobook",LEFT(B127,11)="TEEN CD BIO"),"Biography",
IF(AND(D127="Juvenile Audiobook",LEFT(B127,8)="J CD BIO"),"Biography",
IF(AND(D127="Audiobook",LEFT(B127,6)="CD FIC"),"Audiobook Fiction",
IF(AND(D127="Teen Audiobook",LEFT(B127,11)="TEEN CD FIC"),"Teen Audiobook",
IF(AND(D127="Juvenile Audiobook",LEFT(B127,8)="J CD FIC"),"Juvenile Audiobook",
IF(D127="Audiobook","Nonfiction",
IF(D127="Juvenile Audiobook","Nonfiction",
IF(D127="Teen Audiobook","Nonfiction",
IF(D127="Juvenile Nonfiction","Nonfiction",
IF(D127="Teen Nonfiction","Nonfiction",
IF(D127="Juvenile Biography","Biography",
IF(D127="Teen Biography","Biography",
IF(D127="ESL","Nonfiction",
IF(LEFT(B127,11)="INTL-VIE J ","International Juvenile",IF(LEFT(B127,11)="INTL-TAG J ","International Juvenile",IF(LEFT(B127,11)="INTL-RUS J ","International Juvenile",IF(LEFT(B127,11)="INTL-KOR J ","International Juvenile",IF(LEFT(B127,11)="INTL-JAP J ","International Juvenile",IF(LEFT(B127,11)="INTL-CHI J ","International Juvenile",IF(LEFT(B127,11)="INTL-SPA J ","International Juvenile",IF(LEFT(B127,14)="INTL-VIE TEEN ","International Teen",IF(LEFT(B127,14)="INTL-TAG TEEN ","International Teen",IF(LEFT(B127,14)="INTL-RUS TEEN ","International Teen",IF(LEFT(B127,14)="INTL-KOR TEEN ","International Teen",IF(LEFT(B127,14)="INTL-JAP TEEN ","International Teen",IF(LEFT(B127,14)="INTL-CHI TEEN ","International Teen",IF(LEFT(B127,14)="INTL-SPA TEEN ","International Teen",IF(LEFT(B127,11)="INTL-VIE E ","International Easy",IF(LEFT(B127,11)="INTL-TAG E ","International Easy",IF(LEFT(B127,11)="INTL-RUS E ","International Easy",IF(LEFT(B127,11)="INTL-JAP E ","International Easy",IF(LEFT(B127,11)="INTL-KOR E ","International Easy",IF(LEFT(B127,11)="INTL-CHI E ","International Easy",IF(LEFT(B127,11)="INTL-SPA E ","International Easy",
IF(D127="Teen Large Type","Teen Fiction",
IF(D127="Juvenile Large Type","Juvenile Fiction",
IF(LEFT(B127,6)="J CD O","Juvenile Compact Disc",
IF(AND(LEFT(B127,4)="TEEN",D127="Fiction"),"Teen Fiction",
IF(D127="DVD Educational","Nonfiction",
IF(D127="Juvenile DVD Educational","Nonfiction",
IF(D127="Reference","Nonfiction",
D127))))))))))))))))))))))))))))))))))))))))))</f>
        <v/>
      </c>
    </row>
    <row r="128" spans="1:14" ht="27" customHeight="1" x14ac:dyDescent="0.25">
      <c r="A128" s="10" t="str">
        <f ca="1">TEXT( INDIRECT( ADDRESS( ROW() + Row_Offset, INDIRECT( "Column_Number_" &amp; A$1), 4,1, tabname) ), "")</f>
        <v/>
      </c>
      <c r="B128" s="10" t="str">
        <f ca="1">TEXT(  IFERROR( VLOOKUP( $D128, CollName_Simplifier_Table[], 2, FALSE),"") &amp;
        INDIRECT( ADDRESS( ROW() + Row_Offset, INDIRECT( "Column_Number_" &amp; $B$1), 4,1, tabname) ), "")</f>
        <v/>
      </c>
      <c r="C128" s="10" t="str">
        <f ca="1">TEXT( INDIRECT( ADDRESS( ROW() + Row_Offset, INDIRECT( "Column_Number_" &amp; C$1), 4,1, tabname) ), "")</f>
        <v/>
      </c>
      <c r="D128" s="10" t="str">
        <f ca="1">TEXT( INDIRECT( ADDRESS( ROW() + Row_Offset, INDIRECT( "Column_Number_" &amp; D$1), 4,1, tabname) ), "")</f>
        <v/>
      </c>
      <c r="E128" s="10" t="str">
        <f ca="1">TEXT( INDIRECT( ADDRESS( ROW() + Row_Offset, INDIRECT( "Column_Number_" &amp; E$1), 4,1, tabname) ), "####")</f>
        <v/>
      </c>
      <c r="F128" s="15"/>
      <c r="G128" s="22" t="str">
        <f ca="1">IFERROR(INDEX(Rank_Table[],MATCH($D128&amp;$A128,Table4[Join],0)),"")</f>
        <v/>
      </c>
      <c r="H128" s="11" t="str">
        <f ca="1">IF(AND(D128="Juvenile Audiobook",LEFT(B128,8)="J CD BIO"),RIGHT(B128,LEN(B128)-9),
IF(AND(D128="Juvenile Audiobook",LEFT(B128,8)="J CD FIC"),B128,
IF(D128="Juvenile Audiobook",RIGHT(B128,LEN(B128)-5),
IF(AND(D128="Teen Audiobook",LEFT(B128,11)="TEEN CD BIO"),RIGHT(B128,LEN(B128)-12),
IF(AND(D128="Teen Audiobook",LEFT(B128,11)="TEEN CD FIC"),B128,
IF(D128="Juvenile Audiobook",RIGHT(B128,LEN(B128)-8),
IF(D128="Juvenile Nonfiction",RIGHT(B128,LEN(B128)-2),
IF(D128="Teen Nonfiction",RIGHT(B128,LEN(B128)-5),
IF(AND(D128="Audiobook",
              NOT(OR(Contains($B128,"CD BIO"),Contains($B128,"CD FIC")))),RIGHT(B128,LEN(B128)-3),
IF(D128="Juvenile Biography",RIGHT(B128,LEN(B128)-2),
IF(D128="Teen Biography",RIGHT(B128,LEN(B128)-5),
IF(AND(D128="Audiobook",
              IFERROR(FIND("BIO",$B128)&gt;0,FALSE)),RIGHT(B128,LEN(B128)-3),
IF(D128="Juvenile Large Type","J "&amp;RIGHT(B128,LEN(B128)-11),
IF(D128="Teen Large Type","TEEN "&amp;RIGHT(B128,LEN(B128)-14),
IF(D128="Reference",RIGHT(B128,LEN(B128)-4),
IF(D128="DVD Educational",RIGHT(B128,LEN(B128)-7),
IF(D128="Juvenile DVD Educational",RIGHT(B128,LEN(B128)-9),
B128)))))))))))))))))</f>
        <v/>
      </c>
      <c r="N128" s="11" t="str">
        <f ca="1">IF(IFERROR(FIND("New",$A128)&gt;0,FALSE),"New ","") &amp; IF(IFERROR(FIND("In Lib",$A128)&gt;0,FALSE),"Reference ","") &amp;
IF(AND(D128="Audiobook",LEFT(B128,6)="CD BIO"),"Biography",
IF(AND(D128="Teen Audiobook",LEFT(B128,11)="TEEN CD BIO"),"Biography",
IF(AND(D128="Juvenile Audiobook",LEFT(B128,8)="J CD BIO"),"Biography",
IF(AND(D128="Audiobook",LEFT(B128,6)="CD FIC"),"Audiobook Fiction",
IF(AND(D128="Teen Audiobook",LEFT(B128,11)="TEEN CD FIC"),"Teen Audiobook",
IF(AND(D128="Juvenile Audiobook",LEFT(B128,8)="J CD FIC"),"Juvenile Audiobook",
IF(D128="Audiobook","Nonfiction",
IF(D128="Juvenile Audiobook","Nonfiction",
IF(D128="Teen Audiobook","Nonfiction",
IF(D128="Juvenile Nonfiction","Nonfiction",
IF(D128="Teen Nonfiction","Nonfiction",
IF(D128="Juvenile Biography","Biography",
IF(D128="Teen Biography","Biography",
IF(D128="ESL","Nonfiction",
IF(LEFT(B128,11)="INTL-VIE J ","International Juvenile",IF(LEFT(B128,11)="INTL-TAG J ","International Juvenile",IF(LEFT(B128,11)="INTL-RUS J ","International Juvenile",IF(LEFT(B128,11)="INTL-KOR J ","International Juvenile",IF(LEFT(B128,11)="INTL-JAP J ","International Juvenile",IF(LEFT(B128,11)="INTL-CHI J ","International Juvenile",IF(LEFT(B128,11)="INTL-SPA J ","International Juvenile",IF(LEFT(B128,14)="INTL-VIE TEEN ","International Teen",IF(LEFT(B128,14)="INTL-TAG TEEN ","International Teen",IF(LEFT(B128,14)="INTL-RUS TEEN ","International Teen",IF(LEFT(B128,14)="INTL-KOR TEEN ","International Teen",IF(LEFT(B128,14)="INTL-JAP TEEN ","International Teen",IF(LEFT(B128,14)="INTL-CHI TEEN ","International Teen",IF(LEFT(B128,14)="INTL-SPA TEEN ","International Teen",IF(LEFT(B128,11)="INTL-VIE E ","International Easy",IF(LEFT(B128,11)="INTL-TAG E ","International Easy",IF(LEFT(B128,11)="INTL-RUS E ","International Easy",IF(LEFT(B128,11)="INTL-JAP E ","International Easy",IF(LEFT(B128,11)="INTL-KOR E ","International Easy",IF(LEFT(B128,11)="INTL-CHI E ","International Easy",IF(LEFT(B128,11)="INTL-SPA E ","International Easy",
IF(D128="Teen Large Type","Teen Fiction",
IF(D128="Juvenile Large Type","Juvenile Fiction",
IF(LEFT(B128,6)="J CD O","Juvenile Compact Disc",
IF(AND(LEFT(B128,4)="TEEN",D128="Fiction"),"Teen Fiction",
IF(D128="DVD Educational","Nonfiction",
IF(D128="Juvenile DVD Educational","Nonfiction",
IF(D128="Reference","Nonfiction",
D128))))))))))))))))))))))))))))))))))))))))))</f>
        <v/>
      </c>
    </row>
    <row r="129" spans="1:14" ht="27" customHeight="1" x14ac:dyDescent="0.25">
      <c r="A129" s="10" t="str">
        <f ca="1">TEXT( INDIRECT( ADDRESS( ROW() + Row_Offset, INDIRECT( "Column_Number_" &amp; A$1), 4,1, tabname) ), "")</f>
        <v/>
      </c>
      <c r="B129" s="10" t="str">
        <f ca="1">TEXT(  IFERROR( VLOOKUP( $D129, CollName_Simplifier_Table[], 2, FALSE),"") &amp;
        INDIRECT( ADDRESS( ROW() + Row_Offset, INDIRECT( "Column_Number_" &amp; $B$1), 4,1, tabname) ), "")</f>
        <v/>
      </c>
      <c r="C129" s="10" t="str">
        <f ca="1">TEXT( INDIRECT( ADDRESS( ROW() + Row_Offset, INDIRECT( "Column_Number_" &amp; C$1), 4,1, tabname) ), "")</f>
        <v/>
      </c>
      <c r="D129" s="10" t="str">
        <f ca="1">TEXT( INDIRECT( ADDRESS( ROW() + Row_Offset, INDIRECT( "Column_Number_" &amp; D$1), 4,1, tabname) ), "")</f>
        <v/>
      </c>
      <c r="E129" s="10" t="str">
        <f ca="1">TEXT( INDIRECT( ADDRESS( ROW() + Row_Offset, INDIRECT( "Column_Number_" &amp; E$1), 4,1, tabname) ), "####")</f>
        <v/>
      </c>
      <c r="F129" s="15"/>
      <c r="G129" s="22" t="str">
        <f ca="1">IFERROR(INDEX(Rank_Table[],MATCH($D129&amp;$A129,Table4[Join],0)),"")</f>
        <v/>
      </c>
      <c r="H129" s="11" t="str">
        <f ca="1">IF(AND(D129="Juvenile Audiobook",LEFT(B129,8)="J CD BIO"),RIGHT(B129,LEN(B129)-9),
IF(AND(D129="Juvenile Audiobook",LEFT(B129,8)="J CD FIC"),B129,
IF(D129="Juvenile Audiobook",RIGHT(B129,LEN(B129)-5),
IF(AND(D129="Teen Audiobook",LEFT(B129,11)="TEEN CD BIO"),RIGHT(B129,LEN(B129)-12),
IF(AND(D129="Teen Audiobook",LEFT(B129,11)="TEEN CD FIC"),B129,
IF(D129="Juvenile Audiobook",RIGHT(B129,LEN(B129)-8),
IF(D129="Juvenile Nonfiction",RIGHT(B129,LEN(B129)-2),
IF(D129="Teen Nonfiction",RIGHT(B129,LEN(B129)-5),
IF(AND(D129="Audiobook",
              NOT(OR(Contains($B129,"CD BIO"),Contains($B129,"CD FIC")))),RIGHT(B129,LEN(B129)-3),
IF(D129="Juvenile Biography",RIGHT(B129,LEN(B129)-2),
IF(D129="Teen Biography",RIGHT(B129,LEN(B129)-5),
IF(AND(D129="Audiobook",
              IFERROR(FIND("BIO",$B129)&gt;0,FALSE)),RIGHT(B129,LEN(B129)-3),
IF(D129="Juvenile Large Type","J "&amp;RIGHT(B129,LEN(B129)-11),
IF(D129="Teen Large Type","TEEN "&amp;RIGHT(B129,LEN(B129)-14),
IF(D129="Reference",RIGHT(B129,LEN(B129)-4),
IF(D129="DVD Educational",RIGHT(B129,LEN(B129)-7),
IF(D129="Juvenile DVD Educational",RIGHT(B129,LEN(B129)-9),
B129)))))))))))))))))</f>
        <v/>
      </c>
      <c r="N129" s="11" t="str">
        <f ca="1">IF(IFERROR(FIND("New",$A129)&gt;0,FALSE),"New ","") &amp; IF(IFERROR(FIND("In Lib",$A129)&gt;0,FALSE),"Reference ","") &amp;
IF(AND(D129="Audiobook",LEFT(B129,6)="CD BIO"),"Biography",
IF(AND(D129="Teen Audiobook",LEFT(B129,11)="TEEN CD BIO"),"Biography",
IF(AND(D129="Juvenile Audiobook",LEFT(B129,8)="J CD BIO"),"Biography",
IF(AND(D129="Audiobook",LEFT(B129,6)="CD FIC"),"Audiobook Fiction",
IF(AND(D129="Teen Audiobook",LEFT(B129,11)="TEEN CD FIC"),"Teen Audiobook",
IF(AND(D129="Juvenile Audiobook",LEFT(B129,8)="J CD FIC"),"Juvenile Audiobook",
IF(D129="Audiobook","Nonfiction",
IF(D129="Juvenile Audiobook","Nonfiction",
IF(D129="Teen Audiobook","Nonfiction",
IF(D129="Juvenile Nonfiction","Nonfiction",
IF(D129="Teen Nonfiction","Nonfiction",
IF(D129="Juvenile Biography","Biography",
IF(D129="Teen Biography","Biography",
IF(D129="ESL","Nonfiction",
IF(LEFT(B129,11)="INTL-VIE J ","International Juvenile",IF(LEFT(B129,11)="INTL-TAG J ","International Juvenile",IF(LEFT(B129,11)="INTL-RUS J ","International Juvenile",IF(LEFT(B129,11)="INTL-KOR J ","International Juvenile",IF(LEFT(B129,11)="INTL-JAP J ","International Juvenile",IF(LEFT(B129,11)="INTL-CHI J ","International Juvenile",IF(LEFT(B129,11)="INTL-SPA J ","International Juvenile",IF(LEFT(B129,14)="INTL-VIE TEEN ","International Teen",IF(LEFT(B129,14)="INTL-TAG TEEN ","International Teen",IF(LEFT(B129,14)="INTL-RUS TEEN ","International Teen",IF(LEFT(B129,14)="INTL-KOR TEEN ","International Teen",IF(LEFT(B129,14)="INTL-JAP TEEN ","International Teen",IF(LEFT(B129,14)="INTL-CHI TEEN ","International Teen",IF(LEFT(B129,14)="INTL-SPA TEEN ","International Teen",IF(LEFT(B129,11)="INTL-VIE E ","International Easy",IF(LEFT(B129,11)="INTL-TAG E ","International Easy",IF(LEFT(B129,11)="INTL-RUS E ","International Easy",IF(LEFT(B129,11)="INTL-JAP E ","International Easy",IF(LEFT(B129,11)="INTL-KOR E ","International Easy",IF(LEFT(B129,11)="INTL-CHI E ","International Easy",IF(LEFT(B129,11)="INTL-SPA E ","International Easy",
IF(D129="Teen Large Type","Teen Fiction",
IF(D129="Juvenile Large Type","Juvenile Fiction",
IF(LEFT(B129,6)="J CD O","Juvenile Compact Disc",
IF(AND(LEFT(B129,4)="TEEN",D129="Fiction"),"Teen Fiction",
IF(D129="DVD Educational","Nonfiction",
IF(D129="Juvenile DVD Educational","Nonfiction",
IF(D129="Reference","Nonfiction",
D129))))))))))))))))))))))))))))))))))))))))))</f>
        <v/>
      </c>
    </row>
    <row r="130" spans="1:14" ht="27" customHeight="1" x14ac:dyDescent="0.25">
      <c r="A130" s="10" t="str">
        <f ca="1">TEXT( INDIRECT( ADDRESS( ROW() + Row_Offset, INDIRECT( "Column_Number_" &amp; A$1), 4,1, tabname) ), "")</f>
        <v/>
      </c>
      <c r="B130" s="10" t="str">
        <f ca="1">TEXT(  IFERROR( VLOOKUP( $D130, CollName_Simplifier_Table[], 2, FALSE),"") &amp;
        INDIRECT( ADDRESS( ROW() + Row_Offset, INDIRECT( "Column_Number_" &amp; $B$1), 4,1, tabname) ), "")</f>
        <v/>
      </c>
      <c r="C130" s="10" t="str">
        <f ca="1">TEXT( INDIRECT( ADDRESS( ROW() + Row_Offset, INDIRECT( "Column_Number_" &amp; C$1), 4,1, tabname) ), "")</f>
        <v/>
      </c>
      <c r="D130" s="10" t="str">
        <f ca="1">TEXT( INDIRECT( ADDRESS( ROW() + Row_Offset, INDIRECT( "Column_Number_" &amp; D$1), 4,1, tabname) ), "")</f>
        <v/>
      </c>
      <c r="E130" s="10" t="str">
        <f ca="1">TEXT( INDIRECT( ADDRESS( ROW() + Row_Offset, INDIRECT( "Column_Number_" &amp; E$1), 4,1, tabname) ), "####")</f>
        <v/>
      </c>
      <c r="F130" s="15"/>
      <c r="G130" s="22" t="str">
        <f ca="1">IFERROR(INDEX(Rank_Table[],MATCH($D130&amp;$A130,Table4[Join],0)),"")</f>
        <v/>
      </c>
      <c r="H130" s="11" t="str">
        <f ca="1">IF(AND(D130="Juvenile Audiobook",LEFT(B130,8)="J CD BIO"),RIGHT(B130,LEN(B130)-9),
IF(AND(D130="Juvenile Audiobook",LEFT(B130,8)="J CD FIC"),B130,
IF(D130="Juvenile Audiobook",RIGHT(B130,LEN(B130)-5),
IF(AND(D130="Teen Audiobook",LEFT(B130,11)="TEEN CD BIO"),RIGHT(B130,LEN(B130)-12),
IF(AND(D130="Teen Audiobook",LEFT(B130,11)="TEEN CD FIC"),B130,
IF(D130="Juvenile Audiobook",RIGHT(B130,LEN(B130)-8),
IF(D130="Juvenile Nonfiction",RIGHT(B130,LEN(B130)-2),
IF(D130="Teen Nonfiction",RIGHT(B130,LEN(B130)-5),
IF(AND(D130="Audiobook",
              NOT(OR(Contains($B130,"CD BIO"),Contains($B130,"CD FIC")))),RIGHT(B130,LEN(B130)-3),
IF(D130="Juvenile Biography",RIGHT(B130,LEN(B130)-2),
IF(D130="Teen Biography",RIGHT(B130,LEN(B130)-5),
IF(AND(D130="Audiobook",
              IFERROR(FIND("BIO",$B130)&gt;0,FALSE)),RIGHT(B130,LEN(B130)-3),
IF(D130="Juvenile Large Type","J "&amp;RIGHT(B130,LEN(B130)-11),
IF(D130="Teen Large Type","TEEN "&amp;RIGHT(B130,LEN(B130)-14),
IF(D130="Reference",RIGHT(B130,LEN(B130)-4),
IF(D130="DVD Educational",RIGHT(B130,LEN(B130)-7),
IF(D130="Juvenile DVD Educational",RIGHT(B130,LEN(B130)-9),
B130)))))))))))))))))</f>
        <v/>
      </c>
      <c r="N130" s="11" t="str">
        <f ca="1">IF(IFERROR(FIND("New",$A130)&gt;0,FALSE),"New ","") &amp; IF(IFERROR(FIND("In Lib",$A130)&gt;0,FALSE),"Reference ","") &amp;
IF(AND(D130="Audiobook",LEFT(B130,6)="CD BIO"),"Biography",
IF(AND(D130="Teen Audiobook",LEFT(B130,11)="TEEN CD BIO"),"Biography",
IF(AND(D130="Juvenile Audiobook",LEFT(B130,8)="J CD BIO"),"Biography",
IF(AND(D130="Audiobook",LEFT(B130,6)="CD FIC"),"Audiobook Fiction",
IF(AND(D130="Teen Audiobook",LEFT(B130,11)="TEEN CD FIC"),"Teen Audiobook",
IF(AND(D130="Juvenile Audiobook",LEFT(B130,8)="J CD FIC"),"Juvenile Audiobook",
IF(D130="Audiobook","Nonfiction",
IF(D130="Juvenile Audiobook","Nonfiction",
IF(D130="Teen Audiobook","Nonfiction",
IF(D130="Juvenile Nonfiction","Nonfiction",
IF(D130="Teen Nonfiction","Nonfiction",
IF(D130="Juvenile Biography","Biography",
IF(D130="Teen Biography","Biography",
IF(D130="ESL","Nonfiction",
IF(LEFT(B130,11)="INTL-VIE J ","International Juvenile",IF(LEFT(B130,11)="INTL-TAG J ","International Juvenile",IF(LEFT(B130,11)="INTL-RUS J ","International Juvenile",IF(LEFT(B130,11)="INTL-KOR J ","International Juvenile",IF(LEFT(B130,11)="INTL-JAP J ","International Juvenile",IF(LEFT(B130,11)="INTL-CHI J ","International Juvenile",IF(LEFT(B130,11)="INTL-SPA J ","International Juvenile",IF(LEFT(B130,14)="INTL-VIE TEEN ","International Teen",IF(LEFT(B130,14)="INTL-TAG TEEN ","International Teen",IF(LEFT(B130,14)="INTL-RUS TEEN ","International Teen",IF(LEFT(B130,14)="INTL-KOR TEEN ","International Teen",IF(LEFT(B130,14)="INTL-JAP TEEN ","International Teen",IF(LEFT(B130,14)="INTL-CHI TEEN ","International Teen",IF(LEFT(B130,14)="INTL-SPA TEEN ","International Teen",IF(LEFT(B130,11)="INTL-VIE E ","International Easy",IF(LEFT(B130,11)="INTL-TAG E ","International Easy",IF(LEFT(B130,11)="INTL-RUS E ","International Easy",IF(LEFT(B130,11)="INTL-JAP E ","International Easy",IF(LEFT(B130,11)="INTL-KOR E ","International Easy",IF(LEFT(B130,11)="INTL-CHI E ","International Easy",IF(LEFT(B130,11)="INTL-SPA E ","International Easy",
IF(D130="Teen Large Type","Teen Fiction",
IF(D130="Juvenile Large Type","Juvenile Fiction",
IF(LEFT(B130,6)="J CD O","Juvenile Compact Disc",
IF(AND(LEFT(B130,4)="TEEN",D130="Fiction"),"Teen Fiction",
IF(D130="DVD Educational","Nonfiction",
IF(D130="Juvenile DVD Educational","Nonfiction",
IF(D130="Reference","Nonfiction",
D130))))))))))))))))))))))))))))))))))))))))))</f>
        <v/>
      </c>
    </row>
    <row r="131" spans="1:14" ht="27" customHeight="1" x14ac:dyDescent="0.25">
      <c r="A131" s="10" t="str">
        <f ca="1">TEXT( INDIRECT( ADDRESS( ROW() + Row_Offset, INDIRECT( "Column_Number_" &amp; A$1), 4,1, tabname) ), "")</f>
        <v/>
      </c>
      <c r="B131" s="10" t="str">
        <f ca="1">TEXT(  IFERROR( VLOOKUP( $D131, CollName_Simplifier_Table[], 2, FALSE),"") &amp;
        INDIRECT( ADDRESS( ROW() + Row_Offset, INDIRECT( "Column_Number_" &amp; $B$1), 4,1, tabname) ), "")</f>
        <v/>
      </c>
      <c r="C131" s="10" t="str">
        <f ca="1">TEXT( INDIRECT( ADDRESS( ROW() + Row_Offset, INDIRECT( "Column_Number_" &amp; C$1), 4,1, tabname) ), "")</f>
        <v/>
      </c>
      <c r="D131" s="10" t="str">
        <f ca="1">TEXT( INDIRECT( ADDRESS( ROW() + Row_Offset, INDIRECT( "Column_Number_" &amp; D$1), 4,1, tabname) ), "")</f>
        <v/>
      </c>
      <c r="E131" s="10" t="str">
        <f ca="1">TEXT( INDIRECT( ADDRESS( ROW() + Row_Offset, INDIRECT( "Column_Number_" &amp; E$1), 4,1, tabname) ), "####")</f>
        <v/>
      </c>
      <c r="F131" s="15"/>
      <c r="G131" s="22" t="str">
        <f ca="1">IFERROR(INDEX(Rank_Table[],MATCH($D131&amp;$A131,Table4[Join],0)),"")</f>
        <v/>
      </c>
      <c r="H131" s="11" t="str">
        <f ca="1">IF(AND(D131="Juvenile Audiobook",LEFT(B131,8)="J CD BIO"),RIGHT(B131,LEN(B131)-9),
IF(AND(D131="Juvenile Audiobook",LEFT(B131,8)="J CD FIC"),B131,
IF(D131="Juvenile Audiobook",RIGHT(B131,LEN(B131)-5),
IF(AND(D131="Teen Audiobook",LEFT(B131,11)="TEEN CD BIO"),RIGHT(B131,LEN(B131)-12),
IF(AND(D131="Teen Audiobook",LEFT(B131,11)="TEEN CD FIC"),B131,
IF(D131="Juvenile Audiobook",RIGHT(B131,LEN(B131)-8),
IF(D131="Juvenile Nonfiction",RIGHT(B131,LEN(B131)-2),
IF(D131="Teen Nonfiction",RIGHT(B131,LEN(B131)-5),
IF(AND(D131="Audiobook",
              NOT(OR(Contains($B131,"CD BIO"),Contains($B131,"CD FIC")))),RIGHT(B131,LEN(B131)-3),
IF(D131="Juvenile Biography",RIGHT(B131,LEN(B131)-2),
IF(D131="Teen Biography",RIGHT(B131,LEN(B131)-5),
IF(AND(D131="Audiobook",
              IFERROR(FIND("BIO",$B131)&gt;0,FALSE)),RIGHT(B131,LEN(B131)-3),
IF(D131="Juvenile Large Type","J "&amp;RIGHT(B131,LEN(B131)-11),
IF(D131="Teen Large Type","TEEN "&amp;RIGHT(B131,LEN(B131)-14),
IF(D131="Reference",RIGHT(B131,LEN(B131)-4),
IF(D131="DVD Educational",RIGHT(B131,LEN(B131)-7),
IF(D131="Juvenile DVD Educational",RIGHT(B131,LEN(B131)-9),
B131)))))))))))))))))</f>
        <v/>
      </c>
      <c r="N131" s="11" t="str">
        <f ca="1">IF(IFERROR(FIND("New",$A131)&gt;0,FALSE),"New ","") &amp; IF(IFERROR(FIND("In Lib",$A131)&gt;0,FALSE),"Reference ","") &amp;
IF(AND(D131="Audiobook",LEFT(B131,6)="CD BIO"),"Biography",
IF(AND(D131="Teen Audiobook",LEFT(B131,11)="TEEN CD BIO"),"Biography",
IF(AND(D131="Juvenile Audiobook",LEFT(B131,8)="J CD BIO"),"Biography",
IF(AND(D131="Audiobook",LEFT(B131,6)="CD FIC"),"Audiobook Fiction",
IF(AND(D131="Teen Audiobook",LEFT(B131,11)="TEEN CD FIC"),"Teen Audiobook",
IF(AND(D131="Juvenile Audiobook",LEFT(B131,8)="J CD FIC"),"Juvenile Audiobook",
IF(D131="Audiobook","Nonfiction",
IF(D131="Juvenile Audiobook","Nonfiction",
IF(D131="Teen Audiobook","Nonfiction",
IF(D131="Juvenile Nonfiction","Nonfiction",
IF(D131="Teen Nonfiction","Nonfiction",
IF(D131="Juvenile Biography","Biography",
IF(D131="Teen Biography","Biography",
IF(D131="ESL","Nonfiction",
IF(LEFT(B131,11)="INTL-VIE J ","International Juvenile",IF(LEFT(B131,11)="INTL-TAG J ","International Juvenile",IF(LEFT(B131,11)="INTL-RUS J ","International Juvenile",IF(LEFT(B131,11)="INTL-KOR J ","International Juvenile",IF(LEFT(B131,11)="INTL-JAP J ","International Juvenile",IF(LEFT(B131,11)="INTL-CHI J ","International Juvenile",IF(LEFT(B131,11)="INTL-SPA J ","International Juvenile",IF(LEFT(B131,14)="INTL-VIE TEEN ","International Teen",IF(LEFT(B131,14)="INTL-TAG TEEN ","International Teen",IF(LEFT(B131,14)="INTL-RUS TEEN ","International Teen",IF(LEFT(B131,14)="INTL-KOR TEEN ","International Teen",IF(LEFT(B131,14)="INTL-JAP TEEN ","International Teen",IF(LEFT(B131,14)="INTL-CHI TEEN ","International Teen",IF(LEFT(B131,14)="INTL-SPA TEEN ","International Teen",IF(LEFT(B131,11)="INTL-VIE E ","International Easy",IF(LEFT(B131,11)="INTL-TAG E ","International Easy",IF(LEFT(B131,11)="INTL-RUS E ","International Easy",IF(LEFT(B131,11)="INTL-JAP E ","International Easy",IF(LEFT(B131,11)="INTL-KOR E ","International Easy",IF(LEFT(B131,11)="INTL-CHI E ","International Easy",IF(LEFT(B131,11)="INTL-SPA E ","International Easy",
IF(D131="Teen Large Type","Teen Fiction",
IF(D131="Juvenile Large Type","Juvenile Fiction",
IF(LEFT(B131,6)="J CD O","Juvenile Compact Disc",
IF(AND(LEFT(B131,4)="TEEN",D131="Fiction"),"Teen Fiction",
IF(D131="DVD Educational","Nonfiction",
IF(D131="Juvenile DVD Educational","Nonfiction",
IF(D131="Reference","Nonfiction",
D131))))))))))))))))))))))))))))))))))))))))))</f>
        <v/>
      </c>
    </row>
    <row r="132" spans="1:14" ht="27" customHeight="1" x14ac:dyDescent="0.25">
      <c r="A132" s="10" t="str">
        <f ca="1">TEXT( INDIRECT( ADDRESS( ROW() + Row_Offset, INDIRECT( "Column_Number_" &amp; A$1), 4,1, tabname) ), "")</f>
        <v/>
      </c>
      <c r="B132" s="10" t="str">
        <f ca="1">TEXT(  IFERROR( VLOOKUP( $D132, CollName_Simplifier_Table[], 2, FALSE),"") &amp;
        INDIRECT( ADDRESS( ROW() + Row_Offset, INDIRECT( "Column_Number_" &amp; $B$1), 4,1, tabname) ), "")</f>
        <v/>
      </c>
      <c r="C132" s="10" t="str">
        <f ca="1">TEXT( INDIRECT( ADDRESS( ROW() + Row_Offset, INDIRECT( "Column_Number_" &amp; C$1), 4,1, tabname) ), "")</f>
        <v/>
      </c>
      <c r="D132" s="10" t="str">
        <f ca="1">TEXT( INDIRECT( ADDRESS( ROW() + Row_Offset, INDIRECT( "Column_Number_" &amp; D$1), 4,1, tabname) ), "")</f>
        <v/>
      </c>
      <c r="E132" s="10" t="str">
        <f ca="1">TEXT( INDIRECT( ADDRESS( ROW() + Row_Offset, INDIRECT( "Column_Number_" &amp; E$1), 4,1, tabname) ), "####")</f>
        <v/>
      </c>
      <c r="F132" s="15"/>
      <c r="G132" s="22" t="str">
        <f ca="1">IFERROR(INDEX(Rank_Table[],MATCH($D132&amp;$A132,Table4[Join],0)),"")</f>
        <v/>
      </c>
      <c r="H132" s="11" t="str">
        <f ca="1">IF(AND(D132="Juvenile Audiobook",LEFT(B132,8)="J CD BIO"),RIGHT(B132,LEN(B132)-9),
IF(AND(D132="Juvenile Audiobook",LEFT(B132,8)="J CD FIC"),B132,
IF(D132="Juvenile Audiobook",RIGHT(B132,LEN(B132)-5),
IF(AND(D132="Teen Audiobook",LEFT(B132,11)="TEEN CD BIO"),RIGHT(B132,LEN(B132)-12),
IF(AND(D132="Teen Audiobook",LEFT(B132,11)="TEEN CD FIC"),B132,
IF(D132="Juvenile Audiobook",RIGHT(B132,LEN(B132)-8),
IF(D132="Juvenile Nonfiction",RIGHT(B132,LEN(B132)-2),
IF(D132="Teen Nonfiction",RIGHT(B132,LEN(B132)-5),
IF(AND(D132="Audiobook",
              NOT(OR(Contains($B132,"CD BIO"),Contains($B132,"CD FIC")))),RIGHT(B132,LEN(B132)-3),
IF(D132="Juvenile Biography",RIGHT(B132,LEN(B132)-2),
IF(D132="Teen Biography",RIGHT(B132,LEN(B132)-5),
IF(AND(D132="Audiobook",
              IFERROR(FIND("BIO",$B132)&gt;0,FALSE)),RIGHT(B132,LEN(B132)-3),
IF(D132="Juvenile Large Type","J "&amp;RIGHT(B132,LEN(B132)-11),
IF(D132="Teen Large Type","TEEN "&amp;RIGHT(B132,LEN(B132)-14),
IF(D132="Reference",RIGHT(B132,LEN(B132)-4),
IF(D132="DVD Educational",RIGHT(B132,LEN(B132)-7),
IF(D132="Juvenile DVD Educational",RIGHT(B132,LEN(B132)-9),
B132)))))))))))))))))</f>
        <v/>
      </c>
      <c r="N132" s="11" t="str">
        <f ca="1">IF(IFERROR(FIND("New",$A132)&gt;0,FALSE),"New ","") &amp; IF(IFERROR(FIND("In Lib",$A132)&gt;0,FALSE),"Reference ","") &amp;
IF(AND(D132="Audiobook",LEFT(B132,6)="CD BIO"),"Biography",
IF(AND(D132="Teen Audiobook",LEFT(B132,11)="TEEN CD BIO"),"Biography",
IF(AND(D132="Juvenile Audiobook",LEFT(B132,8)="J CD BIO"),"Biography",
IF(AND(D132="Audiobook",LEFT(B132,6)="CD FIC"),"Audiobook Fiction",
IF(AND(D132="Teen Audiobook",LEFT(B132,11)="TEEN CD FIC"),"Teen Audiobook",
IF(AND(D132="Juvenile Audiobook",LEFT(B132,8)="J CD FIC"),"Juvenile Audiobook",
IF(D132="Audiobook","Nonfiction",
IF(D132="Juvenile Audiobook","Nonfiction",
IF(D132="Teen Audiobook","Nonfiction",
IF(D132="Juvenile Nonfiction","Nonfiction",
IF(D132="Teen Nonfiction","Nonfiction",
IF(D132="Juvenile Biography","Biography",
IF(D132="Teen Biography","Biography",
IF(D132="ESL","Nonfiction",
IF(LEFT(B132,11)="INTL-VIE J ","International Juvenile",IF(LEFT(B132,11)="INTL-TAG J ","International Juvenile",IF(LEFT(B132,11)="INTL-RUS J ","International Juvenile",IF(LEFT(B132,11)="INTL-KOR J ","International Juvenile",IF(LEFT(B132,11)="INTL-JAP J ","International Juvenile",IF(LEFT(B132,11)="INTL-CHI J ","International Juvenile",IF(LEFT(B132,11)="INTL-SPA J ","International Juvenile",IF(LEFT(B132,14)="INTL-VIE TEEN ","International Teen",IF(LEFT(B132,14)="INTL-TAG TEEN ","International Teen",IF(LEFT(B132,14)="INTL-RUS TEEN ","International Teen",IF(LEFT(B132,14)="INTL-KOR TEEN ","International Teen",IF(LEFT(B132,14)="INTL-JAP TEEN ","International Teen",IF(LEFT(B132,14)="INTL-CHI TEEN ","International Teen",IF(LEFT(B132,14)="INTL-SPA TEEN ","International Teen",IF(LEFT(B132,11)="INTL-VIE E ","International Easy",IF(LEFT(B132,11)="INTL-TAG E ","International Easy",IF(LEFT(B132,11)="INTL-RUS E ","International Easy",IF(LEFT(B132,11)="INTL-JAP E ","International Easy",IF(LEFT(B132,11)="INTL-KOR E ","International Easy",IF(LEFT(B132,11)="INTL-CHI E ","International Easy",IF(LEFT(B132,11)="INTL-SPA E ","International Easy",
IF(D132="Teen Large Type","Teen Fiction",
IF(D132="Juvenile Large Type","Juvenile Fiction",
IF(LEFT(B132,6)="J CD O","Juvenile Compact Disc",
IF(AND(LEFT(B132,4)="TEEN",D132="Fiction"),"Teen Fiction",
IF(D132="DVD Educational","Nonfiction",
IF(D132="Juvenile DVD Educational","Nonfiction",
IF(D132="Reference","Nonfiction",
D132))))))))))))))))))))))))))))))))))))))))))</f>
        <v/>
      </c>
    </row>
    <row r="133" spans="1:14" ht="27" customHeight="1" x14ac:dyDescent="0.25">
      <c r="A133" s="10" t="str">
        <f ca="1">TEXT( INDIRECT( ADDRESS( ROW() + Row_Offset, INDIRECT( "Column_Number_" &amp; A$1), 4,1, tabname) ), "")</f>
        <v/>
      </c>
      <c r="B133" s="10" t="str">
        <f ca="1">TEXT(  IFERROR( VLOOKUP( $D133, CollName_Simplifier_Table[], 2, FALSE),"") &amp;
        INDIRECT( ADDRESS( ROW() + Row_Offset, INDIRECT( "Column_Number_" &amp; $B$1), 4,1, tabname) ), "")</f>
        <v/>
      </c>
      <c r="C133" s="10" t="str">
        <f ca="1">TEXT( INDIRECT( ADDRESS( ROW() + Row_Offset, INDIRECT( "Column_Number_" &amp; C$1), 4,1, tabname) ), "")</f>
        <v/>
      </c>
      <c r="D133" s="10" t="str">
        <f ca="1">TEXT( INDIRECT( ADDRESS( ROW() + Row_Offset, INDIRECT( "Column_Number_" &amp; D$1), 4,1, tabname) ), "")</f>
        <v/>
      </c>
      <c r="E133" s="10" t="str">
        <f ca="1">TEXT( INDIRECT( ADDRESS( ROW() + Row_Offset, INDIRECT( "Column_Number_" &amp; E$1), 4,1, tabname) ), "####")</f>
        <v/>
      </c>
      <c r="F133" s="15"/>
      <c r="G133" s="22" t="str">
        <f ca="1">IFERROR(INDEX(Rank_Table[],MATCH($D133&amp;$A133,Table4[Join],0)),"")</f>
        <v/>
      </c>
      <c r="H133" s="11" t="str">
        <f ca="1">IF(AND(D133="Juvenile Audiobook",LEFT(B133,8)="J CD BIO"),RIGHT(B133,LEN(B133)-9),
IF(AND(D133="Juvenile Audiobook",LEFT(B133,8)="J CD FIC"),B133,
IF(D133="Juvenile Audiobook",RIGHT(B133,LEN(B133)-5),
IF(AND(D133="Teen Audiobook",LEFT(B133,11)="TEEN CD BIO"),RIGHT(B133,LEN(B133)-12),
IF(AND(D133="Teen Audiobook",LEFT(B133,11)="TEEN CD FIC"),B133,
IF(D133="Juvenile Audiobook",RIGHT(B133,LEN(B133)-8),
IF(D133="Juvenile Nonfiction",RIGHT(B133,LEN(B133)-2),
IF(D133="Teen Nonfiction",RIGHT(B133,LEN(B133)-5),
IF(AND(D133="Audiobook",
              NOT(OR(Contains($B133,"CD BIO"),Contains($B133,"CD FIC")))),RIGHT(B133,LEN(B133)-3),
IF(D133="Juvenile Biography",RIGHT(B133,LEN(B133)-2),
IF(D133="Teen Biography",RIGHT(B133,LEN(B133)-5),
IF(AND(D133="Audiobook",
              IFERROR(FIND("BIO",$B133)&gt;0,FALSE)),RIGHT(B133,LEN(B133)-3),
IF(D133="Juvenile Large Type","J "&amp;RIGHT(B133,LEN(B133)-11),
IF(D133="Teen Large Type","TEEN "&amp;RIGHT(B133,LEN(B133)-14),
IF(D133="Reference",RIGHT(B133,LEN(B133)-4),
IF(D133="DVD Educational",RIGHT(B133,LEN(B133)-7),
IF(D133="Juvenile DVD Educational",RIGHT(B133,LEN(B133)-9),
B133)))))))))))))))))</f>
        <v/>
      </c>
      <c r="N133" s="11" t="str">
        <f ca="1">IF(IFERROR(FIND("New",$A133)&gt;0,FALSE),"New ","") &amp; IF(IFERROR(FIND("In Lib",$A133)&gt;0,FALSE),"Reference ","") &amp;
IF(AND(D133="Audiobook",LEFT(B133,6)="CD BIO"),"Biography",
IF(AND(D133="Teen Audiobook",LEFT(B133,11)="TEEN CD BIO"),"Biography",
IF(AND(D133="Juvenile Audiobook",LEFT(B133,8)="J CD BIO"),"Biography",
IF(AND(D133="Audiobook",LEFT(B133,6)="CD FIC"),"Audiobook Fiction",
IF(AND(D133="Teen Audiobook",LEFT(B133,11)="TEEN CD FIC"),"Teen Audiobook",
IF(AND(D133="Juvenile Audiobook",LEFT(B133,8)="J CD FIC"),"Juvenile Audiobook",
IF(D133="Audiobook","Nonfiction",
IF(D133="Juvenile Audiobook","Nonfiction",
IF(D133="Teen Audiobook","Nonfiction",
IF(D133="Juvenile Nonfiction","Nonfiction",
IF(D133="Teen Nonfiction","Nonfiction",
IF(D133="Juvenile Biography","Biography",
IF(D133="Teen Biography","Biography",
IF(D133="ESL","Nonfiction",
IF(LEFT(B133,11)="INTL-VIE J ","International Juvenile",IF(LEFT(B133,11)="INTL-TAG J ","International Juvenile",IF(LEFT(B133,11)="INTL-RUS J ","International Juvenile",IF(LEFT(B133,11)="INTL-KOR J ","International Juvenile",IF(LEFT(B133,11)="INTL-JAP J ","International Juvenile",IF(LEFT(B133,11)="INTL-CHI J ","International Juvenile",IF(LEFT(B133,11)="INTL-SPA J ","International Juvenile",IF(LEFT(B133,14)="INTL-VIE TEEN ","International Teen",IF(LEFT(B133,14)="INTL-TAG TEEN ","International Teen",IF(LEFT(B133,14)="INTL-RUS TEEN ","International Teen",IF(LEFT(B133,14)="INTL-KOR TEEN ","International Teen",IF(LEFT(B133,14)="INTL-JAP TEEN ","International Teen",IF(LEFT(B133,14)="INTL-CHI TEEN ","International Teen",IF(LEFT(B133,14)="INTL-SPA TEEN ","International Teen",IF(LEFT(B133,11)="INTL-VIE E ","International Easy",IF(LEFT(B133,11)="INTL-TAG E ","International Easy",IF(LEFT(B133,11)="INTL-RUS E ","International Easy",IF(LEFT(B133,11)="INTL-JAP E ","International Easy",IF(LEFT(B133,11)="INTL-KOR E ","International Easy",IF(LEFT(B133,11)="INTL-CHI E ","International Easy",IF(LEFT(B133,11)="INTL-SPA E ","International Easy",
IF(D133="Teen Large Type","Teen Fiction",
IF(D133="Juvenile Large Type","Juvenile Fiction",
IF(LEFT(B133,6)="J CD O","Juvenile Compact Disc",
IF(AND(LEFT(B133,4)="TEEN",D133="Fiction"),"Teen Fiction",
IF(D133="DVD Educational","Nonfiction",
IF(D133="Juvenile DVD Educational","Nonfiction",
IF(D133="Reference","Nonfiction",
D133))))))))))))))))))))))))))))))))))))))))))</f>
        <v/>
      </c>
    </row>
    <row r="134" spans="1:14" ht="27" customHeight="1" x14ac:dyDescent="0.25">
      <c r="A134" s="10" t="str">
        <f ca="1">TEXT( INDIRECT( ADDRESS( ROW() + Row_Offset, INDIRECT( "Column_Number_" &amp; A$1), 4,1, tabname) ), "")</f>
        <v/>
      </c>
      <c r="B134" s="10" t="str">
        <f ca="1">TEXT(  IFERROR( VLOOKUP( $D134, CollName_Simplifier_Table[], 2, FALSE),"") &amp;
        INDIRECT( ADDRESS( ROW() + Row_Offset, INDIRECT( "Column_Number_" &amp; $B$1), 4,1, tabname) ), "")</f>
        <v/>
      </c>
      <c r="C134" s="10" t="str">
        <f ca="1">TEXT( INDIRECT( ADDRESS( ROW() + Row_Offset, INDIRECT( "Column_Number_" &amp; C$1), 4,1, tabname) ), "")</f>
        <v/>
      </c>
      <c r="D134" s="10" t="str">
        <f ca="1">TEXT( INDIRECT( ADDRESS( ROW() + Row_Offset, INDIRECT( "Column_Number_" &amp; D$1), 4,1, tabname) ), "")</f>
        <v/>
      </c>
      <c r="E134" s="10" t="str">
        <f ca="1">TEXT( INDIRECT( ADDRESS( ROW() + Row_Offset, INDIRECT( "Column_Number_" &amp; E$1), 4,1, tabname) ), "####")</f>
        <v/>
      </c>
      <c r="F134" s="15"/>
      <c r="G134" s="22" t="str">
        <f ca="1">IFERROR(INDEX(Rank_Table[],MATCH($D134&amp;$A134,Table4[Join],0)),"")</f>
        <v/>
      </c>
      <c r="H134" s="11" t="str">
        <f ca="1">IF(AND(D134="Juvenile Audiobook",LEFT(B134,8)="J CD BIO"),RIGHT(B134,LEN(B134)-9),
IF(AND(D134="Juvenile Audiobook",LEFT(B134,8)="J CD FIC"),B134,
IF(D134="Juvenile Audiobook",RIGHT(B134,LEN(B134)-5),
IF(AND(D134="Teen Audiobook",LEFT(B134,11)="TEEN CD BIO"),RIGHT(B134,LEN(B134)-12),
IF(AND(D134="Teen Audiobook",LEFT(B134,11)="TEEN CD FIC"),B134,
IF(D134="Juvenile Audiobook",RIGHT(B134,LEN(B134)-8),
IF(D134="Juvenile Nonfiction",RIGHT(B134,LEN(B134)-2),
IF(D134="Teen Nonfiction",RIGHT(B134,LEN(B134)-5),
IF(AND(D134="Audiobook",
              NOT(OR(Contains($B134,"CD BIO"),Contains($B134,"CD FIC")))),RIGHT(B134,LEN(B134)-3),
IF(D134="Juvenile Biography",RIGHT(B134,LEN(B134)-2),
IF(D134="Teen Biography",RIGHT(B134,LEN(B134)-5),
IF(AND(D134="Audiobook",
              IFERROR(FIND("BIO",$B134)&gt;0,FALSE)),RIGHT(B134,LEN(B134)-3),
IF(D134="Juvenile Large Type","J "&amp;RIGHT(B134,LEN(B134)-11),
IF(D134="Teen Large Type","TEEN "&amp;RIGHT(B134,LEN(B134)-14),
IF(D134="Reference",RIGHT(B134,LEN(B134)-4),
IF(D134="DVD Educational",RIGHT(B134,LEN(B134)-7),
IF(D134="Juvenile DVD Educational",RIGHT(B134,LEN(B134)-9),
B134)))))))))))))))))</f>
        <v/>
      </c>
      <c r="N134" s="11" t="str">
        <f ca="1">IF(IFERROR(FIND("New",$A134)&gt;0,FALSE),"New ","") &amp; IF(IFERROR(FIND("In Lib",$A134)&gt;0,FALSE),"Reference ","") &amp;
IF(AND(D134="Audiobook",LEFT(B134,6)="CD BIO"),"Biography",
IF(AND(D134="Teen Audiobook",LEFT(B134,11)="TEEN CD BIO"),"Biography",
IF(AND(D134="Juvenile Audiobook",LEFT(B134,8)="J CD BIO"),"Biography",
IF(AND(D134="Audiobook",LEFT(B134,6)="CD FIC"),"Audiobook Fiction",
IF(AND(D134="Teen Audiobook",LEFT(B134,11)="TEEN CD FIC"),"Teen Audiobook",
IF(AND(D134="Juvenile Audiobook",LEFT(B134,8)="J CD FIC"),"Juvenile Audiobook",
IF(D134="Audiobook","Nonfiction",
IF(D134="Juvenile Audiobook","Nonfiction",
IF(D134="Teen Audiobook","Nonfiction",
IF(D134="Juvenile Nonfiction","Nonfiction",
IF(D134="Teen Nonfiction","Nonfiction",
IF(D134="Juvenile Biography","Biography",
IF(D134="Teen Biography","Biography",
IF(D134="ESL","Nonfiction",
IF(LEFT(B134,11)="INTL-VIE J ","International Juvenile",IF(LEFT(B134,11)="INTL-TAG J ","International Juvenile",IF(LEFT(B134,11)="INTL-RUS J ","International Juvenile",IF(LEFT(B134,11)="INTL-KOR J ","International Juvenile",IF(LEFT(B134,11)="INTL-JAP J ","International Juvenile",IF(LEFT(B134,11)="INTL-CHI J ","International Juvenile",IF(LEFT(B134,11)="INTL-SPA J ","International Juvenile",IF(LEFT(B134,14)="INTL-VIE TEEN ","International Teen",IF(LEFT(B134,14)="INTL-TAG TEEN ","International Teen",IF(LEFT(B134,14)="INTL-RUS TEEN ","International Teen",IF(LEFT(B134,14)="INTL-KOR TEEN ","International Teen",IF(LEFT(B134,14)="INTL-JAP TEEN ","International Teen",IF(LEFT(B134,14)="INTL-CHI TEEN ","International Teen",IF(LEFT(B134,14)="INTL-SPA TEEN ","International Teen",IF(LEFT(B134,11)="INTL-VIE E ","International Easy",IF(LEFT(B134,11)="INTL-TAG E ","International Easy",IF(LEFT(B134,11)="INTL-RUS E ","International Easy",IF(LEFT(B134,11)="INTL-JAP E ","International Easy",IF(LEFT(B134,11)="INTL-KOR E ","International Easy",IF(LEFT(B134,11)="INTL-CHI E ","International Easy",IF(LEFT(B134,11)="INTL-SPA E ","International Easy",
IF(D134="Teen Large Type","Teen Fiction",
IF(D134="Juvenile Large Type","Juvenile Fiction",
IF(LEFT(B134,6)="J CD O","Juvenile Compact Disc",
IF(AND(LEFT(B134,4)="TEEN",D134="Fiction"),"Teen Fiction",
IF(D134="DVD Educational","Nonfiction",
IF(D134="Juvenile DVD Educational","Nonfiction",
IF(D134="Reference","Nonfiction",
D134))))))))))))))))))))))))))))))))))))))))))</f>
        <v/>
      </c>
    </row>
    <row r="135" spans="1:14" ht="27" customHeight="1" x14ac:dyDescent="0.25">
      <c r="A135" s="10" t="str">
        <f ca="1">TEXT( INDIRECT( ADDRESS( ROW() + Row_Offset, INDIRECT( "Column_Number_" &amp; A$1), 4,1, tabname) ), "")</f>
        <v/>
      </c>
      <c r="B135" s="10" t="str">
        <f ca="1">TEXT(  IFERROR( VLOOKUP( $D135, CollName_Simplifier_Table[], 2, FALSE),"") &amp;
        INDIRECT( ADDRESS( ROW() + Row_Offset, INDIRECT( "Column_Number_" &amp; $B$1), 4,1, tabname) ), "")</f>
        <v/>
      </c>
      <c r="C135" s="10" t="str">
        <f ca="1">TEXT( INDIRECT( ADDRESS( ROW() + Row_Offset, INDIRECT( "Column_Number_" &amp; C$1), 4,1, tabname) ), "")</f>
        <v/>
      </c>
      <c r="D135" s="10" t="str">
        <f ca="1">TEXT( INDIRECT( ADDRESS( ROW() + Row_Offset, INDIRECT( "Column_Number_" &amp; D$1), 4,1, tabname) ), "")</f>
        <v/>
      </c>
      <c r="E135" s="10" t="str">
        <f ca="1">TEXT( INDIRECT( ADDRESS( ROW() + Row_Offset, INDIRECT( "Column_Number_" &amp; E$1), 4,1, tabname) ), "####")</f>
        <v/>
      </c>
      <c r="F135" s="15"/>
      <c r="G135" s="22" t="str">
        <f ca="1">IFERROR(INDEX(Rank_Table[],MATCH($D135&amp;$A135,Table4[Join],0)),"")</f>
        <v/>
      </c>
      <c r="H135" s="11" t="str">
        <f ca="1">IF(AND(D135="Juvenile Audiobook",LEFT(B135,8)="J CD BIO"),RIGHT(B135,LEN(B135)-9),
IF(AND(D135="Juvenile Audiobook",LEFT(B135,8)="J CD FIC"),B135,
IF(D135="Juvenile Audiobook",RIGHT(B135,LEN(B135)-5),
IF(AND(D135="Teen Audiobook",LEFT(B135,11)="TEEN CD BIO"),RIGHT(B135,LEN(B135)-12),
IF(AND(D135="Teen Audiobook",LEFT(B135,11)="TEEN CD FIC"),B135,
IF(D135="Juvenile Audiobook",RIGHT(B135,LEN(B135)-8),
IF(D135="Juvenile Nonfiction",RIGHT(B135,LEN(B135)-2),
IF(D135="Teen Nonfiction",RIGHT(B135,LEN(B135)-5),
IF(AND(D135="Audiobook",
              NOT(OR(Contains($B135,"CD BIO"),Contains($B135,"CD FIC")))),RIGHT(B135,LEN(B135)-3),
IF(D135="Juvenile Biography",RIGHT(B135,LEN(B135)-2),
IF(D135="Teen Biography",RIGHT(B135,LEN(B135)-5),
IF(AND(D135="Audiobook",
              IFERROR(FIND("BIO",$B135)&gt;0,FALSE)),RIGHT(B135,LEN(B135)-3),
IF(D135="Juvenile Large Type","J "&amp;RIGHT(B135,LEN(B135)-11),
IF(D135="Teen Large Type","TEEN "&amp;RIGHT(B135,LEN(B135)-14),
IF(D135="Reference",RIGHT(B135,LEN(B135)-4),
IF(D135="DVD Educational",RIGHT(B135,LEN(B135)-7),
IF(D135="Juvenile DVD Educational",RIGHT(B135,LEN(B135)-9),
B135)))))))))))))))))</f>
        <v/>
      </c>
      <c r="N135" s="11" t="str">
        <f ca="1">IF(IFERROR(FIND("New",$A135)&gt;0,FALSE),"New ","") &amp; IF(IFERROR(FIND("In Lib",$A135)&gt;0,FALSE),"Reference ","") &amp;
IF(AND(D135="Audiobook",LEFT(B135,6)="CD BIO"),"Biography",
IF(AND(D135="Teen Audiobook",LEFT(B135,11)="TEEN CD BIO"),"Biography",
IF(AND(D135="Juvenile Audiobook",LEFT(B135,8)="J CD BIO"),"Biography",
IF(AND(D135="Audiobook",LEFT(B135,6)="CD FIC"),"Audiobook Fiction",
IF(AND(D135="Teen Audiobook",LEFT(B135,11)="TEEN CD FIC"),"Teen Audiobook",
IF(AND(D135="Juvenile Audiobook",LEFT(B135,8)="J CD FIC"),"Juvenile Audiobook",
IF(D135="Audiobook","Nonfiction",
IF(D135="Juvenile Audiobook","Nonfiction",
IF(D135="Teen Audiobook","Nonfiction",
IF(D135="Juvenile Nonfiction","Nonfiction",
IF(D135="Teen Nonfiction","Nonfiction",
IF(D135="Juvenile Biography","Biography",
IF(D135="Teen Biography","Biography",
IF(D135="ESL","Nonfiction",
IF(LEFT(B135,11)="INTL-VIE J ","International Juvenile",IF(LEFT(B135,11)="INTL-TAG J ","International Juvenile",IF(LEFT(B135,11)="INTL-RUS J ","International Juvenile",IF(LEFT(B135,11)="INTL-KOR J ","International Juvenile",IF(LEFT(B135,11)="INTL-JAP J ","International Juvenile",IF(LEFT(B135,11)="INTL-CHI J ","International Juvenile",IF(LEFT(B135,11)="INTL-SPA J ","International Juvenile",IF(LEFT(B135,14)="INTL-VIE TEEN ","International Teen",IF(LEFT(B135,14)="INTL-TAG TEEN ","International Teen",IF(LEFT(B135,14)="INTL-RUS TEEN ","International Teen",IF(LEFT(B135,14)="INTL-KOR TEEN ","International Teen",IF(LEFT(B135,14)="INTL-JAP TEEN ","International Teen",IF(LEFT(B135,14)="INTL-CHI TEEN ","International Teen",IF(LEFT(B135,14)="INTL-SPA TEEN ","International Teen",IF(LEFT(B135,11)="INTL-VIE E ","International Easy",IF(LEFT(B135,11)="INTL-TAG E ","International Easy",IF(LEFT(B135,11)="INTL-RUS E ","International Easy",IF(LEFT(B135,11)="INTL-JAP E ","International Easy",IF(LEFT(B135,11)="INTL-KOR E ","International Easy",IF(LEFT(B135,11)="INTL-CHI E ","International Easy",IF(LEFT(B135,11)="INTL-SPA E ","International Easy",
IF(D135="Teen Large Type","Teen Fiction",
IF(D135="Juvenile Large Type","Juvenile Fiction",
IF(LEFT(B135,6)="J CD O","Juvenile Compact Disc",
IF(AND(LEFT(B135,4)="TEEN",D135="Fiction"),"Teen Fiction",
IF(D135="DVD Educational","Nonfiction",
IF(D135="Juvenile DVD Educational","Nonfiction",
IF(D135="Reference","Nonfiction",
D135))))))))))))))))))))))))))))))))))))))))))</f>
        <v/>
      </c>
    </row>
    <row r="136" spans="1:14" ht="27" customHeight="1" x14ac:dyDescent="0.25">
      <c r="A136" s="10" t="str">
        <f ca="1">TEXT( INDIRECT( ADDRESS( ROW() + Row_Offset, INDIRECT( "Column_Number_" &amp; A$1), 4,1, tabname) ), "")</f>
        <v/>
      </c>
      <c r="B136" s="10" t="str">
        <f ca="1">TEXT(  IFERROR( VLOOKUP( $D136, CollName_Simplifier_Table[], 2, FALSE),"") &amp;
        INDIRECT( ADDRESS( ROW() + Row_Offset, INDIRECT( "Column_Number_" &amp; $B$1), 4,1, tabname) ), "")</f>
        <v/>
      </c>
      <c r="C136" s="10" t="str">
        <f ca="1">TEXT( INDIRECT( ADDRESS( ROW() + Row_Offset, INDIRECT( "Column_Number_" &amp; C$1), 4,1, tabname) ), "")</f>
        <v/>
      </c>
      <c r="D136" s="10" t="str">
        <f ca="1">TEXT( INDIRECT( ADDRESS( ROW() + Row_Offset, INDIRECT( "Column_Number_" &amp; D$1), 4,1, tabname) ), "")</f>
        <v/>
      </c>
      <c r="E136" s="10" t="str">
        <f ca="1">TEXT( INDIRECT( ADDRESS( ROW() + Row_Offset, INDIRECT( "Column_Number_" &amp; E$1), 4,1, tabname) ), "####")</f>
        <v/>
      </c>
      <c r="F136" s="15"/>
      <c r="G136" s="22" t="str">
        <f ca="1">IFERROR(INDEX(Rank_Table[],MATCH($D136&amp;$A136,Table4[Join],0)),"")</f>
        <v/>
      </c>
      <c r="H136" s="11" t="str">
        <f ca="1">IF(AND(D136="Juvenile Audiobook",LEFT(B136,8)="J CD BIO"),RIGHT(B136,LEN(B136)-9),
IF(AND(D136="Juvenile Audiobook",LEFT(B136,8)="J CD FIC"),B136,
IF(D136="Juvenile Audiobook",RIGHT(B136,LEN(B136)-5),
IF(AND(D136="Teen Audiobook",LEFT(B136,11)="TEEN CD BIO"),RIGHT(B136,LEN(B136)-12),
IF(AND(D136="Teen Audiobook",LEFT(B136,11)="TEEN CD FIC"),B136,
IF(D136="Juvenile Audiobook",RIGHT(B136,LEN(B136)-8),
IF(D136="Juvenile Nonfiction",RIGHT(B136,LEN(B136)-2),
IF(D136="Teen Nonfiction",RIGHT(B136,LEN(B136)-5),
IF(AND(D136="Audiobook",
              NOT(OR(Contains($B136,"CD BIO"),Contains($B136,"CD FIC")))),RIGHT(B136,LEN(B136)-3),
IF(D136="Juvenile Biography",RIGHT(B136,LEN(B136)-2),
IF(D136="Teen Biography",RIGHT(B136,LEN(B136)-5),
IF(AND(D136="Audiobook",
              IFERROR(FIND("BIO",$B136)&gt;0,FALSE)),RIGHT(B136,LEN(B136)-3),
IF(D136="Juvenile Large Type","J "&amp;RIGHT(B136,LEN(B136)-11),
IF(D136="Teen Large Type","TEEN "&amp;RIGHT(B136,LEN(B136)-14),
IF(D136="Reference",RIGHT(B136,LEN(B136)-4),
IF(D136="DVD Educational",RIGHT(B136,LEN(B136)-7),
IF(D136="Juvenile DVD Educational",RIGHT(B136,LEN(B136)-9),
B136)))))))))))))))))</f>
        <v/>
      </c>
      <c r="N136" s="11" t="str">
        <f ca="1">IF(IFERROR(FIND("New",$A136)&gt;0,FALSE),"New ","") &amp; IF(IFERROR(FIND("In Lib",$A136)&gt;0,FALSE),"Reference ","") &amp;
IF(AND(D136="Audiobook",LEFT(B136,6)="CD BIO"),"Biography",
IF(AND(D136="Teen Audiobook",LEFT(B136,11)="TEEN CD BIO"),"Biography",
IF(AND(D136="Juvenile Audiobook",LEFT(B136,8)="J CD BIO"),"Biography",
IF(AND(D136="Audiobook",LEFT(B136,6)="CD FIC"),"Audiobook Fiction",
IF(AND(D136="Teen Audiobook",LEFT(B136,11)="TEEN CD FIC"),"Teen Audiobook",
IF(AND(D136="Juvenile Audiobook",LEFT(B136,8)="J CD FIC"),"Juvenile Audiobook",
IF(D136="Audiobook","Nonfiction",
IF(D136="Juvenile Audiobook","Nonfiction",
IF(D136="Teen Audiobook","Nonfiction",
IF(D136="Juvenile Nonfiction","Nonfiction",
IF(D136="Teen Nonfiction","Nonfiction",
IF(D136="Juvenile Biography","Biography",
IF(D136="Teen Biography","Biography",
IF(D136="ESL","Nonfiction",
IF(LEFT(B136,11)="INTL-VIE J ","International Juvenile",IF(LEFT(B136,11)="INTL-TAG J ","International Juvenile",IF(LEFT(B136,11)="INTL-RUS J ","International Juvenile",IF(LEFT(B136,11)="INTL-KOR J ","International Juvenile",IF(LEFT(B136,11)="INTL-JAP J ","International Juvenile",IF(LEFT(B136,11)="INTL-CHI J ","International Juvenile",IF(LEFT(B136,11)="INTL-SPA J ","International Juvenile",IF(LEFT(B136,14)="INTL-VIE TEEN ","International Teen",IF(LEFT(B136,14)="INTL-TAG TEEN ","International Teen",IF(LEFT(B136,14)="INTL-RUS TEEN ","International Teen",IF(LEFT(B136,14)="INTL-KOR TEEN ","International Teen",IF(LEFT(B136,14)="INTL-JAP TEEN ","International Teen",IF(LEFT(B136,14)="INTL-CHI TEEN ","International Teen",IF(LEFT(B136,14)="INTL-SPA TEEN ","International Teen",IF(LEFT(B136,11)="INTL-VIE E ","International Easy",IF(LEFT(B136,11)="INTL-TAG E ","International Easy",IF(LEFT(B136,11)="INTL-RUS E ","International Easy",IF(LEFT(B136,11)="INTL-JAP E ","International Easy",IF(LEFT(B136,11)="INTL-KOR E ","International Easy",IF(LEFT(B136,11)="INTL-CHI E ","International Easy",IF(LEFT(B136,11)="INTL-SPA E ","International Easy",
IF(D136="Teen Large Type","Teen Fiction",
IF(D136="Juvenile Large Type","Juvenile Fiction",
IF(LEFT(B136,6)="J CD O","Juvenile Compact Disc",
IF(AND(LEFT(B136,4)="TEEN",D136="Fiction"),"Teen Fiction",
IF(D136="DVD Educational","Nonfiction",
IF(D136="Juvenile DVD Educational","Nonfiction",
IF(D136="Reference","Nonfiction",
D136))))))))))))))))))))))))))))))))))))))))))</f>
        <v/>
      </c>
    </row>
    <row r="137" spans="1:14" ht="27" customHeight="1" x14ac:dyDescent="0.25">
      <c r="A137" s="10" t="str">
        <f ca="1">TEXT( INDIRECT( ADDRESS( ROW() + Row_Offset, INDIRECT( "Column_Number_" &amp; A$1), 4,1, tabname) ), "")</f>
        <v/>
      </c>
      <c r="B137" s="10" t="str">
        <f ca="1">TEXT(  IFERROR( VLOOKUP( $D137, CollName_Simplifier_Table[], 2, FALSE),"") &amp;
        INDIRECT( ADDRESS( ROW() + Row_Offset, INDIRECT( "Column_Number_" &amp; $B$1), 4,1, tabname) ), "")</f>
        <v/>
      </c>
      <c r="C137" s="10" t="str">
        <f ca="1">TEXT( INDIRECT( ADDRESS( ROW() + Row_Offset, INDIRECT( "Column_Number_" &amp; C$1), 4,1, tabname) ), "")</f>
        <v/>
      </c>
      <c r="D137" s="10" t="str">
        <f ca="1">TEXT( INDIRECT( ADDRESS( ROW() + Row_Offset, INDIRECT( "Column_Number_" &amp; D$1), 4,1, tabname) ), "")</f>
        <v/>
      </c>
      <c r="E137" s="10" t="str">
        <f ca="1">TEXT( INDIRECT( ADDRESS( ROW() + Row_Offset, INDIRECT( "Column_Number_" &amp; E$1), 4,1, tabname) ), "####")</f>
        <v/>
      </c>
      <c r="F137" s="15"/>
      <c r="G137" s="22" t="str">
        <f ca="1">IFERROR(INDEX(Rank_Table[],MATCH($D137&amp;$A137,Table4[Join],0)),"")</f>
        <v/>
      </c>
      <c r="H137" s="11" t="str">
        <f ca="1">IF(AND(D137="Juvenile Audiobook",LEFT(B137,8)="J CD BIO"),RIGHT(B137,LEN(B137)-9),
IF(AND(D137="Juvenile Audiobook",LEFT(B137,8)="J CD FIC"),B137,
IF(D137="Juvenile Audiobook",RIGHT(B137,LEN(B137)-5),
IF(AND(D137="Teen Audiobook",LEFT(B137,11)="TEEN CD BIO"),RIGHT(B137,LEN(B137)-12),
IF(AND(D137="Teen Audiobook",LEFT(B137,11)="TEEN CD FIC"),B137,
IF(D137="Juvenile Audiobook",RIGHT(B137,LEN(B137)-8),
IF(D137="Juvenile Nonfiction",RIGHT(B137,LEN(B137)-2),
IF(D137="Teen Nonfiction",RIGHT(B137,LEN(B137)-5),
IF(AND(D137="Audiobook",
              NOT(OR(Contains($B137,"CD BIO"),Contains($B137,"CD FIC")))),RIGHT(B137,LEN(B137)-3),
IF(D137="Juvenile Biography",RIGHT(B137,LEN(B137)-2),
IF(D137="Teen Biography",RIGHT(B137,LEN(B137)-5),
IF(AND(D137="Audiobook",
              IFERROR(FIND("BIO",$B137)&gt;0,FALSE)),RIGHT(B137,LEN(B137)-3),
IF(D137="Juvenile Large Type","J "&amp;RIGHT(B137,LEN(B137)-11),
IF(D137="Teen Large Type","TEEN "&amp;RIGHT(B137,LEN(B137)-14),
IF(D137="Reference",RIGHT(B137,LEN(B137)-4),
IF(D137="DVD Educational",RIGHT(B137,LEN(B137)-7),
IF(D137="Juvenile DVD Educational",RIGHT(B137,LEN(B137)-9),
B137)))))))))))))))))</f>
        <v/>
      </c>
      <c r="N137" s="11" t="str">
        <f ca="1">IF(IFERROR(FIND("New",$A137)&gt;0,FALSE),"New ","") &amp; IF(IFERROR(FIND("In Lib",$A137)&gt;0,FALSE),"Reference ","") &amp;
IF(AND(D137="Audiobook",LEFT(B137,6)="CD BIO"),"Biography",
IF(AND(D137="Teen Audiobook",LEFT(B137,11)="TEEN CD BIO"),"Biography",
IF(AND(D137="Juvenile Audiobook",LEFT(B137,8)="J CD BIO"),"Biography",
IF(AND(D137="Audiobook",LEFT(B137,6)="CD FIC"),"Audiobook Fiction",
IF(AND(D137="Teen Audiobook",LEFT(B137,11)="TEEN CD FIC"),"Teen Audiobook",
IF(AND(D137="Juvenile Audiobook",LEFT(B137,8)="J CD FIC"),"Juvenile Audiobook",
IF(D137="Audiobook","Nonfiction",
IF(D137="Juvenile Audiobook","Nonfiction",
IF(D137="Teen Audiobook","Nonfiction",
IF(D137="Juvenile Nonfiction","Nonfiction",
IF(D137="Teen Nonfiction","Nonfiction",
IF(D137="Juvenile Biography","Biography",
IF(D137="Teen Biography","Biography",
IF(D137="ESL","Nonfiction",
IF(LEFT(B137,11)="INTL-VIE J ","International Juvenile",IF(LEFT(B137,11)="INTL-TAG J ","International Juvenile",IF(LEFT(B137,11)="INTL-RUS J ","International Juvenile",IF(LEFT(B137,11)="INTL-KOR J ","International Juvenile",IF(LEFT(B137,11)="INTL-JAP J ","International Juvenile",IF(LEFT(B137,11)="INTL-CHI J ","International Juvenile",IF(LEFT(B137,11)="INTL-SPA J ","International Juvenile",IF(LEFT(B137,14)="INTL-VIE TEEN ","International Teen",IF(LEFT(B137,14)="INTL-TAG TEEN ","International Teen",IF(LEFT(B137,14)="INTL-RUS TEEN ","International Teen",IF(LEFT(B137,14)="INTL-KOR TEEN ","International Teen",IF(LEFT(B137,14)="INTL-JAP TEEN ","International Teen",IF(LEFT(B137,14)="INTL-CHI TEEN ","International Teen",IF(LEFT(B137,14)="INTL-SPA TEEN ","International Teen",IF(LEFT(B137,11)="INTL-VIE E ","International Easy",IF(LEFT(B137,11)="INTL-TAG E ","International Easy",IF(LEFT(B137,11)="INTL-RUS E ","International Easy",IF(LEFT(B137,11)="INTL-JAP E ","International Easy",IF(LEFT(B137,11)="INTL-KOR E ","International Easy",IF(LEFT(B137,11)="INTL-CHI E ","International Easy",IF(LEFT(B137,11)="INTL-SPA E ","International Easy",
IF(D137="Teen Large Type","Teen Fiction",
IF(D137="Juvenile Large Type","Juvenile Fiction",
IF(LEFT(B137,6)="J CD O","Juvenile Compact Disc",
IF(AND(LEFT(B137,4)="TEEN",D137="Fiction"),"Teen Fiction",
IF(D137="DVD Educational","Nonfiction",
IF(D137="Juvenile DVD Educational","Nonfiction",
IF(D137="Reference","Nonfiction",
D137))))))))))))))))))))))))))))))))))))))))))</f>
        <v/>
      </c>
    </row>
    <row r="138" spans="1:14" ht="27" customHeight="1" x14ac:dyDescent="0.25">
      <c r="A138" s="10" t="str">
        <f ca="1">TEXT( INDIRECT( ADDRESS( ROW() + Row_Offset, INDIRECT( "Column_Number_" &amp; A$1), 4,1, tabname) ), "")</f>
        <v/>
      </c>
      <c r="B138" s="10" t="str">
        <f ca="1">TEXT(  IFERROR( VLOOKUP( $D138, CollName_Simplifier_Table[], 2, FALSE),"") &amp;
        INDIRECT( ADDRESS( ROW() + Row_Offset, INDIRECT( "Column_Number_" &amp; $B$1), 4,1, tabname) ), "")</f>
        <v/>
      </c>
      <c r="C138" s="10" t="str">
        <f ca="1">TEXT( INDIRECT( ADDRESS( ROW() + Row_Offset, INDIRECT( "Column_Number_" &amp; C$1), 4,1, tabname) ), "")</f>
        <v/>
      </c>
      <c r="D138" s="10" t="str">
        <f ca="1">TEXT( INDIRECT( ADDRESS( ROW() + Row_Offset, INDIRECT( "Column_Number_" &amp; D$1), 4,1, tabname) ), "")</f>
        <v/>
      </c>
      <c r="E138" s="10" t="str">
        <f ca="1">TEXT( INDIRECT( ADDRESS( ROW() + Row_Offset, INDIRECT( "Column_Number_" &amp; E$1), 4,1, tabname) ), "####")</f>
        <v/>
      </c>
      <c r="F138" s="15"/>
      <c r="G138" s="22" t="str">
        <f ca="1">IFERROR(INDEX(Rank_Table[],MATCH($D138&amp;$A138,Table4[Join],0)),"")</f>
        <v/>
      </c>
      <c r="H138" s="11" t="str">
        <f ca="1">IF(AND(D138="Juvenile Audiobook",LEFT(B138,8)="J CD BIO"),RIGHT(B138,LEN(B138)-9),
IF(AND(D138="Juvenile Audiobook",LEFT(B138,8)="J CD FIC"),B138,
IF(D138="Juvenile Audiobook",RIGHT(B138,LEN(B138)-5),
IF(AND(D138="Teen Audiobook",LEFT(B138,11)="TEEN CD BIO"),RIGHT(B138,LEN(B138)-12),
IF(AND(D138="Teen Audiobook",LEFT(B138,11)="TEEN CD FIC"),B138,
IF(D138="Juvenile Audiobook",RIGHT(B138,LEN(B138)-8),
IF(D138="Juvenile Nonfiction",RIGHT(B138,LEN(B138)-2),
IF(D138="Teen Nonfiction",RIGHT(B138,LEN(B138)-5),
IF(AND(D138="Audiobook",
              NOT(OR(Contains($B138,"CD BIO"),Contains($B138,"CD FIC")))),RIGHT(B138,LEN(B138)-3),
IF(D138="Juvenile Biography",RIGHT(B138,LEN(B138)-2),
IF(D138="Teen Biography",RIGHT(B138,LEN(B138)-5),
IF(AND(D138="Audiobook",
              IFERROR(FIND("BIO",$B138)&gt;0,FALSE)),RIGHT(B138,LEN(B138)-3),
IF(D138="Juvenile Large Type","J "&amp;RIGHT(B138,LEN(B138)-11),
IF(D138="Teen Large Type","TEEN "&amp;RIGHT(B138,LEN(B138)-14),
IF(D138="Reference",RIGHT(B138,LEN(B138)-4),
IF(D138="DVD Educational",RIGHT(B138,LEN(B138)-7),
IF(D138="Juvenile DVD Educational",RIGHT(B138,LEN(B138)-9),
B138)))))))))))))))))</f>
        <v/>
      </c>
      <c r="N138" s="11" t="str">
        <f ca="1">IF(IFERROR(FIND("New",$A138)&gt;0,FALSE),"New ","") &amp; IF(IFERROR(FIND("In Lib",$A138)&gt;0,FALSE),"Reference ","") &amp;
IF(AND(D138="Audiobook",LEFT(B138,6)="CD BIO"),"Biography",
IF(AND(D138="Teen Audiobook",LEFT(B138,11)="TEEN CD BIO"),"Biography",
IF(AND(D138="Juvenile Audiobook",LEFT(B138,8)="J CD BIO"),"Biography",
IF(AND(D138="Audiobook",LEFT(B138,6)="CD FIC"),"Audiobook Fiction",
IF(AND(D138="Teen Audiobook",LEFT(B138,11)="TEEN CD FIC"),"Teen Audiobook",
IF(AND(D138="Juvenile Audiobook",LEFT(B138,8)="J CD FIC"),"Juvenile Audiobook",
IF(D138="Audiobook","Nonfiction",
IF(D138="Juvenile Audiobook","Nonfiction",
IF(D138="Teen Audiobook","Nonfiction",
IF(D138="Juvenile Nonfiction","Nonfiction",
IF(D138="Teen Nonfiction","Nonfiction",
IF(D138="Juvenile Biography","Biography",
IF(D138="Teen Biography","Biography",
IF(D138="ESL","Nonfiction",
IF(LEFT(B138,11)="INTL-VIE J ","International Juvenile",IF(LEFT(B138,11)="INTL-TAG J ","International Juvenile",IF(LEFT(B138,11)="INTL-RUS J ","International Juvenile",IF(LEFT(B138,11)="INTL-KOR J ","International Juvenile",IF(LEFT(B138,11)="INTL-JAP J ","International Juvenile",IF(LEFT(B138,11)="INTL-CHI J ","International Juvenile",IF(LEFT(B138,11)="INTL-SPA J ","International Juvenile",IF(LEFT(B138,14)="INTL-VIE TEEN ","International Teen",IF(LEFT(B138,14)="INTL-TAG TEEN ","International Teen",IF(LEFT(B138,14)="INTL-RUS TEEN ","International Teen",IF(LEFT(B138,14)="INTL-KOR TEEN ","International Teen",IF(LEFT(B138,14)="INTL-JAP TEEN ","International Teen",IF(LEFT(B138,14)="INTL-CHI TEEN ","International Teen",IF(LEFT(B138,14)="INTL-SPA TEEN ","International Teen",IF(LEFT(B138,11)="INTL-VIE E ","International Easy",IF(LEFT(B138,11)="INTL-TAG E ","International Easy",IF(LEFT(B138,11)="INTL-RUS E ","International Easy",IF(LEFT(B138,11)="INTL-JAP E ","International Easy",IF(LEFT(B138,11)="INTL-KOR E ","International Easy",IF(LEFT(B138,11)="INTL-CHI E ","International Easy",IF(LEFT(B138,11)="INTL-SPA E ","International Easy",
IF(D138="Teen Large Type","Teen Fiction",
IF(D138="Juvenile Large Type","Juvenile Fiction",
IF(LEFT(B138,6)="J CD O","Juvenile Compact Disc",
IF(AND(LEFT(B138,4)="TEEN",D138="Fiction"),"Teen Fiction",
IF(D138="DVD Educational","Nonfiction",
IF(D138="Juvenile DVD Educational","Nonfiction",
IF(D138="Reference","Nonfiction",
D138))))))))))))))))))))))))))))))))))))))))))</f>
        <v/>
      </c>
    </row>
    <row r="139" spans="1:14" ht="27" customHeight="1" x14ac:dyDescent="0.25">
      <c r="A139" s="10" t="str">
        <f ca="1">TEXT( INDIRECT( ADDRESS( ROW() + Row_Offset, INDIRECT( "Column_Number_" &amp; A$1), 4,1, tabname) ), "")</f>
        <v/>
      </c>
      <c r="B139" s="10" t="str">
        <f ca="1">TEXT(  IFERROR( VLOOKUP( $D139, CollName_Simplifier_Table[], 2, FALSE),"") &amp;
        INDIRECT( ADDRESS( ROW() + Row_Offset, INDIRECT( "Column_Number_" &amp; $B$1), 4,1, tabname) ), "")</f>
        <v/>
      </c>
      <c r="C139" s="10" t="str">
        <f ca="1">TEXT( INDIRECT( ADDRESS( ROW() + Row_Offset, INDIRECT( "Column_Number_" &amp; C$1), 4,1, tabname) ), "")</f>
        <v/>
      </c>
      <c r="D139" s="10" t="str">
        <f ca="1">TEXT( INDIRECT( ADDRESS( ROW() + Row_Offset, INDIRECT( "Column_Number_" &amp; D$1), 4,1, tabname) ), "")</f>
        <v/>
      </c>
      <c r="E139" s="10" t="str">
        <f ca="1">TEXT( INDIRECT( ADDRESS( ROW() + Row_Offset, INDIRECT( "Column_Number_" &amp; E$1), 4,1, tabname) ), "####")</f>
        <v/>
      </c>
      <c r="F139" s="15"/>
      <c r="G139" s="22" t="str">
        <f ca="1">IFERROR(INDEX(Rank_Table[],MATCH($D139&amp;$A139,Table4[Join],0)),"")</f>
        <v/>
      </c>
      <c r="H139" s="11" t="str">
        <f ca="1">IF(AND(D139="Juvenile Audiobook",LEFT(B139,8)="J CD BIO"),RIGHT(B139,LEN(B139)-9),
IF(AND(D139="Juvenile Audiobook",LEFT(B139,8)="J CD FIC"),B139,
IF(D139="Juvenile Audiobook",RIGHT(B139,LEN(B139)-5),
IF(AND(D139="Teen Audiobook",LEFT(B139,11)="TEEN CD BIO"),RIGHT(B139,LEN(B139)-12),
IF(AND(D139="Teen Audiobook",LEFT(B139,11)="TEEN CD FIC"),B139,
IF(D139="Juvenile Audiobook",RIGHT(B139,LEN(B139)-8),
IF(D139="Juvenile Nonfiction",RIGHT(B139,LEN(B139)-2),
IF(D139="Teen Nonfiction",RIGHT(B139,LEN(B139)-5),
IF(AND(D139="Audiobook",
              NOT(OR(Contains($B139,"CD BIO"),Contains($B139,"CD FIC")))),RIGHT(B139,LEN(B139)-3),
IF(D139="Juvenile Biography",RIGHT(B139,LEN(B139)-2),
IF(D139="Teen Biography",RIGHT(B139,LEN(B139)-5),
IF(AND(D139="Audiobook",
              IFERROR(FIND("BIO",$B139)&gt;0,FALSE)),RIGHT(B139,LEN(B139)-3),
IF(D139="Juvenile Large Type","J "&amp;RIGHT(B139,LEN(B139)-11),
IF(D139="Teen Large Type","TEEN "&amp;RIGHT(B139,LEN(B139)-14),
IF(D139="Reference",RIGHT(B139,LEN(B139)-4),
IF(D139="DVD Educational",RIGHT(B139,LEN(B139)-7),
IF(D139="Juvenile DVD Educational",RIGHT(B139,LEN(B139)-9),
B139)))))))))))))))))</f>
        <v/>
      </c>
      <c r="N139" s="11" t="str">
        <f ca="1">IF(IFERROR(FIND("New",$A139)&gt;0,FALSE),"New ","") &amp; IF(IFERROR(FIND("In Lib",$A139)&gt;0,FALSE),"Reference ","") &amp;
IF(AND(D139="Audiobook",LEFT(B139,6)="CD BIO"),"Biography",
IF(AND(D139="Teen Audiobook",LEFT(B139,11)="TEEN CD BIO"),"Biography",
IF(AND(D139="Juvenile Audiobook",LEFT(B139,8)="J CD BIO"),"Biography",
IF(AND(D139="Audiobook",LEFT(B139,6)="CD FIC"),"Audiobook Fiction",
IF(AND(D139="Teen Audiobook",LEFT(B139,11)="TEEN CD FIC"),"Teen Audiobook",
IF(AND(D139="Juvenile Audiobook",LEFT(B139,8)="J CD FIC"),"Juvenile Audiobook",
IF(D139="Audiobook","Nonfiction",
IF(D139="Juvenile Audiobook","Nonfiction",
IF(D139="Teen Audiobook","Nonfiction",
IF(D139="Juvenile Nonfiction","Nonfiction",
IF(D139="Teen Nonfiction","Nonfiction",
IF(D139="Juvenile Biography","Biography",
IF(D139="Teen Biography","Biography",
IF(D139="ESL","Nonfiction",
IF(LEFT(B139,11)="INTL-VIE J ","International Juvenile",IF(LEFT(B139,11)="INTL-TAG J ","International Juvenile",IF(LEFT(B139,11)="INTL-RUS J ","International Juvenile",IF(LEFT(B139,11)="INTL-KOR J ","International Juvenile",IF(LEFT(B139,11)="INTL-JAP J ","International Juvenile",IF(LEFT(B139,11)="INTL-CHI J ","International Juvenile",IF(LEFT(B139,11)="INTL-SPA J ","International Juvenile",IF(LEFT(B139,14)="INTL-VIE TEEN ","International Teen",IF(LEFT(B139,14)="INTL-TAG TEEN ","International Teen",IF(LEFT(B139,14)="INTL-RUS TEEN ","International Teen",IF(LEFT(B139,14)="INTL-KOR TEEN ","International Teen",IF(LEFT(B139,14)="INTL-JAP TEEN ","International Teen",IF(LEFT(B139,14)="INTL-CHI TEEN ","International Teen",IF(LEFT(B139,14)="INTL-SPA TEEN ","International Teen",IF(LEFT(B139,11)="INTL-VIE E ","International Easy",IF(LEFT(B139,11)="INTL-TAG E ","International Easy",IF(LEFT(B139,11)="INTL-RUS E ","International Easy",IF(LEFT(B139,11)="INTL-JAP E ","International Easy",IF(LEFT(B139,11)="INTL-KOR E ","International Easy",IF(LEFT(B139,11)="INTL-CHI E ","International Easy",IF(LEFT(B139,11)="INTL-SPA E ","International Easy",
IF(D139="Teen Large Type","Teen Fiction",
IF(D139="Juvenile Large Type","Juvenile Fiction",
IF(LEFT(B139,6)="J CD O","Juvenile Compact Disc",
IF(AND(LEFT(B139,4)="TEEN",D139="Fiction"),"Teen Fiction",
IF(D139="DVD Educational","Nonfiction",
IF(D139="Juvenile DVD Educational","Nonfiction",
IF(D139="Reference","Nonfiction",
D139))))))))))))))))))))))))))))))))))))))))))</f>
        <v/>
      </c>
    </row>
    <row r="140" spans="1:14" ht="27" customHeight="1" x14ac:dyDescent="0.25">
      <c r="A140" s="10" t="str">
        <f ca="1">TEXT( INDIRECT( ADDRESS( ROW() + Row_Offset, INDIRECT( "Column_Number_" &amp; A$1), 4,1, tabname) ), "")</f>
        <v/>
      </c>
      <c r="B140" s="10" t="str">
        <f ca="1">TEXT(  IFERROR( VLOOKUP( $D140, CollName_Simplifier_Table[], 2, FALSE),"") &amp;
        INDIRECT( ADDRESS( ROW() + Row_Offset, INDIRECT( "Column_Number_" &amp; $B$1), 4,1, tabname) ), "")</f>
        <v/>
      </c>
      <c r="C140" s="10" t="str">
        <f ca="1">TEXT( INDIRECT( ADDRESS( ROW() + Row_Offset, INDIRECT( "Column_Number_" &amp; C$1), 4,1, tabname) ), "")</f>
        <v/>
      </c>
      <c r="D140" s="10" t="str">
        <f ca="1">TEXT( INDIRECT( ADDRESS( ROW() + Row_Offset, INDIRECT( "Column_Number_" &amp; D$1), 4,1, tabname) ), "")</f>
        <v/>
      </c>
      <c r="E140" s="10" t="str">
        <f ca="1">TEXT( INDIRECT( ADDRESS( ROW() + Row_Offset, INDIRECT( "Column_Number_" &amp; E$1), 4,1, tabname) ), "####")</f>
        <v/>
      </c>
      <c r="F140" s="15"/>
      <c r="G140" s="22" t="str">
        <f ca="1">IFERROR(INDEX(Rank_Table[],MATCH($D140&amp;$A140,Table4[Join],0)),"")</f>
        <v/>
      </c>
      <c r="H140" s="11" t="str">
        <f ca="1">IF(AND(D140="Juvenile Audiobook",LEFT(B140,8)="J CD BIO"),RIGHT(B140,LEN(B140)-9),
IF(AND(D140="Juvenile Audiobook",LEFT(B140,8)="J CD FIC"),B140,
IF(D140="Juvenile Audiobook",RIGHT(B140,LEN(B140)-5),
IF(AND(D140="Teen Audiobook",LEFT(B140,11)="TEEN CD BIO"),RIGHT(B140,LEN(B140)-12),
IF(AND(D140="Teen Audiobook",LEFT(B140,11)="TEEN CD FIC"),B140,
IF(D140="Juvenile Audiobook",RIGHT(B140,LEN(B140)-8),
IF(D140="Juvenile Nonfiction",RIGHT(B140,LEN(B140)-2),
IF(D140="Teen Nonfiction",RIGHT(B140,LEN(B140)-5),
IF(AND(D140="Audiobook",
              NOT(OR(Contains($B140,"CD BIO"),Contains($B140,"CD FIC")))),RIGHT(B140,LEN(B140)-3),
IF(D140="Juvenile Biography",RIGHT(B140,LEN(B140)-2),
IF(D140="Teen Biography",RIGHT(B140,LEN(B140)-5),
IF(AND(D140="Audiobook",
              IFERROR(FIND("BIO",$B140)&gt;0,FALSE)),RIGHT(B140,LEN(B140)-3),
IF(D140="Juvenile Large Type","J "&amp;RIGHT(B140,LEN(B140)-11),
IF(D140="Teen Large Type","TEEN "&amp;RIGHT(B140,LEN(B140)-14),
IF(D140="Reference",RIGHT(B140,LEN(B140)-4),
IF(D140="DVD Educational",RIGHT(B140,LEN(B140)-7),
IF(D140="Juvenile DVD Educational",RIGHT(B140,LEN(B140)-9),
B140)))))))))))))))))</f>
        <v/>
      </c>
      <c r="N140" s="11" t="str">
        <f ca="1">IF(IFERROR(FIND("New",$A140)&gt;0,FALSE),"New ","") &amp; IF(IFERROR(FIND("In Lib",$A140)&gt;0,FALSE),"Reference ","") &amp;
IF(AND(D140="Audiobook",LEFT(B140,6)="CD BIO"),"Biography",
IF(AND(D140="Teen Audiobook",LEFT(B140,11)="TEEN CD BIO"),"Biography",
IF(AND(D140="Juvenile Audiobook",LEFT(B140,8)="J CD BIO"),"Biography",
IF(AND(D140="Audiobook",LEFT(B140,6)="CD FIC"),"Audiobook Fiction",
IF(AND(D140="Teen Audiobook",LEFT(B140,11)="TEEN CD FIC"),"Teen Audiobook",
IF(AND(D140="Juvenile Audiobook",LEFT(B140,8)="J CD FIC"),"Juvenile Audiobook",
IF(D140="Audiobook","Nonfiction",
IF(D140="Juvenile Audiobook","Nonfiction",
IF(D140="Teen Audiobook","Nonfiction",
IF(D140="Juvenile Nonfiction","Nonfiction",
IF(D140="Teen Nonfiction","Nonfiction",
IF(D140="Juvenile Biography","Biography",
IF(D140="Teen Biography","Biography",
IF(D140="ESL","Nonfiction",
IF(LEFT(B140,11)="INTL-VIE J ","International Juvenile",IF(LEFT(B140,11)="INTL-TAG J ","International Juvenile",IF(LEFT(B140,11)="INTL-RUS J ","International Juvenile",IF(LEFT(B140,11)="INTL-KOR J ","International Juvenile",IF(LEFT(B140,11)="INTL-JAP J ","International Juvenile",IF(LEFT(B140,11)="INTL-CHI J ","International Juvenile",IF(LEFT(B140,11)="INTL-SPA J ","International Juvenile",IF(LEFT(B140,14)="INTL-VIE TEEN ","International Teen",IF(LEFT(B140,14)="INTL-TAG TEEN ","International Teen",IF(LEFT(B140,14)="INTL-RUS TEEN ","International Teen",IF(LEFT(B140,14)="INTL-KOR TEEN ","International Teen",IF(LEFT(B140,14)="INTL-JAP TEEN ","International Teen",IF(LEFT(B140,14)="INTL-CHI TEEN ","International Teen",IF(LEFT(B140,14)="INTL-SPA TEEN ","International Teen",IF(LEFT(B140,11)="INTL-VIE E ","International Easy",IF(LEFT(B140,11)="INTL-TAG E ","International Easy",IF(LEFT(B140,11)="INTL-RUS E ","International Easy",IF(LEFT(B140,11)="INTL-JAP E ","International Easy",IF(LEFT(B140,11)="INTL-KOR E ","International Easy",IF(LEFT(B140,11)="INTL-CHI E ","International Easy",IF(LEFT(B140,11)="INTL-SPA E ","International Easy",
IF(D140="Teen Large Type","Teen Fiction",
IF(D140="Juvenile Large Type","Juvenile Fiction",
IF(LEFT(B140,6)="J CD O","Juvenile Compact Disc",
IF(AND(LEFT(B140,4)="TEEN",D140="Fiction"),"Teen Fiction",
IF(D140="DVD Educational","Nonfiction",
IF(D140="Juvenile DVD Educational","Nonfiction",
IF(D140="Reference","Nonfiction",
D140))))))))))))))))))))))))))))))))))))))))))</f>
        <v/>
      </c>
    </row>
    <row r="141" spans="1:14" ht="27" customHeight="1" x14ac:dyDescent="0.25">
      <c r="A141" s="10" t="str">
        <f ca="1">TEXT( INDIRECT( ADDRESS( ROW() + Row_Offset, INDIRECT( "Column_Number_" &amp; A$1), 4,1, tabname) ), "")</f>
        <v/>
      </c>
      <c r="B141" s="10" t="str">
        <f ca="1">TEXT(  IFERROR( VLOOKUP( $D141, CollName_Simplifier_Table[], 2, FALSE),"") &amp;
        INDIRECT( ADDRESS( ROW() + Row_Offset, INDIRECT( "Column_Number_" &amp; $B$1), 4,1, tabname) ), "")</f>
        <v/>
      </c>
      <c r="C141" s="10" t="str">
        <f ca="1">TEXT( INDIRECT( ADDRESS( ROW() + Row_Offset, INDIRECT( "Column_Number_" &amp; C$1), 4,1, tabname) ), "")</f>
        <v/>
      </c>
      <c r="D141" s="10" t="str">
        <f ca="1">TEXT( INDIRECT( ADDRESS( ROW() + Row_Offset, INDIRECT( "Column_Number_" &amp; D$1), 4,1, tabname) ), "")</f>
        <v/>
      </c>
      <c r="E141" s="10" t="str">
        <f ca="1">TEXT( INDIRECT( ADDRESS( ROW() + Row_Offset, INDIRECT( "Column_Number_" &amp; E$1), 4,1, tabname) ), "####")</f>
        <v/>
      </c>
      <c r="F141" s="15"/>
      <c r="G141" s="22" t="str">
        <f ca="1">IFERROR(INDEX(Rank_Table[],MATCH($D141&amp;$A141,Table4[Join],0)),"")</f>
        <v/>
      </c>
      <c r="H141" s="11" t="str">
        <f ca="1">IF(AND(D141="Juvenile Audiobook",LEFT(B141,8)="J CD BIO"),RIGHT(B141,LEN(B141)-9),
IF(AND(D141="Juvenile Audiobook",LEFT(B141,8)="J CD FIC"),B141,
IF(D141="Juvenile Audiobook",RIGHT(B141,LEN(B141)-5),
IF(AND(D141="Teen Audiobook",LEFT(B141,11)="TEEN CD BIO"),RIGHT(B141,LEN(B141)-12),
IF(AND(D141="Teen Audiobook",LEFT(B141,11)="TEEN CD FIC"),B141,
IF(D141="Juvenile Audiobook",RIGHT(B141,LEN(B141)-8),
IF(D141="Juvenile Nonfiction",RIGHT(B141,LEN(B141)-2),
IF(D141="Teen Nonfiction",RIGHT(B141,LEN(B141)-5),
IF(AND(D141="Audiobook",
              NOT(OR(Contains($B141,"CD BIO"),Contains($B141,"CD FIC")))),RIGHT(B141,LEN(B141)-3),
IF(D141="Juvenile Biography",RIGHT(B141,LEN(B141)-2),
IF(D141="Teen Biography",RIGHT(B141,LEN(B141)-5),
IF(AND(D141="Audiobook",
              IFERROR(FIND("BIO",$B141)&gt;0,FALSE)),RIGHT(B141,LEN(B141)-3),
IF(D141="Juvenile Large Type","J "&amp;RIGHT(B141,LEN(B141)-11),
IF(D141="Teen Large Type","TEEN "&amp;RIGHT(B141,LEN(B141)-14),
IF(D141="Reference",RIGHT(B141,LEN(B141)-4),
IF(D141="DVD Educational",RIGHT(B141,LEN(B141)-7),
IF(D141="Juvenile DVD Educational",RIGHT(B141,LEN(B141)-9),
B141)))))))))))))))))</f>
        <v/>
      </c>
      <c r="N141" s="11" t="str">
        <f ca="1">IF(IFERROR(FIND("New",$A141)&gt;0,FALSE),"New ","") &amp; IF(IFERROR(FIND("In Lib",$A141)&gt;0,FALSE),"Reference ","") &amp;
IF(AND(D141="Audiobook",LEFT(B141,6)="CD BIO"),"Biography",
IF(AND(D141="Teen Audiobook",LEFT(B141,11)="TEEN CD BIO"),"Biography",
IF(AND(D141="Juvenile Audiobook",LEFT(B141,8)="J CD BIO"),"Biography",
IF(AND(D141="Audiobook",LEFT(B141,6)="CD FIC"),"Audiobook Fiction",
IF(AND(D141="Teen Audiobook",LEFT(B141,11)="TEEN CD FIC"),"Teen Audiobook",
IF(AND(D141="Juvenile Audiobook",LEFT(B141,8)="J CD FIC"),"Juvenile Audiobook",
IF(D141="Audiobook","Nonfiction",
IF(D141="Juvenile Audiobook","Nonfiction",
IF(D141="Teen Audiobook","Nonfiction",
IF(D141="Juvenile Nonfiction","Nonfiction",
IF(D141="Teen Nonfiction","Nonfiction",
IF(D141="Juvenile Biography","Biography",
IF(D141="Teen Biography","Biography",
IF(D141="ESL","Nonfiction",
IF(LEFT(B141,11)="INTL-VIE J ","International Juvenile",IF(LEFT(B141,11)="INTL-TAG J ","International Juvenile",IF(LEFT(B141,11)="INTL-RUS J ","International Juvenile",IF(LEFT(B141,11)="INTL-KOR J ","International Juvenile",IF(LEFT(B141,11)="INTL-JAP J ","International Juvenile",IF(LEFT(B141,11)="INTL-CHI J ","International Juvenile",IF(LEFT(B141,11)="INTL-SPA J ","International Juvenile",IF(LEFT(B141,14)="INTL-VIE TEEN ","International Teen",IF(LEFT(B141,14)="INTL-TAG TEEN ","International Teen",IF(LEFT(B141,14)="INTL-RUS TEEN ","International Teen",IF(LEFT(B141,14)="INTL-KOR TEEN ","International Teen",IF(LEFT(B141,14)="INTL-JAP TEEN ","International Teen",IF(LEFT(B141,14)="INTL-CHI TEEN ","International Teen",IF(LEFT(B141,14)="INTL-SPA TEEN ","International Teen",IF(LEFT(B141,11)="INTL-VIE E ","International Easy",IF(LEFT(B141,11)="INTL-TAG E ","International Easy",IF(LEFT(B141,11)="INTL-RUS E ","International Easy",IF(LEFT(B141,11)="INTL-JAP E ","International Easy",IF(LEFT(B141,11)="INTL-KOR E ","International Easy",IF(LEFT(B141,11)="INTL-CHI E ","International Easy",IF(LEFT(B141,11)="INTL-SPA E ","International Easy",
IF(D141="Teen Large Type","Teen Fiction",
IF(D141="Juvenile Large Type","Juvenile Fiction",
IF(LEFT(B141,6)="J CD O","Juvenile Compact Disc",
IF(AND(LEFT(B141,4)="TEEN",D141="Fiction"),"Teen Fiction",
IF(D141="DVD Educational","Nonfiction",
IF(D141="Juvenile DVD Educational","Nonfiction",
IF(D141="Reference","Nonfiction",
D141))))))))))))))))))))))))))))))))))))))))))</f>
        <v/>
      </c>
    </row>
    <row r="142" spans="1:14" ht="27" customHeight="1" x14ac:dyDescent="0.25">
      <c r="A142" s="10" t="str">
        <f ca="1">TEXT( INDIRECT( ADDRESS( ROW() + Row_Offset, INDIRECT( "Column_Number_" &amp; A$1), 4,1, tabname) ), "")</f>
        <v/>
      </c>
      <c r="B142" s="10" t="str">
        <f ca="1">TEXT(  IFERROR( VLOOKUP( $D142, CollName_Simplifier_Table[], 2, FALSE),"") &amp;
        INDIRECT( ADDRESS( ROW() + Row_Offset, INDIRECT( "Column_Number_" &amp; $B$1), 4,1, tabname) ), "")</f>
        <v/>
      </c>
      <c r="C142" s="10" t="str">
        <f ca="1">TEXT( INDIRECT( ADDRESS( ROW() + Row_Offset, INDIRECT( "Column_Number_" &amp; C$1), 4,1, tabname) ), "")</f>
        <v/>
      </c>
      <c r="D142" s="10" t="str">
        <f ca="1">TEXT( INDIRECT( ADDRESS( ROW() + Row_Offset, INDIRECT( "Column_Number_" &amp; D$1), 4,1, tabname) ), "")</f>
        <v/>
      </c>
      <c r="E142" s="10" t="str">
        <f ca="1">TEXT( INDIRECT( ADDRESS( ROW() + Row_Offset, INDIRECT( "Column_Number_" &amp; E$1), 4,1, tabname) ), "####")</f>
        <v/>
      </c>
      <c r="F142" s="15"/>
      <c r="G142" s="22" t="str">
        <f ca="1">IFERROR(INDEX(Rank_Table[],MATCH($D142&amp;$A142,Table4[Join],0)),"")</f>
        <v/>
      </c>
      <c r="H142" s="11" t="str">
        <f ca="1">IF(AND(D142="Juvenile Audiobook",LEFT(B142,8)="J CD BIO"),RIGHT(B142,LEN(B142)-9),
IF(AND(D142="Juvenile Audiobook",LEFT(B142,8)="J CD FIC"),B142,
IF(D142="Juvenile Audiobook",RIGHT(B142,LEN(B142)-5),
IF(AND(D142="Teen Audiobook",LEFT(B142,11)="TEEN CD BIO"),RIGHT(B142,LEN(B142)-12),
IF(AND(D142="Teen Audiobook",LEFT(B142,11)="TEEN CD FIC"),B142,
IF(D142="Juvenile Audiobook",RIGHT(B142,LEN(B142)-8),
IF(D142="Juvenile Nonfiction",RIGHT(B142,LEN(B142)-2),
IF(D142="Teen Nonfiction",RIGHT(B142,LEN(B142)-5),
IF(AND(D142="Audiobook",
              NOT(OR(Contains($B142,"CD BIO"),Contains($B142,"CD FIC")))),RIGHT(B142,LEN(B142)-3),
IF(D142="Juvenile Biography",RIGHT(B142,LEN(B142)-2),
IF(D142="Teen Biography",RIGHT(B142,LEN(B142)-5),
IF(AND(D142="Audiobook",
              IFERROR(FIND("BIO",$B142)&gt;0,FALSE)),RIGHT(B142,LEN(B142)-3),
IF(D142="Juvenile Large Type","J "&amp;RIGHT(B142,LEN(B142)-11),
IF(D142="Teen Large Type","TEEN "&amp;RIGHT(B142,LEN(B142)-14),
IF(D142="Reference",RIGHT(B142,LEN(B142)-4),
IF(D142="DVD Educational",RIGHT(B142,LEN(B142)-7),
IF(D142="Juvenile DVD Educational",RIGHT(B142,LEN(B142)-9),
B142)))))))))))))))))</f>
        <v/>
      </c>
      <c r="N142" s="11" t="str">
        <f ca="1">IF(IFERROR(FIND("New",$A142)&gt;0,FALSE),"New ","") &amp; IF(IFERROR(FIND("In Lib",$A142)&gt;0,FALSE),"Reference ","") &amp;
IF(AND(D142="Audiobook",LEFT(B142,6)="CD BIO"),"Biography",
IF(AND(D142="Teen Audiobook",LEFT(B142,11)="TEEN CD BIO"),"Biography",
IF(AND(D142="Juvenile Audiobook",LEFT(B142,8)="J CD BIO"),"Biography",
IF(AND(D142="Audiobook",LEFT(B142,6)="CD FIC"),"Audiobook Fiction",
IF(AND(D142="Teen Audiobook",LEFT(B142,11)="TEEN CD FIC"),"Teen Audiobook",
IF(AND(D142="Juvenile Audiobook",LEFT(B142,8)="J CD FIC"),"Juvenile Audiobook",
IF(D142="Audiobook","Nonfiction",
IF(D142="Juvenile Audiobook","Nonfiction",
IF(D142="Teen Audiobook","Nonfiction",
IF(D142="Juvenile Nonfiction","Nonfiction",
IF(D142="Teen Nonfiction","Nonfiction",
IF(D142="Juvenile Biography","Biography",
IF(D142="Teen Biography","Biography",
IF(D142="ESL","Nonfiction",
IF(LEFT(B142,11)="INTL-VIE J ","International Juvenile",IF(LEFT(B142,11)="INTL-TAG J ","International Juvenile",IF(LEFT(B142,11)="INTL-RUS J ","International Juvenile",IF(LEFT(B142,11)="INTL-KOR J ","International Juvenile",IF(LEFT(B142,11)="INTL-JAP J ","International Juvenile",IF(LEFT(B142,11)="INTL-CHI J ","International Juvenile",IF(LEFT(B142,11)="INTL-SPA J ","International Juvenile",IF(LEFT(B142,14)="INTL-VIE TEEN ","International Teen",IF(LEFT(B142,14)="INTL-TAG TEEN ","International Teen",IF(LEFT(B142,14)="INTL-RUS TEEN ","International Teen",IF(LEFT(B142,14)="INTL-KOR TEEN ","International Teen",IF(LEFT(B142,14)="INTL-JAP TEEN ","International Teen",IF(LEFT(B142,14)="INTL-CHI TEEN ","International Teen",IF(LEFT(B142,14)="INTL-SPA TEEN ","International Teen",IF(LEFT(B142,11)="INTL-VIE E ","International Easy",IF(LEFT(B142,11)="INTL-TAG E ","International Easy",IF(LEFT(B142,11)="INTL-RUS E ","International Easy",IF(LEFT(B142,11)="INTL-JAP E ","International Easy",IF(LEFT(B142,11)="INTL-KOR E ","International Easy",IF(LEFT(B142,11)="INTL-CHI E ","International Easy",IF(LEFT(B142,11)="INTL-SPA E ","International Easy",
IF(D142="Teen Large Type","Teen Fiction",
IF(D142="Juvenile Large Type","Juvenile Fiction",
IF(LEFT(B142,6)="J CD O","Juvenile Compact Disc",
IF(AND(LEFT(B142,4)="TEEN",D142="Fiction"),"Teen Fiction",
IF(D142="DVD Educational","Nonfiction",
IF(D142="Juvenile DVD Educational","Nonfiction",
IF(D142="Reference","Nonfiction",
D142))))))))))))))))))))))))))))))))))))))))))</f>
        <v/>
      </c>
    </row>
    <row r="143" spans="1:14" ht="27" customHeight="1" x14ac:dyDescent="0.25">
      <c r="A143" s="10" t="str">
        <f ca="1">TEXT( INDIRECT( ADDRESS( ROW() + Row_Offset, INDIRECT( "Column_Number_" &amp; A$1), 4,1, tabname) ), "")</f>
        <v/>
      </c>
      <c r="B143" s="10" t="str">
        <f ca="1">TEXT(  IFERROR( VLOOKUP( $D143, CollName_Simplifier_Table[], 2, FALSE),"") &amp;
        INDIRECT( ADDRESS( ROW() + Row_Offset, INDIRECT( "Column_Number_" &amp; $B$1), 4,1, tabname) ), "")</f>
        <v/>
      </c>
      <c r="C143" s="10" t="str">
        <f ca="1">TEXT( INDIRECT( ADDRESS( ROW() + Row_Offset, INDIRECT( "Column_Number_" &amp; C$1), 4,1, tabname) ), "")</f>
        <v/>
      </c>
      <c r="D143" s="10" t="str">
        <f ca="1">TEXT( INDIRECT( ADDRESS( ROW() + Row_Offset, INDIRECT( "Column_Number_" &amp; D$1), 4,1, tabname) ), "")</f>
        <v/>
      </c>
      <c r="E143" s="10" t="str">
        <f ca="1">TEXT( INDIRECT( ADDRESS( ROW() + Row_Offset, INDIRECT( "Column_Number_" &amp; E$1), 4,1, tabname) ), "####")</f>
        <v/>
      </c>
      <c r="F143" s="15"/>
      <c r="G143" s="22" t="str">
        <f ca="1">IFERROR(INDEX(Rank_Table[],MATCH($D143&amp;$A143,Table4[Join],0)),"")</f>
        <v/>
      </c>
      <c r="H143" s="11" t="str">
        <f ca="1">IF(AND(D143="Juvenile Audiobook",LEFT(B143,8)="J CD BIO"),RIGHT(B143,LEN(B143)-9),
IF(AND(D143="Juvenile Audiobook",LEFT(B143,8)="J CD FIC"),B143,
IF(D143="Juvenile Audiobook",RIGHT(B143,LEN(B143)-5),
IF(AND(D143="Teen Audiobook",LEFT(B143,11)="TEEN CD BIO"),RIGHT(B143,LEN(B143)-12),
IF(AND(D143="Teen Audiobook",LEFT(B143,11)="TEEN CD FIC"),B143,
IF(D143="Juvenile Audiobook",RIGHT(B143,LEN(B143)-8),
IF(D143="Juvenile Nonfiction",RIGHT(B143,LEN(B143)-2),
IF(D143="Teen Nonfiction",RIGHT(B143,LEN(B143)-5),
IF(AND(D143="Audiobook",
              NOT(OR(Contains($B143,"CD BIO"),Contains($B143,"CD FIC")))),RIGHT(B143,LEN(B143)-3),
IF(D143="Juvenile Biography",RIGHT(B143,LEN(B143)-2),
IF(D143="Teen Biography",RIGHT(B143,LEN(B143)-5),
IF(AND(D143="Audiobook",
              IFERROR(FIND("BIO",$B143)&gt;0,FALSE)),RIGHT(B143,LEN(B143)-3),
IF(D143="Juvenile Large Type","J "&amp;RIGHT(B143,LEN(B143)-11),
IF(D143="Teen Large Type","TEEN "&amp;RIGHT(B143,LEN(B143)-14),
IF(D143="Reference",RIGHT(B143,LEN(B143)-4),
IF(D143="DVD Educational",RIGHT(B143,LEN(B143)-7),
IF(D143="Juvenile DVD Educational",RIGHT(B143,LEN(B143)-9),
B143)))))))))))))))))</f>
        <v/>
      </c>
      <c r="N143" s="11" t="str">
        <f ca="1">IF(IFERROR(FIND("New",$A143)&gt;0,FALSE),"New ","") &amp; IF(IFERROR(FIND("In Lib",$A143)&gt;0,FALSE),"Reference ","") &amp;
IF(AND(D143="Audiobook",LEFT(B143,6)="CD BIO"),"Biography",
IF(AND(D143="Teen Audiobook",LEFT(B143,11)="TEEN CD BIO"),"Biography",
IF(AND(D143="Juvenile Audiobook",LEFT(B143,8)="J CD BIO"),"Biography",
IF(AND(D143="Audiobook",LEFT(B143,6)="CD FIC"),"Audiobook Fiction",
IF(AND(D143="Teen Audiobook",LEFT(B143,11)="TEEN CD FIC"),"Teen Audiobook",
IF(AND(D143="Juvenile Audiobook",LEFT(B143,8)="J CD FIC"),"Juvenile Audiobook",
IF(D143="Audiobook","Nonfiction",
IF(D143="Juvenile Audiobook","Nonfiction",
IF(D143="Teen Audiobook","Nonfiction",
IF(D143="Juvenile Nonfiction","Nonfiction",
IF(D143="Teen Nonfiction","Nonfiction",
IF(D143="Juvenile Biography","Biography",
IF(D143="Teen Biography","Biography",
IF(D143="ESL","Nonfiction",
IF(LEFT(B143,11)="INTL-VIE J ","International Juvenile",IF(LEFT(B143,11)="INTL-TAG J ","International Juvenile",IF(LEFT(B143,11)="INTL-RUS J ","International Juvenile",IF(LEFT(B143,11)="INTL-KOR J ","International Juvenile",IF(LEFT(B143,11)="INTL-JAP J ","International Juvenile",IF(LEFT(B143,11)="INTL-CHI J ","International Juvenile",IF(LEFT(B143,11)="INTL-SPA J ","International Juvenile",IF(LEFT(B143,14)="INTL-VIE TEEN ","International Teen",IF(LEFT(B143,14)="INTL-TAG TEEN ","International Teen",IF(LEFT(B143,14)="INTL-RUS TEEN ","International Teen",IF(LEFT(B143,14)="INTL-KOR TEEN ","International Teen",IF(LEFT(B143,14)="INTL-JAP TEEN ","International Teen",IF(LEFT(B143,14)="INTL-CHI TEEN ","International Teen",IF(LEFT(B143,14)="INTL-SPA TEEN ","International Teen",IF(LEFT(B143,11)="INTL-VIE E ","International Easy",IF(LEFT(B143,11)="INTL-TAG E ","International Easy",IF(LEFT(B143,11)="INTL-RUS E ","International Easy",IF(LEFT(B143,11)="INTL-JAP E ","International Easy",IF(LEFT(B143,11)="INTL-KOR E ","International Easy",IF(LEFT(B143,11)="INTL-CHI E ","International Easy",IF(LEFT(B143,11)="INTL-SPA E ","International Easy",
IF(D143="Teen Large Type","Teen Fiction",
IF(D143="Juvenile Large Type","Juvenile Fiction",
IF(LEFT(B143,6)="J CD O","Juvenile Compact Disc",
IF(AND(LEFT(B143,4)="TEEN",D143="Fiction"),"Teen Fiction",
IF(D143="DVD Educational","Nonfiction",
IF(D143="Juvenile DVD Educational","Nonfiction",
IF(D143="Reference","Nonfiction",
D143))))))))))))))))))))))))))))))))))))))))))</f>
        <v/>
      </c>
    </row>
    <row r="144" spans="1:14" ht="27" customHeight="1" x14ac:dyDescent="0.25">
      <c r="A144" s="10" t="str">
        <f ca="1">TEXT( INDIRECT( ADDRESS( ROW() + Row_Offset, INDIRECT( "Column_Number_" &amp; A$1), 4,1, tabname) ), "")</f>
        <v/>
      </c>
      <c r="B144" s="10" t="str">
        <f ca="1">TEXT(  IFERROR( VLOOKUP( $D144, CollName_Simplifier_Table[], 2, FALSE),"") &amp;
        INDIRECT( ADDRESS( ROW() + Row_Offset, INDIRECT( "Column_Number_" &amp; $B$1), 4,1, tabname) ), "")</f>
        <v/>
      </c>
      <c r="C144" s="10" t="str">
        <f ca="1">TEXT( INDIRECT( ADDRESS( ROW() + Row_Offset, INDIRECT( "Column_Number_" &amp; C$1), 4,1, tabname) ), "")</f>
        <v/>
      </c>
      <c r="D144" s="10" t="str">
        <f ca="1">TEXT( INDIRECT( ADDRESS( ROW() + Row_Offset, INDIRECT( "Column_Number_" &amp; D$1), 4,1, tabname) ), "")</f>
        <v/>
      </c>
      <c r="E144" s="10" t="str">
        <f ca="1">TEXT( INDIRECT( ADDRESS( ROW() + Row_Offset, INDIRECT( "Column_Number_" &amp; E$1), 4,1, tabname) ), "####")</f>
        <v/>
      </c>
      <c r="F144" s="15"/>
      <c r="G144" s="22" t="str">
        <f ca="1">IFERROR(INDEX(Rank_Table[],MATCH($D144&amp;$A144,Table4[Join],0)),"")</f>
        <v/>
      </c>
      <c r="H144" s="11" t="str">
        <f ca="1">IF(AND(D144="Juvenile Audiobook",LEFT(B144,8)="J CD BIO"),RIGHT(B144,LEN(B144)-9),
IF(AND(D144="Juvenile Audiobook",LEFT(B144,8)="J CD FIC"),B144,
IF(D144="Juvenile Audiobook",RIGHT(B144,LEN(B144)-5),
IF(AND(D144="Teen Audiobook",LEFT(B144,11)="TEEN CD BIO"),RIGHT(B144,LEN(B144)-12),
IF(AND(D144="Teen Audiobook",LEFT(B144,11)="TEEN CD FIC"),B144,
IF(D144="Juvenile Audiobook",RIGHT(B144,LEN(B144)-8),
IF(D144="Juvenile Nonfiction",RIGHT(B144,LEN(B144)-2),
IF(D144="Teen Nonfiction",RIGHT(B144,LEN(B144)-5),
IF(AND(D144="Audiobook",
              NOT(OR(Contains($B144,"CD BIO"),Contains($B144,"CD FIC")))),RIGHT(B144,LEN(B144)-3),
IF(D144="Juvenile Biography",RIGHT(B144,LEN(B144)-2),
IF(D144="Teen Biography",RIGHT(B144,LEN(B144)-5),
IF(AND(D144="Audiobook",
              IFERROR(FIND("BIO",$B144)&gt;0,FALSE)),RIGHT(B144,LEN(B144)-3),
IF(D144="Juvenile Large Type","J "&amp;RIGHT(B144,LEN(B144)-11),
IF(D144="Teen Large Type","TEEN "&amp;RIGHT(B144,LEN(B144)-14),
IF(D144="Reference",RIGHT(B144,LEN(B144)-4),
IF(D144="DVD Educational",RIGHT(B144,LEN(B144)-7),
IF(D144="Juvenile DVD Educational",RIGHT(B144,LEN(B144)-9),
B144)))))))))))))))))</f>
        <v/>
      </c>
      <c r="N144" s="11" t="str">
        <f ca="1">IF(IFERROR(FIND("New",$A144)&gt;0,FALSE),"New ","") &amp; IF(IFERROR(FIND("In Lib",$A144)&gt;0,FALSE),"Reference ","") &amp;
IF(AND(D144="Audiobook",LEFT(B144,6)="CD BIO"),"Biography",
IF(AND(D144="Teen Audiobook",LEFT(B144,11)="TEEN CD BIO"),"Biography",
IF(AND(D144="Juvenile Audiobook",LEFT(B144,8)="J CD BIO"),"Biography",
IF(AND(D144="Audiobook",LEFT(B144,6)="CD FIC"),"Audiobook Fiction",
IF(AND(D144="Teen Audiobook",LEFT(B144,11)="TEEN CD FIC"),"Teen Audiobook",
IF(AND(D144="Juvenile Audiobook",LEFT(B144,8)="J CD FIC"),"Juvenile Audiobook",
IF(D144="Audiobook","Nonfiction",
IF(D144="Juvenile Audiobook","Nonfiction",
IF(D144="Teen Audiobook","Nonfiction",
IF(D144="Juvenile Nonfiction","Nonfiction",
IF(D144="Teen Nonfiction","Nonfiction",
IF(D144="Juvenile Biography","Biography",
IF(D144="Teen Biography","Biography",
IF(D144="ESL","Nonfiction",
IF(LEFT(B144,11)="INTL-VIE J ","International Juvenile",IF(LEFT(B144,11)="INTL-TAG J ","International Juvenile",IF(LEFT(B144,11)="INTL-RUS J ","International Juvenile",IF(LEFT(B144,11)="INTL-KOR J ","International Juvenile",IF(LEFT(B144,11)="INTL-JAP J ","International Juvenile",IF(LEFT(B144,11)="INTL-CHI J ","International Juvenile",IF(LEFT(B144,11)="INTL-SPA J ","International Juvenile",IF(LEFT(B144,14)="INTL-VIE TEEN ","International Teen",IF(LEFT(B144,14)="INTL-TAG TEEN ","International Teen",IF(LEFT(B144,14)="INTL-RUS TEEN ","International Teen",IF(LEFT(B144,14)="INTL-KOR TEEN ","International Teen",IF(LEFT(B144,14)="INTL-JAP TEEN ","International Teen",IF(LEFT(B144,14)="INTL-CHI TEEN ","International Teen",IF(LEFT(B144,14)="INTL-SPA TEEN ","International Teen",IF(LEFT(B144,11)="INTL-VIE E ","International Easy",IF(LEFT(B144,11)="INTL-TAG E ","International Easy",IF(LEFT(B144,11)="INTL-RUS E ","International Easy",IF(LEFT(B144,11)="INTL-JAP E ","International Easy",IF(LEFT(B144,11)="INTL-KOR E ","International Easy",IF(LEFT(B144,11)="INTL-CHI E ","International Easy",IF(LEFT(B144,11)="INTL-SPA E ","International Easy",
IF(D144="Teen Large Type","Teen Fiction",
IF(D144="Juvenile Large Type","Juvenile Fiction",
IF(LEFT(B144,6)="J CD O","Juvenile Compact Disc",
IF(AND(LEFT(B144,4)="TEEN",D144="Fiction"),"Teen Fiction",
IF(D144="DVD Educational","Nonfiction",
IF(D144="Juvenile DVD Educational","Nonfiction",
IF(D144="Reference","Nonfiction",
D144))))))))))))))))))))))))))))))))))))))))))</f>
        <v/>
      </c>
    </row>
    <row r="145" spans="1:14" ht="27" customHeight="1" x14ac:dyDescent="0.25">
      <c r="A145" s="10" t="str">
        <f ca="1">TEXT( INDIRECT( ADDRESS( ROW() + Row_Offset, INDIRECT( "Column_Number_" &amp; A$1), 4,1, tabname) ), "")</f>
        <v/>
      </c>
      <c r="B145" s="10" t="str">
        <f ca="1">TEXT(  IFERROR( VLOOKUP( $D145, CollName_Simplifier_Table[], 2, FALSE),"") &amp;
        INDIRECT( ADDRESS( ROW() + Row_Offset, INDIRECT( "Column_Number_" &amp; $B$1), 4,1, tabname) ), "")</f>
        <v/>
      </c>
      <c r="C145" s="10" t="str">
        <f ca="1">TEXT( INDIRECT( ADDRESS( ROW() + Row_Offset, INDIRECT( "Column_Number_" &amp; C$1), 4,1, tabname) ), "")</f>
        <v/>
      </c>
      <c r="D145" s="10" t="str">
        <f ca="1">TEXT( INDIRECT( ADDRESS( ROW() + Row_Offset, INDIRECT( "Column_Number_" &amp; D$1), 4,1, tabname) ), "")</f>
        <v/>
      </c>
      <c r="E145" s="10" t="str">
        <f ca="1">TEXT( INDIRECT( ADDRESS( ROW() + Row_Offset, INDIRECT( "Column_Number_" &amp; E$1), 4,1, tabname) ), "####")</f>
        <v/>
      </c>
      <c r="F145" s="15"/>
      <c r="G145" s="22" t="str">
        <f ca="1">IFERROR(INDEX(Rank_Table[],MATCH($D145&amp;$A145,Table4[Join],0)),"")</f>
        <v/>
      </c>
      <c r="H145" s="11" t="str">
        <f ca="1">IF(AND(D145="Juvenile Audiobook",LEFT(B145,8)="J CD BIO"),RIGHT(B145,LEN(B145)-9),
IF(AND(D145="Juvenile Audiobook",LEFT(B145,8)="J CD FIC"),B145,
IF(D145="Juvenile Audiobook",RIGHT(B145,LEN(B145)-5),
IF(AND(D145="Teen Audiobook",LEFT(B145,11)="TEEN CD BIO"),RIGHT(B145,LEN(B145)-12),
IF(AND(D145="Teen Audiobook",LEFT(B145,11)="TEEN CD FIC"),B145,
IF(D145="Juvenile Audiobook",RIGHT(B145,LEN(B145)-8),
IF(D145="Juvenile Nonfiction",RIGHT(B145,LEN(B145)-2),
IF(D145="Teen Nonfiction",RIGHT(B145,LEN(B145)-5),
IF(AND(D145="Audiobook",
              NOT(OR(Contains($B145,"CD BIO"),Contains($B145,"CD FIC")))),RIGHT(B145,LEN(B145)-3),
IF(D145="Juvenile Biography",RIGHT(B145,LEN(B145)-2),
IF(D145="Teen Biography",RIGHT(B145,LEN(B145)-5),
IF(AND(D145="Audiobook",
              IFERROR(FIND("BIO",$B145)&gt;0,FALSE)),RIGHT(B145,LEN(B145)-3),
IF(D145="Juvenile Large Type","J "&amp;RIGHT(B145,LEN(B145)-11),
IF(D145="Teen Large Type","TEEN "&amp;RIGHT(B145,LEN(B145)-14),
IF(D145="Reference",RIGHT(B145,LEN(B145)-4),
IF(D145="DVD Educational",RIGHT(B145,LEN(B145)-7),
IF(D145="Juvenile DVD Educational",RIGHT(B145,LEN(B145)-9),
B145)))))))))))))))))</f>
        <v/>
      </c>
      <c r="N145" s="11" t="str">
        <f ca="1">IF(IFERROR(FIND("New",$A145)&gt;0,FALSE),"New ","") &amp; IF(IFERROR(FIND("In Lib",$A145)&gt;0,FALSE),"Reference ","") &amp;
IF(AND(D145="Audiobook",LEFT(B145,6)="CD BIO"),"Biography",
IF(AND(D145="Teen Audiobook",LEFT(B145,11)="TEEN CD BIO"),"Biography",
IF(AND(D145="Juvenile Audiobook",LEFT(B145,8)="J CD BIO"),"Biography",
IF(AND(D145="Audiobook",LEFT(B145,6)="CD FIC"),"Audiobook Fiction",
IF(AND(D145="Teen Audiobook",LEFT(B145,11)="TEEN CD FIC"),"Teen Audiobook",
IF(AND(D145="Juvenile Audiobook",LEFT(B145,8)="J CD FIC"),"Juvenile Audiobook",
IF(D145="Audiobook","Nonfiction",
IF(D145="Juvenile Audiobook","Nonfiction",
IF(D145="Teen Audiobook","Nonfiction",
IF(D145="Juvenile Nonfiction","Nonfiction",
IF(D145="Teen Nonfiction","Nonfiction",
IF(D145="Juvenile Biography","Biography",
IF(D145="Teen Biography","Biography",
IF(D145="ESL","Nonfiction",
IF(LEFT(B145,11)="INTL-VIE J ","International Juvenile",IF(LEFT(B145,11)="INTL-TAG J ","International Juvenile",IF(LEFT(B145,11)="INTL-RUS J ","International Juvenile",IF(LEFT(B145,11)="INTL-KOR J ","International Juvenile",IF(LEFT(B145,11)="INTL-JAP J ","International Juvenile",IF(LEFT(B145,11)="INTL-CHI J ","International Juvenile",IF(LEFT(B145,11)="INTL-SPA J ","International Juvenile",IF(LEFT(B145,14)="INTL-VIE TEEN ","International Teen",IF(LEFT(B145,14)="INTL-TAG TEEN ","International Teen",IF(LEFT(B145,14)="INTL-RUS TEEN ","International Teen",IF(LEFT(B145,14)="INTL-KOR TEEN ","International Teen",IF(LEFT(B145,14)="INTL-JAP TEEN ","International Teen",IF(LEFT(B145,14)="INTL-CHI TEEN ","International Teen",IF(LEFT(B145,14)="INTL-SPA TEEN ","International Teen",IF(LEFT(B145,11)="INTL-VIE E ","International Easy",IF(LEFT(B145,11)="INTL-TAG E ","International Easy",IF(LEFT(B145,11)="INTL-RUS E ","International Easy",IF(LEFT(B145,11)="INTL-JAP E ","International Easy",IF(LEFT(B145,11)="INTL-KOR E ","International Easy",IF(LEFT(B145,11)="INTL-CHI E ","International Easy",IF(LEFT(B145,11)="INTL-SPA E ","International Easy",
IF(D145="Teen Large Type","Teen Fiction",
IF(D145="Juvenile Large Type","Juvenile Fiction",
IF(LEFT(B145,6)="J CD O","Juvenile Compact Disc",
IF(AND(LEFT(B145,4)="TEEN",D145="Fiction"),"Teen Fiction",
IF(D145="DVD Educational","Nonfiction",
IF(D145="Juvenile DVD Educational","Nonfiction",
IF(D145="Reference","Nonfiction",
D145))))))))))))))))))))))))))))))))))))))))))</f>
        <v/>
      </c>
    </row>
    <row r="146" spans="1:14" ht="27" customHeight="1" x14ac:dyDescent="0.25">
      <c r="A146" s="10" t="str">
        <f ca="1">TEXT( INDIRECT( ADDRESS( ROW() + Row_Offset, INDIRECT( "Column_Number_" &amp; A$1), 4,1, tabname) ), "")</f>
        <v/>
      </c>
      <c r="B146" s="10" t="str">
        <f ca="1">TEXT(  IFERROR( VLOOKUP( $D146, CollName_Simplifier_Table[], 2, FALSE),"") &amp;
        INDIRECT( ADDRESS( ROW() + Row_Offset, INDIRECT( "Column_Number_" &amp; $B$1), 4,1, tabname) ), "")</f>
        <v/>
      </c>
      <c r="C146" s="10" t="str">
        <f ca="1">TEXT( INDIRECT( ADDRESS( ROW() + Row_Offset, INDIRECT( "Column_Number_" &amp; C$1), 4,1, tabname) ), "")</f>
        <v/>
      </c>
      <c r="D146" s="10" t="str">
        <f ca="1">TEXT( INDIRECT( ADDRESS( ROW() + Row_Offset, INDIRECT( "Column_Number_" &amp; D$1), 4,1, tabname) ), "")</f>
        <v/>
      </c>
      <c r="E146" s="10" t="str">
        <f ca="1">TEXT( INDIRECT( ADDRESS( ROW() + Row_Offset, INDIRECT( "Column_Number_" &amp; E$1), 4,1, tabname) ), "####")</f>
        <v/>
      </c>
      <c r="F146" s="15"/>
      <c r="G146" s="22" t="str">
        <f ca="1">IFERROR(INDEX(Rank_Table[],MATCH($D146&amp;$A146,Table4[Join],0)),"")</f>
        <v/>
      </c>
      <c r="H146" s="11" t="str">
        <f ca="1">IF(AND(D146="Juvenile Audiobook",LEFT(B146,8)="J CD BIO"),RIGHT(B146,LEN(B146)-9),
IF(AND(D146="Juvenile Audiobook",LEFT(B146,8)="J CD FIC"),B146,
IF(D146="Juvenile Audiobook",RIGHT(B146,LEN(B146)-5),
IF(AND(D146="Teen Audiobook",LEFT(B146,11)="TEEN CD BIO"),RIGHT(B146,LEN(B146)-12),
IF(AND(D146="Teen Audiobook",LEFT(B146,11)="TEEN CD FIC"),B146,
IF(D146="Juvenile Audiobook",RIGHT(B146,LEN(B146)-8),
IF(D146="Juvenile Nonfiction",RIGHT(B146,LEN(B146)-2),
IF(D146="Teen Nonfiction",RIGHT(B146,LEN(B146)-5),
IF(AND(D146="Audiobook",
              NOT(OR(Contains($B146,"CD BIO"),Contains($B146,"CD FIC")))),RIGHT(B146,LEN(B146)-3),
IF(D146="Juvenile Biography",RIGHT(B146,LEN(B146)-2),
IF(D146="Teen Biography",RIGHT(B146,LEN(B146)-5),
IF(AND(D146="Audiobook",
              IFERROR(FIND("BIO",$B146)&gt;0,FALSE)),RIGHT(B146,LEN(B146)-3),
IF(D146="Juvenile Large Type","J "&amp;RIGHT(B146,LEN(B146)-11),
IF(D146="Teen Large Type","TEEN "&amp;RIGHT(B146,LEN(B146)-14),
IF(D146="Reference",RIGHT(B146,LEN(B146)-4),
IF(D146="DVD Educational",RIGHT(B146,LEN(B146)-7),
IF(D146="Juvenile DVD Educational",RIGHT(B146,LEN(B146)-9),
B146)))))))))))))))))</f>
        <v/>
      </c>
      <c r="N146" s="11" t="str">
        <f ca="1">IF(IFERROR(FIND("New",$A146)&gt;0,FALSE),"New ","") &amp; IF(IFERROR(FIND("In Lib",$A146)&gt;0,FALSE),"Reference ","") &amp;
IF(AND(D146="Audiobook",LEFT(B146,6)="CD BIO"),"Biography",
IF(AND(D146="Teen Audiobook",LEFT(B146,11)="TEEN CD BIO"),"Biography",
IF(AND(D146="Juvenile Audiobook",LEFT(B146,8)="J CD BIO"),"Biography",
IF(AND(D146="Audiobook",LEFT(B146,6)="CD FIC"),"Audiobook Fiction",
IF(AND(D146="Teen Audiobook",LEFT(B146,11)="TEEN CD FIC"),"Teen Audiobook",
IF(AND(D146="Juvenile Audiobook",LEFT(B146,8)="J CD FIC"),"Juvenile Audiobook",
IF(D146="Audiobook","Nonfiction",
IF(D146="Juvenile Audiobook","Nonfiction",
IF(D146="Teen Audiobook","Nonfiction",
IF(D146="Juvenile Nonfiction","Nonfiction",
IF(D146="Teen Nonfiction","Nonfiction",
IF(D146="Juvenile Biography","Biography",
IF(D146="Teen Biography","Biography",
IF(D146="ESL","Nonfiction",
IF(LEFT(B146,11)="INTL-VIE J ","International Juvenile",IF(LEFT(B146,11)="INTL-TAG J ","International Juvenile",IF(LEFT(B146,11)="INTL-RUS J ","International Juvenile",IF(LEFT(B146,11)="INTL-KOR J ","International Juvenile",IF(LEFT(B146,11)="INTL-JAP J ","International Juvenile",IF(LEFT(B146,11)="INTL-CHI J ","International Juvenile",IF(LEFT(B146,11)="INTL-SPA J ","International Juvenile",IF(LEFT(B146,14)="INTL-VIE TEEN ","International Teen",IF(LEFT(B146,14)="INTL-TAG TEEN ","International Teen",IF(LEFT(B146,14)="INTL-RUS TEEN ","International Teen",IF(LEFT(B146,14)="INTL-KOR TEEN ","International Teen",IF(LEFT(B146,14)="INTL-JAP TEEN ","International Teen",IF(LEFT(B146,14)="INTL-CHI TEEN ","International Teen",IF(LEFT(B146,14)="INTL-SPA TEEN ","International Teen",IF(LEFT(B146,11)="INTL-VIE E ","International Easy",IF(LEFT(B146,11)="INTL-TAG E ","International Easy",IF(LEFT(B146,11)="INTL-RUS E ","International Easy",IF(LEFT(B146,11)="INTL-JAP E ","International Easy",IF(LEFT(B146,11)="INTL-KOR E ","International Easy",IF(LEFT(B146,11)="INTL-CHI E ","International Easy",IF(LEFT(B146,11)="INTL-SPA E ","International Easy",
IF(D146="Teen Large Type","Teen Fiction",
IF(D146="Juvenile Large Type","Juvenile Fiction",
IF(LEFT(B146,6)="J CD O","Juvenile Compact Disc",
IF(AND(LEFT(B146,4)="TEEN",D146="Fiction"),"Teen Fiction",
IF(D146="DVD Educational","Nonfiction",
IF(D146="Juvenile DVD Educational","Nonfiction",
IF(D146="Reference","Nonfiction",
D146))))))))))))))))))))))))))))))))))))))))))</f>
        <v/>
      </c>
    </row>
    <row r="147" spans="1:14" ht="27" customHeight="1" x14ac:dyDescent="0.25">
      <c r="A147" s="10" t="str">
        <f ca="1">TEXT( INDIRECT( ADDRESS( ROW() + Row_Offset, INDIRECT( "Column_Number_" &amp; A$1), 4,1, tabname) ), "")</f>
        <v/>
      </c>
      <c r="B147" s="10" t="str">
        <f ca="1">TEXT(  IFERROR( VLOOKUP( $D147, CollName_Simplifier_Table[], 2, FALSE),"") &amp;
        INDIRECT( ADDRESS( ROW() + Row_Offset, INDIRECT( "Column_Number_" &amp; $B$1), 4,1, tabname) ), "")</f>
        <v/>
      </c>
      <c r="C147" s="10" t="str">
        <f ca="1">TEXT( INDIRECT( ADDRESS( ROW() + Row_Offset, INDIRECT( "Column_Number_" &amp; C$1), 4,1, tabname) ), "")</f>
        <v/>
      </c>
      <c r="D147" s="10" t="str">
        <f ca="1">TEXT( INDIRECT( ADDRESS( ROW() + Row_Offset, INDIRECT( "Column_Number_" &amp; D$1), 4,1, tabname) ), "")</f>
        <v/>
      </c>
      <c r="E147" s="10" t="str">
        <f ca="1">TEXT( INDIRECT( ADDRESS( ROW() + Row_Offset, INDIRECT( "Column_Number_" &amp; E$1), 4,1, tabname) ), "####")</f>
        <v/>
      </c>
      <c r="F147" s="15"/>
      <c r="G147" s="22" t="str">
        <f ca="1">IFERROR(INDEX(Rank_Table[],MATCH($D147&amp;$A147,Table4[Join],0)),"")</f>
        <v/>
      </c>
      <c r="H147" s="11" t="str">
        <f ca="1">IF(AND(D147="Juvenile Audiobook",LEFT(B147,8)="J CD BIO"),RIGHT(B147,LEN(B147)-9),
IF(AND(D147="Juvenile Audiobook",LEFT(B147,8)="J CD FIC"),B147,
IF(D147="Juvenile Audiobook",RIGHT(B147,LEN(B147)-5),
IF(AND(D147="Teen Audiobook",LEFT(B147,11)="TEEN CD BIO"),RIGHT(B147,LEN(B147)-12),
IF(AND(D147="Teen Audiobook",LEFT(B147,11)="TEEN CD FIC"),B147,
IF(D147="Juvenile Audiobook",RIGHT(B147,LEN(B147)-8),
IF(D147="Juvenile Nonfiction",RIGHT(B147,LEN(B147)-2),
IF(D147="Teen Nonfiction",RIGHT(B147,LEN(B147)-5),
IF(AND(D147="Audiobook",
              NOT(OR(Contains($B147,"CD BIO"),Contains($B147,"CD FIC")))),RIGHT(B147,LEN(B147)-3),
IF(D147="Juvenile Biography",RIGHT(B147,LEN(B147)-2),
IF(D147="Teen Biography",RIGHT(B147,LEN(B147)-5),
IF(AND(D147="Audiobook",
              IFERROR(FIND("BIO",$B147)&gt;0,FALSE)),RIGHT(B147,LEN(B147)-3),
IF(D147="Juvenile Large Type","J "&amp;RIGHT(B147,LEN(B147)-11),
IF(D147="Teen Large Type","TEEN "&amp;RIGHT(B147,LEN(B147)-14),
IF(D147="Reference",RIGHT(B147,LEN(B147)-4),
IF(D147="DVD Educational",RIGHT(B147,LEN(B147)-7),
IF(D147="Juvenile DVD Educational",RIGHT(B147,LEN(B147)-9),
B147)))))))))))))))))</f>
        <v/>
      </c>
      <c r="N147" s="11" t="str">
        <f ca="1">IF(IFERROR(FIND("New",$A147)&gt;0,FALSE),"New ","") &amp; IF(IFERROR(FIND("In Lib",$A147)&gt;0,FALSE),"Reference ","") &amp;
IF(AND(D147="Audiobook",LEFT(B147,6)="CD BIO"),"Biography",
IF(AND(D147="Teen Audiobook",LEFT(B147,11)="TEEN CD BIO"),"Biography",
IF(AND(D147="Juvenile Audiobook",LEFT(B147,8)="J CD BIO"),"Biography",
IF(AND(D147="Audiobook",LEFT(B147,6)="CD FIC"),"Audiobook Fiction",
IF(AND(D147="Teen Audiobook",LEFT(B147,11)="TEEN CD FIC"),"Teen Audiobook",
IF(AND(D147="Juvenile Audiobook",LEFT(B147,8)="J CD FIC"),"Juvenile Audiobook",
IF(D147="Audiobook","Nonfiction",
IF(D147="Juvenile Audiobook","Nonfiction",
IF(D147="Teen Audiobook","Nonfiction",
IF(D147="Juvenile Nonfiction","Nonfiction",
IF(D147="Teen Nonfiction","Nonfiction",
IF(D147="Juvenile Biography","Biography",
IF(D147="Teen Biography","Biography",
IF(D147="ESL","Nonfiction",
IF(LEFT(B147,11)="INTL-VIE J ","International Juvenile",IF(LEFT(B147,11)="INTL-TAG J ","International Juvenile",IF(LEFT(B147,11)="INTL-RUS J ","International Juvenile",IF(LEFT(B147,11)="INTL-KOR J ","International Juvenile",IF(LEFT(B147,11)="INTL-JAP J ","International Juvenile",IF(LEFT(B147,11)="INTL-CHI J ","International Juvenile",IF(LEFT(B147,11)="INTL-SPA J ","International Juvenile",IF(LEFT(B147,14)="INTL-VIE TEEN ","International Teen",IF(LEFT(B147,14)="INTL-TAG TEEN ","International Teen",IF(LEFT(B147,14)="INTL-RUS TEEN ","International Teen",IF(LEFT(B147,14)="INTL-KOR TEEN ","International Teen",IF(LEFT(B147,14)="INTL-JAP TEEN ","International Teen",IF(LEFT(B147,14)="INTL-CHI TEEN ","International Teen",IF(LEFT(B147,14)="INTL-SPA TEEN ","International Teen",IF(LEFT(B147,11)="INTL-VIE E ","International Easy",IF(LEFT(B147,11)="INTL-TAG E ","International Easy",IF(LEFT(B147,11)="INTL-RUS E ","International Easy",IF(LEFT(B147,11)="INTL-JAP E ","International Easy",IF(LEFT(B147,11)="INTL-KOR E ","International Easy",IF(LEFT(B147,11)="INTL-CHI E ","International Easy",IF(LEFT(B147,11)="INTL-SPA E ","International Easy",
IF(D147="Teen Large Type","Teen Fiction",
IF(D147="Juvenile Large Type","Juvenile Fiction",
IF(LEFT(B147,6)="J CD O","Juvenile Compact Disc",
IF(AND(LEFT(B147,4)="TEEN",D147="Fiction"),"Teen Fiction",
IF(D147="DVD Educational","Nonfiction",
IF(D147="Juvenile DVD Educational","Nonfiction",
IF(D147="Reference","Nonfiction",
D147))))))))))))))))))))))))))))))))))))))))))</f>
        <v/>
      </c>
    </row>
    <row r="148" spans="1:14" ht="27" customHeight="1" x14ac:dyDescent="0.25">
      <c r="A148" s="10" t="str">
        <f ca="1">TEXT( INDIRECT( ADDRESS( ROW() + Row_Offset, INDIRECT( "Column_Number_" &amp; A$1), 4,1, tabname) ), "")</f>
        <v/>
      </c>
      <c r="B148" s="10" t="str">
        <f ca="1">TEXT(  IFERROR( VLOOKUP( $D148, CollName_Simplifier_Table[], 2, FALSE),"") &amp;
        INDIRECT( ADDRESS( ROW() + Row_Offset, INDIRECT( "Column_Number_" &amp; $B$1), 4,1, tabname) ), "")</f>
        <v/>
      </c>
      <c r="C148" s="10" t="str">
        <f ca="1">TEXT( INDIRECT( ADDRESS( ROW() + Row_Offset, INDIRECT( "Column_Number_" &amp; C$1), 4,1, tabname) ), "")</f>
        <v/>
      </c>
      <c r="D148" s="10" t="str">
        <f ca="1">TEXT( INDIRECT( ADDRESS( ROW() + Row_Offset, INDIRECT( "Column_Number_" &amp; D$1), 4,1, tabname) ), "")</f>
        <v/>
      </c>
      <c r="E148" s="10" t="str">
        <f ca="1">TEXT( INDIRECT( ADDRESS( ROW() + Row_Offset, INDIRECT( "Column_Number_" &amp; E$1), 4,1, tabname) ), "####")</f>
        <v/>
      </c>
      <c r="F148" s="15"/>
      <c r="G148" s="22" t="str">
        <f ca="1">IFERROR(INDEX(Rank_Table[],MATCH($D148&amp;$A148,Table4[Join],0)),"")</f>
        <v/>
      </c>
      <c r="H148" s="11" t="str">
        <f ca="1">IF(AND(D148="Juvenile Audiobook",LEFT(B148,8)="J CD BIO"),RIGHT(B148,LEN(B148)-9),
IF(AND(D148="Juvenile Audiobook",LEFT(B148,8)="J CD FIC"),B148,
IF(D148="Juvenile Audiobook",RIGHT(B148,LEN(B148)-5),
IF(AND(D148="Teen Audiobook",LEFT(B148,11)="TEEN CD BIO"),RIGHT(B148,LEN(B148)-12),
IF(AND(D148="Teen Audiobook",LEFT(B148,11)="TEEN CD FIC"),B148,
IF(D148="Juvenile Audiobook",RIGHT(B148,LEN(B148)-8),
IF(D148="Juvenile Nonfiction",RIGHT(B148,LEN(B148)-2),
IF(D148="Teen Nonfiction",RIGHT(B148,LEN(B148)-5),
IF(AND(D148="Audiobook",
              NOT(OR(Contains($B148,"CD BIO"),Contains($B148,"CD FIC")))),RIGHT(B148,LEN(B148)-3),
IF(D148="Juvenile Biography",RIGHT(B148,LEN(B148)-2),
IF(D148="Teen Biography",RIGHT(B148,LEN(B148)-5),
IF(AND(D148="Audiobook",
              IFERROR(FIND("BIO",$B148)&gt;0,FALSE)),RIGHT(B148,LEN(B148)-3),
IF(D148="Juvenile Large Type","J "&amp;RIGHT(B148,LEN(B148)-11),
IF(D148="Teen Large Type","TEEN "&amp;RIGHT(B148,LEN(B148)-14),
IF(D148="Reference",RIGHT(B148,LEN(B148)-4),
IF(D148="DVD Educational",RIGHT(B148,LEN(B148)-7),
IF(D148="Juvenile DVD Educational",RIGHT(B148,LEN(B148)-9),
B148)))))))))))))))))</f>
        <v/>
      </c>
      <c r="N148" s="11" t="str">
        <f ca="1">IF(IFERROR(FIND("New",$A148)&gt;0,FALSE),"New ","") &amp; IF(IFERROR(FIND("In Lib",$A148)&gt;0,FALSE),"Reference ","") &amp;
IF(AND(D148="Audiobook",LEFT(B148,6)="CD BIO"),"Biography",
IF(AND(D148="Teen Audiobook",LEFT(B148,11)="TEEN CD BIO"),"Biography",
IF(AND(D148="Juvenile Audiobook",LEFT(B148,8)="J CD BIO"),"Biography",
IF(AND(D148="Audiobook",LEFT(B148,6)="CD FIC"),"Audiobook Fiction",
IF(AND(D148="Teen Audiobook",LEFT(B148,11)="TEEN CD FIC"),"Teen Audiobook",
IF(AND(D148="Juvenile Audiobook",LEFT(B148,8)="J CD FIC"),"Juvenile Audiobook",
IF(D148="Audiobook","Nonfiction",
IF(D148="Juvenile Audiobook","Nonfiction",
IF(D148="Teen Audiobook","Nonfiction",
IF(D148="Juvenile Nonfiction","Nonfiction",
IF(D148="Teen Nonfiction","Nonfiction",
IF(D148="Juvenile Biography","Biography",
IF(D148="Teen Biography","Biography",
IF(D148="ESL","Nonfiction",
IF(LEFT(B148,11)="INTL-VIE J ","International Juvenile",IF(LEFT(B148,11)="INTL-TAG J ","International Juvenile",IF(LEFT(B148,11)="INTL-RUS J ","International Juvenile",IF(LEFT(B148,11)="INTL-KOR J ","International Juvenile",IF(LEFT(B148,11)="INTL-JAP J ","International Juvenile",IF(LEFT(B148,11)="INTL-CHI J ","International Juvenile",IF(LEFT(B148,11)="INTL-SPA J ","International Juvenile",IF(LEFT(B148,14)="INTL-VIE TEEN ","International Teen",IF(LEFT(B148,14)="INTL-TAG TEEN ","International Teen",IF(LEFT(B148,14)="INTL-RUS TEEN ","International Teen",IF(LEFT(B148,14)="INTL-KOR TEEN ","International Teen",IF(LEFT(B148,14)="INTL-JAP TEEN ","International Teen",IF(LEFT(B148,14)="INTL-CHI TEEN ","International Teen",IF(LEFT(B148,14)="INTL-SPA TEEN ","International Teen",IF(LEFT(B148,11)="INTL-VIE E ","International Easy",IF(LEFT(B148,11)="INTL-TAG E ","International Easy",IF(LEFT(B148,11)="INTL-RUS E ","International Easy",IF(LEFT(B148,11)="INTL-JAP E ","International Easy",IF(LEFT(B148,11)="INTL-KOR E ","International Easy",IF(LEFT(B148,11)="INTL-CHI E ","International Easy",IF(LEFT(B148,11)="INTL-SPA E ","International Easy",
IF(D148="Teen Large Type","Teen Fiction",
IF(D148="Juvenile Large Type","Juvenile Fiction",
IF(LEFT(B148,6)="J CD O","Juvenile Compact Disc",
IF(AND(LEFT(B148,4)="TEEN",D148="Fiction"),"Teen Fiction",
IF(D148="DVD Educational","Nonfiction",
IF(D148="Juvenile DVD Educational","Nonfiction",
IF(D148="Reference","Nonfiction",
D148))))))))))))))))))))))))))))))))))))))))))</f>
        <v/>
      </c>
    </row>
    <row r="149" spans="1:14" ht="27" customHeight="1" x14ac:dyDescent="0.25">
      <c r="A149" s="10" t="str">
        <f ca="1">TEXT( INDIRECT( ADDRESS( ROW() + Row_Offset, INDIRECT( "Column_Number_" &amp; A$1), 4,1, tabname) ), "")</f>
        <v/>
      </c>
      <c r="B149" s="10" t="str">
        <f ca="1">TEXT(  IFERROR( VLOOKUP( $D149, CollName_Simplifier_Table[], 2, FALSE),"") &amp;
        INDIRECT( ADDRESS( ROW() + Row_Offset, INDIRECT( "Column_Number_" &amp; $B$1), 4,1, tabname) ), "")</f>
        <v/>
      </c>
      <c r="C149" s="10" t="str">
        <f ca="1">TEXT( INDIRECT( ADDRESS( ROW() + Row_Offset, INDIRECT( "Column_Number_" &amp; C$1), 4,1, tabname) ), "")</f>
        <v/>
      </c>
      <c r="D149" s="10" t="str">
        <f ca="1">TEXT( INDIRECT( ADDRESS( ROW() + Row_Offset, INDIRECT( "Column_Number_" &amp; D$1), 4,1, tabname) ), "")</f>
        <v/>
      </c>
      <c r="E149" s="10" t="str">
        <f ca="1">TEXT( INDIRECT( ADDRESS( ROW() + Row_Offset, INDIRECT( "Column_Number_" &amp; E$1), 4,1, tabname) ), "####")</f>
        <v/>
      </c>
      <c r="F149" s="15"/>
      <c r="G149" s="22" t="str">
        <f ca="1">IFERROR(INDEX(Rank_Table[],MATCH($D149&amp;$A149,Table4[Join],0)),"")</f>
        <v/>
      </c>
      <c r="H149" s="11" t="str">
        <f ca="1">IF(AND(D149="Juvenile Audiobook",LEFT(B149,8)="J CD BIO"),RIGHT(B149,LEN(B149)-9),
IF(AND(D149="Juvenile Audiobook",LEFT(B149,8)="J CD FIC"),B149,
IF(D149="Juvenile Audiobook",RIGHT(B149,LEN(B149)-5),
IF(AND(D149="Teen Audiobook",LEFT(B149,11)="TEEN CD BIO"),RIGHT(B149,LEN(B149)-12),
IF(AND(D149="Teen Audiobook",LEFT(B149,11)="TEEN CD FIC"),B149,
IF(D149="Juvenile Audiobook",RIGHT(B149,LEN(B149)-8),
IF(D149="Juvenile Nonfiction",RIGHT(B149,LEN(B149)-2),
IF(D149="Teen Nonfiction",RIGHT(B149,LEN(B149)-5),
IF(AND(D149="Audiobook",
              NOT(OR(Contains($B149,"CD BIO"),Contains($B149,"CD FIC")))),RIGHT(B149,LEN(B149)-3),
IF(D149="Juvenile Biography",RIGHT(B149,LEN(B149)-2),
IF(D149="Teen Biography",RIGHT(B149,LEN(B149)-5),
IF(AND(D149="Audiobook",
              IFERROR(FIND("BIO",$B149)&gt;0,FALSE)),RIGHT(B149,LEN(B149)-3),
IF(D149="Juvenile Large Type","J "&amp;RIGHT(B149,LEN(B149)-11),
IF(D149="Teen Large Type","TEEN "&amp;RIGHT(B149,LEN(B149)-14),
IF(D149="Reference",RIGHT(B149,LEN(B149)-4),
IF(D149="DVD Educational",RIGHT(B149,LEN(B149)-7),
IF(D149="Juvenile DVD Educational",RIGHT(B149,LEN(B149)-9),
B149)))))))))))))))))</f>
        <v/>
      </c>
      <c r="N149" s="11" t="str">
        <f ca="1">IF(IFERROR(FIND("New",$A149)&gt;0,FALSE),"New ","") &amp; IF(IFERROR(FIND("In Lib",$A149)&gt;0,FALSE),"Reference ","") &amp;
IF(AND(D149="Audiobook",LEFT(B149,6)="CD BIO"),"Biography",
IF(AND(D149="Teen Audiobook",LEFT(B149,11)="TEEN CD BIO"),"Biography",
IF(AND(D149="Juvenile Audiobook",LEFT(B149,8)="J CD BIO"),"Biography",
IF(AND(D149="Audiobook",LEFT(B149,6)="CD FIC"),"Audiobook Fiction",
IF(AND(D149="Teen Audiobook",LEFT(B149,11)="TEEN CD FIC"),"Teen Audiobook",
IF(AND(D149="Juvenile Audiobook",LEFT(B149,8)="J CD FIC"),"Juvenile Audiobook",
IF(D149="Audiobook","Nonfiction",
IF(D149="Juvenile Audiobook","Nonfiction",
IF(D149="Teen Audiobook","Nonfiction",
IF(D149="Juvenile Nonfiction","Nonfiction",
IF(D149="Teen Nonfiction","Nonfiction",
IF(D149="Juvenile Biography","Biography",
IF(D149="Teen Biography","Biography",
IF(D149="ESL","Nonfiction",
IF(LEFT(B149,11)="INTL-VIE J ","International Juvenile",IF(LEFT(B149,11)="INTL-TAG J ","International Juvenile",IF(LEFT(B149,11)="INTL-RUS J ","International Juvenile",IF(LEFT(B149,11)="INTL-KOR J ","International Juvenile",IF(LEFT(B149,11)="INTL-JAP J ","International Juvenile",IF(LEFT(B149,11)="INTL-CHI J ","International Juvenile",IF(LEFT(B149,11)="INTL-SPA J ","International Juvenile",IF(LEFT(B149,14)="INTL-VIE TEEN ","International Teen",IF(LEFT(B149,14)="INTL-TAG TEEN ","International Teen",IF(LEFT(B149,14)="INTL-RUS TEEN ","International Teen",IF(LEFT(B149,14)="INTL-KOR TEEN ","International Teen",IF(LEFT(B149,14)="INTL-JAP TEEN ","International Teen",IF(LEFT(B149,14)="INTL-CHI TEEN ","International Teen",IF(LEFT(B149,14)="INTL-SPA TEEN ","International Teen",IF(LEFT(B149,11)="INTL-VIE E ","International Easy",IF(LEFT(B149,11)="INTL-TAG E ","International Easy",IF(LEFT(B149,11)="INTL-RUS E ","International Easy",IF(LEFT(B149,11)="INTL-JAP E ","International Easy",IF(LEFT(B149,11)="INTL-KOR E ","International Easy",IF(LEFT(B149,11)="INTL-CHI E ","International Easy",IF(LEFT(B149,11)="INTL-SPA E ","International Easy",
IF(D149="Teen Large Type","Teen Fiction",
IF(D149="Juvenile Large Type","Juvenile Fiction",
IF(LEFT(B149,6)="J CD O","Juvenile Compact Disc",
IF(AND(LEFT(B149,4)="TEEN",D149="Fiction"),"Teen Fiction",
IF(D149="DVD Educational","Nonfiction",
IF(D149="Juvenile DVD Educational","Nonfiction",
IF(D149="Reference","Nonfiction",
D149))))))))))))))))))))))))))))))))))))))))))</f>
        <v/>
      </c>
    </row>
    <row r="150" spans="1:14" ht="27" customHeight="1" x14ac:dyDescent="0.25">
      <c r="A150" s="10" t="str">
        <f ca="1">TEXT( INDIRECT( ADDRESS( ROW() + Row_Offset, INDIRECT( "Column_Number_" &amp; A$1), 4,1, tabname) ), "")</f>
        <v/>
      </c>
      <c r="B150" s="10" t="str">
        <f ca="1">TEXT(  IFERROR( VLOOKUP( $D150, CollName_Simplifier_Table[], 2, FALSE),"") &amp;
        INDIRECT( ADDRESS( ROW() + Row_Offset, INDIRECT( "Column_Number_" &amp; $B$1), 4,1, tabname) ), "")</f>
        <v/>
      </c>
      <c r="C150" s="10" t="str">
        <f ca="1">TEXT( INDIRECT( ADDRESS( ROW() + Row_Offset, INDIRECT( "Column_Number_" &amp; C$1), 4,1, tabname) ), "")</f>
        <v/>
      </c>
      <c r="D150" s="10" t="str">
        <f ca="1">TEXT( INDIRECT( ADDRESS( ROW() + Row_Offset, INDIRECT( "Column_Number_" &amp; D$1), 4,1, tabname) ), "")</f>
        <v/>
      </c>
      <c r="E150" s="10" t="str">
        <f ca="1">TEXT( INDIRECT( ADDRESS( ROW() + Row_Offset, INDIRECT( "Column_Number_" &amp; E$1), 4,1, tabname) ), "####")</f>
        <v/>
      </c>
      <c r="F150" s="15"/>
      <c r="G150" s="22" t="str">
        <f ca="1">IFERROR(INDEX(Rank_Table[],MATCH($D150&amp;$A150,Table4[Join],0)),"")</f>
        <v/>
      </c>
      <c r="H150" s="11" t="str">
        <f ca="1">IF(AND(D150="Juvenile Audiobook",LEFT(B150,8)="J CD BIO"),RIGHT(B150,LEN(B150)-9),
IF(AND(D150="Juvenile Audiobook",LEFT(B150,8)="J CD FIC"),B150,
IF(D150="Juvenile Audiobook",RIGHT(B150,LEN(B150)-5),
IF(AND(D150="Teen Audiobook",LEFT(B150,11)="TEEN CD BIO"),RIGHT(B150,LEN(B150)-12),
IF(AND(D150="Teen Audiobook",LEFT(B150,11)="TEEN CD FIC"),B150,
IF(D150="Juvenile Audiobook",RIGHT(B150,LEN(B150)-8),
IF(D150="Juvenile Nonfiction",RIGHT(B150,LEN(B150)-2),
IF(D150="Teen Nonfiction",RIGHT(B150,LEN(B150)-5),
IF(AND(D150="Audiobook",
              NOT(OR(Contains($B150,"CD BIO"),Contains($B150,"CD FIC")))),RIGHT(B150,LEN(B150)-3),
IF(D150="Juvenile Biography",RIGHT(B150,LEN(B150)-2),
IF(D150="Teen Biography",RIGHT(B150,LEN(B150)-5),
IF(AND(D150="Audiobook",
              IFERROR(FIND("BIO",$B150)&gt;0,FALSE)),RIGHT(B150,LEN(B150)-3),
IF(D150="Juvenile Large Type","J "&amp;RIGHT(B150,LEN(B150)-11),
IF(D150="Teen Large Type","TEEN "&amp;RIGHT(B150,LEN(B150)-14),
IF(D150="Reference",RIGHT(B150,LEN(B150)-4),
IF(D150="DVD Educational",RIGHT(B150,LEN(B150)-7),
IF(D150="Juvenile DVD Educational",RIGHT(B150,LEN(B150)-9),
B150)))))))))))))))))</f>
        <v/>
      </c>
      <c r="N150" s="11" t="str">
        <f ca="1">IF(IFERROR(FIND("New",$A150)&gt;0,FALSE),"New ","") &amp; IF(IFERROR(FIND("In Lib",$A150)&gt;0,FALSE),"Reference ","") &amp;
IF(AND(D150="Audiobook",LEFT(B150,6)="CD BIO"),"Biography",
IF(AND(D150="Teen Audiobook",LEFT(B150,11)="TEEN CD BIO"),"Biography",
IF(AND(D150="Juvenile Audiobook",LEFT(B150,8)="J CD BIO"),"Biography",
IF(AND(D150="Audiobook",LEFT(B150,6)="CD FIC"),"Audiobook Fiction",
IF(AND(D150="Teen Audiobook",LEFT(B150,11)="TEEN CD FIC"),"Teen Audiobook",
IF(AND(D150="Juvenile Audiobook",LEFT(B150,8)="J CD FIC"),"Juvenile Audiobook",
IF(D150="Audiobook","Nonfiction",
IF(D150="Juvenile Audiobook","Nonfiction",
IF(D150="Teen Audiobook","Nonfiction",
IF(D150="Juvenile Nonfiction","Nonfiction",
IF(D150="Teen Nonfiction","Nonfiction",
IF(D150="Juvenile Biography","Biography",
IF(D150="Teen Biography","Biography",
IF(D150="ESL","Nonfiction",
IF(LEFT(B150,11)="INTL-VIE J ","International Juvenile",IF(LEFT(B150,11)="INTL-TAG J ","International Juvenile",IF(LEFT(B150,11)="INTL-RUS J ","International Juvenile",IF(LEFT(B150,11)="INTL-KOR J ","International Juvenile",IF(LEFT(B150,11)="INTL-JAP J ","International Juvenile",IF(LEFT(B150,11)="INTL-CHI J ","International Juvenile",IF(LEFT(B150,11)="INTL-SPA J ","International Juvenile",IF(LEFT(B150,14)="INTL-VIE TEEN ","International Teen",IF(LEFT(B150,14)="INTL-TAG TEEN ","International Teen",IF(LEFT(B150,14)="INTL-RUS TEEN ","International Teen",IF(LEFT(B150,14)="INTL-KOR TEEN ","International Teen",IF(LEFT(B150,14)="INTL-JAP TEEN ","International Teen",IF(LEFT(B150,14)="INTL-CHI TEEN ","International Teen",IF(LEFT(B150,14)="INTL-SPA TEEN ","International Teen",IF(LEFT(B150,11)="INTL-VIE E ","International Easy",IF(LEFT(B150,11)="INTL-TAG E ","International Easy",IF(LEFT(B150,11)="INTL-RUS E ","International Easy",IF(LEFT(B150,11)="INTL-JAP E ","International Easy",IF(LEFT(B150,11)="INTL-KOR E ","International Easy",IF(LEFT(B150,11)="INTL-CHI E ","International Easy",IF(LEFT(B150,11)="INTL-SPA E ","International Easy",
IF(D150="Teen Large Type","Teen Fiction",
IF(D150="Juvenile Large Type","Juvenile Fiction",
IF(LEFT(B150,6)="J CD O","Juvenile Compact Disc",
IF(AND(LEFT(B150,4)="TEEN",D150="Fiction"),"Teen Fiction",
IF(D150="DVD Educational","Nonfiction",
IF(D150="Juvenile DVD Educational","Nonfiction",
IF(D150="Reference","Nonfiction",
D150))))))))))))))))))))))))))))))))))))))))))</f>
        <v/>
      </c>
    </row>
    <row r="151" spans="1:14" ht="27" customHeight="1" x14ac:dyDescent="0.25">
      <c r="A151" s="10" t="str">
        <f ca="1">TEXT( INDIRECT( ADDRESS( ROW() + Row_Offset, INDIRECT( "Column_Number_" &amp; A$1), 4,1, tabname) ), "")</f>
        <v/>
      </c>
      <c r="B151" s="10" t="str">
        <f ca="1">TEXT(  IFERROR( VLOOKUP( $D151, CollName_Simplifier_Table[], 2, FALSE),"") &amp;
        INDIRECT( ADDRESS( ROW() + Row_Offset, INDIRECT( "Column_Number_" &amp; $B$1), 4,1, tabname) ), "")</f>
        <v/>
      </c>
      <c r="C151" s="10" t="str">
        <f ca="1">TEXT( INDIRECT( ADDRESS( ROW() + Row_Offset, INDIRECT( "Column_Number_" &amp; C$1), 4,1, tabname) ), "")</f>
        <v/>
      </c>
      <c r="D151" s="10" t="str">
        <f ca="1">TEXT( INDIRECT( ADDRESS( ROW() + Row_Offset, INDIRECT( "Column_Number_" &amp; D$1), 4,1, tabname) ), "")</f>
        <v/>
      </c>
      <c r="E151" s="10" t="str">
        <f ca="1">TEXT( INDIRECT( ADDRESS( ROW() + Row_Offset, INDIRECT( "Column_Number_" &amp; E$1), 4,1, tabname) ), "####")</f>
        <v/>
      </c>
      <c r="F151" s="15"/>
      <c r="G151" s="22" t="str">
        <f ca="1">IFERROR(INDEX(Rank_Table[],MATCH($D151&amp;$A151,Table4[Join],0)),"")</f>
        <v/>
      </c>
      <c r="H151" s="11" t="str">
        <f ca="1">IF(AND(D151="Juvenile Audiobook",LEFT(B151,8)="J CD BIO"),RIGHT(B151,LEN(B151)-9),
IF(AND(D151="Juvenile Audiobook",LEFT(B151,8)="J CD FIC"),B151,
IF(D151="Juvenile Audiobook",RIGHT(B151,LEN(B151)-5),
IF(AND(D151="Teen Audiobook",LEFT(B151,11)="TEEN CD BIO"),RIGHT(B151,LEN(B151)-12),
IF(AND(D151="Teen Audiobook",LEFT(B151,11)="TEEN CD FIC"),B151,
IF(D151="Juvenile Audiobook",RIGHT(B151,LEN(B151)-8),
IF(D151="Juvenile Nonfiction",RIGHT(B151,LEN(B151)-2),
IF(D151="Teen Nonfiction",RIGHT(B151,LEN(B151)-5),
IF(AND(D151="Audiobook",
              NOT(OR(Contains($B151,"CD BIO"),Contains($B151,"CD FIC")))),RIGHT(B151,LEN(B151)-3),
IF(D151="Juvenile Biography",RIGHT(B151,LEN(B151)-2),
IF(D151="Teen Biography",RIGHT(B151,LEN(B151)-5),
IF(AND(D151="Audiobook",
              IFERROR(FIND("BIO",$B151)&gt;0,FALSE)),RIGHT(B151,LEN(B151)-3),
IF(D151="Juvenile Large Type","J "&amp;RIGHT(B151,LEN(B151)-11),
IF(D151="Teen Large Type","TEEN "&amp;RIGHT(B151,LEN(B151)-14),
IF(D151="Reference",RIGHT(B151,LEN(B151)-4),
IF(D151="DVD Educational",RIGHT(B151,LEN(B151)-7),
IF(D151="Juvenile DVD Educational",RIGHT(B151,LEN(B151)-9),
B151)))))))))))))))))</f>
        <v/>
      </c>
      <c r="N151" s="11" t="str">
        <f ca="1">IF(IFERROR(FIND("New",$A151)&gt;0,FALSE),"New ","") &amp; IF(IFERROR(FIND("In Lib",$A151)&gt;0,FALSE),"Reference ","") &amp;
IF(AND(D151="Audiobook",LEFT(B151,6)="CD BIO"),"Biography",
IF(AND(D151="Teen Audiobook",LEFT(B151,11)="TEEN CD BIO"),"Biography",
IF(AND(D151="Juvenile Audiobook",LEFT(B151,8)="J CD BIO"),"Biography",
IF(AND(D151="Audiobook",LEFT(B151,6)="CD FIC"),"Audiobook Fiction",
IF(AND(D151="Teen Audiobook",LEFT(B151,11)="TEEN CD FIC"),"Teen Audiobook",
IF(AND(D151="Juvenile Audiobook",LEFT(B151,8)="J CD FIC"),"Juvenile Audiobook",
IF(D151="Audiobook","Nonfiction",
IF(D151="Juvenile Audiobook","Nonfiction",
IF(D151="Teen Audiobook","Nonfiction",
IF(D151="Juvenile Nonfiction","Nonfiction",
IF(D151="Teen Nonfiction","Nonfiction",
IF(D151="Juvenile Biography","Biography",
IF(D151="Teen Biography","Biography",
IF(D151="ESL","Nonfiction",
IF(LEFT(B151,11)="INTL-VIE J ","International Juvenile",IF(LEFT(B151,11)="INTL-TAG J ","International Juvenile",IF(LEFT(B151,11)="INTL-RUS J ","International Juvenile",IF(LEFT(B151,11)="INTL-KOR J ","International Juvenile",IF(LEFT(B151,11)="INTL-JAP J ","International Juvenile",IF(LEFT(B151,11)="INTL-CHI J ","International Juvenile",IF(LEFT(B151,11)="INTL-SPA J ","International Juvenile",IF(LEFT(B151,14)="INTL-VIE TEEN ","International Teen",IF(LEFT(B151,14)="INTL-TAG TEEN ","International Teen",IF(LEFT(B151,14)="INTL-RUS TEEN ","International Teen",IF(LEFT(B151,14)="INTL-KOR TEEN ","International Teen",IF(LEFT(B151,14)="INTL-JAP TEEN ","International Teen",IF(LEFT(B151,14)="INTL-CHI TEEN ","International Teen",IF(LEFT(B151,14)="INTL-SPA TEEN ","International Teen",IF(LEFT(B151,11)="INTL-VIE E ","International Easy",IF(LEFT(B151,11)="INTL-TAG E ","International Easy",IF(LEFT(B151,11)="INTL-RUS E ","International Easy",IF(LEFT(B151,11)="INTL-JAP E ","International Easy",IF(LEFT(B151,11)="INTL-KOR E ","International Easy",IF(LEFT(B151,11)="INTL-CHI E ","International Easy",IF(LEFT(B151,11)="INTL-SPA E ","International Easy",
IF(D151="Teen Large Type","Teen Fiction",
IF(D151="Juvenile Large Type","Juvenile Fiction",
IF(LEFT(B151,6)="J CD O","Juvenile Compact Disc",
IF(AND(LEFT(B151,4)="TEEN",D151="Fiction"),"Teen Fiction",
IF(D151="DVD Educational","Nonfiction",
IF(D151="Juvenile DVD Educational","Nonfiction",
IF(D151="Reference","Nonfiction",
D151))))))))))))))))))))))))))))))))))))))))))</f>
        <v/>
      </c>
    </row>
    <row r="152" spans="1:14" ht="27" customHeight="1" x14ac:dyDescent="0.25">
      <c r="A152" s="10" t="str">
        <f ca="1">TEXT( INDIRECT( ADDRESS( ROW() + Row_Offset, INDIRECT( "Column_Number_" &amp; A$1), 4,1, tabname) ), "")</f>
        <v/>
      </c>
      <c r="B152" s="10" t="str">
        <f ca="1">TEXT(  IFERROR( VLOOKUP( $D152, CollName_Simplifier_Table[], 2, FALSE),"") &amp;
        INDIRECT( ADDRESS( ROW() + Row_Offset, INDIRECT( "Column_Number_" &amp; $B$1), 4,1, tabname) ), "")</f>
        <v/>
      </c>
      <c r="C152" s="10" t="str">
        <f ca="1">TEXT( INDIRECT( ADDRESS( ROW() + Row_Offset, INDIRECT( "Column_Number_" &amp; C$1), 4,1, tabname) ), "")</f>
        <v/>
      </c>
      <c r="D152" s="10" t="str">
        <f ca="1">TEXT( INDIRECT( ADDRESS( ROW() + Row_Offset, INDIRECT( "Column_Number_" &amp; D$1), 4,1, tabname) ), "")</f>
        <v/>
      </c>
      <c r="E152" s="10" t="str">
        <f ca="1">TEXT( INDIRECT( ADDRESS( ROW() + Row_Offset, INDIRECT( "Column_Number_" &amp; E$1), 4,1, tabname) ), "####")</f>
        <v/>
      </c>
      <c r="F152" s="15"/>
      <c r="G152" s="22" t="str">
        <f ca="1">IFERROR(INDEX(Rank_Table[],MATCH($D152&amp;$A152,Table4[Join],0)),"")</f>
        <v/>
      </c>
      <c r="H152" s="11" t="str">
        <f ca="1">IF(AND(D152="Juvenile Audiobook",LEFT(B152,8)="J CD BIO"),RIGHT(B152,LEN(B152)-9),
IF(AND(D152="Juvenile Audiobook",LEFT(B152,8)="J CD FIC"),B152,
IF(D152="Juvenile Audiobook",RIGHT(B152,LEN(B152)-5),
IF(AND(D152="Teen Audiobook",LEFT(B152,11)="TEEN CD BIO"),RIGHT(B152,LEN(B152)-12),
IF(AND(D152="Teen Audiobook",LEFT(B152,11)="TEEN CD FIC"),B152,
IF(D152="Juvenile Audiobook",RIGHT(B152,LEN(B152)-8),
IF(D152="Juvenile Nonfiction",RIGHT(B152,LEN(B152)-2),
IF(D152="Teen Nonfiction",RIGHT(B152,LEN(B152)-5),
IF(AND(D152="Audiobook",
              NOT(OR(Contains($B152,"CD BIO"),Contains($B152,"CD FIC")))),RIGHT(B152,LEN(B152)-3),
IF(D152="Juvenile Biography",RIGHT(B152,LEN(B152)-2),
IF(D152="Teen Biography",RIGHT(B152,LEN(B152)-5),
IF(AND(D152="Audiobook",
              IFERROR(FIND("BIO",$B152)&gt;0,FALSE)),RIGHT(B152,LEN(B152)-3),
IF(D152="Juvenile Large Type","J "&amp;RIGHT(B152,LEN(B152)-11),
IF(D152="Teen Large Type","TEEN "&amp;RIGHT(B152,LEN(B152)-14),
IF(D152="Reference",RIGHT(B152,LEN(B152)-4),
IF(D152="DVD Educational",RIGHT(B152,LEN(B152)-7),
IF(D152="Juvenile DVD Educational",RIGHT(B152,LEN(B152)-9),
B152)))))))))))))))))</f>
        <v/>
      </c>
      <c r="N152" s="11" t="str">
        <f ca="1">IF(IFERROR(FIND("New",$A152)&gt;0,FALSE),"New ","") &amp; IF(IFERROR(FIND("In Lib",$A152)&gt;0,FALSE),"Reference ","") &amp;
IF(AND(D152="Audiobook",LEFT(B152,6)="CD BIO"),"Biography",
IF(AND(D152="Teen Audiobook",LEFT(B152,11)="TEEN CD BIO"),"Biography",
IF(AND(D152="Juvenile Audiobook",LEFT(B152,8)="J CD BIO"),"Biography",
IF(AND(D152="Audiobook",LEFT(B152,6)="CD FIC"),"Audiobook Fiction",
IF(AND(D152="Teen Audiobook",LEFT(B152,11)="TEEN CD FIC"),"Teen Audiobook",
IF(AND(D152="Juvenile Audiobook",LEFT(B152,8)="J CD FIC"),"Juvenile Audiobook",
IF(D152="Audiobook","Nonfiction",
IF(D152="Juvenile Audiobook","Nonfiction",
IF(D152="Teen Audiobook","Nonfiction",
IF(D152="Juvenile Nonfiction","Nonfiction",
IF(D152="Teen Nonfiction","Nonfiction",
IF(D152="Juvenile Biography","Biography",
IF(D152="Teen Biography","Biography",
IF(D152="ESL","Nonfiction",
IF(LEFT(B152,11)="INTL-VIE J ","International Juvenile",IF(LEFT(B152,11)="INTL-TAG J ","International Juvenile",IF(LEFT(B152,11)="INTL-RUS J ","International Juvenile",IF(LEFT(B152,11)="INTL-KOR J ","International Juvenile",IF(LEFT(B152,11)="INTL-JAP J ","International Juvenile",IF(LEFT(B152,11)="INTL-CHI J ","International Juvenile",IF(LEFT(B152,11)="INTL-SPA J ","International Juvenile",IF(LEFT(B152,14)="INTL-VIE TEEN ","International Teen",IF(LEFT(B152,14)="INTL-TAG TEEN ","International Teen",IF(LEFT(B152,14)="INTL-RUS TEEN ","International Teen",IF(LEFT(B152,14)="INTL-KOR TEEN ","International Teen",IF(LEFT(B152,14)="INTL-JAP TEEN ","International Teen",IF(LEFT(B152,14)="INTL-CHI TEEN ","International Teen",IF(LEFT(B152,14)="INTL-SPA TEEN ","International Teen",IF(LEFT(B152,11)="INTL-VIE E ","International Easy",IF(LEFT(B152,11)="INTL-TAG E ","International Easy",IF(LEFT(B152,11)="INTL-RUS E ","International Easy",IF(LEFT(B152,11)="INTL-JAP E ","International Easy",IF(LEFT(B152,11)="INTL-KOR E ","International Easy",IF(LEFT(B152,11)="INTL-CHI E ","International Easy",IF(LEFT(B152,11)="INTL-SPA E ","International Easy",
IF(D152="Teen Large Type","Teen Fiction",
IF(D152="Juvenile Large Type","Juvenile Fiction",
IF(LEFT(B152,6)="J CD O","Juvenile Compact Disc",
IF(AND(LEFT(B152,4)="TEEN",D152="Fiction"),"Teen Fiction",
IF(D152="DVD Educational","Nonfiction",
IF(D152="Juvenile DVD Educational","Nonfiction",
IF(D152="Reference","Nonfiction",
D152))))))))))))))))))))))))))))))))))))))))))</f>
        <v/>
      </c>
    </row>
    <row r="153" spans="1:14" ht="27" customHeight="1" x14ac:dyDescent="0.25">
      <c r="A153" s="10" t="str">
        <f ca="1">TEXT( INDIRECT( ADDRESS( ROW() + Row_Offset, INDIRECT( "Column_Number_" &amp; A$1), 4,1, tabname) ), "")</f>
        <v/>
      </c>
      <c r="B153" s="10" t="str">
        <f ca="1">TEXT(  IFERROR( VLOOKUP( $D153, CollName_Simplifier_Table[], 2, FALSE),"") &amp;
        INDIRECT( ADDRESS( ROW() + Row_Offset, INDIRECT( "Column_Number_" &amp; $B$1), 4,1, tabname) ), "")</f>
        <v/>
      </c>
      <c r="C153" s="10" t="str">
        <f ca="1">TEXT( INDIRECT( ADDRESS( ROW() + Row_Offset, INDIRECT( "Column_Number_" &amp; C$1), 4,1, tabname) ), "")</f>
        <v/>
      </c>
      <c r="D153" s="10" t="str">
        <f ca="1">TEXT( INDIRECT( ADDRESS( ROW() + Row_Offset, INDIRECT( "Column_Number_" &amp; D$1), 4,1, tabname) ), "")</f>
        <v/>
      </c>
      <c r="E153" s="10" t="str">
        <f ca="1">TEXT( INDIRECT( ADDRESS( ROW() + Row_Offset, INDIRECT( "Column_Number_" &amp; E$1), 4,1, tabname) ), "####")</f>
        <v/>
      </c>
      <c r="F153" s="15"/>
      <c r="G153" s="22" t="str">
        <f ca="1">IFERROR(INDEX(Rank_Table[],MATCH($D153&amp;$A153,Table4[Join],0)),"")</f>
        <v/>
      </c>
      <c r="H153" s="11" t="str">
        <f ca="1">IF(AND(D153="Juvenile Audiobook",LEFT(B153,8)="J CD BIO"),RIGHT(B153,LEN(B153)-9),
IF(AND(D153="Juvenile Audiobook",LEFT(B153,8)="J CD FIC"),B153,
IF(D153="Juvenile Audiobook",RIGHT(B153,LEN(B153)-5),
IF(AND(D153="Teen Audiobook",LEFT(B153,11)="TEEN CD BIO"),RIGHT(B153,LEN(B153)-12),
IF(AND(D153="Teen Audiobook",LEFT(B153,11)="TEEN CD FIC"),B153,
IF(D153="Juvenile Audiobook",RIGHT(B153,LEN(B153)-8),
IF(D153="Juvenile Nonfiction",RIGHT(B153,LEN(B153)-2),
IF(D153="Teen Nonfiction",RIGHT(B153,LEN(B153)-5),
IF(AND(D153="Audiobook",
              NOT(OR(Contains($B153,"CD BIO"),Contains($B153,"CD FIC")))),RIGHT(B153,LEN(B153)-3),
IF(D153="Juvenile Biography",RIGHT(B153,LEN(B153)-2),
IF(D153="Teen Biography",RIGHT(B153,LEN(B153)-5),
IF(AND(D153="Audiobook",
              IFERROR(FIND("BIO",$B153)&gt;0,FALSE)),RIGHT(B153,LEN(B153)-3),
IF(D153="Juvenile Large Type","J "&amp;RIGHT(B153,LEN(B153)-11),
IF(D153="Teen Large Type","TEEN "&amp;RIGHT(B153,LEN(B153)-14),
IF(D153="Reference",RIGHT(B153,LEN(B153)-4),
IF(D153="DVD Educational",RIGHT(B153,LEN(B153)-7),
IF(D153="Juvenile DVD Educational",RIGHT(B153,LEN(B153)-9),
B153)))))))))))))))))</f>
        <v/>
      </c>
      <c r="N153" s="11" t="str">
        <f ca="1">IF(IFERROR(FIND("New",$A153)&gt;0,FALSE),"New ","") &amp; IF(IFERROR(FIND("In Lib",$A153)&gt;0,FALSE),"Reference ","") &amp;
IF(AND(D153="Audiobook",LEFT(B153,6)="CD BIO"),"Biography",
IF(AND(D153="Teen Audiobook",LEFT(B153,11)="TEEN CD BIO"),"Biography",
IF(AND(D153="Juvenile Audiobook",LEFT(B153,8)="J CD BIO"),"Biography",
IF(AND(D153="Audiobook",LEFT(B153,6)="CD FIC"),"Audiobook Fiction",
IF(AND(D153="Teen Audiobook",LEFT(B153,11)="TEEN CD FIC"),"Teen Audiobook",
IF(AND(D153="Juvenile Audiobook",LEFT(B153,8)="J CD FIC"),"Juvenile Audiobook",
IF(D153="Audiobook","Nonfiction",
IF(D153="Juvenile Audiobook","Nonfiction",
IF(D153="Teen Audiobook","Nonfiction",
IF(D153="Juvenile Nonfiction","Nonfiction",
IF(D153="Teen Nonfiction","Nonfiction",
IF(D153="Juvenile Biography","Biography",
IF(D153="Teen Biography","Biography",
IF(D153="ESL","Nonfiction",
IF(LEFT(B153,11)="INTL-VIE J ","International Juvenile",IF(LEFT(B153,11)="INTL-TAG J ","International Juvenile",IF(LEFT(B153,11)="INTL-RUS J ","International Juvenile",IF(LEFT(B153,11)="INTL-KOR J ","International Juvenile",IF(LEFT(B153,11)="INTL-JAP J ","International Juvenile",IF(LEFT(B153,11)="INTL-CHI J ","International Juvenile",IF(LEFT(B153,11)="INTL-SPA J ","International Juvenile",IF(LEFT(B153,14)="INTL-VIE TEEN ","International Teen",IF(LEFT(B153,14)="INTL-TAG TEEN ","International Teen",IF(LEFT(B153,14)="INTL-RUS TEEN ","International Teen",IF(LEFT(B153,14)="INTL-KOR TEEN ","International Teen",IF(LEFT(B153,14)="INTL-JAP TEEN ","International Teen",IF(LEFT(B153,14)="INTL-CHI TEEN ","International Teen",IF(LEFT(B153,14)="INTL-SPA TEEN ","International Teen",IF(LEFT(B153,11)="INTL-VIE E ","International Easy",IF(LEFT(B153,11)="INTL-TAG E ","International Easy",IF(LEFT(B153,11)="INTL-RUS E ","International Easy",IF(LEFT(B153,11)="INTL-JAP E ","International Easy",IF(LEFT(B153,11)="INTL-KOR E ","International Easy",IF(LEFT(B153,11)="INTL-CHI E ","International Easy",IF(LEFT(B153,11)="INTL-SPA E ","International Easy",
IF(D153="Teen Large Type","Teen Fiction",
IF(D153="Juvenile Large Type","Juvenile Fiction",
IF(LEFT(B153,6)="J CD O","Juvenile Compact Disc",
IF(AND(LEFT(B153,4)="TEEN",D153="Fiction"),"Teen Fiction",
IF(D153="DVD Educational","Nonfiction",
IF(D153="Juvenile DVD Educational","Nonfiction",
IF(D153="Reference","Nonfiction",
D153))))))))))))))))))))))))))))))))))))))))))</f>
        <v/>
      </c>
    </row>
    <row r="154" spans="1:14" ht="27" customHeight="1" x14ac:dyDescent="0.25">
      <c r="A154" s="10" t="str">
        <f ca="1">TEXT( INDIRECT( ADDRESS( ROW() + Row_Offset, INDIRECT( "Column_Number_" &amp; A$1), 4,1, tabname) ), "")</f>
        <v/>
      </c>
      <c r="B154" s="10" t="str">
        <f ca="1">TEXT(  IFERROR( VLOOKUP( $D154, CollName_Simplifier_Table[], 2, FALSE),"") &amp;
        INDIRECT( ADDRESS( ROW() + Row_Offset, INDIRECT( "Column_Number_" &amp; $B$1), 4,1, tabname) ), "")</f>
        <v/>
      </c>
      <c r="C154" s="10" t="str">
        <f ca="1">TEXT( INDIRECT( ADDRESS( ROW() + Row_Offset, INDIRECT( "Column_Number_" &amp; C$1), 4,1, tabname) ), "")</f>
        <v/>
      </c>
      <c r="D154" s="10" t="str">
        <f ca="1">TEXT( INDIRECT( ADDRESS( ROW() + Row_Offset, INDIRECT( "Column_Number_" &amp; D$1), 4,1, tabname) ), "")</f>
        <v/>
      </c>
      <c r="E154" s="10" t="str">
        <f ca="1">TEXT( INDIRECT( ADDRESS( ROW() + Row_Offset, INDIRECT( "Column_Number_" &amp; E$1), 4,1, tabname) ), "####")</f>
        <v/>
      </c>
      <c r="F154" s="15"/>
      <c r="G154" s="22" t="str">
        <f ca="1">IFERROR(INDEX(Rank_Table[],MATCH($D154&amp;$A154,Table4[Join],0)),"")</f>
        <v/>
      </c>
      <c r="H154" s="11" t="str">
        <f ca="1">IF(AND(D154="Juvenile Audiobook",LEFT(B154,8)="J CD BIO"),RIGHT(B154,LEN(B154)-9),
IF(AND(D154="Juvenile Audiobook",LEFT(B154,8)="J CD FIC"),B154,
IF(D154="Juvenile Audiobook",RIGHT(B154,LEN(B154)-5),
IF(AND(D154="Teen Audiobook",LEFT(B154,11)="TEEN CD BIO"),RIGHT(B154,LEN(B154)-12),
IF(AND(D154="Teen Audiobook",LEFT(B154,11)="TEEN CD FIC"),B154,
IF(D154="Juvenile Audiobook",RIGHT(B154,LEN(B154)-8),
IF(D154="Juvenile Nonfiction",RIGHT(B154,LEN(B154)-2),
IF(D154="Teen Nonfiction",RIGHT(B154,LEN(B154)-5),
IF(AND(D154="Audiobook",
              NOT(OR(Contains($B154,"CD BIO"),Contains($B154,"CD FIC")))),RIGHT(B154,LEN(B154)-3),
IF(D154="Juvenile Biography",RIGHT(B154,LEN(B154)-2),
IF(D154="Teen Biography",RIGHT(B154,LEN(B154)-5),
IF(AND(D154="Audiobook",
              IFERROR(FIND("BIO",$B154)&gt;0,FALSE)),RIGHT(B154,LEN(B154)-3),
IF(D154="Juvenile Large Type","J "&amp;RIGHT(B154,LEN(B154)-11),
IF(D154="Teen Large Type","TEEN "&amp;RIGHT(B154,LEN(B154)-14),
IF(D154="Reference",RIGHT(B154,LEN(B154)-4),
IF(D154="DVD Educational",RIGHT(B154,LEN(B154)-7),
IF(D154="Juvenile DVD Educational",RIGHT(B154,LEN(B154)-9),
B154)))))))))))))))))</f>
        <v/>
      </c>
      <c r="N154" s="11" t="str">
        <f ca="1">IF(IFERROR(FIND("New",$A154)&gt;0,FALSE),"New ","") &amp; IF(IFERROR(FIND("In Lib",$A154)&gt;0,FALSE),"Reference ","") &amp;
IF(AND(D154="Audiobook",LEFT(B154,6)="CD BIO"),"Biography",
IF(AND(D154="Teen Audiobook",LEFT(B154,11)="TEEN CD BIO"),"Biography",
IF(AND(D154="Juvenile Audiobook",LEFT(B154,8)="J CD BIO"),"Biography",
IF(AND(D154="Audiobook",LEFT(B154,6)="CD FIC"),"Audiobook Fiction",
IF(AND(D154="Teen Audiobook",LEFT(B154,11)="TEEN CD FIC"),"Teen Audiobook",
IF(AND(D154="Juvenile Audiobook",LEFT(B154,8)="J CD FIC"),"Juvenile Audiobook",
IF(D154="Audiobook","Nonfiction",
IF(D154="Juvenile Audiobook","Nonfiction",
IF(D154="Teen Audiobook","Nonfiction",
IF(D154="Juvenile Nonfiction","Nonfiction",
IF(D154="Teen Nonfiction","Nonfiction",
IF(D154="Juvenile Biography","Biography",
IF(D154="Teen Biography","Biography",
IF(D154="ESL","Nonfiction",
IF(LEFT(B154,11)="INTL-VIE J ","International Juvenile",IF(LEFT(B154,11)="INTL-TAG J ","International Juvenile",IF(LEFT(B154,11)="INTL-RUS J ","International Juvenile",IF(LEFT(B154,11)="INTL-KOR J ","International Juvenile",IF(LEFT(B154,11)="INTL-JAP J ","International Juvenile",IF(LEFT(B154,11)="INTL-CHI J ","International Juvenile",IF(LEFT(B154,11)="INTL-SPA J ","International Juvenile",IF(LEFT(B154,14)="INTL-VIE TEEN ","International Teen",IF(LEFT(B154,14)="INTL-TAG TEEN ","International Teen",IF(LEFT(B154,14)="INTL-RUS TEEN ","International Teen",IF(LEFT(B154,14)="INTL-KOR TEEN ","International Teen",IF(LEFT(B154,14)="INTL-JAP TEEN ","International Teen",IF(LEFT(B154,14)="INTL-CHI TEEN ","International Teen",IF(LEFT(B154,14)="INTL-SPA TEEN ","International Teen",IF(LEFT(B154,11)="INTL-VIE E ","International Easy",IF(LEFT(B154,11)="INTL-TAG E ","International Easy",IF(LEFT(B154,11)="INTL-RUS E ","International Easy",IF(LEFT(B154,11)="INTL-JAP E ","International Easy",IF(LEFT(B154,11)="INTL-KOR E ","International Easy",IF(LEFT(B154,11)="INTL-CHI E ","International Easy",IF(LEFT(B154,11)="INTL-SPA E ","International Easy",
IF(D154="Teen Large Type","Teen Fiction",
IF(D154="Juvenile Large Type","Juvenile Fiction",
IF(LEFT(B154,6)="J CD O","Juvenile Compact Disc",
IF(AND(LEFT(B154,4)="TEEN",D154="Fiction"),"Teen Fiction",
IF(D154="DVD Educational","Nonfiction",
IF(D154="Juvenile DVD Educational","Nonfiction",
IF(D154="Reference","Nonfiction",
D154))))))))))))))))))))))))))))))))))))))))))</f>
        <v/>
      </c>
    </row>
    <row r="155" spans="1:14" ht="27" customHeight="1" x14ac:dyDescent="0.25">
      <c r="A155" s="10" t="str">
        <f ca="1">TEXT( INDIRECT( ADDRESS( ROW() + Row_Offset, INDIRECT( "Column_Number_" &amp; A$1), 4,1, tabname) ), "")</f>
        <v/>
      </c>
      <c r="B155" s="10" t="str">
        <f ca="1">TEXT(  IFERROR( VLOOKUP( $D155, CollName_Simplifier_Table[], 2, FALSE),"") &amp;
        INDIRECT( ADDRESS( ROW() + Row_Offset, INDIRECT( "Column_Number_" &amp; $B$1), 4,1, tabname) ), "")</f>
        <v/>
      </c>
      <c r="C155" s="10" t="str">
        <f ca="1">TEXT( INDIRECT( ADDRESS( ROW() + Row_Offset, INDIRECT( "Column_Number_" &amp; C$1), 4,1, tabname) ), "")</f>
        <v/>
      </c>
      <c r="D155" s="10" t="str">
        <f ca="1">TEXT( INDIRECT( ADDRESS( ROW() + Row_Offset, INDIRECT( "Column_Number_" &amp; D$1), 4,1, tabname) ), "")</f>
        <v/>
      </c>
      <c r="E155" s="10" t="str">
        <f ca="1">TEXT( INDIRECT( ADDRESS( ROW() + Row_Offset, INDIRECT( "Column_Number_" &amp; E$1), 4,1, tabname) ), "####")</f>
        <v/>
      </c>
      <c r="F155" s="15"/>
      <c r="G155" s="22" t="str">
        <f ca="1">IFERROR(INDEX(Rank_Table[],MATCH($D155&amp;$A155,Table4[Join],0)),"")</f>
        <v/>
      </c>
      <c r="H155" s="11" t="str">
        <f ca="1">IF(AND(D155="Juvenile Audiobook",LEFT(B155,8)="J CD BIO"),RIGHT(B155,LEN(B155)-9),
IF(AND(D155="Juvenile Audiobook",LEFT(B155,8)="J CD FIC"),B155,
IF(D155="Juvenile Audiobook",RIGHT(B155,LEN(B155)-5),
IF(AND(D155="Teen Audiobook",LEFT(B155,11)="TEEN CD BIO"),RIGHT(B155,LEN(B155)-12),
IF(AND(D155="Teen Audiobook",LEFT(B155,11)="TEEN CD FIC"),B155,
IF(D155="Juvenile Audiobook",RIGHT(B155,LEN(B155)-8),
IF(D155="Juvenile Nonfiction",RIGHT(B155,LEN(B155)-2),
IF(D155="Teen Nonfiction",RIGHT(B155,LEN(B155)-5),
IF(AND(D155="Audiobook",
              NOT(OR(Contains($B155,"CD BIO"),Contains($B155,"CD FIC")))),RIGHT(B155,LEN(B155)-3),
IF(D155="Juvenile Biography",RIGHT(B155,LEN(B155)-2),
IF(D155="Teen Biography",RIGHT(B155,LEN(B155)-5),
IF(AND(D155="Audiobook",
              IFERROR(FIND("BIO",$B155)&gt;0,FALSE)),RIGHT(B155,LEN(B155)-3),
IF(D155="Juvenile Large Type","J "&amp;RIGHT(B155,LEN(B155)-11),
IF(D155="Teen Large Type","TEEN "&amp;RIGHT(B155,LEN(B155)-14),
IF(D155="Reference",RIGHT(B155,LEN(B155)-4),
IF(D155="DVD Educational",RIGHT(B155,LEN(B155)-7),
IF(D155="Juvenile DVD Educational",RIGHT(B155,LEN(B155)-9),
B155)))))))))))))))))</f>
        <v/>
      </c>
      <c r="N155" s="11" t="str">
        <f ca="1">IF(IFERROR(FIND("New",$A155)&gt;0,FALSE),"New ","") &amp; IF(IFERROR(FIND("In Lib",$A155)&gt;0,FALSE),"Reference ","") &amp;
IF(AND(D155="Audiobook",LEFT(B155,6)="CD BIO"),"Biography",
IF(AND(D155="Teen Audiobook",LEFT(B155,11)="TEEN CD BIO"),"Biography",
IF(AND(D155="Juvenile Audiobook",LEFT(B155,8)="J CD BIO"),"Biography",
IF(AND(D155="Audiobook",LEFT(B155,6)="CD FIC"),"Audiobook Fiction",
IF(AND(D155="Teen Audiobook",LEFT(B155,11)="TEEN CD FIC"),"Teen Audiobook",
IF(AND(D155="Juvenile Audiobook",LEFT(B155,8)="J CD FIC"),"Juvenile Audiobook",
IF(D155="Audiobook","Nonfiction",
IF(D155="Juvenile Audiobook","Nonfiction",
IF(D155="Teen Audiobook","Nonfiction",
IF(D155="Juvenile Nonfiction","Nonfiction",
IF(D155="Teen Nonfiction","Nonfiction",
IF(D155="Juvenile Biography","Biography",
IF(D155="Teen Biography","Biography",
IF(D155="ESL","Nonfiction",
IF(LEFT(B155,11)="INTL-VIE J ","International Juvenile",IF(LEFT(B155,11)="INTL-TAG J ","International Juvenile",IF(LEFT(B155,11)="INTL-RUS J ","International Juvenile",IF(LEFT(B155,11)="INTL-KOR J ","International Juvenile",IF(LEFT(B155,11)="INTL-JAP J ","International Juvenile",IF(LEFT(B155,11)="INTL-CHI J ","International Juvenile",IF(LEFT(B155,11)="INTL-SPA J ","International Juvenile",IF(LEFT(B155,14)="INTL-VIE TEEN ","International Teen",IF(LEFT(B155,14)="INTL-TAG TEEN ","International Teen",IF(LEFT(B155,14)="INTL-RUS TEEN ","International Teen",IF(LEFT(B155,14)="INTL-KOR TEEN ","International Teen",IF(LEFT(B155,14)="INTL-JAP TEEN ","International Teen",IF(LEFT(B155,14)="INTL-CHI TEEN ","International Teen",IF(LEFT(B155,14)="INTL-SPA TEEN ","International Teen",IF(LEFT(B155,11)="INTL-VIE E ","International Easy",IF(LEFT(B155,11)="INTL-TAG E ","International Easy",IF(LEFT(B155,11)="INTL-RUS E ","International Easy",IF(LEFT(B155,11)="INTL-JAP E ","International Easy",IF(LEFT(B155,11)="INTL-KOR E ","International Easy",IF(LEFT(B155,11)="INTL-CHI E ","International Easy",IF(LEFT(B155,11)="INTL-SPA E ","International Easy",
IF(D155="Teen Large Type","Teen Fiction",
IF(D155="Juvenile Large Type","Juvenile Fiction",
IF(LEFT(B155,6)="J CD O","Juvenile Compact Disc",
IF(AND(LEFT(B155,4)="TEEN",D155="Fiction"),"Teen Fiction",
IF(D155="DVD Educational","Nonfiction",
IF(D155="Juvenile DVD Educational","Nonfiction",
IF(D155="Reference","Nonfiction",
D155))))))))))))))))))))))))))))))))))))))))))</f>
        <v/>
      </c>
    </row>
    <row r="156" spans="1:14" ht="27" customHeight="1" x14ac:dyDescent="0.25">
      <c r="A156" s="10" t="str">
        <f ca="1">TEXT( INDIRECT( ADDRESS( ROW() + Row_Offset, INDIRECT( "Column_Number_" &amp; A$1), 4,1, tabname) ), "")</f>
        <v/>
      </c>
      <c r="B156" s="10" t="str">
        <f ca="1">TEXT(  IFERROR( VLOOKUP( $D156, CollName_Simplifier_Table[], 2, FALSE),"") &amp;
        INDIRECT( ADDRESS( ROW() + Row_Offset, INDIRECT( "Column_Number_" &amp; $B$1), 4,1, tabname) ), "")</f>
        <v/>
      </c>
      <c r="C156" s="10" t="str">
        <f ca="1">TEXT( INDIRECT( ADDRESS( ROW() + Row_Offset, INDIRECT( "Column_Number_" &amp; C$1), 4,1, tabname) ), "")</f>
        <v/>
      </c>
      <c r="D156" s="10" t="str">
        <f ca="1">TEXT( INDIRECT( ADDRESS( ROW() + Row_Offset, INDIRECT( "Column_Number_" &amp; D$1), 4,1, tabname) ), "")</f>
        <v/>
      </c>
      <c r="E156" s="10" t="str">
        <f ca="1">TEXT( INDIRECT( ADDRESS( ROW() + Row_Offset, INDIRECT( "Column_Number_" &amp; E$1), 4,1, tabname) ), "####")</f>
        <v/>
      </c>
      <c r="F156" s="15"/>
      <c r="G156" s="22" t="str">
        <f ca="1">IFERROR(INDEX(Rank_Table[],MATCH($D156&amp;$A156,Table4[Join],0)),"")</f>
        <v/>
      </c>
      <c r="H156" s="11" t="str">
        <f ca="1">IF(AND(D156="Juvenile Audiobook",LEFT(B156,8)="J CD BIO"),RIGHT(B156,LEN(B156)-9),
IF(AND(D156="Juvenile Audiobook",LEFT(B156,8)="J CD FIC"),B156,
IF(D156="Juvenile Audiobook",RIGHT(B156,LEN(B156)-5),
IF(AND(D156="Teen Audiobook",LEFT(B156,11)="TEEN CD BIO"),RIGHT(B156,LEN(B156)-12),
IF(AND(D156="Teen Audiobook",LEFT(B156,11)="TEEN CD FIC"),B156,
IF(D156="Juvenile Audiobook",RIGHT(B156,LEN(B156)-8),
IF(D156="Juvenile Nonfiction",RIGHT(B156,LEN(B156)-2),
IF(D156="Teen Nonfiction",RIGHT(B156,LEN(B156)-5),
IF(AND(D156="Audiobook",
              NOT(OR(Contains($B156,"CD BIO"),Contains($B156,"CD FIC")))),RIGHT(B156,LEN(B156)-3),
IF(D156="Juvenile Biography",RIGHT(B156,LEN(B156)-2),
IF(D156="Teen Biography",RIGHT(B156,LEN(B156)-5),
IF(AND(D156="Audiobook",
              IFERROR(FIND("BIO",$B156)&gt;0,FALSE)),RIGHT(B156,LEN(B156)-3),
IF(D156="Juvenile Large Type","J "&amp;RIGHT(B156,LEN(B156)-11),
IF(D156="Teen Large Type","TEEN "&amp;RIGHT(B156,LEN(B156)-14),
IF(D156="Reference",RIGHT(B156,LEN(B156)-4),
IF(D156="DVD Educational",RIGHT(B156,LEN(B156)-7),
IF(D156="Juvenile DVD Educational",RIGHT(B156,LEN(B156)-9),
B156)))))))))))))))))</f>
        <v/>
      </c>
      <c r="N156" s="11" t="str">
        <f ca="1">IF(IFERROR(FIND("New",$A156)&gt;0,FALSE),"New ","") &amp; IF(IFERROR(FIND("In Lib",$A156)&gt;0,FALSE),"Reference ","") &amp;
IF(AND(D156="Audiobook",LEFT(B156,6)="CD BIO"),"Biography",
IF(AND(D156="Teen Audiobook",LEFT(B156,11)="TEEN CD BIO"),"Biography",
IF(AND(D156="Juvenile Audiobook",LEFT(B156,8)="J CD BIO"),"Biography",
IF(AND(D156="Audiobook",LEFT(B156,6)="CD FIC"),"Audiobook Fiction",
IF(AND(D156="Teen Audiobook",LEFT(B156,11)="TEEN CD FIC"),"Teen Audiobook",
IF(AND(D156="Juvenile Audiobook",LEFT(B156,8)="J CD FIC"),"Juvenile Audiobook",
IF(D156="Audiobook","Nonfiction",
IF(D156="Juvenile Audiobook","Nonfiction",
IF(D156="Teen Audiobook","Nonfiction",
IF(D156="Juvenile Nonfiction","Nonfiction",
IF(D156="Teen Nonfiction","Nonfiction",
IF(D156="Juvenile Biography","Biography",
IF(D156="Teen Biography","Biography",
IF(D156="ESL","Nonfiction",
IF(LEFT(B156,11)="INTL-VIE J ","International Juvenile",IF(LEFT(B156,11)="INTL-TAG J ","International Juvenile",IF(LEFT(B156,11)="INTL-RUS J ","International Juvenile",IF(LEFT(B156,11)="INTL-KOR J ","International Juvenile",IF(LEFT(B156,11)="INTL-JAP J ","International Juvenile",IF(LEFT(B156,11)="INTL-CHI J ","International Juvenile",IF(LEFT(B156,11)="INTL-SPA J ","International Juvenile",IF(LEFT(B156,14)="INTL-VIE TEEN ","International Teen",IF(LEFT(B156,14)="INTL-TAG TEEN ","International Teen",IF(LEFT(B156,14)="INTL-RUS TEEN ","International Teen",IF(LEFT(B156,14)="INTL-KOR TEEN ","International Teen",IF(LEFT(B156,14)="INTL-JAP TEEN ","International Teen",IF(LEFT(B156,14)="INTL-CHI TEEN ","International Teen",IF(LEFT(B156,14)="INTL-SPA TEEN ","International Teen",IF(LEFT(B156,11)="INTL-VIE E ","International Easy",IF(LEFT(B156,11)="INTL-TAG E ","International Easy",IF(LEFT(B156,11)="INTL-RUS E ","International Easy",IF(LEFT(B156,11)="INTL-JAP E ","International Easy",IF(LEFT(B156,11)="INTL-KOR E ","International Easy",IF(LEFT(B156,11)="INTL-CHI E ","International Easy",IF(LEFT(B156,11)="INTL-SPA E ","International Easy",
IF(D156="Teen Large Type","Teen Fiction",
IF(D156="Juvenile Large Type","Juvenile Fiction",
IF(LEFT(B156,6)="J CD O","Juvenile Compact Disc",
IF(AND(LEFT(B156,4)="TEEN",D156="Fiction"),"Teen Fiction",
IF(D156="DVD Educational","Nonfiction",
IF(D156="Juvenile DVD Educational","Nonfiction",
IF(D156="Reference","Nonfiction",
D156))))))))))))))))))))))))))))))))))))))))))</f>
        <v/>
      </c>
    </row>
    <row r="157" spans="1:14" ht="27" customHeight="1" x14ac:dyDescent="0.25">
      <c r="A157" s="10" t="str">
        <f ca="1">TEXT( INDIRECT( ADDRESS( ROW() + Row_Offset, INDIRECT( "Column_Number_" &amp; A$1), 4,1, tabname) ), "")</f>
        <v/>
      </c>
      <c r="B157" s="10" t="str">
        <f ca="1">TEXT(  IFERROR( VLOOKUP( $D157, CollName_Simplifier_Table[], 2, FALSE),"") &amp;
        INDIRECT( ADDRESS( ROW() + Row_Offset, INDIRECT( "Column_Number_" &amp; $B$1), 4,1, tabname) ), "")</f>
        <v/>
      </c>
      <c r="C157" s="10" t="str">
        <f ca="1">TEXT( INDIRECT( ADDRESS( ROW() + Row_Offset, INDIRECT( "Column_Number_" &amp; C$1), 4,1, tabname) ), "")</f>
        <v/>
      </c>
      <c r="D157" s="10" t="str">
        <f ca="1">TEXT( INDIRECT( ADDRESS( ROW() + Row_Offset, INDIRECT( "Column_Number_" &amp; D$1), 4,1, tabname) ), "")</f>
        <v/>
      </c>
      <c r="E157" s="10" t="str">
        <f ca="1">TEXT( INDIRECT( ADDRESS( ROW() + Row_Offset, INDIRECT( "Column_Number_" &amp; E$1), 4,1, tabname) ), "####")</f>
        <v/>
      </c>
      <c r="F157" s="15"/>
      <c r="G157" s="22" t="str">
        <f ca="1">IFERROR(INDEX(Rank_Table[],MATCH($D157&amp;$A157,Table4[Join],0)),"")</f>
        <v/>
      </c>
      <c r="H157" s="11" t="str">
        <f ca="1">IF(AND(D157="Juvenile Audiobook",LEFT(B157,8)="J CD BIO"),RIGHT(B157,LEN(B157)-9),
IF(AND(D157="Juvenile Audiobook",LEFT(B157,8)="J CD FIC"),B157,
IF(D157="Juvenile Audiobook",RIGHT(B157,LEN(B157)-5),
IF(AND(D157="Teen Audiobook",LEFT(B157,11)="TEEN CD BIO"),RIGHT(B157,LEN(B157)-12),
IF(AND(D157="Teen Audiobook",LEFT(B157,11)="TEEN CD FIC"),B157,
IF(D157="Juvenile Audiobook",RIGHT(B157,LEN(B157)-8),
IF(D157="Juvenile Nonfiction",RIGHT(B157,LEN(B157)-2),
IF(D157="Teen Nonfiction",RIGHT(B157,LEN(B157)-5),
IF(AND(D157="Audiobook",
              NOT(OR(Contains($B157,"CD BIO"),Contains($B157,"CD FIC")))),RIGHT(B157,LEN(B157)-3),
IF(D157="Juvenile Biography",RIGHT(B157,LEN(B157)-2),
IF(D157="Teen Biography",RIGHT(B157,LEN(B157)-5),
IF(AND(D157="Audiobook",
              IFERROR(FIND("BIO",$B157)&gt;0,FALSE)),RIGHT(B157,LEN(B157)-3),
IF(D157="Juvenile Large Type","J "&amp;RIGHT(B157,LEN(B157)-11),
IF(D157="Teen Large Type","TEEN "&amp;RIGHT(B157,LEN(B157)-14),
IF(D157="Reference",RIGHT(B157,LEN(B157)-4),
IF(D157="DVD Educational",RIGHT(B157,LEN(B157)-7),
IF(D157="Juvenile DVD Educational",RIGHT(B157,LEN(B157)-9),
B157)))))))))))))))))</f>
        <v/>
      </c>
      <c r="N157" s="11" t="str">
        <f ca="1">IF(IFERROR(FIND("New",$A157)&gt;0,FALSE),"New ","") &amp; IF(IFERROR(FIND("In Lib",$A157)&gt;0,FALSE),"Reference ","") &amp;
IF(AND(D157="Audiobook",LEFT(B157,6)="CD BIO"),"Biography",
IF(AND(D157="Teen Audiobook",LEFT(B157,11)="TEEN CD BIO"),"Biography",
IF(AND(D157="Juvenile Audiobook",LEFT(B157,8)="J CD BIO"),"Biography",
IF(AND(D157="Audiobook",LEFT(B157,6)="CD FIC"),"Audiobook Fiction",
IF(AND(D157="Teen Audiobook",LEFT(B157,11)="TEEN CD FIC"),"Teen Audiobook",
IF(AND(D157="Juvenile Audiobook",LEFT(B157,8)="J CD FIC"),"Juvenile Audiobook",
IF(D157="Audiobook","Nonfiction",
IF(D157="Juvenile Audiobook","Nonfiction",
IF(D157="Teen Audiobook","Nonfiction",
IF(D157="Juvenile Nonfiction","Nonfiction",
IF(D157="Teen Nonfiction","Nonfiction",
IF(D157="Juvenile Biography","Biography",
IF(D157="Teen Biography","Biography",
IF(D157="ESL","Nonfiction",
IF(LEFT(B157,11)="INTL-VIE J ","International Juvenile",IF(LEFT(B157,11)="INTL-TAG J ","International Juvenile",IF(LEFT(B157,11)="INTL-RUS J ","International Juvenile",IF(LEFT(B157,11)="INTL-KOR J ","International Juvenile",IF(LEFT(B157,11)="INTL-JAP J ","International Juvenile",IF(LEFT(B157,11)="INTL-CHI J ","International Juvenile",IF(LEFT(B157,11)="INTL-SPA J ","International Juvenile",IF(LEFT(B157,14)="INTL-VIE TEEN ","International Teen",IF(LEFT(B157,14)="INTL-TAG TEEN ","International Teen",IF(LEFT(B157,14)="INTL-RUS TEEN ","International Teen",IF(LEFT(B157,14)="INTL-KOR TEEN ","International Teen",IF(LEFT(B157,14)="INTL-JAP TEEN ","International Teen",IF(LEFT(B157,14)="INTL-CHI TEEN ","International Teen",IF(LEFT(B157,14)="INTL-SPA TEEN ","International Teen",IF(LEFT(B157,11)="INTL-VIE E ","International Easy",IF(LEFT(B157,11)="INTL-TAG E ","International Easy",IF(LEFT(B157,11)="INTL-RUS E ","International Easy",IF(LEFT(B157,11)="INTL-JAP E ","International Easy",IF(LEFT(B157,11)="INTL-KOR E ","International Easy",IF(LEFT(B157,11)="INTL-CHI E ","International Easy",IF(LEFT(B157,11)="INTL-SPA E ","International Easy",
IF(D157="Teen Large Type","Teen Fiction",
IF(D157="Juvenile Large Type","Juvenile Fiction",
IF(LEFT(B157,6)="J CD O","Juvenile Compact Disc",
IF(AND(LEFT(B157,4)="TEEN",D157="Fiction"),"Teen Fiction",
IF(D157="DVD Educational","Nonfiction",
IF(D157="Juvenile DVD Educational","Nonfiction",
IF(D157="Reference","Nonfiction",
D157))))))))))))))))))))))))))))))))))))))))))</f>
        <v/>
      </c>
    </row>
    <row r="158" spans="1:14" ht="27" customHeight="1" x14ac:dyDescent="0.25">
      <c r="A158" s="10" t="str">
        <f ca="1">TEXT( INDIRECT( ADDRESS( ROW() + Row_Offset, INDIRECT( "Column_Number_" &amp; A$1), 4,1, tabname) ), "")</f>
        <v/>
      </c>
      <c r="B158" s="10" t="str">
        <f ca="1">TEXT(  IFERROR( VLOOKUP( $D158, CollName_Simplifier_Table[], 2, FALSE),"") &amp;
        INDIRECT( ADDRESS( ROW() + Row_Offset, INDIRECT( "Column_Number_" &amp; $B$1), 4,1, tabname) ), "")</f>
        <v/>
      </c>
      <c r="C158" s="10" t="str">
        <f ca="1">TEXT( INDIRECT( ADDRESS( ROW() + Row_Offset, INDIRECT( "Column_Number_" &amp; C$1), 4,1, tabname) ), "")</f>
        <v/>
      </c>
      <c r="D158" s="10" t="str">
        <f ca="1">TEXT( INDIRECT( ADDRESS( ROW() + Row_Offset, INDIRECT( "Column_Number_" &amp; D$1), 4,1, tabname) ), "")</f>
        <v/>
      </c>
      <c r="E158" s="10" t="str">
        <f ca="1">TEXT( INDIRECT( ADDRESS( ROW() + Row_Offset, INDIRECT( "Column_Number_" &amp; E$1), 4,1, tabname) ), "####")</f>
        <v/>
      </c>
      <c r="F158" s="15"/>
      <c r="G158" s="22" t="str">
        <f ca="1">IFERROR(INDEX(Rank_Table[],MATCH($D158&amp;$A158,Table4[Join],0)),"")</f>
        <v/>
      </c>
      <c r="H158" s="11" t="str">
        <f ca="1">IF(AND(D158="Juvenile Audiobook",LEFT(B158,8)="J CD BIO"),RIGHT(B158,LEN(B158)-9),
IF(AND(D158="Juvenile Audiobook",LEFT(B158,8)="J CD FIC"),B158,
IF(D158="Juvenile Audiobook",RIGHT(B158,LEN(B158)-5),
IF(AND(D158="Teen Audiobook",LEFT(B158,11)="TEEN CD BIO"),RIGHT(B158,LEN(B158)-12),
IF(AND(D158="Teen Audiobook",LEFT(B158,11)="TEEN CD FIC"),B158,
IF(D158="Juvenile Audiobook",RIGHT(B158,LEN(B158)-8),
IF(D158="Juvenile Nonfiction",RIGHT(B158,LEN(B158)-2),
IF(D158="Teen Nonfiction",RIGHT(B158,LEN(B158)-5),
IF(AND(D158="Audiobook",
              NOT(OR(Contains($B158,"CD BIO"),Contains($B158,"CD FIC")))),RIGHT(B158,LEN(B158)-3),
IF(D158="Juvenile Biography",RIGHT(B158,LEN(B158)-2),
IF(D158="Teen Biography",RIGHT(B158,LEN(B158)-5),
IF(AND(D158="Audiobook",
              IFERROR(FIND("BIO",$B158)&gt;0,FALSE)),RIGHT(B158,LEN(B158)-3),
IF(D158="Juvenile Large Type","J "&amp;RIGHT(B158,LEN(B158)-11),
IF(D158="Teen Large Type","TEEN "&amp;RIGHT(B158,LEN(B158)-14),
IF(D158="Reference",RIGHT(B158,LEN(B158)-4),
IF(D158="DVD Educational",RIGHT(B158,LEN(B158)-7),
IF(D158="Juvenile DVD Educational",RIGHT(B158,LEN(B158)-9),
B158)))))))))))))))))</f>
        <v/>
      </c>
      <c r="N158" s="11" t="str">
        <f ca="1">IF(IFERROR(FIND("New",$A158)&gt;0,FALSE),"New ","") &amp; IF(IFERROR(FIND("In Lib",$A158)&gt;0,FALSE),"Reference ","") &amp;
IF(AND(D158="Audiobook",LEFT(B158,6)="CD BIO"),"Biography",
IF(AND(D158="Teen Audiobook",LEFT(B158,11)="TEEN CD BIO"),"Biography",
IF(AND(D158="Juvenile Audiobook",LEFT(B158,8)="J CD BIO"),"Biography",
IF(AND(D158="Audiobook",LEFT(B158,6)="CD FIC"),"Audiobook Fiction",
IF(AND(D158="Teen Audiobook",LEFT(B158,11)="TEEN CD FIC"),"Teen Audiobook",
IF(AND(D158="Juvenile Audiobook",LEFT(B158,8)="J CD FIC"),"Juvenile Audiobook",
IF(D158="Audiobook","Nonfiction",
IF(D158="Juvenile Audiobook","Nonfiction",
IF(D158="Teen Audiobook","Nonfiction",
IF(D158="Juvenile Nonfiction","Nonfiction",
IF(D158="Teen Nonfiction","Nonfiction",
IF(D158="Juvenile Biography","Biography",
IF(D158="Teen Biography","Biography",
IF(D158="ESL","Nonfiction",
IF(LEFT(B158,11)="INTL-VIE J ","International Juvenile",IF(LEFT(B158,11)="INTL-TAG J ","International Juvenile",IF(LEFT(B158,11)="INTL-RUS J ","International Juvenile",IF(LEFT(B158,11)="INTL-KOR J ","International Juvenile",IF(LEFT(B158,11)="INTL-JAP J ","International Juvenile",IF(LEFT(B158,11)="INTL-CHI J ","International Juvenile",IF(LEFT(B158,11)="INTL-SPA J ","International Juvenile",IF(LEFT(B158,14)="INTL-VIE TEEN ","International Teen",IF(LEFT(B158,14)="INTL-TAG TEEN ","International Teen",IF(LEFT(B158,14)="INTL-RUS TEEN ","International Teen",IF(LEFT(B158,14)="INTL-KOR TEEN ","International Teen",IF(LEFT(B158,14)="INTL-JAP TEEN ","International Teen",IF(LEFT(B158,14)="INTL-CHI TEEN ","International Teen",IF(LEFT(B158,14)="INTL-SPA TEEN ","International Teen",IF(LEFT(B158,11)="INTL-VIE E ","International Easy",IF(LEFT(B158,11)="INTL-TAG E ","International Easy",IF(LEFT(B158,11)="INTL-RUS E ","International Easy",IF(LEFT(B158,11)="INTL-JAP E ","International Easy",IF(LEFT(B158,11)="INTL-KOR E ","International Easy",IF(LEFT(B158,11)="INTL-CHI E ","International Easy",IF(LEFT(B158,11)="INTL-SPA E ","International Easy",
IF(D158="Teen Large Type","Teen Fiction",
IF(D158="Juvenile Large Type","Juvenile Fiction",
IF(LEFT(B158,6)="J CD O","Juvenile Compact Disc",
IF(AND(LEFT(B158,4)="TEEN",D158="Fiction"),"Teen Fiction",
IF(D158="DVD Educational","Nonfiction",
IF(D158="Juvenile DVD Educational","Nonfiction",
IF(D158="Reference","Nonfiction",
D158))))))))))))))))))))))))))))))))))))))))))</f>
        <v/>
      </c>
    </row>
    <row r="159" spans="1:14" ht="27" customHeight="1" x14ac:dyDescent="0.25">
      <c r="A159" s="10" t="str">
        <f ca="1">TEXT( INDIRECT( ADDRESS( ROW() + Row_Offset, INDIRECT( "Column_Number_" &amp; A$1), 4,1, tabname) ), "")</f>
        <v/>
      </c>
      <c r="B159" s="10" t="str">
        <f ca="1">TEXT(  IFERROR( VLOOKUP( $D159, CollName_Simplifier_Table[], 2, FALSE),"") &amp;
        INDIRECT( ADDRESS( ROW() + Row_Offset, INDIRECT( "Column_Number_" &amp; $B$1), 4,1, tabname) ), "")</f>
        <v/>
      </c>
      <c r="C159" s="10" t="str">
        <f ca="1">TEXT( INDIRECT( ADDRESS( ROW() + Row_Offset, INDIRECT( "Column_Number_" &amp; C$1), 4,1, tabname) ), "")</f>
        <v/>
      </c>
      <c r="D159" s="10" t="str">
        <f ca="1">TEXT( INDIRECT( ADDRESS( ROW() + Row_Offset, INDIRECT( "Column_Number_" &amp; D$1), 4,1, tabname) ), "")</f>
        <v/>
      </c>
      <c r="E159" s="10" t="str">
        <f ca="1">TEXT( INDIRECT( ADDRESS( ROW() + Row_Offset, INDIRECT( "Column_Number_" &amp; E$1), 4,1, tabname) ), "####")</f>
        <v/>
      </c>
      <c r="F159" s="15"/>
      <c r="G159" s="22" t="str">
        <f ca="1">IFERROR(INDEX(Rank_Table[],MATCH($D159&amp;$A159,Table4[Join],0)),"")</f>
        <v/>
      </c>
      <c r="H159" s="11" t="str">
        <f ca="1">IF(AND(D159="Juvenile Audiobook",LEFT(B159,8)="J CD BIO"),RIGHT(B159,LEN(B159)-9),
IF(AND(D159="Juvenile Audiobook",LEFT(B159,8)="J CD FIC"),B159,
IF(D159="Juvenile Audiobook",RIGHT(B159,LEN(B159)-5),
IF(AND(D159="Teen Audiobook",LEFT(B159,11)="TEEN CD BIO"),RIGHT(B159,LEN(B159)-12),
IF(AND(D159="Teen Audiobook",LEFT(B159,11)="TEEN CD FIC"),B159,
IF(D159="Juvenile Audiobook",RIGHT(B159,LEN(B159)-8),
IF(D159="Juvenile Nonfiction",RIGHT(B159,LEN(B159)-2),
IF(D159="Teen Nonfiction",RIGHT(B159,LEN(B159)-5),
IF(AND(D159="Audiobook",
              NOT(OR(Contains($B159,"CD BIO"),Contains($B159,"CD FIC")))),RIGHT(B159,LEN(B159)-3),
IF(D159="Juvenile Biography",RIGHT(B159,LEN(B159)-2),
IF(D159="Teen Biography",RIGHT(B159,LEN(B159)-5),
IF(AND(D159="Audiobook",
              IFERROR(FIND("BIO",$B159)&gt;0,FALSE)),RIGHT(B159,LEN(B159)-3),
IF(D159="Juvenile Large Type","J "&amp;RIGHT(B159,LEN(B159)-11),
IF(D159="Teen Large Type","TEEN "&amp;RIGHT(B159,LEN(B159)-14),
IF(D159="Reference",RIGHT(B159,LEN(B159)-4),
IF(D159="DVD Educational",RIGHT(B159,LEN(B159)-7),
IF(D159="Juvenile DVD Educational",RIGHT(B159,LEN(B159)-9),
B159)))))))))))))))))</f>
        <v/>
      </c>
      <c r="N159" s="11" t="str">
        <f ca="1">IF(IFERROR(FIND("New",$A159)&gt;0,FALSE),"New ","") &amp; IF(IFERROR(FIND("In Lib",$A159)&gt;0,FALSE),"Reference ","") &amp;
IF(AND(D159="Audiobook",LEFT(B159,6)="CD BIO"),"Biography",
IF(AND(D159="Teen Audiobook",LEFT(B159,11)="TEEN CD BIO"),"Biography",
IF(AND(D159="Juvenile Audiobook",LEFT(B159,8)="J CD BIO"),"Biography",
IF(AND(D159="Audiobook",LEFT(B159,6)="CD FIC"),"Audiobook Fiction",
IF(AND(D159="Teen Audiobook",LEFT(B159,11)="TEEN CD FIC"),"Teen Audiobook",
IF(AND(D159="Juvenile Audiobook",LEFT(B159,8)="J CD FIC"),"Juvenile Audiobook",
IF(D159="Audiobook","Nonfiction",
IF(D159="Juvenile Audiobook","Nonfiction",
IF(D159="Teen Audiobook","Nonfiction",
IF(D159="Juvenile Nonfiction","Nonfiction",
IF(D159="Teen Nonfiction","Nonfiction",
IF(D159="Juvenile Biography","Biography",
IF(D159="Teen Biography","Biography",
IF(D159="ESL","Nonfiction",
IF(LEFT(B159,11)="INTL-VIE J ","International Juvenile",IF(LEFT(B159,11)="INTL-TAG J ","International Juvenile",IF(LEFT(B159,11)="INTL-RUS J ","International Juvenile",IF(LEFT(B159,11)="INTL-KOR J ","International Juvenile",IF(LEFT(B159,11)="INTL-JAP J ","International Juvenile",IF(LEFT(B159,11)="INTL-CHI J ","International Juvenile",IF(LEFT(B159,11)="INTL-SPA J ","International Juvenile",IF(LEFT(B159,14)="INTL-VIE TEEN ","International Teen",IF(LEFT(B159,14)="INTL-TAG TEEN ","International Teen",IF(LEFT(B159,14)="INTL-RUS TEEN ","International Teen",IF(LEFT(B159,14)="INTL-KOR TEEN ","International Teen",IF(LEFT(B159,14)="INTL-JAP TEEN ","International Teen",IF(LEFT(B159,14)="INTL-CHI TEEN ","International Teen",IF(LEFT(B159,14)="INTL-SPA TEEN ","International Teen",IF(LEFT(B159,11)="INTL-VIE E ","International Easy",IF(LEFT(B159,11)="INTL-TAG E ","International Easy",IF(LEFT(B159,11)="INTL-RUS E ","International Easy",IF(LEFT(B159,11)="INTL-JAP E ","International Easy",IF(LEFT(B159,11)="INTL-KOR E ","International Easy",IF(LEFT(B159,11)="INTL-CHI E ","International Easy",IF(LEFT(B159,11)="INTL-SPA E ","International Easy",
IF(D159="Teen Large Type","Teen Fiction",
IF(D159="Juvenile Large Type","Juvenile Fiction",
IF(LEFT(B159,6)="J CD O","Juvenile Compact Disc",
IF(AND(LEFT(B159,4)="TEEN",D159="Fiction"),"Teen Fiction",
IF(D159="DVD Educational","Nonfiction",
IF(D159="Juvenile DVD Educational","Nonfiction",
IF(D159="Reference","Nonfiction",
D159))))))))))))))))))))))))))))))))))))))))))</f>
        <v/>
      </c>
    </row>
    <row r="160" spans="1:14" ht="27" customHeight="1" x14ac:dyDescent="0.25">
      <c r="A160" s="10" t="str">
        <f ca="1">TEXT( INDIRECT( ADDRESS( ROW() + Row_Offset, INDIRECT( "Column_Number_" &amp; A$1), 4,1, tabname) ), "")</f>
        <v/>
      </c>
      <c r="B160" s="10" t="str">
        <f ca="1">TEXT(  IFERROR( VLOOKUP( $D160, CollName_Simplifier_Table[], 2, FALSE),"") &amp;
        INDIRECT( ADDRESS( ROW() + Row_Offset, INDIRECT( "Column_Number_" &amp; $B$1), 4,1, tabname) ), "")</f>
        <v/>
      </c>
      <c r="C160" s="10" t="str">
        <f ca="1">TEXT( INDIRECT( ADDRESS( ROW() + Row_Offset, INDIRECT( "Column_Number_" &amp; C$1), 4,1, tabname) ), "")</f>
        <v/>
      </c>
      <c r="D160" s="10" t="str">
        <f ca="1">TEXT( INDIRECT( ADDRESS( ROW() + Row_Offset, INDIRECT( "Column_Number_" &amp; D$1), 4,1, tabname) ), "")</f>
        <v/>
      </c>
      <c r="E160" s="10" t="str">
        <f ca="1">TEXT( INDIRECT( ADDRESS( ROW() + Row_Offset, INDIRECT( "Column_Number_" &amp; E$1), 4,1, tabname) ), "####")</f>
        <v/>
      </c>
      <c r="F160" s="15"/>
      <c r="G160" s="22" t="str">
        <f ca="1">IFERROR(INDEX(Rank_Table[],MATCH($D160&amp;$A160,Table4[Join],0)),"")</f>
        <v/>
      </c>
      <c r="H160" s="11" t="str">
        <f ca="1">IF(AND(D160="Juvenile Audiobook",LEFT(B160,8)="J CD BIO"),RIGHT(B160,LEN(B160)-9),
IF(AND(D160="Juvenile Audiobook",LEFT(B160,8)="J CD FIC"),B160,
IF(D160="Juvenile Audiobook",RIGHT(B160,LEN(B160)-5),
IF(AND(D160="Teen Audiobook",LEFT(B160,11)="TEEN CD BIO"),RIGHT(B160,LEN(B160)-12),
IF(AND(D160="Teen Audiobook",LEFT(B160,11)="TEEN CD FIC"),B160,
IF(D160="Juvenile Audiobook",RIGHT(B160,LEN(B160)-8),
IF(D160="Juvenile Nonfiction",RIGHT(B160,LEN(B160)-2),
IF(D160="Teen Nonfiction",RIGHT(B160,LEN(B160)-5),
IF(AND(D160="Audiobook",
              NOT(OR(Contains($B160,"CD BIO"),Contains($B160,"CD FIC")))),RIGHT(B160,LEN(B160)-3),
IF(D160="Juvenile Biography",RIGHT(B160,LEN(B160)-2),
IF(D160="Teen Biography",RIGHT(B160,LEN(B160)-5),
IF(AND(D160="Audiobook",
              IFERROR(FIND("BIO",$B160)&gt;0,FALSE)),RIGHT(B160,LEN(B160)-3),
IF(D160="Juvenile Large Type","J "&amp;RIGHT(B160,LEN(B160)-11),
IF(D160="Teen Large Type","TEEN "&amp;RIGHT(B160,LEN(B160)-14),
IF(D160="Reference",RIGHT(B160,LEN(B160)-4),
IF(D160="DVD Educational",RIGHT(B160,LEN(B160)-7),
IF(D160="Juvenile DVD Educational",RIGHT(B160,LEN(B160)-9),
B160)))))))))))))))))</f>
        <v/>
      </c>
      <c r="N160" s="11" t="str">
        <f ca="1">IF(IFERROR(FIND("New",$A160)&gt;0,FALSE),"New ","") &amp; IF(IFERROR(FIND("In Lib",$A160)&gt;0,FALSE),"Reference ","") &amp;
IF(AND(D160="Audiobook",LEFT(B160,6)="CD BIO"),"Biography",
IF(AND(D160="Teen Audiobook",LEFT(B160,11)="TEEN CD BIO"),"Biography",
IF(AND(D160="Juvenile Audiobook",LEFT(B160,8)="J CD BIO"),"Biography",
IF(AND(D160="Audiobook",LEFT(B160,6)="CD FIC"),"Audiobook Fiction",
IF(AND(D160="Teen Audiobook",LEFT(B160,11)="TEEN CD FIC"),"Teen Audiobook",
IF(AND(D160="Juvenile Audiobook",LEFT(B160,8)="J CD FIC"),"Juvenile Audiobook",
IF(D160="Audiobook","Nonfiction",
IF(D160="Juvenile Audiobook","Nonfiction",
IF(D160="Teen Audiobook","Nonfiction",
IF(D160="Juvenile Nonfiction","Nonfiction",
IF(D160="Teen Nonfiction","Nonfiction",
IF(D160="Juvenile Biography","Biography",
IF(D160="Teen Biography","Biography",
IF(D160="ESL","Nonfiction",
IF(LEFT(B160,11)="INTL-VIE J ","International Juvenile",IF(LEFT(B160,11)="INTL-TAG J ","International Juvenile",IF(LEFT(B160,11)="INTL-RUS J ","International Juvenile",IF(LEFT(B160,11)="INTL-KOR J ","International Juvenile",IF(LEFT(B160,11)="INTL-JAP J ","International Juvenile",IF(LEFT(B160,11)="INTL-CHI J ","International Juvenile",IF(LEFT(B160,11)="INTL-SPA J ","International Juvenile",IF(LEFT(B160,14)="INTL-VIE TEEN ","International Teen",IF(LEFT(B160,14)="INTL-TAG TEEN ","International Teen",IF(LEFT(B160,14)="INTL-RUS TEEN ","International Teen",IF(LEFT(B160,14)="INTL-KOR TEEN ","International Teen",IF(LEFT(B160,14)="INTL-JAP TEEN ","International Teen",IF(LEFT(B160,14)="INTL-CHI TEEN ","International Teen",IF(LEFT(B160,14)="INTL-SPA TEEN ","International Teen",IF(LEFT(B160,11)="INTL-VIE E ","International Easy",IF(LEFT(B160,11)="INTL-TAG E ","International Easy",IF(LEFT(B160,11)="INTL-RUS E ","International Easy",IF(LEFT(B160,11)="INTL-JAP E ","International Easy",IF(LEFT(B160,11)="INTL-KOR E ","International Easy",IF(LEFT(B160,11)="INTL-CHI E ","International Easy",IF(LEFT(B160,11)="INTL-SPA E ","International Easy",
IF(D160="Teen Large Type","Teen Fiction",
IF(D160="Juvenile Large Type","Juvenile Fiction",
IF(LEFT(B160,6)="J CD O","Juvenile Compact Disc",
IF(AND(LEFT(B160,4)="TEEN",D160="Fiction"),"Teen Fiction",
IF(D160="DVD Educational","Nonfiction",
IF(D160="Juvenile DVD Educational","Nonfiction",
IF(D160="Reference","Nonfiction",
D160))))))))))))))))))))))))))))))))))))))))))</f>
        <v/>
      </c>
    </row>
    <row r="161" spans="1:14" ht="27" customHeight="1" x14ac:dyDescent="0.25">
      <c r="A161" s="10" t="str">
        <f ca="1">TEXT( INDIRECT( ADDRESS( ROW() + Row_Offset, INDIRECT( "Column_Number_" &amp; A$1), 4,1, tabname) ), "")</f>
        <v/>
      </c>
      <c r="B161" s="10" t="str">
        <f ca="1">TEXT(  IFERROR( VLOOKUP( $D161, CollName_Simplifier_Table[], 2, FALSE),"") &amp;
        INDIRECT( ADDRESS( ROW() + Row_Offset, INDIRECT( "Column_Number_" &amp; $B$1), 4,1, tabname) ), "")</f>
        <v/>
      </c>
      <c r="C161" s="10" t="str">
        <f ca="1">TEXT( INDIRECT( ADDRESS( ROW() + Row_Offset, INDIRECT( "Column_Number_" &amp; C$1), 4,1, tabname) ), "")</f>
        <v/>
      </c>
      <c r="D161" s="10" t="str">
        <f ca="1">TEXT( INDIRECT( ADDRESS( ROW() + Row_Offset, INDIRECT( "Column_Number_" &amp; D$1), 4,1, tabname) ), "")</f>
        <v/>
      </c>
      <c r="E161" s="10" t="str">
        <f ca="1">TEXT( INDIRECT( ADDRESS( ROW() + Row_Offset, INDIRECT( "Column_Number_" &amp; E$1), 4,1, tabname) ), "####")</f>
        <v/>
      </c>
      <c r="F161" s="15"/>
      <c r="G161" s="22" t="str">
        <f ca="1">IFERROR(INDEX(Rank_Table[],MATCH($D161&amp;$A161,Table4[Join],0)),"")</f>
        <v/>
      </c>
      <c r="H161" s="11" t="str">
        <f ca="1">IF(AND(D161="Juvenile Audiobook",LEFT(B161,8)="J CD BIO"),RIGHT(B161,LEN(B161)-9),
IF(AND(D161="Juvenile Audiobook",LEFT(B161,8)="J CD FIC"),B161,
IF(D161="Juvenile Audiobook",RIGHT(B161,LEN(B161)-5),
IF(AND(D161="Teen Audiobook",LEFT(B161,11)="TEEN CD BIO"),RIGHT(B161,LEN(B161)-12),
IF(AND(D161="Teen Audiobook",LEFT(B161,11)="TEEN CD FIC"),B161,
IF(D161="Juvenile Audiobook",RIGHT(B161,LEN(B161)-8),
IF(D161="Juvenile Nonfiction",RIGHT(B161,LEN(B161)-2),
IF(D161="Teen Nonfiction",RIGHT(B161,LEN(B161)-5),
IF(AND(D161="Audiobook",
              NOT(OR(Contains($B161,"CD BIO"),Contains($B161,"CD FIC")))),RIGHT(B161,LEN(B161)-3),
IF(D161="Juvenile Biography",RIGHT(B161,LEN(B161)-2),
IF(D161="Teen Biography",RIGHT(B161,LEN(B161)-5),
IF(AND(D161="Audiobook",
              IFERROR(FIND("BIO",$B161)&gt;0,FALSE)),RIGHT(B161,LEN(B161)-3),
IF(D161="Juvenile Large Type","J "&amp;RIGHT(B161,LEN(B161)-11),
IF(D161="Teen Large Type","TEEN "&amp;RIGHT(B161,LEN(B161)-14),
IF(D161="Reference",RIGHT(B161,LEN(B161)-4),
IF(D161="DVD Educational",RIGHT(B161,LEN(B161)-7),
IF(D161="Juvenile DVD Educational",RIGHT(B161,LEN(B161)-9),
B161)))))))))))))))))</f>
        <v/>
      </c>
      <c r="N161" s="11" t="str">
        <f ca="1">IF(IFERROR(FIND("New",$A161)&gt;0,FALSE),"New ","") &amp; IF(IFERROR(FIND("In Lib",$A161)&gt;0,FALSE),"Reference ","") &amp;
IF(AND(D161="Audiobook",LEFT(B161,6)="CD BIO"),"Biography",
IF(AND(D161="Teen Audiobook",LEFT(B161,11)="TEEN CD BIO"),"Biography",
IF(AND(D161="Juvenile Audiobook",LEFT(B161,8)="J CD BIO"),"Biography",
IF(AND(D161="Audiobook",LEFT(B161,6)="CD FIC"),"Audiobook Fiction",
IF(AND(D161="Teen Audiobook",LEFT(B161,11)="TEEN CD FIC"),"Teen Audiobook",
IF(AND(D161="Juvenile Audiobook",LEFT(B161,8)="J CD FIC"),"Juvenile Audiobook",
IF(D161="Audiobook","Nonfiction",
IF(D161="Juvenile Audiobook","Nonfiction",
IF(D161="Teen Audiobook","Nonfiction",
IF(D161="Juvenile Nonfiction","Nonfiction",
IF(D161="Teen Nonfiction","Nonfiction",
IF(D161="Juvenile Biography","Biography",
IF(D161="Teen Biography","Biography",
IF(D161="ESL","Nonfiction",
IF(LEFT(B161,11)="INTL-VIE J ","International Juvenile",IF(LEFT(B161,11)="INTL-TAG J ","International Juvenile",IF(LEFT(B161,11)="INTL-RUS J ","International Juvenile",IF(LEFT(B161,11)="INTL-KOR J ","International Juvenile",IF(LEFT(B161,11)="INTL-JAP J ","International Juvenile",IF(LEFT(B161,11)="INTL-CHI J ","International Juvenile",IF(LEFT(B161,11)="INTL-SPA J ","International Juvenile",IF(LEFT(B161,14)="INTL-VIE TEEN ","International Teen",IF(LEFT(B161,14)="INTL-TAG TEEN ","International Teen",IF(LEFT(B161,14)="INTL-RUS TEEN ","International Teen",IF(LEFT(B161,14)="INTL-KOR TEEN ","International Teen",IF(LEFT(B161,14)="INTL-JAP TEEN ","International Teen",IF(LEFT(B161,14)="INTL-CHI TEEN ","International Teen",IF(LEFT(B161,14)="INTL-SPA TEEN ","International Teen",IF(LEFT(B161,11)="INTL-VIE E ","International Easy",IF(LEFT(B161,11)="INTL-TAG E ","International Easy",IF(LEFT(B161,11)="INTL-RUS E ","International Easy",IF(LEFT(B161,11)="INTL-JAP E ","International Easy",IF(LEFT(B161,11)="INTL-KOR E ","International Easy",IF(LEFT(B161,11)="INTL-CHI E ","International Easy",IF(LEFT(B161,11)="INTL-SPA E ","International Easy",
IF(D161="Teen Large Type","Teen Fiction",
IF(D161="Juvenile Large Type","Juvenile Fiction",
IF(LEFT(B161,6)="J CD O","Juvenile Compact Disc",
IF(AND(LEFT(B161,4)="TEEN",D161="Fiction"),"Teen Fiction",
IF(D161="DVD Educational","Nonfiction",
IF(D161="Juvenile DVD Educational","Nonfiction",
IF(D161="Reference","Nonfiction",
D161))))))))))))))))))))))))))))))))))))))))))</f>
        <v/>
      </c>
    </row>
    <row r="162" spans="1:14" ht="27" customHeight="1" x14ac:dyDescent="0.25">
      <c r="A162" s="10" t="str">
        <f ca="1">TEXT( INDIRECT( ADDRESS( ROW() + Row_Offset, INDIRECT( "Column_Number_" &amp; A$1), 4,1, tabname) ), "")</f>
        <v/>
      </c>
      <c r="B162" s="10" t="str">
        <f ca="1">TEXT(  IFERROR( VLOOKUP( $D162, CollName_Simplifier_Table[], 2, FALSE),"") &amp;
        INDIRECT( ADDRESS( ROW() + Row_Offset, INDIRECT( "Column_Number_" &amp; $B$1), 4,1, tabname) ), "")</f>
        <v/>
      </c>
      <c r="C162" s="10" t="str">
        <f ca="1">TEXT( INDIRECT( ADDRESS( ROW() + Row_Offset, INDIRECT( "Column_Number_" &amp; C$1), 4,1, tabname) ), "")</f>
        <v/>
      </c>
      <c r="D162" s="10" t="str">
        <f ca="1">TEXT( INDIRECT( ADDRESS( ROW() + Row_Offset, INDIRECT( "Column_Number_" &amp; D$1), 4,1, tabname) ), "")</f>
        <v/>
      </c>
      <c r="E162" s="10" t="str">
        <f ca="1">TEXT( INDIRECT( ADDRESS( ROW() + Row_Offset, INDIRECT( "Column_Number_" &amp; E$1), 4,1, tabname) ), "####")</f>
        <v/>
      </c>
      <c r="F162" s="15"/>
      <c r="G162" s="22" t="str">
        <f ca="1">IFERROR(INDEX(Rank_Table[],MATCH($D162&amp;$A162,Table4[Join],0)),"")</f>
        <v/>
      </c>
      <c r="H162" s="11" t="str">
        <f ca="1">IF(AND(D162="Juvenile Audiobook",LEFT(B162,8)="J CD BIO"),RIGHT(B162,LEN(B162)-9),
IF(AND(D162="Juvenile Audiobook",LEFT(B162,8)="J CD FIC"),B162,
IF(D162="Juvenile Audiobook",RIGHT(B162,LEN(B162)-5),
IF(AND(D162="Teen Audiobook",LEFT(B162,11)="TEEN CD BIO"),RIGHT(B162,LEN(B162)-12),
IF(AND(D162="Teen Audiobook",LEFT(B162,11)="TEEN CD FIC"),B162,
IF(D162="Juvenile Audiobook",RIGHT(B162,LEN(B162)-8),
IF(D162="Juvenile Nonfiction",RIGHT(B162,LEN(B162)-2),
IF(D162="Teen Nonfiction",RIGHT(B162,LEN(B162)-5),
IF(AND(D162="Audiobook",
              NOT(OR(Contains($B162,"CD BIO"),Contains($B162,"CD FIC")))),RIGHT(B162,LEN(B162)-3),
IF(D162="Juvenile Biography",RIGHT(B162,LEN(B162)-2),
IF(D162="Teen Biography",RIGHT(B162,LEN(B162)-5),
IF(AND(D162="Audiobook",
              IFERROR(FIND("BIO",$B162)&gt;0,FALSE)),RIGHT(B162,LEN(B162)-3),
IF(D162="Juvenile Large Type","J "&amp;RIGHT(B162,LEN(B162)-11),
IF(D162="Teen Large Type","TEEN "&amp;RIGHT(B162,LEN(B162)-14),
IF(D162="Reference",RIGHT(B162,LEN(B162)-4),
IF(D162="DVD Educational",RIGHT(B162,LEN(B162)-7),
IF(D162="Juvenile DVD Educational",RIGHT(B162,LEN(B162)-9),
B162)))))))))))))))))</f>
        <v/>
      </c>
      <c r="N162" s="11" t="str">
        <f ca="1">IF(IFERROR(FIND("New",$A162)&gt;0,FALSE),"New ","") &amp; IF(IFERROR(FIND("In Lib",$A162)&gt;0,FALSE),"Reference ","") &amp;
IF(AND(D162="Audiobook",LEFT(B162,6)="CD BIO"),"Biography",
IF(AND(D162="Teen Audiobook",LEFT(B162,11)="TEEN CD BIO"),"Biography",
IF(AND(D162="Juvenile Audiobook",LEFT(B162,8)="J CD BIO"),"Biography",
IF(AND(D162="Audiobook",LEFT(B162,6)="CD FIC"),"Audiobook Fiction",
IF(AND(D162="Teen Audiobook",LEFT(B162,11)="TEEN CD FIC"),"Teen Audiobook",
IF(AND(D162="Juvenile Audiobook",LEFT(B162,8)="J CD FIC"),"Juvenile Audiobook",
IF(D162="Audiobook","Nonfiction",
IF(D162="Juvenile Audiobook","Nonfiction",
IF(D162="Teen Audiobook","Nonfiction",
IF(D162="Juvenile Nonfiction","Nonfiction",
IF(D162="Teen Nonfiction","Nonfiction",
IF(D162="Juvenile Biography","Biography",
IF(D162="Teen Biography","Biography",
IF(D162="ESL","Nonfiction",
IF(LEFT(B162,11)="INTL-VIE J ","International Juvenile",IF(LEFT(B162,11)="INTL-TAG J ","International Juvenile",IF(LEFT(B162,11)="INTL-RUS J ","International Juvenile",IF(LEFT(B162,11)="INTL-KOR J ","International Juvenile",IF(LEFT(B162,11)="INTL-JAP J ","International Juvenile",IF(LEFT(B162,11)="INTL-CHI J ","International Juvenile",IF(LEFT(B162,11)="INTL-SPA J ","International Juvenile",IF(LEFT(B162,14)="INTL-VIE TEEN ","International Teen",IF(LEFT(B162,14)="INTL-TAG TEEN ","International Teen",IF(LEFT(B162,14)="INTL-RUS TEEN ","International Teen",IF(LEFT(B162,14)="INTL-KOR TEEN ","International Teen",IF(LEFT(B162,14)="INTL-JAP TEEN ","International Teen",IF(LEFT(B162,14)="INTL-CHI TEEN ","International Teen",IF(LEFT(B162,14)="INTL-SPA TEEN ","International Teen",IF(LEFT(B162,11)="INTL-VIE E ","International Easy",IF(LEFT(B162,11)="INTL-TAG E ","International Easy",IF(LEFT(B162,11)="INTL-RUS E ","International Easy",IF(LEFT(B162,11)="INTL-JAP E ","International Easy",IF(LEFT(B162,11)="INTL-KOR E ","International Easy",IF(LEFT(B162,11)="INTL-CHI E ","International Easy",IF(LEFT(B162,11)="INTL-SPA E ","International Easy",
IF(D162="Teen Large Type","Teen Fiction",
IF(D162="Juvenile Large Type","Juvenile Fiction",
IF(LEFT(B162,6)="J CD O","Juvenile Compact Disc",
IF(AND(LEFT(B162,4)="TEEN",D162="Fiction"),"Teen Fiction",
IF(D162="DVD Educational","Nonfiction",
IF(D162="Juvenile DVD Educational","Nonfiction",
IF(D162="Reference","Nonfiction",
D162))))))))))))))))))))))))))))))))))))))))))</f>
        <v/>
      </c>
    </row>
    <row r="163" spans="1:14" ht="27" customHeight="1" x14ac:dyDescent="0.25">
      <c r="A163" s="10" t="str">
        <f ca="1">TEXT( INDIRECT( ADDRESS( ROW() + Row_Offset, INDIRECT( "Column_Number_" &amp; A$1), 4,1, tabname) ), "")</f>
        <v/>
      </c>
      <c r="B163" s="10" t="str">
        <f ca="1">TEXT(  IFERROR( VLOOKUP( $D163, CollName_Simplifier_Table[], 2, FALSE),"") &amp;
        INDIRECT( ADDRESS( ROW() + Row_Offset, INDIRECT( "Column_Number_" &amp; $B$1), 4,1, tabname) ), "")</f>
        <v/>
      </c>
      <c r="C163" s="10" t="str">
        <f ca="1">TEXT( INDIRECT( ADDRESS( ROW() + Row_Offset, INDIRECT( "Column_Number_" &amp; C$1), 4,1, tabname) ), "")</f>
        <v/>
      </c>
      <c r="D163" s="10" t="str">
        <f ca="1">TEXT( INDIRECT( ADDRESS( ROW() + Row_Offset, INDIRECT( "Column_Number_" &amp; D$1), 4,1, tabname) ), "")</f>
        <v/>
      </c>
      <c r="E163" s="10" t="str">
        <f ca="1">TEXT( INDIRECT( ADDRESS( ROW() + Row_Offset, INDIRECT( "Column_Number_" &amp; E$1), 4,1, tabname) ), "####")</f>
        <v/>
      </c>
      <c r="F163" s="15"/>
      <c r="G163" s="22" t="str">
        <f ca="1">IFERROR(INDEX(Rank_Table[],MATCH($D163&amp;$A163,Table4[Join],0)),"")</f>
        <v/>
      </c>
      <c r="H163" s="11" t="str">
        <f ca="1">IF(AND(D163="Juvenile Audiobook",LEFT(B163,8)="J CD BIO"),RIGHT(B163,LEN(B163)-9),
IF(AND(D163="Juvenile Audiobook",LEFT(B163,8)="J CD FIC"),B163,
IF(D163="Juvenile Audiobook",RIGHT(B163,LEN(B163)-5),
IF(AND(D163="Teen Audiobook",LEFT(B163,11)="TEEN CD BIO"),RIGHT(B163,LEN(B163)-12),
IF(AND(D163="Teen Audiobook",LEFT(B163,11)="TEEN CD FIC"),B163,
IF(D163="Juvenile Audiobook",RIGHT(B163,LEN(B163)-8),
IF(D163="Juvenile Nonfiction",RIGHT(B163,LEN(B163)-2),
IF(D163="Teen Nonfiction",RIGHT(B163,LEN(B163)-5),
IF(AND(D163="Audiobook",
              NOT(OR(Contains($B163,"CD BIO"),Contains($B163,"CD FIC")))),RIGHT(B163,LEN(B163)-3),
IF(D163="Juvenile Biography",RIGHT(B163,LEN(B163)-2),
IF(D163="Teen Biography",RIGHT(B163,LEN(B163)-5),
IF(AND(D163="Audiobook",
              IFERROR(FIND("BIO",$B163)&gt;0,FALSE)),RIGHT(B163,LEN(B163)-3),
IF(D163="Juvenile Large Type","J "&amp;RIGHT(B163,LEN(B163)-11),
IF(D163="Teen Large Type","TEEN "&amp;RIGHT(B163,LEN(B163)-14),
IF(D163="Reference",RIGHT(B163,LEN(B163)-4),
IF(D163="DVD Educational",RIGHT(B163,LEN(B163)-7),
IF(D163="Juvenile DVD Educational",RIGHT(B163,LEN(B163)-9),
B163)))))))))))))))))</f>
        <v/>
      </c>
      <c r="N163" s="11" t="str">
        <f ca="1">IF(IFERROR(FIND("New",$A163)&gt;0,FALSE),"New ","") &amp; IF(IFERROR(FIND("In Lib",$A163)&gt;0,FALSE),"Reference ","") &amp;
IF(AND(D163="Audiobook",LEFT(B163,6)="CD BIO"),"Biography",
IF(AND(D163="Teen Audiobook",LEFT(B163,11)="TEEN CD BIO"),"Biography",
IF(AND(D163="Juvenile Audiobook",LEFT(B163,8)="J CD BIO"),"Biography",
IF(AND(D163="Audiobook",LEFT(B163,6)="CD FIC"),"Audiobook Fiction",
IF(AND(D163="Teen Audiobook",LEFT(B163,11)="TEEN CD FIC"),"Teen Audiobook",
IF(AND(D163="Juvenile Audiobook",LEFT(B163,8)="J CD FIC"),"Juvenile Audiobook",
IF(D163="Audiobook","Nonfiction",
IF(D163="Juvenile Audiobook","Nonfiction",
IF(D163="Teen Audiobook","Nonfiction",
IF(D163="Juvenile Nonfiction","Nonfiction",
IF(D163="Teen Nonfiction","Nonfiction",
IF(D163="Juvenile Biography","Biography",
IF(D163="Teen Biography","Biography",
IF(D163="ESL","Nonfiction",
IF(LEFT(B163,11)="INTL-VIE J ","International Juvenile",IF(LEFT(B163,11)="INTL-TAG J ","International Juvenile",IF(LEFT(B163,11)="INTL-RUS J ","International Juvenile",IF(LEFT(B163,11)="INTL-KOR J ","International Juvenile",IF(LEFT(B163,11)="INTL-JAP J ","International Juvenile",IF(LEFT(B163,11)="INTL-CHI J ","International Juvenile",IF(LEFT(B163,11)="INTL-SPA J ","International Juvenile",IF(LEFT(B163,14)="INTL-VIE TEEN ","International Teen",IF(LEFT(B163,14)="INTL-TAG TEEN ","International Teen",IF(LEFT(B163,14)="INTL-RUS TEEN ","International Teen",IF(LEFT(B163,14)="INTL-KOR TEEN ","International Teen",IF(LEFT(B163,14)="INTL-JAP TEEN ","International Teen",IF(LEFT(B163,14)="INTL-CHI TEEN ","International Teen",IF(LEFT(B163,14)="INTL-SPA TEEN ","International Teen",IF(LEFT(B163,11)="INTL-VIE E ","International Easy",IF(LEFT(B163,11)="INTL-TAG E ","International Easy",IF(LEFT(B163,11)="INTL-RUS E ","International Easy",IF(LEFT(B163,11)="INTL-JAP E ","International Easy",IF(LEFT(B163,11)="INTL-KOR E ","International Easy",IF(LEFT(B163,11)="INTL-CHI E ","International Easy",IF(LEFT(B163,11)="INTL-SPA E ","International Easy",
IF(D163="Teen Large Type","Teen Fiction",
IF(D163="Juvenile Large Type","Juvenile Fiction",
IF(LEFT(B163,6)="J CD O","Juvenile Compact Disc",
IF(AND(LEFT(B163,4)="TEEN",D163="Fiction"),"Teen Fiction",
IF(D163="DVD Educational","Nonfiction",
IF(D163="Juvenile DVD Educational","Nonfiction",
IF(D163="Reference","Nonfiction",
D163))))))))))))))))))))))))))))))))))))))))))</f>
        <v/>
      </c>
    </row>
    <row r="164" spans="1:14" ht="27" customHeight="1" x14ac:dyDescent="0.25">
      <c r="A164" s="10" t="str">
        <f ca="1">TEXT( INDIRECT( ADDRESS( ROW() + Row_Offset, INDIRECT( "Column_Number_" &amp; A$1), 4,1, tabname) ), "")</f>
        <v/>
      </c>
      <c r="B164" s="10" t="str">
        <f ca="1">TEXT(  IFERROR( VLOOKUP( $D164, CollName_Simplifier_Table[], 2, FALSE),"") &amp;
        INDIRECT( ADDRESS( ROW() + Row_Offset, INDIRECT( "Column_Number_" &amp; $B$1), 4,1, tabname) ), "")</f>
        <v/>
      </c>
      <c r="C164" s="10" t="str">
        <f ca="1">TEXT( INDIRECT( ADDRESS( ROW() + Row_Offset, INDIRECT( "Column_Number_" &amp; C$1), 4,1, tabname) ), "")</f>
        <v/>
      </c>
      <c r="D164" s="10" t="str">
        <f ca="1">TEXT( INDIRECT( ADDRESS( ROW() + Row_Offset, INDIRECT( "Column_Number_" &amp; D$1), 4,1, tabname) ), "")</f>
        <v/>
      </c>
      <c r="E164" s="10" t="str">
        <f ca="1">TEXT( INDIRECT( ADDRESS( ROW() + Row_Offset, INDIRECT( "Column_Number_" &amp; E$1), 4,1, tabname) ), "####")</f>
        <v/>
      </c>
      <c r="F164" s="15"/>
      <c r="G164" s="22" t="str">
        <f ca="1">IFERROR(INDEX(Rank_Table[],MATCH($D164&amp;$A164,Table4[Join],0)),"")</f>
        <v/>
      </c>
      <c r="H164" s="11" t="str">
        <f ca="1">IF(AND(D164="Juvenile Audiobook",LEFT(B164,8)="J CD BIO"),RIGHT(B164,LEN(B164)-9),
IF(AND(D164="Juvenile Audiobook",LEFT(B164,8)="J CD FIC"),B164,
IF(D164="Juvenile Audiobook",RIGHT(B164,LEN(B164)-5),
IF(AND(D164="Teen Audiobook",LEFT(B164,11)="TEEN CD BIO"),RIGHT(B164,LEN(B164)-12),
IF(AND(D164="Teen Audiobook",LEFT(B164,11)="TEEN CD FIC"),B164,
IF(D164="Juvenile Audiobook",RIGHT(B164,LEN(B164)-8),
IF(D164="Juvenile Nonfiction",RIGHT(B164,LEN(B164)-2),
IF(D164="Teen Nonfiction",RIGHT(B164,LEN(B164)-5),
IF(AND(D164="Audiobook",
              NOT(OR(Contains($B164,"CD BIO"),Contains($B164,"CD FIC")))),RIGHT(B164,LEN(B164)-3),
IF(D164="Juvenile Biography",RIGHT(B164,LEN(B164)-2),
IF(D164="Teen Biography",RIGHT(B164,LEN(B164)-5),
IF(AND(D164="Audiobook",
              IFERROR(FIND("BIO",$B164)&gt;0,FALSE)),RIGHT(B164,LEN(B164)-3),
IF(D164="Juvenile Large Type","J "&amp;RIGHT(B164,LEN(B164)-11),
IF(D164="Teen Large Type","TEEN "&amp;RIGHT(B164,LEN(B164)-14),
IF(D164="Reference",RIGHT(B164,LEN(B164)-4),
IF(D164="DVD Educational",RIGHT(B164,LEN(B164)-7),
IF(D164="Juvenile DVD Educational",RIGHT(B164,LEN(B164)-9),
B164)))))))))))))))))</f>
        <v/>
      </c>
      <c r="N164" s="11" t="str">
        <f ca="1">IF(IFERROR(FIND("New",$A164)&gt;0,FALSE),"New ","") &amp; IF(IFERROR(FIND("In Lib",$A164)&gt;0,FALSE),"Reference ","") &amp;
IF(AND(D164="Audiobook",LEFT(B164,6)="CD BIO"),"Biography",
IF(AND(D164="Teen Audiobook",LEFT(B164,11)="TEEN CD BIO"),"Biography",
IF(AND(D164="Juvenile Audiobook",LEFT(B164,8)="J CD BIO"),"Biography",
IF(AND(D164="Audiobook",LEFT(B164,6)="CD FIC"),"Audiobook Fiction",
IF(AND(D164="Teen Audiobook",LEFT(B164,11)="TEEN CD FIC"),"Teen Audiobook",
IF(AND(D164="Juvenile Audiobook",LEFT(B164,8)="J CD FIC"),"Juvenile Audiobook",
IF(D164="Audiobook","Nonfiction",
IF(D164="Juvenile Audiobook","Nonfiction",
IF(D164="Teen Audiobook","Nonfiction",
IF(D164="Juvenile Nonfiction","Nonfiction",
IF(D164="Teen Nonfiction","Nonfiction",
IF(D164="Juvenile Biography","Biography",
IF(D164="Teen Biography","Biography",
IF(D164="ESL","Nonfiction",
IF(LEFT(B164,11)="INTL-VIE J ","International Juvenile",IF(LEFT(B164,11)="INTL-TAG J ","International Juvenile",IF(LEFT(B164,11)="INTL-RUS J ","International Juvenile",IF(LEFT(B164,11)="INTL-KOR J ","International Juvenile",IF(LEFT(B164,11)="INTL-JAP J ","International Juvenile",IF(LEFT(B164,11)="INTL-CHI J ","International Juvenile",IF(LEFT(B164,11)="INTL-SPA J ","International Juvenile",IF(LEFT(B164,14)="INTL-VIE TEEN ","International Teen",IF(LEFT(B164,14)="INTL-TAG TEEN ","International Teen",IF(LEFT(B164,14)="INTL-RUS TEEN ","International Teen",IF(LEFT(B164,14)="INTL-KOR TEEN ","International Teen",IF(LEFT(B164,14)="INTL-JAP TEEN ","International Teen",IF(LEFT(B164,14)="INTL-CHI TEEN ","International Teen",IF(LEFT(B164,14)="INTL-SPA TEEN ","International Teen",IF(LEFT(B164,11)="INTL-VIE E ","International Easy",IF(LEFT(B164,11)="INTL-TAG E ","International Easy",IF(LEFT(B164,11)="INTL-RUS E ","International Easy",IF(LEFT(B164,11)="INTL-JAP E ","International Easy",IF(LEFT(B164,11)="INTL-KOR E ","International Easy",IF(LEFT(B164,11)="INTL-CHI E ","International Easy",IF(LEFT(B164,11)="INTL-SPA E ","International Easy",
IF(D164="Teen Large Type","Teen Fiction",
IF(D164="Juvenile Large Type","Juvenile Fiction",
IF(LEFT(B164,6)="J CD O","Juvenile Compact Disc",
IF(AND(LEFT(B164,4)="TEEN",D164="Fiction"),"Teen Fiction",
IF(D164="DVD Educational","Nonfiction",
IF(D164="Juvenile DVD Educational","Nonfiction",
IF(D164="Reference","Nonfiction",
D164))))))))))))))))))))))))))))))))))))))))))</f>
        <v/>
      </c>
    </row>
    <row r="165" spans="1:14" ht="27" customHeight="1" x14ac:dyDescent="0.25">
      <c r="A165" s="10" t="str">
        <f ca="1">TEXT( INDIRECT( ADDRESS( ROW() + Row_Offset, INDIRECT( "Column_Number_" &amp; A$1), 4,1, tabname) ), "")</f>
        <v/>
      </c>
      <c r="B165" s="10" t="str">
        <f ca="1">TEXT(  IFERROR( VLOOKUP( $D165, CollName_Simplifier_Table[], 2, FALSE),"") &amp;
        INDIRECT( ADDRESS( ROW() + Row_Offset, INDIRECT( "Column_Number_" &amp; $B$1), 4,1, tabname) ), "")</f>
        <v/>
      </c>
      <c r="C165" s="10" t="str">
        <f ca="1">TEXT( INDIRECT( ADDRESS( ROW() + Row_Offset, INDIRECT( "Column_Number_" &amp; C$1), 4,1, tabname) ), "")</f>
        <v/>
      </c>
      <c r="D165" s="10" t="str">
        <f ca="1">TEXT( INDIRECT( ADDRESS( ROW() + Row_Offset, INDIRECT( "Column_Number_" &amp; D$1), 4,1, tabname) ), "")</f>
        <v/>
      </c>
      <c r="E165" s="10" t="str">
        <f ca="1">TEXT( INDIRECT( ADDRESS( ROW() + Row_Offset, INDIRECT( "Column_Number_" &amp; E$1), 4,1, tabname) ), "####")</f>
        <v/>
      </c>
      <c r="F165" s="15"/>
      <c r="G165" s="22" t="str">
        <f ca="1">IFERROR(INDEX(Rank_Table[],MATCH($D165&amp;$A165,Table4[Join],0)),"")</f>
        <v/>
      </c>
      <c r="H165" s="11" t="str">
        <f ca="1">IF(AND(D165="Juvenile Audiobook",LEFT(B165,8)="J CD BIO"),RIGHT(B165,LEN(B165)-9),
IF(AND(D165="Juvenile Audiobook",LEFT(B165,8)="J CD FIC"),B165,
IF(D165="Juvenile Audiobook",RIGHT(B165,LEN(B165)-5),
IF(AND(D165="Teen Audiobook",LEFT(B165,11)="TEEN CD BIO"),RIGHT(B165,LEN(B165)-12),
IF(AND(D165="Teen Audiobook",LEFT(B165,11)="TEEN CD FIC"),B165,
IF(D165="Juvenile Audiobook",RIGHT(B165,LEN(B165)-8),
IF(D165="Juvenile Nonfiction",RIGHT(B165,LEN(B165)-2),
IF(D165="Teen Nonfiction",RIGHT(B165,LEN(B165)-5),
IF(AND(D165="Audiobook",
              NOT(OR(Contains($B165,"CD BIO"),Contains($B165,"CD FIC")))),RIGHT(B165,LEN(B165)-3),
IF(D165="Juvenile Biography",RIGHT(B165,LEN(B165)-2),
IF(D165="Teen Biography",RIGHT(B165,LEN(B165)-5),
IF(AND(D165="Audiobook",
              IFERROR(FIND("BIO",$B165)&gt;0,FALSE)),RIGHT(B165,LEN(B165)-3),
IF(D165="Juvenile Large Type","J "&amp;RIGHT(B165,LEN(B165)-11),
IF(D165="Teen Large Type","TEEN "&amp;RIGHT(B165,LEN(B165)-14),
IF(D165="Reference",RIGHT(B165,LEN(B165)-4),
IF(D165="DVD Educational",RIGHT(B165,LEN(B165)-7),
IF(D165="Juvenile DVD Educational",RIGHT(B165,LEN(B165)-9),
B165)))))))))))))))))</f>
        <v/>
      </c>
      <c r="N165" s="11" t="str">
        <f ca="1">IF(IFERROR(FIND("New",$A165)&gt;0,FALSE),"New ","") &amp; IF(IFERROR(FIND("In Lib",$A165)&gt;0,FALSE),"Reference ","") &amp;
IF(AND(D165="Audiobook",LEFT(B165,6)="CD BIO"),"Biography",
IF(AND(D165="Teen Audiobook",LEFT(B165,11)="TEEN CD BIO"),"Biography",
IF(AND(D165="Juvenile Audiobook",LEFT(B165,8)="J CD BIO"),"Biography",
IF(AND(D165="Audiobook",LEFT(B165,6)="CD FIC"),"Audiobook Fiction",
IF(AND(D165="Teen Audiobook",LEFT(B165,11)="TEEN CD FIC"),"Teen Audiobook",
IF(AND(D165="Juvenile Audiobook",LEFT(B165,8)="J CD FIC"),"Juvenile Audiobook",
IF(D165="Audiobook","Nonfiction",
IF(D165="Juvenile Audiobook","Nonfiction",
IF(D165="Teen Audiobook","Nonfiction",
IF(D165="Juvenile Nonfiction","Nonfiction",
IF(D165="Teen Nonfiction","Nonfiction",
IF(D165="Juvenile Biography","Biography",
IF(D165="Teen Biography","Biography",
IF(D165="ESL","Nonfiction",
IF(LEFT(B165,11)="INTL-VIE J ","International Juvenile",IF(LEFT(B165,11)="INTL-TAG J ","International Juvenile",IF(LEFT(B165,11)="INTL-RUS J ","International Juvenile",IF(LEFT(B165,11)="INTL-KOR J ","International Juvenile",IF(LEFT(B165,11)="INTL-JAP J ","International Juvenile",IF(LEFT(B165,11)="INTL-CHI J ","International Juvenile",IF(LEFT(B165,11)="INTL-SPA J ","International Juvenile",IF(LEFT(B165,14)="INTL-VIE TEEN ","International Teen",IF(LEFT(B165,14)="INTL-TAG TEEN ","International Teen",IF(LEFT(B165,14)="INTL-RUS TEEN ","International Teen",IF(LEFT(B165,14)="INTL-KOR TEEN ","International Teen",IF(LEFT(B165,14)="INTL-JAP TEEN ","International Teen",IF(LEFT(B165,14)="INTL-CHI TEEN ","International Teen",IF(LEFT(B165,14)="INTL-SPA TEEN ","International Teen",IF(LEFT(B165,11)="INTL-VIE E ","International Easy",IF(LEFT(B165,11)="INTL-TAG E ","International Easy",IF(LEFT(B165,11)="INTL-RUS E ","International Easy",IF(LEFT(B165,11)="INTL-JAP E ","International Easy",IF(LEFT(B165,11)="INTL-KOR E ","International Easy",IF(LEFT(B165,11)="INTL-CHI E ","International Easy",IF(LEFT(B165,11)="INTL-SPA E ","International Easy",
IF(D165="Teen Large Type","Teen Fiction",
IF(D165="Juvenile Large Type","Juvenile Fiction",
IF(LEFT(B165,6)="J CD O","Juvenile Compact Disc",
IF(AND(LEFT(B165,4)="TEEN",D165="Fiction"),"Teen Fiction",
IF(D165="DVD Educational","Nonfiction",
IF(D165="Juvenile DVD Educational","Nonfiction",
IF(D165="Reference","Nonfiction",
D165))))))))))))))))))))))))))))))))))))))))))</f>
        <v/>
      </c>
    </row>
    <row r="166" spans="1:14" ht="27" customHeight="1" x14ac:dyDescent="0.25">
      <c r="A166" s="10" t="str">
        <f ca="1">TEXT( INDIRECT( ADDRESS( ROW() + Row_Offset, INDIRECT( "Column_Number_" &amp; A$1), 4,1, tabname) ), "")</f>
        <v/>
      </c>
      <c r="B166" s="10" t="str">
        <f ca="1">TEXT(  IFERROR( VLOOKUP( $D166, CollName_Simplifier_Table[], 2, FALSE),"") &amp;
        INDIRECT( ADDRESS( ROW() + Row_Offset, INDIRECT( "Column_Number_" &amp; $B$1), 4,1, tabname) ), "")</f>
        <v/>
      </c>
      <c r="C166" s="10" t="str">
        <f ca="1">TEXT( INDIRECT( ADDRESS( ROW() + Row_Offset, INDIRECT( "Column_Number_" &amp; C$1), 4,1, tabname) ), "")</f>
        <v/>
      </c>
      <c r="D166" s="10" t="str">
        <f ca="1">TEXT( INDIRECT( ADDRESS( ROW() + Row_Offset, INDIRECT( "Column_Number_" &amp; D$1), 4,1, tabname) ), "")</f>
        <v/>
      </c>
      <c r="E166" s="10" t="str">
        <f ca="1">TEXT( INDIRECT( ADDRESS( ROW() + Row_Offset, INDIRECT( "Column_Number_" &amp; E$1), 4,1, tabname) ), "####")</f>
        <v/>
      </c>
      <c r="F166" s="15"/>
      <c r="G166" s="22" t="str">
        <f ca="1">IFERROR(INDEX(Rank_Table[],MATCH($D166&amp;$A166,Table4[Join],0)),"")</f>
        <v/>
      </c>
      <c r="H166" s="11" t="str">
        <f ca="1">IF(AND(D166="Juvenile Audiobook",LEFT(B166,8)="J CD BIO"),RIGHT(B166,LEN(B166)-9),
IF(AND(D166="Juvenile Audiobook",LEFT(B166,8)="J CD FIC"),B166,
IF(D166="Juvenile Audiobook",RIGHT(B166,LEN(B166)-5),
IF(AND(D166="Teen Audiobook",LEFT(B166,11)="TEEN CD BIO"),RIGHT(B166,LEN(B166)-12),
IF(AND(D166="Teen Audiobook",LEFT(B166,11)="TEEN CD FIC"),B166,
IF(D166="Juvenile Audiobook",RIGHT(B166,LEN(B166)-8),
IF(D166="Juvenile Nonfiction",RIGHT(B166,LEN(B166)-2),
IF(D166="Teen Nonfiction",RIGHT(B166,LEN(B166)-5),
IF(AND(D166="Audiobook",
              NOT(OR(Contains($B166,"CD BIO"),Contains($B166,"CD FIC")))),RIGHT(B166,LEN(B166)-3),
IF(D166="Juvenile Biography",RIGHT(B166,LEN(B166)-2),
IF(D166="Teen Biography",RIGHT(B166,LEN(B166)-5),
IF(AND(D166="Audiobook",
              IFERROR(FIND("BIO",$B166)&gt;0,FALSE)),RIGHT(B166,LEN(B166)-3),
IF(D166="Juvenile Large Type","J "&amp;RIGHT(B166,LEN(B166)-11),
IF(D166="Teen Large Type","TEEN "&amp;RIGHT(B166,LEN(B166)-14),
IF(D166="Reference",RIGHT(B166,LEN(B166)-4),
IF(D166="DVD Educational",RIGHT(B166,LEN(B166)-7),
IF(D166="Juvenile DVD Educational",RIGHT(B166,LEN(B166)-9),
B166)))))))))))))))))</f>
        <v/>
      </c>
      <c r="N166" s="11" t="str">
        <f ca="1">IF(IFERROR(FIND("New",$A166)&gt;0,FALSE),"New ","") &amp; IF(IFERROR(FIND("In Lib",$A166)&gt;0,FALSE),"Reference ","") &amp;
IF(AND(D166="Audiobook",LEFT(B166,6)="CD BIO"),"Biography",
IF(AND(D166="Teen Audiobook",LEFT(B166,11)="TEEN CD BIO"),"Biography",
IF(AND(D166="Juvenile Audiobook",LEFT(B166,8)="J CD BIO"),"Biography",
IF(AND(D166="Audiobook",LEFT(B166,6)="CD FIC"),"Audiobook Fiction",
IF(AND(D166="Teen Audiobook",LEFT(B166,11)="TEEN CD FIC"),"Teen Audiobook",
IF(AND(D166="Juvenile Audiobook",LEFT(B166,8)="J CD FIC"),"Juvenile Audiobook",
IF(D166="Audiobook","Nonfiction",
IF(D166="Juvenile Audiobook","Nonfiction",
IF(D166="Teen Audiobook","Nonfiction",
IF(D166="Juvenile Nonfiction","Nonfiction",
IF(D166="Teen Nonfiction","Nonfiction",
IF(D166="Juvenile Biography","Biography",
IF(D166="Teen Biography","Biography",
IF(D166="ESL","Nonfiction",
IF(LEFT(B166,11)="INTL-VIE J ","International Juvenile",IF(LEFT(B166,11)="INTL-TAG J ","International Juvenile",IF(LEFT(B166,11)="INTL-RUS J ","International Juvenile",IF(LEFT(B166,11)="INTL-KOR J ","International Juvenile",IF(LEFT(B166,11)="INTL-JAP J ","International Juvenile",IF(LEFT(B166,11)="INTL-CHI J ","International Juvenile",IF(LEFT(B166,11)="INTL-SPA J ","International Juvenile",IF(LEFT(B166,14)="INTL-VIE TEEN ","International Teen",IF(LEFT(B166,14)="INTL-TAG TEEN ","International Teen",IF(LEFT(B166,14)="INTL-RUS TEEN ","International Teen",IF(LEFT(B166,14)="INTL-KOR TEEN ","International Teen",IF(LEFT(B166,14)="INTL-JAP TEEN ","International Teen",IF(LEFT(B166,14)="INTL-CHI TEEN ","International Teen",IF(LEFT(B166,14)="INTL-SPA TEEN ","International Teen",IF(LEFT(B166,11)="INTL-VIE E ","International Easy",IF(LEFT(B166,11)="INTL-TAG E ","International Easy",IF(LEFT(B166,11)="INTL-RUS E ","International Easy",IF(LEFT(B166,11)="INTL-JAP E ","International Easy",IF(LEFT(B166,11)="INTL-KOR E ","International Easy",IF(LEFT(B166,11)="INTL-CHI E ","International Easy",IF(LEFT(B166,11)="INTL-SPA E ","International Easy",
IF(D166="Teen Large Type","Teen Fiction",
IF(D166="Juvenile Large Type","Juvenile Fiction",
IF(LEFT(B166,6)="J CD O","Juvenile Compact Disc",
IF(AND(LEFT(B166,4)="TEEN",D166="Fiction"),"Teen Fiction",
IF(D166="DVD Educational","Nonfiction",
IF(D166="Juvenile DVD Educational","Nonfiction",
IF(D166="Reference","Nonfiction",
D166))))))))))))))))))))))))))))))))))))))))))</f>
        <v/>
      </c>
    </row>
    <row r="167" spans="1:14" ht="27" customHeight="1" x14ac:dyDescent="0.25">
      <c r="A167" s="10" t="str">
        <f ca="1">TEXT( INDIRECT( ADDRESS( ROW() + Row_Offset, INDIRECT( "Column_Number_" &amp; A$1), 4,1, tabname) ), "")</f>
        <v/>
      </c>
      <c r="B167" s="10" t="str">
        <f ca="1">TEXT(  IFERROR( VLOOKUP( $D167, CollName_Simplifier_Table[], 2, FALSE),"") &amp;
        INDIRECT( ADDRESS( ROW() + Row_Offset, INDIRECT( "Column_Number_" &amp; $B$1), 4,1, tabname) ), "")</f>
        <v/>
      </c>
      <c r="C167" s="10" t="str">
        <f ca="1">TEXT( INDIRECT( ADDRESS( ROW() + Row_Offset, INDIRECT( "Column_Number_" &amp; C$1), 4,1, tabname) ), "")</f>
        <v/>
      </c>
      <c r="D167" s="10" t="str">
        <f ca="1">TEXT( INDIRECT( ADDRESS( ROW() + Row_Offset, INDIRECT( "Column_Number_" &amp; D$1), 4,1, tabname) ), "")</f>
        <v/>
      </c>
      <c r="E167" s="10" t="str">
        <f ca="1">TEXT( INDIRECT( ADDRESS( ROW() + Row_Offset, INDIRECT( "Column_Number_" &amp; E$1), 4,1, tabname) ), "####")</f>
        <v/>
      </c>
      <c r="F167" s="15"/>
      <c r="G167" s="22" t="str">
        <f ca="1">IFERROR(INDEX(Rank_Table[],MATCH($D167&amp;$A167,Table4[Join],0)),"")</f>
        <v/>
      </c>
      <c r="H167" s="11" t="str">
        <f ca="1">IF(AND(D167="Juvenile Audiobook",LEFT(B167,8)="J CD BIO"),RIGHT(B167,LEN(B167)-9),
IF(AND(D167="Juvenile Audiobook",LEFT(B167,8)="J CD FIC"),B167,
IF(D167="Juvenile Audiobook",RIGHT(B167,LEN(B167)-5),
IF(AND(D167="Teen Audiobook",LEFT(B167,11)="TEEN CD BIO"),RIGHT(B167,LEN(B167)-12),
IF(AND(D167="Teen Audiobook",LEFT(B167,11)="TEEN CD FIC"),B167,
IF(D167="Juvenile Audiobook",RIGHT(B167,LEN(B167)-8),
IF(D167="Juvenile Nonfiction",RIGHT(B167,LEN(B167)-2),
IF(D167="Teen Nonfiction",RIGHT(B167,LEN(B167)-5),
IF(AND(D167="Audiobook",
              NOT(OR(Contains($B167,"CD BIO"),Contains($B167,"CD FIC")))),RIGHT(B167,LEN(B167)-3),
IF(D167="Juvenile Biography",RIGHT(B167,LEN(B167)-2),
IF(D167="Teen Biography",RIGHT(B167,LEN(B167)-5),
IF(AND(D167="Audiobook",
              IFERROR(FIND("BIO",$B167)&gt;0,FALSE)),RIGHT(B167,LEN(B167)-3),
IF(D167="Juvenile Large Type","J "&amp;RIGHT(B167,LEN(B167)-11),
IF(D167="Teen Large Type","TEEN "&amp;RIGHT(B167,LEN(B167)-14),
IF(D167="Reference",RIGHT(B167,LEN(B167)-4),
IF(D167="DVD Educational",RIGHT(B167,LEN(B167)-7),
IF(D167="Juvenile DVD Educational",RIGHT(B167,LEN(B167)-9),
B167)))))))))))))))))</f>
        <v/>
      </c>
      <c r="N167" s="11" t="str">
        <f ca="1">IF(IFERROR(FIND("New",$A167)&gt;0,FALSE),"New ","") &amp; IF(IFERROR(FIND("In Lib",$A167)&gt;0,FALSE),"Reference ","") &amp;
IF(AND(D167="Audiobook",LEFT(B167,6)="CD BIO"),"Biography",
IF(AND(D167="Teen Audiobook",LEFT(B167,11)="TEEN CD BIO"),"Biography",
IF(AND(D167="Juvenile Audiobook",LEFT(B167,8)="J CD BIO"),"Biography",
IF(AND(D167="Audiobook",LEFT(B167,6)="CD FIC"),"Audiobook Fiction",
IF(AND(D167="Teen Audiobook",LEFT(B167,11)="TEEN CD FIC"),"Teen Audiobook",
IF(AND(D167="Juvenile Audiobook",LEFT(B167,8)="J CD FIC"),"Juvenile Audiobook",
IF(D167="Audiobook","Nonfiction",
IF(D167="Juvenile Audiobook","Nonfiction",
IF(D167="Teen Audiobook","Nonfiction",
IF(D167="Juvenile Nonfiction","Nonfiction",
IF(D167="Teen Nonfiction","Nonfiction",
IF(D167="Juvenile Biography","Biography",
IF(D167="Teen Biography","Biography",
IF(D167="ESL","Nonfiction",
IF(LEFT(B167,11)="INTL-VIE J ","International Juvenile",IF(LEFT(B167,11)="INTL-TAG J ","International Juvenile",IF(LEFT(B167,11)="INTL-RUS J ","International Juvenile",IF(LEFT(B167,11)="INTL-KOR J ","International Juvenile",IF(LEFT(B167,11)="INTL-JAP J ","International Juvenile",IF(LEFT(B167,11)="INTL-CHI J ","International Juvenile",IF(LEFT(B167,11)="INTL-SPA J ","International Juvenile",IF(LEFT(B167,14)="INTL-VIE TEEN ","International Teen",IF(LEFT(B167,14)="INTL-TAG TEEN ","International Teen",IF(LEFT(B167,14)="INTL-RUS TEEN ","International Teen",IF(LEFT(B167,14)="INTL-KOR TEEN ","International Teen",IF(LEFT(B167,14)="INTL-JAP TEEN ","International Teen",IF(LEFT(B167,14)="INTL-CHI TEEN ","International Teen",IF(LEFT(B167,14)="INTL-SPA TEEN ","International Teen",IF(LEFT(B167,11)="INTL-VIE E ","International Easy",IF(LEFT(B167,11)="INTL-TAG E ","International Easy",IF(LEFT(B167,11)="INTL-RUS E ","International Easy",IF(LEFT(B167,11)="INTL-JAP E ","International Easy",IF(LEFT(B167,11)="INTL-KOR E ","International Easy",IF(LEFT(B167,11)="INTL-CHI E ","International Easy",IF(LEFT(B167,11)="INTL-SPA E ","International Easy",
IF(D167="Teen Large Type","Teen Fiction",
IF(D167="Juvenile Large Type","Juvenile Fiction",
IF(LEFT(B167,6)="J CD O","Juvenile Compact Disc",
IF(AND(LEFT(B167,4)="TEEN",D167="Fiction"),"Teen Fiction",
IF(D167="DVD Educational","Nonfiction",
IF(D167="Juvenile DVD Educational","Nonfiction",
IF(D167="Reference","Nonfiction",
D167))))))))))))))))))))))))))))))))))))))))))</f>
        <v/>
      </c>
    </row>
    <row r="168" spans="1:14" ht="27" customHeight="1" x14ac:dyDescent="0.25">
      <c r="A168" s="10" t="str">
        <f ca="1">TEXT( INDIRECT( ADDRESS( ROW() + Row_Offset, INDIRECT( "Column_Number_" &amp; A$1), 4,1, tabname) ), "")</f>
        <v/>
      </c>
      <c r="B168" s="10" t="str">
        <f ca="1">TEXT(  IFERROR( VLOOKUP( $D168, CollName_Simplifier_Table[], 2, FALSE),"") &amp;
        INDIRECT( ADDRESS( ROW() + Row_Offset, INDIRECT( "Column_Number_" &amp; $B$1), 4,1, tabname) ), "")</f>
        <v/>
      </c>
      <c r="C168" s="10" t="str">
        <f ca="1">TEXT( INDIRECT( ADDRESS( ROW() + Row_Offset, INDIRECT( "Column_Number_" &amp; C$1), 4,1, tabname) ), "")</f>
        <v/>
      </c>
      <c r="D168" s="10" t="str">
        <f ca="1">TEXT( INDIRECT( ADDRESS( ROW() + Row_Offset, INDIRECT( "Column_Number_" &amp; D$1), 4,1, tabname) ), "")</f>
        <v/>
      </c>
      <c r="E168" s="10" t="str">
        <f ca="1">TEXT( INDIRECT( ADDRESS( ROW() + Row_Offset, INDIRECT( "Column_Number_" &amp; E$1), 4,1, tabname) ), "####")</f>
        <v/>
      </c>
      <c r="F168" s="15"/>
      <c r="G168" s="22" t="str">
        <f ca="1">IFERROR(INDEX(Rank_Table[],MATCH($D168&amp;$A168,Table4[Join],0)),"")</f>
        <v/>
      </c>
      <c r="H168" s="11" t="str">
        <f ca="1">IF(AND(D168="Juvenile Audiobook",LEFT(B168,8)="J CD BIO"),RIGHT(B168,LEN(B168)-9),
IF(AND(D168="Juvenile Audiobook",LEFT(B168,8)="J CD FIC"),B168,
IF(D168="Juvenile Audiobook",RIGHT(B168,LEN(B168)-5),
IF(AND(D168="Teen Audiobook",LEFT(B168,11)="TEEN CD BIO"),RIGHT(B168,LEN(B168)-12),
IF(AND(D168="Teen Audiobook",LEFT(B168,11)="TEEN CD FIC"),B168,
IF(D168="Juvenile Audiobook",RIGHT(B168,LEN(B168)-8),
IF(D168="Juvenile Nonfiction",RIGHT(B168,LEN(B168)-2),
IF(D168="Teen Nonfiction",RIGHT(B168,LEN(B168)-5),
IF(AND(D168="Audiobook",
              NOT(OR(Contains($B168,"CD BIO"),Contains($B168,"CD FIC")))),RIGHT(B168,LEN(B168)-3),
IF(D168="Juvenile Biography",RIGHT(B168,LEN(B168)-2),
IF(D168="Teen Biography",RIGHT(B168,LEN(B168)-5),
IF(AND(D168="Audiobook",
              IFERROR(FIND("BIO",$B168)&gt;0,FALSE)),RIGHT(B168,LEN(B168)-3),
IF(D168="Juvenile Large Type","J "&amp;RIGHT(B168,LEN(B168)-11),
IF(D168="Teen Large Type","TEEN "&amp;RIGHT(B168,LEN(B168)-14),
IF(D168="Reference",RIGHT(B168,LEN(B168)-4),
IF(D168="DVD Educational",RIGHT(B168,LEN(B168)-7),
IF(D168="Juvenile DVD Educational",RIGHT(B168,LEN(B168)-9),
B168)))))))))))))))))</f>
        <v/>
      </c>
      <c r="N168" s="11" t="str">
        <f ca="1">IF(IFERROR(FIND("New",$A168)&gt;0,FALSE),"New ","") &amp; IF(IFERROR(FIND("In Lib",$A168)&gt;0,FALSE),"Reference ","") &amp;
IF(AND(D168="Audiobook",LEFT(B168,6)="CD BIO"),"Biography",
IF(AND(D168="Teen Audiobook",LEFT(B168,11)="TEEN CD BIO"),"Biography",
IF(AND(D168="Juvenile Audiobook",LEFT(B168,8)="J CD BIO"),"Biography",
IF(AND(D168="Audiobook",LEFT(B168,6)="CD FIC"),"Audiobook Fiction",
IF(AND(D168="Teen Audiobook",LEFT(B168,11)="TEEN CD FIC"),"Teen Audiobook",
IF(AND(D168="Juvenile Audiobook",LEFT(B168,8)="J CD FIC"),"Juvenile Audiobook",
IF(D168="Audiobook","Nonfiction",
IF(D168="Juvenile Audiobook","Nonfiction",
IF(D168="Teen Audiobook","Nonfiction",
IF(D168="Juvenile Nonfiction","Nonfiction",
IF(D168="Teen Nonfiction","Nonfiction",
IF(D168="Juvenile Biography","Biography",
IF(D168="Teen Biography","Biography",
IF(D168="ESL","Nonfiction",
IF(LEFT(B168,11)="INTL-VIE J ","International Juvenile",IF(LEFT(B168,11)="INTL-TAG J ","International Juvenile",IF(LEFT(B168,11)="INTL-RUS J ","International Juvenile",IF(LEFT(B168,11)="INTL-KOR J ","International Juvenile",IF(LEFT(B168,11)="INTL-JAP J ","International Juvenile",IF(LEFT(B168,11)="INTL-CHI J ","International Juvenile",IF(LEFT(B168,11)="INTL-SPA J ","International Juvenile",IF(LEFT(B168,14)="INTL-VIE TEEN ","International Teen",IF(LEFT(B168,14)="INTL-TAG TEEN ","International Teen",IF(LEFT(B168,14)="INTL-RUS TEEN ","International Teen",IF(LEFT(B168,14)="INTL-KOR TEEN ","International Teen",IF(LEFT(B168,14)="INTL-JAP TEEN ","International Teen",IF(LEFT(B168,14)="INTL-CHI TEEN ","International Teen",IF(LEFT(B168,14)="INTL-SPA TEEN ","International Teen",IF(LEFT(B168,11)="INTL-VIE E ","International Easy",IF(LEFT(B168,11)="INTL-TAG E ","International Easy",IF(LEFT(B168,11)="INTL-RUS E ","International Easy",IF(LEFT(B168,11)="INTL-JAP E ","International Easy",IF(LEFT(B168,11)="INTL-KOR E ","International Easy",IF(LEFT(B168,11)="INTL-CHI E ","International Easy",IF(LEFT(B168,11)="INTL-SPA E ","International Easy",
IF(D168="Teen Large Type","Teen Fiction",
IF(D168="Juvenile Large Type","Juvenile Fiction",
IF(LEFT(B168,6)="J CD O","Juvenile Compact Disc",
IF(AND(LEFT(B168,4)="TEEN",D168="Fiction"),"Teen Fiction",
IF(D168="DVD Educational","Nonfiction",
IF(D168="Juvenile DVD Educational","Nonfiction",
IF(D168="Reference","Nonfiction",
D168))))))))))))))))))))))))))))))))))))))))))</f>
        <v/>
      </c>
    </row>
    <row r="169" spans="1:14" ht="27" customHeight="1" x14ac:dyDescent="0.25">
      <c r="A169" s="10" t="str">
        <f ca="1">TEXT( INDIRECT( ADDRESS( ROW() + Row_Offset, INDIRECT( "Column_Number_" &amp; A$1), 4,1, tabname) ), "")</f>
        <v/>
      </c>
      <c r="B169" s="10" t="str">
        <f ca="1">TEXT(  IFERROR( VLOOKUP( $D169, CollName_Simplifier_Table[], 2, FALSE),"") &amp;
        INDIRECT( ADDRESS( ROW() + Row_Offset, INDIRECT( "Column_Number_" &amp; $B$1), 4,1, tabname) ), "")</f>
        <v/>
      </c>
      <c r="C169" s="10" t="str">
        <f ca="1">TEXT( INDIRECT( ADDRESS( ROW() + Row_Offset, INDIRECT( "Column_Number_" &amp; C$1), 4,1, tabname) ), "")</f>
        <v/>
      </c>
      <c r="D169" s="10" t="str">
        <f ca="1">TEXT( INDIRECT( ADDRESS( ROW() + Row_Offset, INDIRECT( "Column_Number_" &amp; D$1), 4,1, tabname) ), "")</f>
        <v/>
      </c>
      <c r="E169" s="10" t="str">
        <f ca="1">TEXT( INDIRECT( ADDRESS( ROW() + Row_Offset, INDIRECT( "Column_Number_" &amp; E$1), 4,1, tabname) ), "####")</f>
        <v/>
      </c>
      <c r="F169" s="15"/>
      <c r="G169" s="22" t="str">
        <f ca="1">IFERROR(INDEX(Rank_Table[],MATCH($D169&amp;$A169,Table4[Join],0)),"")</f>
        <v/>
      </c>
      <c r="H169" s="11" t="str">
        <f ca="1">IF(AND(D169="Juvenile Audiobook",LEFT(B169,8)="J CD BIO"),RIGHT(B169,LEN(B169)-9),
IF(AND(D169="Juvenile Audiobook",LEFT(B169,8)="J CD FIC"),B169,
IF(D169="Juvenile Audiobook",RIGHT(B169,LEN(B169)-5),
IF(AND(D169="Teen Audiobook",LEFT(B169,11)="TEEN CD BIO"),RIGHT(B169,LEN(B169)-12),
IF(AND(D169="Teen Audiobook",LEFT(B169,11)="TEEN CD FIC"),B169,
IF(D169="Juvenile Audiobook",RIGHT(B169,LEN(B169)-8),
IF(D169="Juvenile Nonfiction",RIGHT(B169,LEN(B169)-2),
IF(D169="Teen Nonfiction",RIGHT(B169,LEN(B169)-5),
IF(AND(D169="Audiobook",
              NOT(OR(Contains($B169,"CD BIO"),Contains($B169,"CD FIC")))),RIGHT(B169,LEN(B169)-3),
IF(D169="Juvenile Biography",RIGHT(B169,LEN(B169)-2),
IF(D169="Teen Biography",RIGHT(B169,LEN(B169)-5),
IF(AND(D169="Audiobook",
              IFERROR(FIND("BIO",$B169)&gt;0,FALSE)),RIGHT(B169,LEN(B169)-3),
IF(D169="Juvenile Large Type","J "&amp;RIGHT(B169,LEN(B169)-11),
IF(D169="Teen Large Type","TEEN "&amp;RIGHT(B169,LEN(B169)-14),
IF(D169="Reference",RIGHT(B169,LEN(B169)-4),
IF(D169="DVD Educational",RIGHT(B169,LEN(B169)-7),
IF(D169="Juvenile DVD Educational",RIGHT(B169,LEN(B169)-9),
B169)))))))))))))))))</f>
        <v/>
      </c>
      <c r="N169" s="11" t="str">
        <f ca="1">IF(IFERROR(FIND("New",$A169)&gt;0,FALSE),"New ","") &amp; IF(IFERROR(FIND("In Lib",$A169)&gt;0,FALSE),"Reference ","") &amp;
IF(AND(D169="Audiobook",LEFT(B169,6)="CD BIO"),"Biography",
IF(AND(D169="Teen Audiobook",LEFT(B169,11)="TEEN CD BIO"),"Biography",
IF(AND(D169="Juvenile Audiobook",LEFT(B169,8)="J CD BIO"),"Biography",
IF(AND(D169="Audiobook",LEFT(B169,6)="CD FIC"),"Audiobook Fiction",
IF(AND(D169="Teen Audiobook",LEFT(B169,11)="TEEN CD FIC"),"Teen Audiobook",
IF(AND(D169="Juvenile Audiobook",LEFT(B169,8)="J CD FIC"),"Juvenile Audiobook",
IF(D169="Audiobook","Nonfiction",
IF(D169="Juvenile Audiobook","Nonfiction",
IF(D169="Teen Audiobook","Nonfiction",
IF(D169="Juvenile Nonfiction","Nonfiction",
IF(D169="Teen Nonfiction","Nonfiction",
IF(D169="Juvenile Biography","Biography",
IF(D169="Teen Biography","Biography",
IF(D169="ESL","Nonfiction",
IF(LEFT(B169,11)="INTL-VIE J ","International Juvenile",IF(LEFT(B169,11)="INTL-TAG J ","International Juvenile",IF(LEFT(B169,11)="INTL-RUS J ","International Juvenile",IF(LEFT(B169,11)="INTL-KOR J ","International Juvenile",IF(LEFT(B169,11)="INTL-JAP J ","International Juvenile",IF(LEFT(B169,11)="INTL-CHI J ","International Juvenile",IF(LEFT(B169,11)="INTL-SPA J ","International Juvenile",IF(LEFT(B169,14)="INTL-VIE TEEN ","International Teen",IF(LEFT(B169,14)="INTL-TAG TEEN ","International Teen",IF(LEFT(B169,14)="INTL-RUS TEEN ","International Teen",IF(LEFT(B169,14)="INTL-KOR TEEN ","International Teen",IF(LEFT(B169,14)="INTL-JAP TEEN ","International Teen",IF(LEFT(B169,14)="INTL-CHI TEEN ","International Teen",IF(LEFT(B169,14)="INTL-SPA TEEN ","International Teen",IF(LEFT(B169,11)="INTL-VIE E ","International Easy",IF(LEFT(B169,11)="INTL-TAG E ","International Easy",IF(LEFT(B169,11)="INTL-RUS E ","International Easy",IF(LEFT(B169,11)="INTL-JAP E ","International Easy",IF(LEFT(B169,11)="INTL-KOR E ","International Easy",IF(LEFT(B169,11)="INTL-CHI E ","International Easy",IF(LEFT(B169,11)="INTL-SPA E ","International Easy",
IF(D169="Teen Large Type","Teen Fiction",
IF(D169="Juvenile Large Type","Juvenile Fiction",
IF(LEFT(B169,6)="J CD O","Juvenile Compact Disc",
IF(AND(LEFT(B169,4)="TEEN",D169="Fiction"),"Teen Fiction",
IF(D169="DVD Educational","Nonfiction",
IF(D169="Juvenile DVD Educational","Nonfiction",
IF(D169="Reference","Nonfiction",
D169))))))))))))))))))))))))))))))))))))))))))</f>
        <v/>
      </c>
    </row>
    <row r="170" spans="1:14" ht="27" customHeight="1" x14ac:dyDescent="0.25">
      <c r="A170" s="10" t="str">
        <f ca="1">TEXT( INDIRECT( ADDRESS( ROW() + Row_Offset, INDIRECT( "Column_Number_" &amp; A$1), 4,1, tabname) ), "")</f>
        <v/>
      </c>
      <c r="B170" s="10" t="str">
        <f ca="1">TEXT(  IFERROR( VLOOKUP( $D170, CollName_Simplifier_Table[], 2, FALSE),"") &amp;
        INDIRECT( ADDRESS( ROW() + Row_Offset, INDIRECT( "Column_Number_" &amp; $B$1), 4,1, tabname) ), "")</f>
        <v/>
      </c>
      <c r="C170" s="10" t="str">
        <f ca="1">TEXT( INDIRECT( ADDRESS( ROW() + Row_Offset, INDIRECT( "Column_Number_" &amp; C$1), 4,1, tabname) ), "")</f>
        <v/>
      </c>
      <c r="D170" s="10" t="str">
        <f ca="1">TEXT( INDIRECT( ADDRESS( ROW() + Row_Offset, INDIRECT( "Column_Number_" &amp; D$1), 4,1, tabname) ), "")</f>
        <v/>
      </c>
      <c r="E170" s="10" t="str">
        <f ca="1">TEXT( INDIRECT( ADDRESS( ROW() + Row_Offset, INDIRECT( "Column_Number_" &amp; E$1), 4,1, tabname) ), "####")</f>
        <v/>
      </c>
      <c r="F170" s="15"/>
      <c r="G170" s="22" t="str">
        <f ca="1">IFERROR(INDEX(Rank_Table[],MATCH($D170&amp;$A170,Table4[Join],0)),"")</f>
        <v/>
      </c>
      <c r="H170" s="11" t="str">
        <f ca="1">IF(AND(D170="Juvenile Audiobook",LEFT(B170,8)="J CD BIO"),RIGHT(B170,LEN(B170)-9),
IF(AND(D170="Juvenile Audiobook",LEFT(B170,8)="J CD FIC"),B170,
IF(D170="Juvenile Audiobook",RIGHT(B170,LEN(B170)-5),
IF(AND(D170="Teen Audiobook",LEFT(B170,11)="TEEN CD BIO"),RIGHT(B170,LEN(B170)-12),
IF(AND(D170="Teen Audiobook",LEFT(B170,11)="TEEN CD FIC"),B170,
IF(D170="Juvenile Audiobook",RIGHT(B170,LEN(B170)-8),
IF(D170="Juvenile Nonfiction",RIGHT(B170,LEN(B170)-2),
IF(D170="Teen Nonfiction",RIGHT(B170,LEN(B170)-5),
IF(AND(D170="Audiobook",
              NOT(OR(Contains($B170,"CD BIO"),Contains($B170,"CD FIC")))),RIGHT(B170,LEN(B170)-3),
IF(D170="Juvenile Biography",RIGHT(B170,LEN(B170)-2),
IF(D170="Teen Biography",RIGHT(B170,LEN(B170)-5),
IF(AND(D170="Audiobook",
              IFERROR(FIND("BIO",$B170)&gt;0,FALSE)),RIGHT(B170,LEN(B170)-3),
IF(D170="Juvenile Large Type","J "&amp;RIGHT(B170,LEN(B170)-11),
IF(D170="Teen Large Type","TEEN "&amp;RIGHT(B170,LEN(B170)-14),
IF(D170="Reference",RIGHT(B170,LEN(B170)-4),
IF(D170="DVD Educational",RIGHT(B170,LEN(B170)-7),
IF(D170="Juvenile DVD Educational",RIGHT(B170,LEN(B170)-9),
B170)))))))))))))))))</f>
        <v/>
      </c>
      <c r="N170" s="11" t="str">
        <f ca="1">IF(IFERROR(FIND("New",$A170)&gt;0,FALSE),"New ","") &amp; IF(IFERROR(FIND("In Lib",$A170)&gt;0,FALSE),"Reference ","") &amp;
IF(AND(D170="Audiobook",LEFT(B170,6)="CD BIO"),"Biography",
IF(AND(D170="Teen Audiobook",LEFT(B170,11)="TEEN CD BIO"),"Biography",
IF(AND(D170="Juvenile Audiobook",LEFT(B170,8)="J CD BIO"),"Biography",
IF(AND(D170="Audiobook",LEFT(B170,6)="CD FIC"),"Audiobook Fiction",
IF(AND(D170="Teen Audiobook",LEFT(B170,11)="TEEN CD FIC"),"Teen Audiobook",
IF(AND(D170="Juvenile Audiobook",LEFT(B170,8)="J CD FIC"),"Juvenile Audiobook",
IF(D170="Audiobook","Nonfiction",
IF(D170="Juvenile Audiobook","Nonfiction",
IF(D170="Teen Audiobook","Nonfiction",
IF(D170="Juvenile Nonfiction","Nonfiction",
IF(D170="Teen Nonfiction","Nonfiction",
IF(D170="Juvenile Biography","Biography",
IF(D170="Teen Biography","Biography",
IF(D170="ESL","Nonfiction",
IF(LEFT(B170,11)="INTL-VIE J ","International Juvenile",IF(LEFT(B170,11)="INTL-TAG J ","International Juvenile",IF(LEFT(B170,11)="INTL-RUS J ","International Juvenile",IF(LEFT(B170,11)="INTL-KOR J ","International Juvenile",IF(LEFT(B170,11)="INTL-JAP J ","International Juvenile",IF(LEFT(B170,11)="INTL-CHI J ","International Juvenile",IF(LEFT(B170,11)="INTL-SPA J ","International Juvenile",IF(LEFT(B170,14)="INTL-VIE TEEN ","International Teen",IF(LEFT(B170,14)="INTL-TAG TEEN ","International Teen",IF(LEFT(B170,14)="INTL-RUS TEEN ","International Teen",IF(LEFT(B170,14)="INTL-KOR TEEN ","International Teen",IF(LEFT(B170,14)="INTL-JAP TEEN ","International Teen",IF(LEFT(B170,14)="INTL-CHI TEEN ","International Teen",IF(LEFT(B170,14)="INTL-SPA TEEN ","International Teen",IF(LEFT(B170,11)="INTL-VIE E ","International Easy",IF(LEFT(B170,11)="INTL-TAG E ","International Easy",IF(LEFT(B170,11)="INTL-RUS E ","International Easy",IF(LEFT(B170,11)="INTL-JAP E ","International Easy",IF(LEFT(B170,11)="INTL-KOR E ","International Easy",IF(LEFT(B170,11)="INTL-CHI E ","International Easy",IF(LEFT(B170,11)="INTL-SPA E ","International Easy",
IF(D170="Teen Large Type","Teen Fiction",
IF(D170="Juvenile Large Type","Juvenile Fiction",
IF(LEFT(B170,6)="J CD O","Juvenile Compact Disc",
IF(AND(LEFT(B170,4)="TEEN",D170="Fiction"),"Teen Fiction",
IF(D170="DVD Educational","Nonfiction",
IF(D170="Juvenile DVD Educational","Nonfiction",
IF(D170="Reference","Nonfiction",
D170))))))))))))))))))))))))))))))))))))))))))</f>
        <v/>
      </c>
    </row>
    <row r="171" spans="1:14" ht="27" customHeight="1" x14ac:dyDescent="0.25">
      <c r="A171" s="10" t="str">
        <f ca="1">TEXT( INDIRECT( ADDRESS( ROW() + Row_Offset, INDIRECT( "Column_Number_" &amp; A$1), 4,1, tabname) ), "")</f>
        <v/>
      </c>
      <c r="B171" s="10" t="str">
        <f ca="1">TEXT(  IFERROR( VLOOKUP( $D171, CollName_Simplifier_Table[], 2, FALSE),"") &amp;
        INDIRECT( ADDRESS( ROW() + Row_Offset, INDIRECT( "Column_Number_" &amp; $B$1), 4,1, tabname) ), "")</f>
        <v/>
      </c>
      <c r="C171" s="10" t="str">
        <f ca="1">TEXT( INDIRECT( ADDRESS( ROW() + Row_Offset, INDIRECT( "Column_Number_" &amp; C$1), 4,1, tabname) ), "")</f>
        <v/>
      </c>
      <c r="D171" s="10" t="str">
        <f ca="1">TEXT( INDIRECT( ADDRESS( ROW() + Row_Offset, INDIRECT( "Column_Number_" &amp; D$1), 4,1, tabname) ), "")</f>
        <v/>
      </c>
      <c r="E171" s="10" t="str">
        <f ca="1">TEXT( INDIRECT( ADDRESS( ROW() + Row_Offset, INDIRECT( "Column_Number_" &amp; E$1), 4,1, tabname) ), "####")</f>
        <v/>
      </c>
      <c r="F171" s="15"/>
      <c r="G171" s="22" t="str">
        <f ca="1">IFERROR(INDEX(Rank_Table[],MATCH($D171&amp;$A171,Table4[Join],0)),"")</f>
        <v/>
      </c>
      <c r="H171" s="11" t="str">
        <f ca="1">IF(AND(D171="Juvenile Audiobook",LEFT(B171,8)="J CD BIO"),RIGHT(B171,LEN(B171)-9),
IF(AND(D171="Juvenile Audiobook",LEFT(B171,8)="J CD FIC"),B171,
IF(D171="Juvenile Audiobook",RIGHT(B171,LEN(B171)-5),
IF(AND(D171="Teen Audiobook",LEFT(B171,11)="TEEN CD BIO"),RIGHT(B171,LEN(B171)-12),
IF(AND(D171="Teen Audiobook",LEFT(B171,11)="TEEN CD FIC"),B171,
IF(D171="Juvenile Audiobook",RIGHT(B171,LEN(B171)-8),
IF(D171="Juvenile Nonfiction",RIGHT(B171,LEN(B171)-2),
IF(D171="Teen Nonfiction",RIGHT(B171,LEN(B171)-5),
IF(AND(D171="Audiobook",
              NOT(OR(Contains($B171,"CD BIO"),Contains($B171,"CD FIC")))),RIGHT(B171,LEN(B171)-3),
IF(D171="Juvenile Biography",RIGHT(B171,LEN(B171)-2),
IF(D171="Teen Biography",RIGHT(B171,LEN(B171)-5),
IF(AND(D171="Audiobook",
              IFERROR(FIND("BIO",$B171)&gt;0,FALSE)),RIGHT(B171,LEN(B171)-3),
IF(D171="Juvenile Large Type","J "&amp;RIGHT(B171,LEN(B171)-11),
IF(D171="Teen Large Type","TEEN "&amp;RIGHT(B171,LEN(B171)-14),
IF(D171="Reference",RIGHT(B171,LEN(B171)-4),
IF(D171="DVD Educational",RIGHT(B171,LEN(B171)-7),
IF(D171="Juvenile DVD Educational",RIGHT(B171,LEN(B171)-9),
B171)))))))))))))))))</f>
        <v/>
      </c>
      <c r="N171" s="11" t="str">
        <f ca="1">IF(IFERROR(FIND("New",$A171)&gt;0,FALSE),"New ","") &amp; IF(IFERROR(FIND("In Lib",$A171)&gt;0,FALSE),"Reference ","") &amp;
IF(AND(D171="Audiobook",LEFT(B171,6)="CD BIO"),"Biography",
IF(AND(D171="Teen Audiobook",LEFT(B171,11)="TEEN CD BIO"),"Biography",
IF(AND(D171="Juvenile Audiobook",LEFT(B171,8)="J CD BIO"),"Biography",
IF(AND(D171="Audiobook",LEFT(B171,6)="CD FIC"),"Audiobook Fiction",
IF(AND(D171="Teen Audiobook",LEFT(B171,11)="TEEN CD FIC"),"Teen Audiobook",
IF(AND(D171="Juvenile Audiobook",LEFT(B171,8)="J CD FIC"),"Juvenile Audiobook",
IF(D171="Audiobook","Nonfiction",
IF(D171="Juvenile Audiobook","Nonfiction",
IF(D171="Teen Audiobook","Nonfiction",
IF(D171="Juvenile Nonfiction","Nonfiction",
IF(D171="Teen Nonfiction","Nonfiction",
IF(D171="Juvenile Biography","Biography",
IF(D171="Teen Biography","Biography",
IF(D171="ESL","Nonfiction",
IF(LEFT(B171,11)="INTL-VIE J ","International Juvenile",IF(LEFT(B171,11)="INTL-TAG J ","International Juvenile",IF(LEFT(B171,11)="INTL-RUS J ","International Juvenile",IF(LEFT(B171,11)="INTL-KOR J ","International Juvenile",IF(LEFT(B171,11)="INTL-JAP J ","International Juvenile",IF(LEFT(B171,11)="INTL-CHI J ","International Juvenile",IF(LEFT(B171,11)="INTL-SPA J ","International Juvenile",IF(LEFT(B171,14)="INTL-VIE TEEN ","International Teen",IF(LEFT(B171,14)="INTL-TAG TEEN ","International Teen",IF(LEFT(B171,14)="INTL-RUS TEEN ","International Teen",IF(LEFT(B171,14)="INTL-KOR TEEN ","International Teen",IF(LEFT(B171,14)="INTL-JAP TEEN ","International Teen",IF(LEFT(B171,14)="INTL-CHI TEEN ","International Teen",IF(LEFT(B171,14)="INTL-SPA TEEN ","International Teen",IF(LEFT(B171,11)="INTL-VIE E ","International Easy",IF(LEFT(B171,11)="INTL-TAG E ","International Easy",IF(LEFT(B171,11)="INTL-RUS E ","International Easy",IF(LEFT(B171,11)="INTL-JAP E ","International Easy",IF(LEFT(B171,11)="INTL-KOR E ","International Easy",IF(LEFT(B171,11)="INTL-CHI E ","International Easy",IF(LEFT(B171,11)="INTL-SPA E ","International Easy",
IF(D171="Teen Large Type","Teen Fiction",
IF(D171="Juvenile Large Type","Juvenile Fiction",
IF(LEFT(B171,6)="J CD O","Juvenile Compact Disc",
IF(AND(LEFT(B171,4)="TEEN",D171="Fiction"),"Teen Fiction",
IF(D171="DVD Educational","Nonfiction",
IF(D171="Juvenile DVD Educational","Nonfiction",
IF(D171="Reference","Nonfiction",
D171))))))))))))))))))))))))))))))))))))))))))</f>
        <v/>
      </c>
    </row>
    <row r="172" spans="1:14" ht="27" customHeight="1" x14ac:dyDescent="0.25">
      <c r="A172" s="10" t="str">
        <f ca="1">TEXT( INDIRECT( ADDRESS( ROW() + Row_Offset, INDIRECT( "Column_Number_" &amp; A$1), 4,1, tabname) ), "")</f>
        <v/>
      </c>
      <c r="B172" s="10" t="str">
        <f ca="1">TEXT(  IFERROR( VLOOKUP( $D172, CollName_Simplifier_Table[], 2, FALSE),"") &amp;
        INDIRECT( ADDRESS( ROW() + Row_Offset, INDIRECT( "Column_Number_" &amp; $B$1), 4,1, tabname) ), "")</f>
        <v/>
      </c>
      <c r="C172" s="10" t="str">
        <f ca="1">TEXT( INDIRECT( ADDRESS( ROW() + Row_Offset, INDIRECT( "Column_Number_" &amp; C$1), 4,1, tabname) ), "")</f>
        <v/>
      </c>
      <c r="D172" s="10" t="str">
        <f ca="1">TEXT( INDIRECT( ADDRESS( ROW() + Row_Offset, INDIRECT( "Column_Number_" &amp; D$1), 4,1, tabname) ), "")</f>
        <v/>
      </c>
      <c r="E172" s="10" t="str">
        <f ca="1">TEXT( INDIRECT( ADDRESS( ROW() + Row_Offset, INDIRECT( "Column_Number_" &amp; E$1), 4,1, tabname) ), "####")</f>
        <v/>
      </c>
      <c r="F172" s="15"/>
      <c r="G172" s="22" t="str">
        <f ca="1">IFERROR(INDEX(Rank_Table[],MATCH($D172&amp;$A172,Table4[Join],0)),"")</f>
        <v/>
      </c>
      <c r="H172" s="11" t="str">
        <f ca="1">IF(AND(D172="Juvenile Audiobook",LEFT(B172,8)="J CD BIO"),RIGHT(B172,LEN(B172)-9),
IF(AND(D172="Juvenile Audiobook",LEFT(B172,8)="J CD FIC"),B172,
IF(D172="Juvenile Audiobook",RIGHT(B172,LEN(B172)-5),
IF(AND(D172="Teen Audiobook",LEFT(B172,11)="TEEN CD BIO"),RIGHT(B172,LEN(B172)-12),
IF(AND(D172="Teen Audiobook",LEFT(B172,11)="TEEN CD FIC"),B172,
IF(D172="Juvenile Audiobook",RIGHT(B172,LEN(B172)-8),
IF(D172="Juvenile Nonfiction",RIGHT(B172,LEN(B172)-2),
IF(D172="Teen Nonfiction",RIGHT(B172,LEN(B172)-5),
IF(AND(D172="Audiobook",
              NOT(OR(Contains($B172,"CD BIO"),Contains($B172,"CD FIC")))),RIGHT(B172,LEN(B172)-3),
IF(D172="Juvenile Biography",RIGHT(B172,LEN(B172)-2),
IF(D172="Teen Biography",RIGHT(B172,LEN(B172)-5),
IF(AND(D172="Audiobook",
              IFERROR(FIND("BIO",$B172)&gt;0,FALSE)),RIGHT(B172,LEN(B172)-3),
IF(D172="Juvenile Large Type","J "&amp;RIGHT(B172,LEN(B172)-11),
IF(D172="Teen Large Type","TEEN "&amp;RIGHT(B172,LEN(B172)-14),
IF(D172="Reference",RIGHT(B172,LEN(B172)-4),
IF(D172="DVD Educational",RIGHT(B172,LEN(B172)-7),
IF(D172="Juvenile DVD Educational",RIGHT(B172,LEN(B172)-9),
B172)))))))))))))))))</f>
        <v/>
      </c>
      <c r="N172" s="11" t="str">
        <f ca="1">IF(IFERROR(FIND("New",$A172)&gt;0,FALSE),"New ","") &amp; IF(IFERROR(FIND("In Lib",$A172)&gt;0,FALSE),"Reference ","") &amp;
IF(AND(D172="Audiobook",LEFT(B172,6)="CD BIO"),"Biography",
IF(AND(D172="Teen Audiobook",LEFT(B172,11)="TEEN CD BIO"),"Biography",
IF(AND(D172="Juvenile Audiobook",LEFT(B172,8)="J CD BIO"),"Biography",
IF(AND(D172="Audiobook",LEFT(B172,6)="CD FIC"),"Audiobook Fiction",
IF(AND(D172="Teen Audiobook",LEFT(B172,11)="TEEN CD FIC"),"Teen Audiobook",
IF(AND(D172="Juvenile Audiobook",LEFT(B172,8)="J CD FIC"),"Juvenile Audiobook",
IF(D172="Audiobook","Nonfiction",
IF(D172="Juvenile Audiobook","Nonfiction",
IF(D172="Teen Audiobook","Nonfiction",
IF(D172="Juvenile Nonfiction","Nonfiction",
IF(D172="Teen Nonfiction","Nonfiction",
IF(D172="Juvenile Biography","Biography",
IF(D172="Teen Biography","Biography",
IF(D172="ESL","Nonfiction",
IF(LEFT(B172,11)="INTL-VIE J ","International Juvenile",IF(LEFT(B172,11)="INTL-TAG J ","International Juvenile",IF(LEFT(B172,11)="INTL-RUS J ","International Juvenile",IF(LEFT(B172,11)="INTL-KOR J ","International Juvenile",IF(LEFT(B172,11)="INTL-JAP J ","International Juvenile",IF(LEFT(B172,11)="INTL-CHI J ","International Juvenile",IF(LEFT(B172,11)="INTL-SPA J ","International Juvenile",IF(LEFT(B172,14)="INTL-VIE TEEN ","International Teen",IF(LEFT(B172,14)="INTL-TAG TEEN ","International Teen",IF(LEFT(B172,14)="INTL-RUS TEEN ","International Teen",IF(LEFT(B172,14)="INTL-KOR TEEN ","International Teen",IF(LEFT(B172,14)="INTL-JAP TEEN ","International Teen",IF(LEFT(B172,14)="INTL-CHI TEEN ","International Teen",IF(LEFT(B172,14)="INTL-SPA TEEN ","International Teen",IF(LEFT(B172,11)="INTL-VIE E ","International Easy",IF(LEFT(B172,11)="INTL-TAG E ","International Easy",IF(LEFT(B172,11)="INTL-RUS E ","International Easy",IF(LEFT(B172,11)="INTL-JAP E ","International Easy",IF(LEFT(B172,11)="INTL-KOR E ","International Easy",IF(LEFT(B172,11)="INTL-CHI E ","International Easy",IF(LEFT(B172,11)="INTL-SPA E ","International Easy",
IF(D172="Teen Large Type","Teen Fiction",
IF(D172="Juvenile Large Type","Juvenile Fiction",
IF(LEFT(B172,6)="J CD O","Juvenile Compact Disc",
IF(AND(LEFT(B172,4)="TEEN",D172="Fiction"),"Teen Fiction",
IF(D172="DVD Educational","Nonfiction",
IF(D172="Juvenile DVD Educational","Nonfiction",
IF(D172="Reference","Nonfiction",
D172))))))))))))))))))))))))))))))))))))))))))</f>
        <v/>
      </c>
    </row>
    <row r="173" spans="1:14" ht="27" customHeight="1" x14ac:dyDescent="0.25">
      <c r="A173" s="10" t="str">
        <f ca="1">TEXT( INDIRECT( ADDRESS( ROW() + Row_Offset, INDIRECT( "Column_Number_" &amp; A$1), 4,1, tabname) ), "")</f>
        <v/>
      </c>
      <c r="B173" s="10" t="str">
        <f ca="1">TEXT(  IFERROR( VLOOKUP( $D173, CollName_Simplifier_Table[], 2, FALSE),"") &amp;
        INDIRECT( ADDRESS( ROW() + Row_Offset, INDIRECT( "Column_Number_" &amp; $B$1), 4,1, tabname) ), "")</f>
        <v/>
      </c>
      <c r="C173" s="10" t="str">
        <f ca="1">TEXT( INDIRECT( ADDRESS( ROW() + Row_Offset, INDIRECT( "Column_Number_" &amp; C$1), 4,1, tabname) ), "")</f>
        <v/>
      </c>
      <c r="D173" s="10" t="str">
        <f ca="1">TEXT( INDIRECT( ADDRESS( ROW() + Row_Offset, INDIRECT( "Column_Number_" &amp; D$1), 4,1, tabname) ), "")</f>
        <v/>
      </c>
      <c r="E173" s="10" t="str">
        <f ca="1">TEXT( INDIRECT( ADDRESS( ROW() + Row_Offset, INDIRECT( "Column_Number_" &amp; E$1), 4,1, tabname) ), "####")</f>
        <v/>
      </c>
      <c r="F173" s="15"/>
      <c r="G173" s="22" t="str">
        <f ca="1">IFERROR(INDEX(Rank_Table[],MATCH($D173&amp;$A173,Table4[Join],0)),"")</f>
        <v/>
      </c>
      <c r="H173" s="11" t="str">
        <f ca="1">IF(AND(D173="Juvenile Audiobook",LEFT(B173,8)="J CD BIO"),RIGHT(B173,LEN(B173)-9),
IF(AND(D173="Juvenile Audiobook",LEFT(B173,8)="J CD FIC"),B173,
IF(D173="Juvenile Audiobook",RIGHT(B173,LEN(B173)-5),
IF(AND(D173="Teen Audiobook",LEFT(B173,11)="TEEN CD BIO"),RIGHT(B173,LEN(B173)-12),
IF(AND(D173="Teen Audiobook",LEFT(B173,11)="TEEN CD FIC"),B173,
IF(D173="Juvenile Audiobook",RIGHT(B173,LEN(B173)-8),
IF(D173="Juvenile Nonfiction",RIGHT(B173,LEN(B173)-2),
IF(D173="Teen Nonfiction",RIGHT(B173,LEN(B173)-5),
IF(AND(D173="Audiobook",
              NOT(OR(Contains($B173,"CD BIO"),Contains($B173,"CD FIC")))),RIGHT(B173,LEN(B173)-3),
IF(D173="Juvenile Biography",RIGHT(B173,LEN(B173)-2),
IF(D173="Teen Biography",RIGHT(B173,LEN(B173)-5),
IF(AND(D173="Audiobook",
              IFERROR(FIND("BIO",$B173)&gt;0,FALSE)),RIGHT(B173,LEN(B173)-3),
IF(D173="Juvenile Large Type","J "&amp;RIGHT(B173,LEN(B173)-11),
IF(D173="Teen Large Type","TEEN "&amp;RIGHT(B173,LEN(B173)-14),
IF(D173="Reference",RIGHT(B173,LEN(B173)-4),
IF(D173="DVD Educational",RIGHT(B173,LEN(B173)-7),
IF(D173="Juvenile DVD Educational",RIGHT(B173,LEN(B173)-9),
B173)))))))))))))))))</f>
        <v/>
      </c>
      <c r="N173" s="11" t="str">
        <f ca="1">IF(IFERROR(FIND("New",$A173)&gt;0,FALSE),"New ","") &amp; IF(IFERROR(FIND("In Lib",$A173)&gt;0,FALSE),"Reference ","") &amp;
IF(AND(D173="Audiobook",LEFT(B173,6)="CD BIO"),"Biography",
IF(AND(D173="Teen Audiobook",LEFT(B173,11)="TEEN CD BIO"),"Biography",
IF(AND(D173="Juvenile Audiobook",LEFT(B173,8)="J CD BIO"),"Biography",
IF(AND(D173="Audiobook",LEFT(B173,6)="CD FIC"),"Audiobook Fiction",
IF(AND(D173="Teen Audiobook",LEFT(B173,11)="TEEN CD FIC"),"Teen Audiobook",
IF(AND(D173="Juvenile Audiobook",LEFT(B173,8)="J CD FIC"),"Juvenile Audiobook",
IF(D173="Audiobook","Nonfiction",
IF(D173="Juvenile Audiobook","Nonfiction",
IF(D173="Teen Audiobook","Nonfiction",
IF(D173="Juvenile Nonfiction","Nonfiction",
IF(D173="Teen Nonfiction","Nonfiction",
IF(D173="Juvenile Biography","Biography",
IF(D173="Teen Biography","Biography",
IF(D173="ESL","Nonfiction",
IF(LEFT(B173,11)="INTL-VIE J ","International Juvenile",IF(LEFT(B173,11)="INTL-TAG J ","International Juvenile",IF(LEFT(B173,11)="INTL-RUS J ","International Juvenile",IF(LEFT(B173,11)="INTL-KOR J ","International Juvenile",IF(LEFT(B173,11)="INTL-JAP J ","International Juvenile",IF(LEFT(B173,11)="INTL-CHI J ","International Juvenile",IF(LEFT(B173,11)="INTL-SPA J ","International Juvenile",IF(LEFT(B173,14)="INTL-VIE TEEN ","International Teen",IF(LEFT(B173,14)="INTL-TAG TEEN ","International Teen",IF(LEFT(B173,14)="INTL-RUS TEEN ","International Teen",IF(LEFT(B173,14)="INTL-KOR TEEN ","International Teen",IF(LEFT(B173,14)="INTL-JAP TEEN ","International Teen",IF(LEFT(B173,14)="INTL-CHI TEEN ","International Teen",IF(LEFT(B173,14)="INTL-SPA TEEN ","International Teen",IF(LEFT(B173,11)="INTL-VIE E ","International Easy",IF(LEFT(B173,11)="INTL-TAG E ","International Easy",IF(LEFT(B173,11)="INTL-RUS E ","International Easy",IF(LEFT(B173,11)="INTL-JAP E ","International Easy",IF(LEFT(B173,11)="INTL-KOR E ","International Easy",IF(LEFT(B173,11)="INTL-CHI E ","International Easy",IF(LEFT(B173,11)="INTL-SPA E ","International Easy",
IF(D173="Teen Large Type","Teen Fiction",
IF(D173="Juvenile Large Type","Juvenile Fiction",
IF(LEFT(B173,6)="J CD O","Juvenile Compact Disc",
IF(AND(LEFT(B173,4)="TEEN",D173="Fiction"),"Teen Fiction",
IF(D173="DVD Educational","Nonfiction",
IF(D173="Juvenile DVD Educational","Nonfiction",
IF(D173="Reference","Nonfiction",
D173))))))))))))))))))))))))))))))))))))))))))</f>
        <v/>
      </c>
    </row>
    <row r="174" spans="1:14" ht="27" customHeight="1" x14ac:dyDescent="0.25">
      <c r="A174" s="10" t="str">
        <f ca="1">TEXT( INDIRECT( ADDRESS( ROW() + Row_Offset, INDIRECT( "Column_Number_" &amp; A$1), 4,1, tabname) ), "")</f>
        <v/>
      </c>
      <c r="B174" s="10" t="str">
        <f ca="1">TEXT(  IFERROR( VLOOKUP( $D174, CollName_Simplifier_Table[], 2, FALSE),"") &amp;
        INDIRECT( ADDRESS( ROW() + Row_Offset, INDIRECT( "Column_Number_" &amp; $B$1), 4,1, tabname) ), "")</f>
        <v/>
      </c>
      <c r="C174" s="10" t="str">
        <f ca="1">TEXT( INDIRECT( ADDRESS( ROW() + Row_Offset, INDIRECT( "Column_Number_" &amp; C$1), 4,1, tabname) ), "")</f>
        <v/>
      </c>
      <c r="D174" s="10" t="str">
        <f ca="1">TEXT( INDIRECT( ADDRESS( ROW() + Row_Offset, INDIRECT( "Column_Number_" &amp; D$1), 4,1, tabname) ), "")</f>
        <v/>
      </c>
      <c r="E174" s="10" t="str">
        <f ca="1">TEXT( INDIRECT( ADDRESS( ROW() + Row_Offset, INDIRECT( "Column_Number_" &amp; E$1), 4,1, tabname) ), "####")</f>
        <v/>
      </c>
      <c r="F174" s="15"/>
      <c r="G174" s="22" t="str">
        <f ca="1">IFERROR(INDEX(Rank_Table[],MATCH($D174&amp;$A174,Table4[Join],0)),"")</f>
        <v/>
      </c>
      <c r="H174" s="11" t="str">
        <f ca="1">IF(AND(D174="Juvenile Audiobook",LEFT(B174,8)="J CD BIO"),RIGHT(B174,LEN(B174)-9),
IF(AND(D174="Juvenile Audiobook",LEFT(B174,8)="J CD FIC"),B174,
IF(D174="Juvenile Audiobook",RIGHT(B174,LEN(B174)-5),
IF(AND(D174="Teen Audiobook",LEFT(B174,11)="TEEN CD BIO"),RIGHT(B174,LEN(B174)-12),
IF(AND(D174="Teen Audiobook",LEFT(B174,11)="TEEN CD FIC"),B174,
IF(D174="Juvenile Audiobook",RIGHT(B174,LEN(B174)-8),
IF(D174="Juvenile Nonfiction",RIGHT(B174,LEN(B174)-2),
IF(D174="Teen Nonfiction",RIGHT(B174,LEN(B174)-5),
IF(AND(D174="Audiobook",
              NOT(OR(Contains($B174,"CD BIO"),Contains($B174,"CD FIC")))),RIGHT(B174,LEN(B174)-3),
IF(D174="Juvenile Biography",RIGHT(B174,LEN(B174)-2),
IF(D174="Teen Biography",RIGHT(B174,LEN(B174)-5),
IF(AND(D174="Audiobook",
              IFERROR(FIND("BIO",$B174)&gt;0,FALSE)),RIGHT(B174,LEN(B174)-3),
IF(D174="Juvenile Large Type","J "&amp;RIGHT(B174,LEN(B174)-11),
IF(D174="Teen Large Type","TEEN "&amp;RIGHT(B174,LEN(B174)-14),
IF(D174="Reference",RIGHT(B174,LEN(B174)-4),
IF(D174="DVD Educational",RIGHT(B174,LEN(B174)-7),
IF(D174="Juvenile DVD Educational",RIGHT(B174,LEN(B174)-9),
B174)))))))))))))))))</f>
        <v/>
      </c>
      <c r="N174" s="11" t="str">
        <f ca="1">IF(IFERROR(FIND("New",$A174)&gt;0,FALSE),"New ","") &amp; IF(IFERROR(FIND("In Lib",$A174)&gt;0,FALSE),"Reference ","") &amp;
IF(AND(D174="Audiobook",LEFT(B174,6)="CD BIO"),"Biography",
IF(AND(D174="Teen Audiobook",LEFT(B174,11)="TEEN CD BIO"),"Biography",
IF(AND(D174="Juvenile Audiobook",LEFT(B174,8)="J CD BIO"),"Biography",
IF(AND(D174="Audiobook",LEFT(B174,6)="CD FIC"),"Audiobook Fiction",
IF(AND(D174="Teen Audiobook",LEFT(B174,11)="TEEN CD FIC"),"Teen Audiobook",
IF(AND(D174="Juvenile Audiobook",LEFT(B174,8)="J CD FIC"),"Juvenile Audiobook",
IF(D174="Audiobook","Nonfiction",
IF(D174="Juvenile Audiobook","Nonfiction",
IF(D174="Teen Audiobook","Nonfiction",
IF(D174="Juvenile Nonfiction","Nonfiction",
IF(D174="Teen Nonfiction","Nonfiction",
IF(D174="Juvenile Biography","Biography",
IF(D174="Teen Biography","Biography",
IF(D174="ESL","Nonfiction",
IF(LEFT(B174,11)="INTL-VIE J ","International Juvenile",IF(LEFT(B174,11)="INTL-TAG J ","International Juvenile",IF(LEFT(B174,11)="INTL-RUS J ","International Juvenile",IF(LEFT(B174,11)="INTL-KOR J ","International Juvenile",IF(LEFT(B174,11)="INTL-JAP J ","International Juvenile",IF(LEFT(B174,11)="INTL-CHI J ","International Juvenile",IF(LEFT(B174,11)="INTL-SPA J ","International Juvenile",IF(LEFT(B174,14)="INTL-VIE TEEN ","International Teen",IF(LEFT(B174,14)="INTL-TAG TEEN ","International Teen",IF(LEFT(B174,14)="INTL-RUS TEEN ","International Teen",IF(LEFT(B174,14)="INTL-KOR TEEN ","International Teen",IF(LEFT(B174,14)="INTL-JAP TEEN ","International Teen",IF(LEFT(B174,14)="INTL-CHI TEEN ","International Teen",IF(LEFT(B174,14)="INTL-SPA TEEN ","International Teen",IF(LEFT(B174,11)="INTL-VIE E ","International Easy",IF(LEFT(B174,11)="INTL-TAG E ","International Easy",IF(LEFT(B174,11)="INTL-RUS E ","International Easy",IF(LEFT(B174,11)="INTL-JAP E ","International Easy",IF(LEFT(B174,11)="INTL-KOR E ","International Easy",IF(LEFT(B174,11)="INTL-CHI E ","International Easy",IF(LEFT(B174,11)="INTL-SPA E ","International Easy",
IF(D174="Teen Large Type","Teen Fiction",
IF(D174="Juvenile Large Type","Juvenile Fiction",
IF(LEFT(B174,6)="J CD O","Juvenile Compact Disc",
IF(AND(LEFT(B174,4)="TEEN",D174="Fiction"),"Teen Fiction",
IF(D174="DVD Educational","Nonfiction",
IF(D174="Juvenile DVD Educational","Nonfiction",
IF(D174="Reference","Nonfiction",
D174))))))))))))))))))))))))))))))))))))))))))</f>
        <v/>
      </c>
    </row>
    <row r="175" spans="1:14" ht="27" customHeight="1" x14ac:dyDescent="0.25">
      <c r="A175" s="10" t="str">
        <f ca="1">TEXT( INDIRECT( ADDRESS( ROW() + Row_Offset, INDIRECT( "Column_Number_" &amp; A$1), 4,1, tabname) ), "")</f>
        <v/>
      </c>
      <c r="B175" s="10" t="str">
        <f ca="1">TEXT(  IFERROR( VLOOKUP( $D175, CollName_Simplifier_Table[], 2, FALSE),"") &amp;
        INDIRECT( ADDRESS( ROW() + Row_Offset, INDIRECT( "Column_Number_" &amp; $B$1), 4,1, tabname) ), "")</f>
        <v/>
      </c>
      <c r="C175" s="10" t="str">
        <f ca="1">TEXT( INDIRECT( ADDRESS( ROW() + Row_Offset, INDIRECT( "Column_Number_" &amp; C$1), 4,1, tabname) ), "")</f>
        <v/>
      </c>
      <c r="D175" s="10" t="str">
        <f ca="1">TEXT( INDIRECT( ADDRESS( ROW() + Row_Offset, INDIRECT( "Column_Number_" &amp; D$1), 4,1, tabname) ), "")</f>
        <v/>
      </c>
      <c r="E175" s="10" t="str">
        <f ca="1">TEXT( INDIRECT( ADDRESS( ROW() + Row_Offset, INDIRECT( "Column_Number_" &amp; E$1), 4,1, tabname) ), "####")</f>
        <v/>
      </c>
      <c r="F175" s="15"/>
      <c r="G175" s="22" t="str">
        <f ca="1">IFERROR(INDEX(Rank_Table[],MATCH($D175&amp;$A175,Table4[Join],0)),"")</f>
        <v/>
      </c>
      <c r="H175" s="11" t="str">
        <f ca="1">IF(AND(D175="Juvenile Audiobook",LEFT(B175,8)="J CD BIO"),RIGHT(B175,LEN(B175)-9),
IF(AND(D175="Juvenile Audiobook",LEFT(B175,8)="J CD FIC"),B175,
IF(D175="Juvenile Audiobook",RIGHT(B175,LEN(B175)-5),
IF(AND(D175="Teen Audiobook",LEFT(B175,11)="TEEN CD BIO"),RIGHT(B175,LEN(B175)-12),
IF(AND(D175="Teen Audiobook",LEFT(B175,11)="TEEN CD FIC"),B175,
IF(D175="Juvenile Audiobook",RIGHT(B175,LEN(B175)-8),
IF(D175="Juvenile Nonfiction",RIGHT(B175,LEN(B175)-2),
IF(D175="Teen Nonfiction",RIGHT(B175,LEN(B175)-5),
IF(AND(D175="Audiobook",
              NOT(OR(Contains($B175,"CD BIO"),Contains($B175,"CD FIC")))),RIGHT(B175,LEN(B175)-3),
IF(D175="Juvenile Biography",RIGHT(B175,LEN(B175)-2),
IF(D175="Teen Biography",RIGHT(B175,LEN(B175)-5),
IF(AND(D175="Audiobook",
              IFERROR(FIND("BIO",$B175)&gt;0,FALSE)),RIGHT(B175,LEN(B175)-3),
IF(D175="Juvenile Large Type","J "&amp;RIGHT(B175,LEN(B175)-11),
IF(D175="Teen Large Type","TEEN "&amp;RIGHT(B175,LEN(B175)-14),
IF(D175="Reference",RIGHT(B175,LEN(B175)-4),
IF(D175="DVD Educational",RIGHT(B175,LEN(B175)-7),
IF(D175="Juvenile DVD Educational",RIGHT(B175,LEN(B175)-9),
B175)))))))))))))))))</f>
        <v/>
      </c>
      <c r="N175" s="11" t="str">
        <f ca="1">IF(IFERROR(FIND("New",$A175)&gt;0,FALSE),"New ","") &amp; IF(IFERROR(FIND("In Lib",$A175)&gt;0,FALSE),"Reference ","") &amp;
IF(AND(D175="Audiobook",LEFT(B175,6)="CD BIO"),"Biography",
IF(AND(D175="Teen Audiobook",LEFT(B175,11)="TEEN CD BIO"),"Biography",
IF(AND(D175="Juvenile Audiobook",LEFT(B175,8)="J CD BIO"),"Biography",
IF(AND(D175="Audiobook",LEFT(B175,6)="CD FIC"),"Audiobook Fiction",
IF(AND(D175="Teen Audiobook",LEFT(B175,11)="TEEN CD FIC"),"Teen Audiobook",
IF(AND(D175="Juvenile Audiobook",LEFT(B175,8)="J CD FIC"),"Juvenile Audiobook",
IF(D175="Audiobook","Nonfiction",
IF(D175="Juvenile Audiobook","Nonfiction",
IF(D175="Teen Audiobook","Nonfiction",
IF(D175="Juvenile Nonfiction","Nonfiction",
IF(D175="Teen Nonfiction","Nonfiction",
IF(D175="Juvenile Biography","Biography",
IF(D175="Teen Biography","Biography",
IF(D175="ESL","Nonfiction",
IF(LEFT(B175,11)="INTL-VIE J ","International Juvenile",IF(LEFT(B175,11)="INTL-TAG J ","International Juvenile",IF(LEFT(B175,11)="INTL-RUS J ","International Juvenile",IF(LEFT(B175,11)="INTL-KOR J ","International Juvenile",IF(LEFT(B175,11)="INTL-JAP J ","International Juvenile",IF(LEFT(B175,11)="INTL-CHI J ","International Juvenile",IF(LEFT(B175,11)="INTL-SPA J ","International Juvenile",IF(LEFT(B175,14)="INTL-VIE TEEN ","International Teen",IF(LEFT(B175,14)="INTL-TAG TEEN ","International Teen",IF(LEFT(B175,14)="INTL-RUS TEEN ","International Teen",IF(LEFT(B175,14)="INTL-KOR TEEN ","International Teen",IF(LEFT(B175,14)="INTL-JAP TEEN ","International Teen",IF(LEFT(B175,14)="INTL-CHI TEEN ","International Teen",IF(LEFT(B175,14)="INTL-SPA TEEN ","International Teen",IF(LEFT(B175,11)="INTL-VIE E ","International Easy",IF(LEFT(B175,11)="INTL-TAG E ","International Easy",IF(LEFT(B175,11)="INTL-RUS E ","International Easy",IF(LEFT(B175,11)="INTL-JAP E ","International Easy",IF(LEFT(B175,11)="INTL-KOR E ","International Easy",IF(LEFT(B175,11)="INTL-CHI E ","International Easy",IF(LEFT(B175,11)="INTL-SPA E ","International Easy",
IF(D175="Teen Large Type","Teen Fiction",
IF(D175="Juvenile Large Type","Juvenile Fiction",
IF(LEFT(B175,6)="J CD O","Juvenile Compact Disc",
IF(AND(LEFT(B175,4)="TEEN",D175="Fiction"),"Teen Fiction",
IF(D175="DVD Educational","Nonfiction",
IF(D175="Juvenile DVD Educational","Nonfiction",
IF(D175="Reference","Nonfiction",
D175))))))))))))))))))))))))))))))))))))))))))</f>
        <v/>
      </c>
    </row>
    <row r="176" spans="1:14" ht="27" customHeight="1" x14ac:dyDescent="0.25">
      <c r="A176" s="10" t="str">
        <f ca="1">TEXT( INDIRECT( ADDRESS( ROW() + Row_Offset, INDIRECT( "Column_Number_" &amp; A$1), 4,1, tabname) ), "")</f>
        <v/>
      </c>
      <c r="B176" s="10" t="str">
        <f ca="1">TEXT(  IFERROR( VLOOKUP( $D176, CollName_Simplifier_Table[], 2, FALSE),"") &amp;
        INDIRECT( ADDRESS( ROW() + Row_Offset, INDIRECT( "Column_Number_" &amp; $B$1), 4,1, tabname) ), "")</f>
        <v/>
      </c>
      <c r="C176" s="10" t="str">
        <f ca="1">TEXT( INDIRECT( ADDRESS( ROW() + Row_Offset, INDIRECT( "Column_Number_" &amp; C$1), 4,1, tabname) ), "")</f>
        <v/>
      </c>
      <c r="D176" s="10" t="str">
        <f ca="1">TEXT( INDIRECT( ADDRESS( ROW() + Row_Offset, INDIRECT( "Column_Number_" &amp; D$1), 4,1, tabname) ), "")</f>
        <v/>
      </c>
      <c r="E176" s="10" t="str">
        <f ca="1">TEXT( INDIRECT( ADDRESS( ROW() + Row_Offset, INDIRECT( "Column_Number_" &amp; E$1), 4,1, tabname) ), "####")</f>
        <v/>
      </c>
      <c r="F176" s="15"/>
      <c r="G176" s="22" t="str">
        <f ca="1">IFERROR(INDEX(Rank_Table[],MATCH($D176&amp;$A176,Table4[Join],0)),"")</f>
        <v/>
      </c>
      <c r="H176" s="11" t="str">
        <f ca="1">IF(AND(D176="Juvenile Audiobook",LEFT(B176,8)="J CD BIO"),RIGHT(B176,LEN(B176)-9),
IF(AND(D176="Juvenile Audiobook",LEFT(B176,8)="J CD FIC"),B176,
IF(D176="Juvenile Audiobook",RIGHT(B176,LEN(B176)-5),
IF(AND(D176="Teen Audiobook",LEFT(B176,11)="TEEN CD BIO"),RIGHT(B176,LEN(B176)-12),
IF(AND(D176="Teen Audiobook",LEFT(B176,11)="TEEN CD FIC"),B176,
IF(D176="Juvenile Audiobook",RIGHT(B176,LEN(B176)-8),
IF(D176="Juvenile Nonfiction",RIGHT(B176,LEN(B176)-2),
IF(D176="Teen Nonfiction",RIGHT(B176,LEN(B176)-5),
IF(AND(D176="Audiobook",
              NOT(OR(Contains($B176,"CD BIO"),Contains($B176,"CD FIC")))),RIGHT(B176,LEN(B176)-3),
IF(D176="Juvenile Biography",RIGHT(B176,LEN(B176)-2),
IF(D176="Teen Biography",RIGHT(B176,LEN(B176)-5),
IF(AND(D176="Audiobook",
              IFERROR(FIND("BIO",$B176)&gt;0,FALSE)),RIGHT(B176,LEN(B176)-3),
IF(D176="Juvenile Large Type","J "&amp;RIGHT(B176,LEN(B176)-11),
IF(D176="Teen Large Type","TEEN "&amp;RIGHT(B176,LEN(B176)-14),
IF(D176="Reference",RIGHT(B176,LEN(B176)-4),
IF(D176="DVD Educational",RIGHT(B176,LEN(B176)-7),
IF(D176="Juvenile DVD Educational",RIGHT(B176,LEN(B176)-9),
B176)))))))))))))))))</f>
        <v/>
      </c>
      <c r="N176" s="11" t="str">
        <f ca="1">IF(IFERROR(FIND("New",$A176)&gt;0,FALSE),"New ","") &amp; IF(IFERROR(FIND("In Lib",$A176)&gt;0,FALSE),"Reference ","") &amp;
IF(AND(D176="Audiobook",LEFT(B176,6)="CD BIO"),"Biography",
IF(AND(D176="Teen Audiobook",LEFT(B176,11)="TEEN CD BIO"),"Biography",
IF(AND(D176="Juvenile Audiobook",LEFT(B176,8)="J CD BIO"),"Biography",
IF(AND(D176="Audiobook",LEFT(B176,6)="CD FIC"),"Audiobook Fiction",
IF(AND(D176="Teen Audiobook",LEFT(B176,11)="TEEN CD FIC"),"Teen Audiobook",
IF(AND(D176="Juvenile Audiobook",LEFT(B176,8)="J CD FIC"),"Juvenile Audiobook",
IF(D176="Audiobook","Nonfiction",
IF(D176="Juvenile Audiobook","Nonfiction",
IF(D176="Teen Audiobook","Nonfiction",
IF(D176="Juvenile Nonfiction","Nonfiction",
IF(D176="Teen Nonfiction","Nonfiction",
IF(D176="Juvenile Biography","Biography",
IF(D176="Teen Biography","Biography",
IF(D176="ESL","Nonfiction",
IF(LEFT(B176,11)="INTL-VIE J ","International Juvenile",IF(LEFT(B176,11)="INTL-TAG J ","International Juvenile",IF(LEFT(B176,11)="INTL-RUS J ","International Juvenile",IF(LEFT(B176,11)="INTL-KOR J ","International Juvenile",IF(LEFT(B176,11)="INTL-JAP J ","International Juvenile",IF(LEFT(B176,11)="INTL-CHI J ","International Juvenile",IF(LEFT(B176,11)="INTL-SPA J ","International Juvenile",IF(LEFT(B176,14)="INTL-VIE TEEN ","International Teen",IF(LEFT(B176,14)="INTL-TAG TEEN ","International Teen",IF(LEFT(B176,14)="INTL-RUS TEEN ","International Teen",IF(LEFT(B176,14)="INTL-KOR TEEN ","International Teen",IF(LEFT(B176,14)="INTL-JAP TEEN ","International Teen",IF(LEFT(B176,14)="INTL-CHI TEEN ","International Teen",IF(LEFT(B176,14)="INTL-SPA TEEN ","International Teen",IF(LEFT(B176,11)="INTL-VIE E ","International Easy",IF(LEFT(B176,11)="INTL-TAG E ","International Easy",IF(LEFT(B176,11)="INTL-RUS E ","International Easy",IF(LEFT(B176,11)="INTL-JAP E ","International Easy",IF(LEFT(B176,11)="INTL-KOR E ","International Easy",IF(LEFT(B176,11)="INTL-CHI E ","International Easy",IF(LEFT(B176,11)="INTL-SPA E ","International Easy",
IF(D176="Teen Large Type","Teen Fiction",
IF(D176="Juvenile Large Type","Juvenile Fiction",
IF(LEFT(B176,6)="J CD O","Juvenile Compact Disc",
IF(AND(LEFT(B176,4)="TEEN",D176="Fiction"),"Teen Fiction",
IF(D176="DVD Educational","Nonfiction",
IF(D176="Juvenile DVD Educational","Nonfiction",
IF(D176="Reference","Nonfiction",
D176))))))))))))))))))))))))))))))))))))))))))</f>
        <v/>
      </c>
    </row>
    <row r="177" spans="1:14" ht="27" customHeight="1" x14ac:dyDescent="0.25">
      <c r="A177" s="10" t="str">
        <f ca="1">TEXT( INDIRECT( ADDRESS( ROW() + Row_Offset, INDIRECT( "Column_Number_" &amp; A$1), 4,1, tabname) ), "")</f>
        <v/>
      </c>
      <c r="B177" s="10" t="str">
        <f ca="1">TEXT(  IFERROR( VLOOKUP( $D177, CollName_Simplifier_Table[], 2, FALSE),"") &amp;
        INDIRECT( ADDRESS( ROW() + Row_Offset, INDIRECT( "Column_Number_" &amp; $B$1), 4,1, tabname) ), "")</f>
        <v/>
      </c>
      <c r="C177" s="10" t="str">
        <f ca="1">TEXT( INDIRECT( ADDRESS( ROW() + Row_Offset, INDIRECT( "Column_Number_" &amp; C$1), 4,1, tabname) ), "")</f>
        <v/>
      </c>
      <c r="D177" s="10" t="str">
        <f ca="1">TEXT( INDIRECT( ADDRESS( ROW() + Row_Offset, INDIRECT( "Column_Number_" &amp; D$1), 4,1, tabname) ), "")</f>
        <v/>
      </c>
      <c r="E177" s="10" t="str">
        <f ca="1">TEXT( INDIRECT( ADDRESS( ROW() + Row_Offset, INDIRECT( "Column_Number_" &amp; E$1), 4,1, tabname) ), "####")</f>
        <v/>
      </c>
      <c r="F177" s="15"/>
      <c r="G177" s="22" t="str">
        <f ca="1">IFERROR(INDEX(Rank_Table[],MATCH($D177&amp;$A177,Table4[Join],0)),"")</f>
        <v/>
      </c>
      <c r="H177" s="11" t="str">
        <f ca="1">IF(AND(D177="Juvenile Audiobook",LEFT(B177,8)="J CD BIO"),RIGHT(B177,LEN(B177)-9),
IF(AND(D177="Juvenile Audiobook",LEFT(B177,8)="J CD FIC"),B177,
IF(D177="Juvenile Audiobook",RIGHT(B177,LEN(B177)-5),
IF(AND(D177="Teen Audiobook",LEFT(B177,11)="TEEN CD BIO"),RIGHT(B177,LEN(B177)-12),
IF(AND(D177="Teen Audiobook",LEFT(B177,11)="TEEN CD FIC"),B177,
IF(D177="Juvenile Audiobook",RIGHT(B177,LEN(B177)-8),
IF(D177="Juvenile Nonfiction",RIGHT(B177,LEN(B177)-2),
IF(D177="Teen Nonfiction",RIGHT(B177,LEN(B177)-5),
IF(AND(D177="Audiobook",
              NOT(OR(Contains($B177,"CD BIO"),Contains($B177,"CD FIC")))),RIGHT(B177,LEN(B177)-3),
IF(D177="Juvenile Biography",RIGHT(B177,LEN(B177)-2),
IF(D177="Teen Biography",RIGHT(B177,LEN(B177)-5),
IF(AND(D177="Audiobook",
              IFERROR(FIND("BIO",$B177)&gt;0,FALSE)),RIGHT(B177,LEN(B177)-3),
IF(D177="Juvenile Large Type","J "&amp;RIGHT(B177,LEN(B177)-11),
IF(D177="Teen Large Type","TEEN "&amp;RIGHT(B177,LEN(B177)-14),
IF(D177="Reference",RIGHT(B177,LEN(B177)-4),
IF(D177="DVD Educational",RIGHT(B177,LEN(B177)-7),
IF(D177="Juvenile DVD Educational",RIGHT(B177,LEN(B177)-9),
B177)))))))))))))))))</f>
        <v/>
      </c>
      <c r="N177" s="11" t="str">
        <f ca="1">IF(IFERROR(FIND("New",$A177)&gt;0,FALSE),"New ","") &amp; IF(IFERROR(FIND("In Lib",$A177)&gt;0,FALSE),"Reference ","") &amp;
IF(AND(D177="Audiobook",LEFT(B177,6)="CD BIO"),"Biography",
IF(AND(D177="Teen Audiobook",LEFT(B177,11)="TEEN CD BIO"),"Biography",
IF(AND(D177="Juvenile Audiobook",LEFT(B177,8)="J CD BIO"),"Biography",
IF(AND(D177="Audiobook",LEFT(B177,6)="CD FIC"),"Audiobook Fiction",
IF(AND(D177="Teen Audiobook",LEFT(B177,11)="TEEN CD FIC"),"Teen Audiobook",
IF(AND(D177="Juvenile Audiobook",LEFT(B177,8)="J CD FIC"),"Juvenile Audiobook",
IF(D177="Audiobook","Nonfiction",
IF(D177="Juvenile Audiobook","Nonfiction",
IF(D177="Teen Audiobook","Nonfiction",
IF(D177="Juvenile Nonfiction","Nonfiction",
IF(D177="Teen Nonfiction","Nonfiction",
IF(D177="Juvenile Biography","Biography",
IF(D177="Teen Biography","Biography",
IF(D177="ESL","Nonfiction",
IF(LEFT(B177,11)="INTL-VIE J ","International Juvenile",IF(LEFT(B177,11)="INTL-TAG J ","International Juvenile",IF(LEFT(B177,11)="INTL-RUS J ","International Juvenile",IF(LEFT(B177,11)="INTL-KOR J ","International Juvenile",IF(LEFT(B177,11)="INTL-JAP J ","International Juvenile",IF(LEFT(B177,11)="INTL-CHI J ","International Juvenile",IF(LEFT(B177,11)="INTL-SPA J ","International Juvenile",IF(LEFT(B177,14)="INTL-VIE TEEN ","International Teen",IF(LEFT(B177,14)="INTL-TAG TEEN ","International Teen",IF(LEFT(B177,14)="INTL-RUS TEEN ","International Teen",IF(LEFT(B177,14)="INTL-KOR TEEN ","International Teen",IF(LEFT(B177,14)="INTL-JAP TEEN ","International Teen",IF(LEFT(B177,14)="INTL-CHI TEEN ","International Teen",IF(LEFT(B177,14)="INTL-SPA TEEN ","International Teen",IF(LEFT(B177,11)="INTL-VIE E ","International Easy",IF(LEFT(B177,11)="INTL-TAG E ","International Easy",IF(LEFT(B177,11)="INTL-RUS E ","International Easy",IF(LEFT(B177,11)="INTL-JAP E ","International Easy",IF(LEFT(B177,11)="INTL-KOR E ","International Easy",IF(LEFT(B177,11)="INTL-CHI E ","International Easy",IF(LEFT(B177,11)="INTL-SPA E ","International Easy",
IF(D177="Teen Large Type","Teen Fiction",
IF(D177="Juvenile Large Type","Juvenile Fiction",
IF(LEFT(B177,6)="J CD O","Juvenile Compact Disc",
IF(AND(LEFT(B177,4)="TEEN",D177="Fiction"),"Teen Fiction",
IF(D177="DVD Educational","Nonfiction",
IF(D177="Juvenile DVD Educational","Nonfiction",
IF(D177="Reference","Nonfiction",
D177))))))))))))))))))))))))))))))))))))))))))</f>
        <v/>
      </c>
    </row>
    <row r="178" spans="1:14" ht="27" customHeight="1" x14ac:dyDescent="0.25">
      <c r="A178" s="10" t="str">
        <f ca="1">TEXT( INDIRECT( ADDRESS( ROW() + Row_Offset, INDIRECT( "Column_Number_" &amp; A$1), 4,1, tabname) ), "")</f>
        <v/>
      </c>
      <c r="B178" s="10" t="str">
        <f ca="1">TEXT(  IFERROR( VLOOKUP( $D178, CollName_Simplifier_Table[], 2, FALSE),"") &amp;
        INDIRECT( ADDRESS( ROW() + Row_Offset, INDIRECT( "Column_Number_" &amp; $B$1), 4,1, tabname) ), "")</f>
        <v/>
      </c>
      <c r="C178" s="10" t="str">
        <f ca="1">TEXT( INDIRECT( ADDRESS( ROW() + Row_Offset, INDIRECT( "Column_Number_" &amp; C$1), 4,1, tabname) ), "")</f>
        <v/>
      </c>
      <c r="D178" s="10" t="str">
        <f ca="1">TEXT( INDIRECT( ADDRESS( ROW() + Row_Offset, INDIRECT( "Column_Number_" &amp; D$1), 4,1, tabname) ), "")</f>
        <v/>
      </c>
      <c r="E178" s="10" t="str">
        <f ca="1">TEXT( INDIRECT( ADDRESS( ROW() + Row_Offset, INDIRECT( "Column_Number_" &amp; E$1), 4,1, tabname) ), "####")</f>
        <v/>
      </c>
      <c r="F178" s="15"/>
      <c r="G178" s="22" t="str">
        <f ca="1">IFERROR(INDEX(Rank_Table[],MATCH($D178&amp;$A178,Table4[Join],0)),"")</f>
        <v/>
      </c>
      <c r="H178" s="11" t="str">
        <f ca="1">IF(AND(D178="Juvenile Audiobook",LEFT(B178,8)="J CD BIO"),RIGHT(B178,LEN(B178)-9),
IF(AND(D178="Juvenile Audiobook",LEFT(B178,8)="J CD FIC"),B178,
IF(D178="Juvenile Audiobook",RIGHT(B178,LEN(B178)-5),
IF(AND(D178="Teen Audiobook",LEFT(B178,11)="TEEN CD BIO"),RIGHT(B178,LEN(B178)-12),
IF(AND(D178="Teen Audiobook",LEFT(B178,11)="TEEN CD FIC"),B178,
IF(D178="Juvenile Audiobook",RIGHT(B178,LEN(B178)-8),
IF(D178="Juvenile Nonfiction",RIGHT(B178,LEN(B178)-2),
IF(D178="Teen Nonfiction",RIGHT(B178,LEN(B178)-5),
IF(AND(D178="Audiobook",
              NOT(OR(Contains($B178,"CD BIO"),Contains($B178,"CD FIC")))),RIGHT(B178,LEN(B178)-3),
IF(D178="Juvenile Biography",RIGHT(B178,LEN(B178)-2),
IF(D178="Teen Biography",RIGHT(B178,LEN(B178)-5),
IF(AND(D178="Audiobook",
              IFERROR(FIND("BIO",$B178)&gt;0,FALSE)),RIGHT(B178,LEN(B178)-3),
IF(D178="Juvenile Large Type","J "&amp;RIGHT(B178,LEN(B178)-11),
IF(D178="Teen Large Type","TEEN "&amp;RIGHT(B178,LEN(B178)-14),
IF(D178="Reference",RIGHT(B178,LEN(B178)-4),
IF(D178="DVD Educational",RIGHT(B178,LEN(B178)-7),
IF(D178="Juvenile DVD Educational",RIGHT(B178,LEN(B178)-9),
B178)))))))))))))))))</f>
        <v/>
      </c>
      <c r="N178" s="11" t="str">
        <f ca="1">IF(IFERROR(FIND("New",$A178)&gt;0,FALSE),"New ","") &amp; IF(IFERROR(FIND("In Lib",$A178)&gt;0,FALSE),"Reference ","") &amp;
IF(AND(D178="Audiobook",LEFT(B178,6)="CD BIO"),"Biography",
IF(AND(D178="Teen Audiobook",LEFT(B178,11)="TEEN CD BIO"),"Biography",
IF(AND(D178="Juvenile Audiobook",LEFT(B178,8)="J CD BIO"),"Biography",
IF(AND(D178="Audiobook",LEFT(B178,6)="CD FIC"),"Audiobook Fiction",
IF(AND(D178="Teen Audiobook",LEFT(B178,11)="TEEN CD FIC"),"Teen Audiobook",
IF(AND(D178="Juvenile Audiobook",LEFT(B178,8)="J CD FIC"),"Juvenile Audiobook",
IF(D178="Audiobook","Nonfiction",
IF(D178="Juvenile Audiobook","Nonfiction",
IF(D178="Teen Audiobook","Nonfiction",
IF(D178="Juvenile Nonfiction","Nonfiction",
IF(D178="Teen Nonfiction","Nonfiction",
IF(D178="Juvenile Biography","Biography",
IF(D178="Teen Biography","Biography",
IF(D178="ESL","Nonfiction",
IF(LEFT(B178,11)="INTL-VIE J ","International Juvenile",IF(LEFT(B178,11)="INTL-TAG J ","International Juvenile",IF(LEFT(B178,11)="INTL-RUS J ","International Juvenile",IF(LEFT(B178,11)="INTL-KOR J ","International Juvenile",IF(LEFT(B178,11)="INTL-JAP J ","International Juvenile",IF(LEFT(B178,11)="INTL-CHI J ","International Juvenile",IF(LEFT(B178,11)="INTL-SPA J ","International Juvenile",IF(LEFT(B178,14)="INTL-VIE TEEN ","International Teen",IF(LEFT(B178,14)="INTL-TAG TEEN ","International Teen",IF(LEFT(B178,14)="INTL-RUS TEEN ","International Teen",IF(LEFT(B178,14)="INTL-KOR TEEN ","International Teen",IF(LEFT(B178,14)="INTL-JAP TEEN ","International Teen",IF(LEFT(B178,14)="INTL-CHI TEEN ","International Teen",IF(LEFT(B178,14)="INTL-SPA TEEN ","International Teen",IF(LEFT(B178,11)="INTL-VIE E ","International Easy",IF(LEFT(B178,11)="INTL-TAG E ","International Easy",IF(LEFT(B178,11)="INTL-RUS E ","International Easy",IF(LEFT(B178,11)="INTL-JAP E ","International Easy",IF(LEFT(B178,11)="INTL-KOR E ","International Easy",IF(LEFT(B178,11)="INTL-CHI E ","International Easy",IF(LEFT(B178,11)="INTL-SPA E ","International Easy",
IF(D178="Teen Large Type","Teen Fiction",
IF(D178="Juvenile Large Type","Juvenile Fiction",
IF(LEFT(B178,6)="J CD O","Juvenile Compact Disc",
IF(AND(LEFT(B178,4)="TEEN",D178="Fiction"),"Teen Fiction",
IF(D178="DVD Educational","Nonfiction",
IF(D178="Juvenile DVD Educational","Nonfiction",
IF(D178="Reference","Nonfiction",
D178))))))))))))))))))))))))))))))))))))))))))</f>
        <v/>
      </c>
    </row>
    <row r="179" spans="1:14" ht="27" customHeight="1" x14ac:dyDescent="0.25">
      <c r="A179" s="10" t="str">
        <f ca="1">TEXT( INDIRECT( ADDRESS( ROW() + Row_Offset, INDIRECT( "Column_Number_" &amp; A$1), 4,1, tabname) ), "")</f>
        <v/>
      </c>
      <c r="B179" s="10" t="str">
        <f ca="1">TEXT(  IFERROR( VLOOKUP( $D179, CollName_Simplifier_Table[], 2, FALSE),"") &amp;
        INDIRECT( ADDRESS( ROW() + Row_Offset, INDIRECT( "Column_Number_" &amp; $B$1), 4,1, tabname) ), "")</f>
        <v/>
      </c>
      <c r="C179" s="10" t="str">
        <f ca="1">TEXT( INDIRECT( ADDRESS( ROW() + Row_Offset, INDIRECT( "Column_Number_" &amp; C$1), 4,1, tabname) ), "")</f>
        <v/>
      </c>
      <c r="D179" s="10" t="str">
        <f ca="1">TEXT( INDIRECT( ADDRESS( ROW() + Row_Offset, INDIRECT( "Column_Number_" &amp; D$1), 4,1, tabname) ), "")</f>
        <v/>
      </c>
      <c r="E179" s="10" t="str">
        <f ca="1">TEXT( INDIRECT( ADDRESS( ROW() + Row_Offset, INDIRECT( "Column_Number_" &amp; E$1), 4,1, tabname) ), "####")</f>
        <v/>
      </c>
      <c r="F179" s="15"/>
      <c r="G179" s="22" t="str">
        <f ca="1">IFERROR(INDEX(Rank_Table[],MATCH($D179&amp;$A179,Table4[Join],0)),"")</f>
        <v/>
      </c>
      <c r="H179" s="11" t="str">
        <f ca="1">IF(AND(D179="Juvenile Audiobook",LEFT(B179,8)="J CD BIO"),RIGHT(B179,LEN(B179)-9),
IF(AND(D179="Juvenile Audiobook",LEFT(B179,8)="J CD FIC"),B179,
IF(D179="Juvenile Audiobook",RIGHT(B179,LEN(B179)-5),
IF(AND(D179="Teen Audiobook",LEFT(B179,11)="TEEN CD BIO"),RIGHT(B179,LEN(B179)-12),
IF(AND(D179="Teen Audiobook",LEFT(B179,11)="TEEN CD FIC"),B179,
IF(D179="Juvenile Audiobook",RIGHT(B179,LEN(B179)-8),
IF(D179="Juvenile Nonfiction",RIGHT(B179,LEN(B179)-2),
IF(D179="Teen Nonfiction",RIGHT(B179,LEN(B179)-5),
IF(AND(D179="Audiobook",
              NOT(OR(Contains($B179,"CD BIO"),Contains($B179,"CD FIC")))),RIGHT(B179,LEN(B179)-3),
IF(D179="Juvenile Biography",RIGHT(B179,LEN(B179)-2),
IF(D179="Teen Biography",RIGHT(B179,LEN(B179)-5),
IF(AND(D179="Audiobook",
              IFERROR(FIND("BIO",$B179)&gt;0,FALSE)),RIGHT(B179,LEN(B179)-3),
IF(D179="Juvenile Large Type","J "&amp;RIGHT(B179,LEN(B179)-11),
IF(D179="Teen Large Type","TEEN "&amp;RIGHT(B179,LEN(B179)-14),
IF(D179="Reference",RIGHT(B179,LEN(B179)-4),
IF(D179="DVD Educational",RIGHT(B179,LEN(B179)-7),
IF(D179="Juvenile DVD Educational",RIGHT(B179,LEN(B179)-9),
B179)))))))))))))))))</f>
        <v/>
      </c>
      <c r="N179" s="11" t="str">
        <f ca="1">IF(IFERROR(FIND("New",$A179)&gt;0,FALSE),"New ","") &amp; IF(IFERROR(FIND("In Lib",$A179)&gt;0,FALSE),"Reference ","") &amp;
IF(AND(D179="Audiobook",LEFT(B179,6)="CD BIO"),"Biography",
IF(AND(D179="Teen Audiobook",LEFT(B179,11)="TEEN CD BIO"),"Biography",
IF(AND(D179="Juvenile Audiobook",LEFT(B179,8)="J CD BIO"),"Biography",
IF(AND(D179="Audiobook",LEFT(B179,6)="CD FIC"),"Audiobook Fiction",
IF(AND(D179="Teen Audiobook",LEFT(B179,11)="TEEN CD FIC"),"Teen Audiobook",
IF(AND(D179="Juvenile Audiobook",LEFT(B179,8)="J CD FIC"),"Juvenile Audiobook",
IF(D179="Audiobook","Nonfiction",
IF(D179="Juvenile Audiobook","Nonfiction",
IF(D179="Teen Audiobook","Nonfiction",
IF(D179="Juvenile Nonfiction","Nonfiction",
IF(D179="Teen Nonfiction","Nonfiction",
IF(D179="Juvenile Biography","Biography",
IF(D179="Teen Biography","Biography",
IF(D179="ESL","Nonfiction",
IF(LEFT(B179,11)="INTL-VIE J ","International Juvenile",IF(LEFT(B179,11)="INTL-TAG J ","International Juvenile",IF(LEFT(B179,11)="INTL-RUS J ","International Juvenile",IF(LEFT(B179,11)="INTL-KOR J ","International Juvenile",IF(LEFT(B179,11)="INTL-JAP J ","International Juvenile",IF(LEFT(B179,11)="INTL-CHI J ","International Juvenile",IF(LEFT(B179,11)="INTL-SPA J ","International Juvenile",IF(LEFT(B179,14)="INTL-VIE TEEN ","International Teen",IF(LEFT(B179,14)="INTL-TAG TEEN ","International Teen",IF(LEFT(B179,14)="INTL-RUS TEEN ","International Teen",IF(LEFT(B179,14)="INTL-KOR TEEN ","International Teen",IF(LEFT(B179,14)="INTL-JAP TEEN ","International Teen",IF(LEFT(B179,14)="INTL-CHI TEEN ","International Teen",IF(LEFT(B179,14)="INTL-SPA TEEN ","International Teen",IF(LEFT(B179,11)="INTL-VIE E ","International Easy",IF(LEFT(B179,11)="INTL-TAG E ","International Easy",IF(LEFT(B179,11)="INTL-RUS E ","International Easy",IF(LEFT(B179,11)="INTL-JAP E ","International Easy",IF(LEFT(B179,11)="INTL-KOR E ","International Easy",IF(LEFT(B179,11)="INTL-CHI E ","International Easy",IF(LEFT(B179,11)="INTL-SPA E ","International Easy",
IF(D179="Teen Large Type","Teen Fiction",
IF(D179="Juvenile Large Type","Juvenile Fiction",
IF(LEFT(B179,6)="J CD O","Juvenile Compact Disc",
IF(AND(LEFT(B179,4)="TEEN",D179="Fiction"),"Teen Fiction",
IF(D179="DVD Educational","Nonfiction",
IF(D179="Juvenile DVD Educational","Nonfiction",
IF(D179="Reference","Nonfiction",
D179))))))))))))))))))))))))))))))))))))))))))</f>
        <v/>
      </c>
    </row>
    <row r="180" spans="1:14" ht="27" customHeight="1" x14ac:dyDescent="0.25">
      <c r="A180" s="10" t="str">
        <f ca="1">TEXT( INDIRECT( ADDRESS( ROW() + Row_Offset, INDIRECT( "Column_Number_" &amp; A$1), 4,1, tabname) ), "")</f>
        <v/>
      </c>
      <c r="B180" s="10" t="str">
        <f ca="1">TEXT(  IFERROR( VLOOKUP( $D180, CollName_Simplifier_Table[], 2, FALSE),"") &amp;
        INDIRECT( ADDRESS( ROW() + Row_Offset, INDIRECT( "Column_Number_" &amp; $B$1), 4,1, tabname) ), "")</f>
        <v/>
      </c>
      <c r="C180" s="10" t="str">
        <f ca="1">TEXT( INDIRECT( ADDRESS( ROW() + Row_Offset, INDIRECT( "Column_Number_" &amp; C$1), 4,1, tabname) ), "")</f>
        <v/>
      </c>
      <c r="D180" s="10" t="str">
        <f ca="1">TEXT( INDIRECT( ADDRESS( ROW() + Row_Offset, INDIRECT( "Column_Number_" &amp; D$1), 4,1, tabname) ), "")</f>
        <v/>
      </c>
      <c r="E180" s="10" t="str">
        <f ca="1">TEXT( INDIRECT( ADDRESS( ROW() + Row_Offset, INDIRECT( "Column_Number_" &amp; E$1), 4,1, tabname) ), "####")</f>
        <v/>
      </c>
      <c r="F180" s="15"/>
      <c r="G180" s="22" t="str">
        <f ca="1">IFERROR(INDEX(Rank_Table[],MATCH($D180&amp;$A180,Table4[Join],0)),"")</f>
        <v/>
      </c>
      <c r="H180" s="11" t="str">
        <f ca="1">IF(AND(D180="Juvenile Audiobook",LEFT(B180,8)="J CD BIO"),RIGHT(B180,LEN(B180)-9),
IF(AND(D180="Juvenile Audiobook",LEFT(B180,8)="J CD FIC"),B180,
IF(D180="Juvenile Audiobook",RIGHT(B180,LEN(B180)-5),
IF(AND(D180="Teen Audiobook",LEFT(B180,11)="TEEN CD BIO"),RIGHT(B180,LEN(B180)-12),
IF(AND(D180="Teen Audiobook",LEFT(B180,11)="TEEN CD FIC"),B180,
IF(D180="Juvenile Audiobook",RIGHT(B180,LEN(B180)-8),
IF(D180="Juvenile Nonfiction",RIGHT(B180,LEN(B180)-2),
IF(D180="Teen Nonfiction",RIGHT(B180,LEN(B180)-5),
IF(AND(D180="Audiobook",
              NOT(OR(Contains($B180,"CD BIO"),Contains($B180,"CD FIC")))),RIGHT(B180,LEN(B180)-3),
IF(D180="Juvenile Biography",RIGHT(B180,LEN(B180)-2),
IF(D180="Teen Biography",RIGHT(B180,LEN(B180)-5),
IF(AND(D180="Audiobook",
              IFERROR(FIND("BIO",$B180)&gt;0,FALSE)),RIGHT(B180,LEN(B180)-3),
IF(D180="Juvenile Large Type","J "&amp;RIGHT(B180,LEN(B180)-11),
IF(D180="Teen Large Type","TEEN "&amp;RIGHT(B180,LEN(B180)-14),
IF(D180="Reference",RIGHT(B180,LEN(B180)-4),
IF(D180="DVD Educational",RIGHT(B180,LEN(B180)-7),
IF(D180="Juvenile DVD Educational",RIGHT(B180,LEN(B180)-9),
B180)))))))))))))))))</f>
        <v/>
      </c>
      <c r="N180" s="11" t="str">
        <f ca="1">IF(IFERROR(FIND("New",$A180)&gt;0,FALSE),"New ","") &amp; IF(IFERROR(FIND("In Lib",$A180)&gt;0,FALSE),"Reference ","") &amp;
IF(AND(D180="Audiobook",LEFT(B180,6)="CD BIO"),"Biography",
IF(AND(D180="Teen Audiobook",LEFT(B180,11)="TEEN CD BIO"),"Biography",
IF(AND(D180="Juvenile Audiobook",LEFT(B180,8)="J CD BIO"),"Biography",
IF(AND(D180="Audiobook",LEFT(B180,6)="CD FIC"),"Audiobook Fiction",
IF(AND(D180="Teen Audiobook",LEFT(B180,11)="TEEN CD FIC"),"Teen Audiobook",
IF(AND(D180="Juvenile Audiobook",LEFT(B180,8)="J CD FIC"),"Juvenile Audiobook",
IF(D180="Audiobook","Nonfiction",
IF(D180="Juvenile Audiobook","Nonfiction",
IF(D180="Teen Audiobook","Nonfiction",
IF(D180="Juvenile Nonfiction","Nonfiction",
IF(D180="Teen Nonfiction","Nonfiction",
IF(D180="Juvenile Biography","Biography",
IF(D180="Teen Biography","Biography",
IF(D180="ESL","Nonfiction",
IF(LEFT(B180,11)="INTL-VIE J ","International Juvenile",IF(LEFT(B180,11)="INTL-TAG J ","International Juvenile",IF(LEFT(B180,11)="INTL-RUS J ","International Juvenile",IF(LEFT(B180,11)="INTL-KOR J ","International Juvenile",IF(LEFT(B180,11)="INTL-JAP J ","International Juvenile",IF(LEFT(B180,11)="INTL-CHI J ","International Juvenile",IF(LEFT(B180,11)="INTL-SPA J ","International Juvenile",IF(LEFT(B180,14)="INTL-VIE TEEN ","International Teen",IF(LEFT(B180,14)="INTL-TAG TEEN ","International Teen",IF(LEFT(B180,14)="INTL-RUS TEEN ","International Teen",IF(LEFT(B180,14)="INTL-KOR TEEN ","International Teen",IF(LEFT(B180,14)="INTL-JAP TEEN ","International Teen",IF(LEFT(B180,14)="INTL-CHI TEEN ","International Teen",IF(LEFT(B180,14)="INTL-SPA TEEN ","International Teen",IF(LEFT(B180,11)="INTL-VIE E ","International Easy",IF(LEFT(B180,11)="INTL-TAG E ","International Easy",IF(LEFT(B180,11)="INTL-RUS E ","International Easy",IF(LEFT(B180,11)="INTL-JAP E ","International Easy",IF(LEFT(B180,11)="INTL-KOR E ","International Easy",IF(LEFT(B180,11)="INTL-CHI E ","International Easy",IF(LEFT(B180,11)="INTL-SPA E ","International Easy",
IF(D180="Teen Large Type","Teen Fiction",
IF(D180="Juvenile Large Type","Juvenile Fiction",
IF(LEFT(B180,6)="J CD O","Juvenile Compact Disc",
IF(AND(LEFT(B180,4)="TEEN",D180="Fiction"),"Teen Fiction",
IF(D180="DVD Educational","Nonfiction",
IF(D180="Juvenile DVD Educational","Nonfiction",
IF(D180="Reference","Nonfiction",
D180))))))))))))))))))))))))))))))))))))))))))</f>
        <v/>
      </c>
    </row>
    <row r="181" spans="1:14" ht="27" customHeight="1" x14ac:dyDescent="0.25">
      <c r="A181" s="10" t="str">
        <f ca="1">TEXT( INDIRECT( ADDRESS( ROW() + Row_Offset, INDIRECT( "Column_Number_" &amp; A$1), 4,1, tabname) ), "")</f>
        <v/>
      </c>
      <c r="B181" s="10" t="str">
        <f ca="1">TEXT(  IFERROR( VLOOKUP( $D181, CollName_Simplifier_Table[], 2, FALSE),"") &amp;
        INDIRECT( ADDRESS( ROW() + Row_Offset, INDIRECT( "Column_Number_" &amp; $B$1), 4,1, tabname) ), "")</f>
        <v/>
      </c>
      <c r="C181" s="10" t="str">
        <f ca="1">TEXT( INDIRECT( ADDRESS( ROW() + Row_Offset, INDIRECT( "Column_Number_" &amp; C$1), 4,1, tabname) ), "")</f>
        <v/>
      </c>
      <c r="D181" s="10" t="str">
        <f ca="1">TEXT( INDIRECT( ADDRESS( ROW() + Row_Offset, INDIRECT( "Column_Number_" &amp; D$1), 4,1, tabname) ), "")</f>
        <v/>
      </c>
      <c r="E181" s="10" t="str">
        <f ca="1">TEXT( INDIRECT( ADDRESS( ROW() + Row_Offset, INDIRECT( "Column_Number_" &amp; E$1), 4,1, tabname) ), "####")</f>
        <v/>
      </c>
      <c r="F181" s="15"/>
      <c r="G181" s="22" t="str">
        <f ca="1">IFERROR(INDEX(Rank_Table[],MATCH($D181&amp;$A181,Table4[Join],0)),"")</f>
        <v/>
      </c>
      <c r="H181" s="11" t="str">
        <f ca="1">IF(AND(D181="Juvenile Audiobook",LEFT(B181,8)="J CD BIO"),RIGHT(B181,LEN(B181)-9),
IF(AND(D181="Juvenile Audiobook",LEFT(B181,8)="J CD FIC"),B181,
IF(D181="Juvenile Audiobook",RIGHT(B181,LEN(B181)-5),
IF(AND(D181="Teen Audiobook",LEFT(B181,11)="TEEN CD BIO"),RIGHT(B181,LEN(B181)-12),
IF(AND(D181="Teen Audiobook",LEFT(B181,11)="TEEN CD FIC"),B181,
IF(D181="Juvenile Audiobook",RIGHT(B181,LEN(B181)-8),
IF(D181="Juvenile Nonfiction",RIGHT(B181,LEN(B181)-2),
IF(D181="Teen Nonfiction",RIGHT(B181,LEN(B181)-5),
IF(AND(D181="Audiobook",
              NOT(OR(Contains($B181,"CD BIO"),Contains($B181,"CD FIC")))),RIGHT(B181,LEN(B181)-3),
IF(D181="Juvenile Biography",RIGHT(B181,LEN(B181)-2),
IF(D181="Teen Biography",RIGHT(B181,LEN(B181)-5),
IF(AND(D181="Audiobook",
              IFERROR(FIND("BIO",$B181)&gt;0,FALSE)),RIGHT(B181,LEN(B181)-3),
IF(D181="Juvenile Large Type","J "&amp;RIGHT(B181,LEN(B181)-11),
IF(D181="Teen Large Type","TEEN "&amp;RIGHT(B181,LEN(B181)-14),
IF(D181="Reference",RIGHT(B181,LEN(B181)-4),
IF(D181="DVD Educational",RIGHT(B181,LEN(B181)-7),
IF(D181="Juvenile DVD Educational",RIGHT(B181,LEN(B181)-9),
B181)))))))))))))))))</f>
        <v/>
      </c>
      <c r="N181" s="11" t="str">
        <f ca="1">IF(IFERROR(FIND("New",$A181)&gt;0,FALSE),"New ","") &amp; IF(IFERROR(FIND("In Lib",$A181)&gt;0,FALSE),"Reference ","") &amp;
IF(AND(D181="Audiobook",LEFT(B181,6)="CD BIO"),"Biography",
IF(AND(D181="Teen Audiobook",LEFT(B181,11)="TEEN CD BIO"),"Biography",
IF(AND(D181="Juvenile Audiobook",LEFT(B181,8)="J CD BIO"),"Biography",
IF(AND(D181="Audiobook",LEFT(B181,6)="CD FIC"),"Audiobook Fiction",
IF(AND(D181="Teen Audiobook",LEFT(B181,11)="TEEN CD FIC"),"Teen Audiobook",
IF(AND(D181="Juvenile Audiobook",LEFT(B181,8)="J CD FIC"),"Juvenile Audiobook",
IF(D181="Audiobook","Nonfiction",
IF(D181="Juvenile Audiobook","Nonfiction",
IF(D181="Teen Audiobook","Nonfiction",
IF(D181="Juvenile Nonfiction","Nonfiction",
IF(D181="Teen Nonfiction","Nonfiction",
IF(D181="Juvenile Biography","Biography",
IF(D181="Teen Biography","Biography",
IF(D181="ESL","Nonfiction",
IF(LEFT(B181,11)="INTL-VIE J ","International Juvenile",IF(LEFT(B181,11)="INTL-TAG J ","International Juvenile",IF(LEFT(B181,11)="INTL-RUS J ","International Juvenile",IF(LEFT(B181,11)="INTL-KOR J ","International Juvenile",IF(LEFT(B181,11)="INTL-JAP J ","International Juvenile",IF(LEFT(B181,11)="INTL-CHI J ","International Juvenile",IF(LEFT(B181,11)="INTL-SPA J ","International Juvenile",IF(LEFT(B181,14)="INTL-VIE TEEN ","International Teen",IF(LEFT(B181,14)="INTL-TAG TEEN ","International Teen",IF(LEFT(B181,14)="INTL-RUS TEEN ","International Teen",IF(LEFT(B181,14)="INTL-KOR TEEN ","International Teen",IF(LEFT(B181,14)="INTL-JAP TEEN ","International Teen",IF(LEFT(B181,14)="INTL-CHI TEEN ","International Teen",IF(LEFT(B181,14)="INTL-SPA TEEN ","International Teen",IF(LEFT(B181,11)="INTL-VIE E ","International Easy",IF(LEFT(B181,11)="INTL-TAG E ","International Easy",IF(LEFT(B181,11)="INTL-RUS E ","International Easy",IF(LEFT(B181,11)="INTL-JAP E ","International Easy",IF(LEFT(B181,11)="INTL-KOR E ","International Easy",IF(LEFT(B181,11)="INTL-CHI E ","International Easy",IF(LEFT(B181,11)="INTL-SPA E ","International Easy",
IF(D181="Teen Large Type","Teen Fiction",
IF(D181="Juvenile Large Type","Juvenile Fiction",
IF(LEFT(B181,6)="J CD O","Juvenile Compact Disc",
IF(AND(LEFT(B181,4)="TEEN",D181="Fiction"),"Teen Fiction",
IF(D181="DVD Educational","Nonfiction",
IF(D181="Juvenile DVD Educational","Nonfiction",
IF(D181="Reference","Nonfiction",
D181))))))))))))))))))))))))))))))))))))))))))</f>
        <v/>
      </c>
    </row>
    <row r="182" spans="1:14" ht="27" customHeight="1" x14ac:dyDescent="0.25">
      <c r="A182" s="10" t="str">
        <f ca="1">TEXT( INDIRECT( ADDRESS( ROW() + Row_Offset, INDIRECT( "Column_Number_" &amp; A$1), 4,1, tabname) ), "")</f>
        <v/>
      </c>
      <c r="B182" s="10" t="str">
        <f ca="1">TEXT(  IFERROR( VLOOKUP( $D182, CollName_Simplifier_Table[], 2, FALSE),"") &amp;
        INDIRECT( ADDRESS( ROW() + Row_Offset, INDIRECT( "Column_Number_" &amp; $B$1), 4,1, tabname) ), "")</f>
        <v/>
      </c>
      <c r="C182" s="10" t="str">
        <f ca="1">TEXT( INDIRECT( ADDRESS( ROW() + Row_Offset, INDIRECT( "Column_Number_" &amp; C$1), 4,1, tabname) ), "")</f>
        <v/>
      </c>
      <c r="D182" s="10" t="str">
        <f ca="1">TEXT( INDIRECT( ADDRESS( ROW() + Row_Offset, INDIRECT( "Column_Number_" &amp; D$1), 4,1, tabname) ), "")</f>
        <v/>
      </c>
      <c r="E182" s="10" t="str">
        <f ca="1">TEXT( INDIRECT( ADDRESS( ROW() + Row_Offset, INDIRECT( "Column_Number_" &amp; E$1), 4,1, tabname) ), "####")</f>
        <v/>
      </c>
      <c r="F182" s="15"/>
      <c r="G182" s="22" t="str">
        <f ca="1">IFERROR(INDEX(Rank_Table[],MATCH($D182&amp;$A182,Table4[Join],0)),"")</f>
        <v/>
      </c>
      <c r="H182" s="11" t="str">
        <f ca="1">IF(AND(D182="Juvenile Audiobook",LEFT(B182,8)="J CD BIO"),RIGHT(B182,LEN(B182)-9),
IF(AND(D182="Juvenile Audiobook",LEFT(B182,8)="J CD FIC"),B182,
IF(D182="Juvenile Audiobook",RIGHT(B182,LEN(B182)-5),
IF(AND(D182="Teen Audiobook",LEFT(B182,11)="TEEN CD BIO"),RIGHT(B182,LEN(B182)-12),
IF(AND(D182="Teen Audiobook",LEFT(B182,11)="TEEN CD FIC"),B182,
IF(D182="Juvenile Audiobook",RIGHT(B182,LEN(B182)-8),
IF(D182="Juvenile Nonfiction",RIGHT(B182,LEN(B182)-2),
IF(D182="Teen Nonfiction",RIGHT(B182,LEN(B182)-5),
IF(AND(D182="Audiobook",
              NOT(OR(Contains($B182,"CD BIO"),Contains($B182,"CD FIC")))),RIGHT(B182,LEN(B182)-3),
IF(D182="Juvenile Biography",RIGHT(B182,LEN(B182)-2),
IF(D182="Teen Biography",RIGHT(B182,LEN(B182)-5),
IF(AND(D182="Audiobook",
              IFERROR(FIND("BIO",$B182)&gt;0,FALSE)),RIGHT(B182,LEN(B182)-3),
IF(D182="Juvenile Large Type","J "&amp;RIGHT(B182,LEN(B182)-11),
IF(D182="Teen Large Type","TEEN "&amp;RIGHT(B182,LEN(B182)-14),
IF(D182="Reference",RIGHT(B182,LEN(B182)-4),
IF(D182="DVD Educational",RIGHT(B182,LEN(B182)-7),
IF(D182="Juvenile DVD Educational",RIGHT(B182,LEN(B182)-9),
B182)))))))))))))))))</f>
        <v/>
      </c>
      <c r="N182" s="11" t="str">
        <f ca="1">IF(IFERROR(FIND("New",$A182)&gt;0,FALSE),"New ","") &amp; IF(IFERROR(FIND("In Lib",$A182)&gt;0,FALSE),"Reference ","") &amp;
IF(AND(D182="Audiobook",LEFT(B182,6)="CD BIO"),"Biography",
IF(AND(D182="Teen Audiobook",LEFT(B182,11)="TEEN CD BIO"),"Biography",
IF(AND(D182="Juvenile Audiobook",LEFT(B182,8)="J CD BIO"),"Biography",
IF(AND(D182="Audiobook",LEFT(B182,6)="CD FIC"),"Audiobook Fiction",
IF(AND(D182="Teen Audiobook",LEFT(B182,11)="TEEN CD FIC"),"Teen Audiobook",
IF(AND(D182="Juvenile Audiobook",LEFT(B182,8)="J CD FIC"),"Juvenile Audiobook",
IF(D182="Audiobook","Nonfiction",
IF(D182="Juvenile Audiobook","Nonfiction",
IF(D182="Teen Audiobook","Nonfiction",
IF(D182="Juvenile Nonfiction","Nonfiction",
IF(D182="Teen Nonfiction","Nonfiction",
IF(D182="Juvenile Biography","Biography",
IF(D182="Teen Biography","Biography",
IF(D182="ESL","Nonfiction",
IF(LEFT(B182,11)="INTL-VIE J ","International Juvenile",IF(LEFT(B182,11)="INTL-TAG J ","International Juvenile",IF(LEFT(B182,11)="INTL-RUS J ","International Juvenile",IF(LEFT(B182,11)="INTL-KOR J ","International Juvenile",IF(LEFT(B182,11)="INTL-JAP J ","International Juvenile",IF(LEFT(B182,11)="INTL-CHI J ","International Juvenile",IF(LEFT(B182,11)="INTL-SPA J ","International Juvenile",IF(LEFT(B182,14)="INTL-VIE TEEN ","International Teen",IF(LEFT(B182,14)="INTL-TAG TEEN ","International Teen",IF(LEFT(B182,14)="INTL-RUS TEEN ","International Teen",IF(LEFT(B182,14)="INTL-KOR TEEN ","International Teen",IF(LEFT(B182,14)="INTL-JAP TEEN ","International Teen",IF(LEFT(B182,14)="INTL-CHI TEEN ","International Teen",IF(LEFT(B182,14)="INTL-SPA TEEN ","International Teen",IF(LEFT(B182,11)="INTL-VIE E ","International Easy",IF(LEFT(B182,11)="INTL-TAG E ","International Easy",IF(LEFT(B182,11)="INTL-RUS E ","International Easy",IF(LEFT(B182,11)="INTL-JAP E ","International Easy",IF(LEFT(B182,11)="INTL-KOR E ","International Easy",IF(LEFT(B182,11)="INTL-CHI E ","International Easy",IF(LEFT(B182,11)="INTL-SPA E ","International Easy",
IF(D182="Teen Large Type","Teen Fiction",
IF(D182="Juvenile Large Type","Juvenile Fiction",
IF(LEFT(B182,6)="J CD O","Juvenile Compact Disc",
IF(AND(LEFT(B182,4)="TEEN",D182="Fiction"),"Teen Fiction",
IF(D182="DVD Educational","Nonfiction",
IF(D182="Juvenile DVD Educational","Nonfiction",
IF(D182="Reference","Nonfiction",
D182))))))))))))))))))))))))))))))))))))))))))</f>
        <v/>
      </c>
    </row>
    <row r="183" spans="1:14" ht="27" customHeight="1" x14ac:dyDescent="0.25">
      <c r="A183" s="10" t="str">
        <f ca="1">TEXT( INDIRECT( ADDRESS( ROW() + Row_Offset, INDIRECT( "Column_Number_" &amp; A$1), 4,1, tabname) ), "")</f>
        <v/>
      </c>
      <c r="B183" s="10" t="str">
        <f ca="1">TEXT(  IFERROR( VLOOKUP( $D183, CollName_Simplifier_Table[], 2, FALSE),"") &amp;
        INDIRECT( ADDRESS( ROW() + Row_Offset, INDIRECT( "Column_Number_" &amp; $B$1), 4,1, tabname) ), "")</f>
        <v/>
      </c>
      <c r="C183" s="10" t="str">
        <f ca="1">TEXT( INDIRECT( ADDRESS( ROW() + Row_Offset, INDIRECT( "Column_Number_" &amp; C$1), 4,1, tabname) ), "")</f>
        <v/>
      </c>
      <c r="D183" s="10" t="str">
        <f ca="1">TEXT( INDIRECT( ADDRESS( ROW() + Row_Offset, INDIRECT( "Column_Number_" &amp; D$1), 4,1, tabname) ), "")</f>
        <v/>
      </c>
      <c r="E183" s="10" t="str">
        <f ca="1">TEXT( INDIRECT( ADDRESS( ROW() + Row_Offset, INDIRECT( "Column_Number_" &amp; E$1), 4,1, tabname) ), "####")</f>
        <v/>
      </c>
      <c r="F183" s="15"/>
      <c r="G183" s="22" t="str">
        <f ca="1">IFERROR(INDEX(Rank_Table[],MATCH($D183&amp;$A183,Table4[Join],0)),"")</f>
        <v/>
      </c>
      <c r="H183" s="11" t="str">
        <f ca="1">IF(AND(D183="Juvenile Audiobook",LEFT(B183,8)="J CD BIO"),RIGHT(B183,LEN(B183)-9),
IF(AND(D183="Juvenile Audiobook",LEFT(B183,8)="J CD FIC"),B183,
IF(D183="Juvenile Audiobook",RIGHT(B183,LEN(B183)-5),
IF(AND(D183="Teen Audiobook",LEFT(B183,11)="TEEN CD BIO"),RIGHT(B183,LEN(B183)-12),
IF(AND(D183="Teen Audiobook",LEFT(B183,11)="TEEN CD FIC"),B183,
IF(D183="Juvenile Audiobook",RIGHT(B183,LEN(B183)-8),
IF(D183="Juvenile Nonfiction",RIGHT(B183,LEN(B183)-2),
IF(D183="Teen Nonfiction",RIGHT(B183,LEN(B183)-5),
IF(AND(D183="Audiobook",
              NOT(OR(Contains($B183,"CD BIO"),Contains($B183,"CD FIC")))),RIGHT(B183,LEN(B183)-3),
IF(D183="Juvenile Biography",RIGHT(B183,LEN(B183)-2),
IF(D183="Teen Biography",RIGHT(B183,LEN(B183)-5),
IF(AND(D183="Audiobook",
              IFERROR(FIND("BIO",$B183)&gt;0,FALSE)),RIGHT(B183,LEN(B183)-3),
IF(D183="Juvenile Large Type","J "&amp;RIGHT(B183,LEN(B183)-11),
IF(D183="Teen Large Type","TEEN "&amp;RIGHT(B183,LEN(B183)-14),
IF(D183="Reference",RIGHT(B183,LEN(B183)-4),
IF(D183="DVD Educational",RIGHT(B183,LEN(B183)-7),
IF(D183="Juvenile DVD Educational",RIGHT(B183,LEN(B183)-9),
B183)))))))))))))))))</f>
        <v/>
      </c>
      <c r="N183" s="11" t="str">
        <f ca="1">IF(IFERROR(FIND("New",$A183)&gt;0,FALSE),"New ","") &amp; IF(IFERROR(FIND("In Lib",$A183)&gt;0,FALSE),"Reference ","") &amp;
IF(AND(D183="Audiobook",LEFT(B183,6)="CD BIO"),"Biography",
IF(AND(D183="Teen Audiobook",LEFT(B183,11)="TEEN CD BIO"),"Biography",
IF(AND(D183="Juvenile Audiobook",LEFT(B183,8)="J CD BIO"),"Biography",
IF(AND(D183="Audiobook",LEFT(B183,6)="CD FIC"),"Audiobook Fiction",
IF(AND(D183="Teen Audiobook",LEFT(B183,11)="TEEN CD FIC"),"Teen Audiobook",
IF(AND(D183="Juvenile Audiobook",LEFT(B183,8)="J CD FIC"),"Juvenile Audiobook",
IF(D183="Audiobook","Nonfiction",
IF(D183="Juvenile Audiobook","Nonfiction",
IF(D183="Teen Audiobook","Nonfiction",
IF(D183="Juvenile Nonfiction","Nonfiction",
IF(D183="Teen Nonfiction","Nonfiction",
IF(D183="Juvenile Biography","Biography",
IF(D183="Teen Biography","Biography",
IF(D183="ESL","Nonfiction",
IF(LEFT(B183,11)="INTL-VIE J ","International Juvenile",IF(LEFT(B183,11)="INTL-TAG J ","International Juvenile",IF(LEFT(B183,11)="INTL-RUS J ","International Juvenile",IF(LEFT(B183,11)="INTL-KOR J ","International Juvenile",IF(LEFT(B183,11)="INTL-JAP J ","International Juvenile",IF(LEFT(B183,11)="INTL-CHI J ","International Juvenile",IF(LEFT(B183,11)="INTL-SPA J ","International Juvenile",IF(LEFT(B183,14)="INTL-VIE TEEN ","International Teen",IF(LEFT(B183,14)="INTL-TAG TEEN ","International Teen",IF(LEFT(B183,14)="INTL-RUS TEEN ","International Teen",IF(LEFT(B183,14)="INTL-KOR TEEN ","International Teen",IF(LEFT(B183,14)="INTL-JAP TEEN ","International Teen",IF(LEFT(B183,14)="INTL-CHI TEEN ","International Teen",IF(LEFT(B183,14)="INTL-SPA TEEN ","International Teen",IF(LEFT(B183,11)="INTL-VIE E ","International Easy",IF(LEFT(B183,11)="INTL-TAG E ","International Easy",IF(LEFT(B183,11)="INTL-RUS E ","International Easy",IF(LEFT(B183,11)="INTL-JAP E ","International Easy",IF(LEFT(B183,11)="INTL-KOR E ","International Easy",IF(LEFT(B183,11)="INTL-CHI E ","International Easy",IF(LEFT(B183,11)="INTL-SPA E ","International Easy",
IF(D183="Teen Large Type","Teen Fiction",
IF(D183="Juvenile Large Type","Juvenile Fiction",
IF(LEFT(B183,6)="J CD O","Juvenile Compact Disc",
IF(AND(LEFT(B183,4)="TEEN",D183="Fiction"),"Teen Fiction",
IF(D183="DVD Educational","Nonfiction",
IF(D183="Juvenile DVD Educational","Nonfiction",
IF(D183="Reference","Nonfiction",
D183))))))))))))))))))))))))))))))))))))))))))</f>
        <v/>
      </c>
    </row>
    <row r="184" spans="1:14" ht="27" customHeight="1" x14ac:dyDescent="0.25">
      <c r="A184" s="10" t="str">
        <f ca="1">TEXT( INDIRECT( ADDRESS( ROW() + Row_Offset, INDIRECT( "Column_Number_" &amp; A$1), 4,1, tabname) ), "")</f>
        <v/>
      </c>
      <c r="B184" s="10" t="str">
        <f ca="1">TEXT(  IFERROR( VLOOKUP( $D184, CollName_Simplifier_Table[], 2, FALSE),"") &amp;
        INDIRECT( ADDRESS( ROW() + Row_Offset, INDIRECT( "Column_Number_" &amp; $B$1), 4,1, tabname) ), "")</f>
        <v/>
      </c>
      <c r="C184" s="10" t="str">
        <f ca="1">TEXT( INDIRECT( ADDRESS( ROW() + Row_Offset, INDIRECT( "Column_Number_" &amp; C$1), 4,1, tabname) ), "")</f>
        <v/>
      </c>
      <c r="D184" s="10" t="str">
        <f ca="1">TEXT( INDIRECT( ADDRESS( ROW() + Row_Offset, INDIRECT( "Column_Number_" &amp; D$1), 4,1, tabname) ), "")</f>
        <v/>
      </c>
      <c r="E184" s="10" t="str">
        <f ca="1">TEXT( INDIRECT( ADDRESS( ROW() + Row_Offset, INDIRECT( "Column_Number_" &amp; E$1), 4,1, tabname) ), "####")</f>
        <v/>
      </c>
      <c r="F184" s="15"/>
      <c r="G184" s="22" t="str">
        <f ca="1">IFERROR(INDEX(Rank_Table[],MATCH($D184&amp;$A184,Table4[Join],0)),"")</f>
        <v/>
      </c>
      <c r="H184" s="11" t="str">
        <f ca="1">IF(AND(D184="Juvenile Audiobook",LEFT(B184,8)="J CD BIO"),RIGHT(B184,LEN(B184)-9),
IF(AND(D184="Juvenile Audiobook",LEFT(B184,8)="J CD FIC"),B184,
IF(D184="Juvenile Audiobook",RIGHT(B184,LEN(B184)-5),
IF(AND(D184="Teen Audiobook",LEFT(B184,11)="TEEN CD BIO"),RIGHT(B184,LEN(B184)-12),
IF(AND(D184="Teen Audiobook",LEFT(B184,11)="TEEN CD FIC"),B184,
IF(D184="Juvenile Audiobook",RIGHT(B184,LEN(B184)-8),
IF(D184="Juvenile Nonfiction",RIGHT(B184,LEN(B184)-2),
IF(D184="Teen Nonfiction",RIGHT(B184,LEN(B184)-5),
IF(AND(D184="Audiobook",
              NOT(OR(Contains($B184,"CD BIO"),Contains($B184,"CD FIC")))),RIGHT(B184,LEN(B184)-3),
IF(D184="Juvenile Biography",RIGHT(B184,LEN(B184)-2),
IF(D184="Teen Biography",RIGHT(B184,LEN(B184)-5),
IF(AND(D184="Audiobook",
              IFERROR(FIND("BIO",$B184)&gt;0,FALSE)),RIGHT(B184,LEN(B184)-3),
IF(D184="Juvenile Large Type","J "&amp;RIGHT(B184,LEN(B184)-11),
IF(D184="Teen Large Type","TEEN "&amp;RIGHT(B184,LEN(B184)-14),
IF(D184="Reference",RIGHT(B184,LEN(B184)-4),
IF(D184="DVD Educational",RIGHT(B184,LEN(B184)-7),
IF(D184="Juvenile DVD Educational",RIGHT(B184,LEN(B184)-9),
B184)))))))))))))))))</f>
        <v/>
      </c>
      <c r="N184" s="11" t="str">
        <f ca="1">IF(IFERROR(FIND("New",$A184)&gt;0,FALSE),"New ","") &amp; IF(IFERROR(FIND("In Lib",$A184)&gt;0,FALSE),"Reference ","") &amp;
IF(AND(D184="Audiobook",LEFT(B184,6)="CD BIO"),"Biography",
IF(AND(D184="Teen Audiobook",LEFT(B184,11)="TEEN CD BIO"),"Biography",
IF(AND(D184="Juvenile Audiobook",LEFT(B184,8)="J CD BIO"),"Biography",
IF(AND(D184="Audiobook",LEFT(B184,6)="CD FIC"),"Audiobook Fiction",
IF(AND(D184="Teen Audiobook",LEFT(B184,11)="TEEN CD FIC"),"Teen Audiobook",
IF(AND(D184="Juvenile Audiobook",LEFT(B184,8)="J CD FIC"),"Juvenile Audiobook",
IF(D184="Audiobook","Nonfiction",
IF(D184="Juvenile Audiobook","Nonfiction",
IF(D184="Teen Audiobook","Nonfiction",
IF(D184="Juvenile Nonfiction","Nonfiction",
IF(D184="Teen Nonfiction","Nonfiction",
IF(D184="Juvenile Biography","Biography",
IF(D184="Teen Biography","Biography",
IF(D184="ESL","Nonfiction",
IF(LEFT(B184,11)="INTL-VIE J ","International Juvenile",IF(LEFT(B184,11)="INTL-TAG J ","International Juvenile",IF(LEFT(B184,11)="INTL-RUS J ","International Juvenile",IF(LEFT(B184,11)="INTL-KOR J ","International Juvenile",IF(LEFT(B184,11)="INTL-JAP J ","International Juvenile",IF(LEFT(B184,11)="INTL-CHI J ","International Juvenile",IF(LEFT(B184,11)="INTL-SPA J ","International Juvenile",IF(LEFT(B184,14)="INTL-VIE TEEN ","International Teen",IF(LEFT(B184,14)="INTL-TAG TEEN ","International Teen",IF(LEFT(B184,14)="INTL-RUS TEEN ","International Teen",IF(LEFT(B184,14)="INTL-KOR TEEN ","International Teen",IF(LEFT(B184,14)="INTL-JAP TEEN ","International Teen",IF(LEFT(B184,14)="INTL-CHI TEEN ","International Teen",IF(LEFT(B184,14)="INTL-SPA TEEN ","International Teen",IF(LEFT(B184,11)="INTL-VIE E ","International Easy",IF(LEFT(B184,11)="INTL-TAG E ","International Easy",IF(LEFT(B184,11)="INTL-RUS E ","International Easy",IF(LEFT(B184,11)="INTL-JAP E ","International Easy",IF(LEFT(B184,11)="INTL-KOR E ","International Easy",IF(LEFT(B184,11)="INTL-CHI E ","International Easy",IF(LEFT(B184,11)="INTL-SPA E ","International Easy",
IF(D184="Teen Large Type","Teen Fiction",
IF(D184="Juvenile Large Type","Juvenile Fiction",
IF(LEFT(B184,6)="J CD O","Juvenile Compact Disc",
IF(AND(LEFT(B184,4)="TEEN",D184="Fiction"),"Teen Fiction",
IF(D184="DVD Educational","Nonfiction",
IF(D184="Juvenile DVD Educational","Nonfiction",
IF(D184="Reference","Nonfiction",
D184))))))))))))))))))))))))))))))))))))))))))</f>
        <v/>
      </c>
    </row>
    <row r="185" spans="1:14" ht="27" customHeight="1" x14ac:dyDescent="0.25">
      <c r="A185" s="10" t="str">
        <f ca="1">TEXT( INDIRECT( ADDRESS( ROW() + Row_Offset, INDIRECT( "Column_Number_" &amp; A$1), 4,1, tabname) ), "")</f>
        <v/>
      </c>
      <c r="B185" s="10" t="str">
        <f ca="1">TEXT(  IFERROR( VLOOKUP( $D185, CollName_Simplifier_Table[], 2, FALSE),"") &amp;
        INDIRECT( ADDRESS( ROW() + Row_Offset, INDIRECT( "Column_Number_" &amp; $B$1), 4,1, tabname) ), "")</f>
        <v/>
      </c>
      <c r="C185" s="10" t="str">
        <f ca="1">TEXT( INDIRECT( ADDRESS( ROW() + Row_Offset, INDIRECT( "Column_Number_" &amp; C$1), 4,1, tabname) ), "")</f>
        <v/>
      </c>
      <c r="D185" s="10" t="str">
        <f ca="1">TEXT( INDIRECT( ADDRESS( ROW() + Row_Offset, INDIRECT( "Column_Number_" &amp; D$1), 4,1, tabname) ), "")</f>
        <v/>
      </c>
      <c r="E185" s="10" t="str">
        <f ca="1">TEXT( INDIRECT( ADDRESS( ROW() + Row_Offset, INDIRECT( "Column_Number_" &amp; E$1), 4,1, tabname) ), "####")</f>
        <v/>
      </c>
      <c r="F185" s="15"/>
      <c r="G185" s="22" t="str">
        <f ca="1">IFERROR(INDEX(Rank_Table[],MATCH($D185&amp;$A185,Table4[Join],0)),"")</f>
        <v/>
      </c>
      <c r="H185" s="11" t="str">
        <f ca="1">IF(AND(D185="Juvenile Audiobook",LEFT(B185,8)="J CD BIO"),RIGHT(B185,LEN(B185)-9),
IF(AND(D185="Juvenile Audiobook",LEFT(B185,8)="J CD FIC"),B185,
IF(D185="Juvenile Audiobook",RIGHT(B185,LEN(B185)-5),
IF(AND(D185="Teen Audiobook",LEFT(B185,11)="TEEN CD BIO"),RIGHT(B185,LEN(B185)-12),
IF(AND(D185="Teen Audiobook",LEFT(B185,11)="TEEN CD FIC"),B185,
IF(D185="Juvenile Audiobook",RIGHT(B185,LEN(B185)-8),
IF(D185="Juvenile Nonfiction",RIGHT(B185,LEN(B185)-2),
IF(D185="Teen Nonfiction",RIGHT(B185,LEN(B185)-5),
IF(AND(D185="Audiobook",
              NOT(OR(Contains($B185,"CD BIO"),Contains($B185,"CD FIC")))),RIGHT(B185,LEN(B185)-3),
IF(D185="Juvenile Biography",RIGHT(B185,LEN(B185)-2),
IF(D185="Teen Biography",RIGHT(B185,LEN(B185)-5),
IF(AND(D185="Audiobook",
              IFERROR(FIND("BIO",$B185)&gt;0,FALSE)),RIGHT(B185,LEN(B185)-3),
IF(D185="Juvenile Large Type","J "&amp;RIGHT(B185,LEN(B185)-11),
IF(D185="Teen Large Type","TEEN "&amp;RIGHT(B185,LEN(B185)-14),
IF(D185="Reference",RIGHT(B185,LEN(B185)-4),
IF(D185="DVD Educational",RIGHT(B185,LEN(B185)-7),
IF(D185="Juvenile DVD Educational",RIGHT(B185,LEN(B185)-9),
B185)))))))))))))))))</f>
        <v/>
      </c>
      <c r="N185" s="11" t="str">
        <f ca="1">IF(IFERROR(FIND("New",$A185)&gt;0,FALSE),"New ","") &amp; IF(IFERROR(FIND("In Lib",$A185)&gt;0,FALSE),"Reference ","") &amp;
IF(AND(D185="Audiobook",LEFT(B185,6)="CD BIO"),"Biography",
IF(AND(D185="Teen Audiobook",LEFT(B185,11)="TEEN CD BIO"),"Biography",
IF(AND(D185="Juvenile Audiobook",LEFT(B185,8)="J CD BIO"),"Biography",
IF(AND(D185="Audiobook",LEFT(B185,6)="CD FIC"),"Audiobook Fiction",
IF(AND(D185="Teen Audiobook",LEFT(B185,11)="TEEN CD FIC"),"Teen Audiobook",
IF(AND(D185="Juvenile Audiobook",LEFT(B185,8)="J CD FIC"),"Juvenile Audiobook",
IF(D185="Audiobook","Nonfiction",
IF(D185="Juvenile Audiobook","Nonfiction",
IF(D185="Teen Audiobook","Nonfiction",
IF(D185="Juvenile Nonfiction","Nonfiction",
IF(D185="Teen Nonfiction","Nonfiction",
IF(D185="Juvenile Biography","Biography",
IF(D185="Teen Biography","Biography",
IF(D185="ESL","Nonfiction",
IF(LEFT(B185,11)="INTL-VIE J ","International Juvenile",IF(LEFT(B185,11)="INTL-TAG J ","International Juvenile",IF(LEFT(B185,11)="INTL-RUS J ","International Juvenile",IF(LEFT(B185,11)="INTL-KOR J ","International Juvenile",IF(LEFT(B185,11)="INTL-JAP J ","International Juvenile",IF(LEFT(B185,11)="INTL-CHI J ","International Juvenile",IF(LEFT(B185,11)="INTL-SPA J ","International Juvenile",IF(LEFT(B185,14)="INTL-VIE TEEN ","International Teen",IF(LEFT(B185,14)="INTL-TAG TEEN ","International Teen",IF(LEFT(B185,14)="INTL-RUS TEEN ","International Teen",IF(LEFT(B185,14)="INTL-KOR TEEN ","International Teen",IF(LEFT(B185,14)="INTL-JAP TEEN ","International Teen",IF(LEFT(B185,14)="INTL-CHI TEEN ","International Teen",IF(LEFT(B185,14)="INTL-SPA TEEN ","International Teen",IF(LEFT(B185,11)="INTL-VIE E ","International Easy",IF(LEFT(B185,11)="INTL-TAG E ","International Easy",IF(LEFT(B185,11)="INTL-RUS E ","International Easy",IF(LEFT(B185,11)="INTL-JAP E ","International Easy",IF(LEFT(B185,11)="INTL-KOR E ","International Easy",IF(LEFT(B185,11)="INTL-CHI E ","International Easy",IF(LEFT(B185,11)="INTL-SPA E ","International Easy",
IF(D185="Teen Large Type","Teen Fiction",
IF(D185="Juvenile Large Type","Juvenile Fiction",
IF(LEFT(B185,6)="J CD O","Juvenile Compact Disc",
IF(AND(LEFT(B185,4)="TEEN",D185="Fiction"),"Teen Fiction",
IF(D185="DVD Educational","Nonfiction",
IF(D185="Juvenile DVD Educational","Nonfiction",
IF(D185="Reference","Nonfiction",
D185))))))))))))))))))))))))))))))))))))))))))</f>
        <v/>
      </c>
    </row>
    <row r="186" spans="1:14" ht="27" customHeight="1" x14ac:dyDescent="0.25">
      <c r="A186" s="10" t="str">
        <f ca="1">TEXT( INDIRECT( ADDRESS( ROW() + Row_Offset, INDIRECT( "Column_Number_" &amp; A$1), 4,1, tabname) ), "")</f>
        <v/>
      </c>
      <c r="B186" s="10" t="str">
        <f ca="1">TEXT(  IFERROR( VLOOKUP( $D186, CollName_Simplifier_Table[], 2, FALSE),"") &amp;
        INDIRECT( ADDRESS( ROW() + Row_Offset, INDIRECT( "Column_Number_" &amp; $B$1), 4,1, tabname) ), "")</f>
        <v/>
      </c>
      <c r="C186" s="10" t="str">
        <f ca="1">TEXT( INDIRECT( ADDRESS( ROW() + Row_Offset, INDIRECT( "Column_Number_" &amp; C$1), 4,1, tabname) ), "")</f>
        <v/>
      </c>
      <c r="D186" s="10" t="str">
        <f ca="1">TEXT( INDIRECT( ADDRESS( ROW() + Row_Offset, INDIRECT( "Column_Number_" &amp; D$1), 4,1, tabname) ), "")</f>
        <v/>
      </c>
      <c r="E186" s="10" t="str">
        <f ca="1">TEXT( INDIRECT( ADDRESS( ROW() + Row_Offset, INDIRECT( "Column_Number_" &amp; E$1), 4,1, tabname) ), "####")</f>
        <v/>
      </c>
      <c r="F186" s="15"/>
      <c r="G186" s="22" t="str">
        <f ca="1">IFERROR(INDEX(Rank_Table[],MATCH($D186&amp;$A186,Table4[Join],0)),"")</f>
        <v/>
      </c>
      <c r="H186" s="11" t="str">
        <f ca="1">IF(AND(D186="Juvenile Audiobook",LEFT(B186,8)="J CD BIO"),RIGHT(B186,LEN(B186)-9),
IF(AND(D186="Juvenile Audiobook",LEFT(B186,8)="J CD FIC"),B186,
IF(D186="Juvenile Audiobook",RIGHT(B186,LEN(B186)-5),
IF(AND(D186="Teen Audiobook",LEFT(B186,11)="TEEN CD BIO"),RIGHT(B186,LEN(B186)-12),
IF(AND(D186="Teen Audiobook",LEFT(B186,11)="TEEN CD FIC"),B186,
IF(D186="Juvenile Audiobook",RIGHT(B186,LEN(B186)-8),
IF(D186="Juvenile Nonfiction",RIGHT(B186,LEN(B186)-2),
IF(D186="Teen Nonfiction",RIGHT(B186,LEN(B186)-5),
IF(AND(D186="Audiobook",
              NOT(OR(Contains($B186,"CD BIO"),Contains($B186,"CD FIC")))),RIGHT(B186,LEN(B186)-3),
IF(D186="Juvenile Biography",RIGHT(B186,LEN(B186)-2),
IF(D186="Teen Biography",RIGHT(B186,LEN(B186)-5),
IF(AND(D186="Audiobook",
              IFERROR(FIND("BIO",$B186)&gt;0,FALSE)),RIGHT(B186,LEN(B186)-3),
IF(D186="Juvenile Large Type","J "&amp;RIGHT(B186,LEN(B186)-11),
IF(D186="Teen Large Type","TEEN "&amp;RIGHT(B186,LEN(B186)-14),
IF(D186="Reference",RIGHT(B186,LEN(B186)-4),
IF(D186="DVD Educational",RIGHT(B186,LEN(B186)-7),
IF(D186="Juvenile DVD Educational",RIGHT(B186,LEN(B186)-9),
B186)))))))))))))))))</f>
        <v/>
      </c>
      <c r="N186" s="11" t="str">
        <f ca="1">IF(IFERROR(FIND("New",$A186)&gt;0,FALSE),"New ","") &amp; IF(IFERROR(FIND("In Lib",$A186)&gt;0,FALSE),"Reference ","") &amp;
IF(AND(D186="Audiobook",LEFT(B186,6)="CD BIO"),"Biography",
IF(AND(D186="Teen Audiobook",LEFT(B186,11)="TEEN CD BIO"),"Biography",
IF(AND(D186="Juvenile Audiobook",LEFT(B186,8)="J CD BIO"),"Biography",
IF(AND(D186="Audiobook",LEFT(B186,6)="CD FIC"),"Audiobook Fiction",
IF(AND(D186="Teen Audiobook",LEFT(B186,11)="TEEN CD FIC"),"Teen Audiobook",
IF(AND(D186="Juvenile Audiobook",LEFT(B186,8)="J CD FIC"),"Juvenile Audiobook",
IF(D186="Audiobook","Nonfiction",
IF(D186="Juvenile Audiobook","Nonfiction",
IF(D186="Teen Audiobook","Nonfiction",
IF(D186="Juvenile Nonfiction","Nonfiction",
IF(D186="Teen Nonfiction","Nonfiction",
IF(D186="Juvenile Biography","Biography",
IF(D186="Teen Biography","Biography",
IF(D186="ESL","Nonfiction",
IF(LEFT(B186,11)="INTL-VIE J ","International Juvenile",IF(LEFT(B186,11)="INTL-TAG J ","International Juvenile",IF(LEFT(B186,11)="INTL-RUS J ","International Juvenile",IF(LEFT(B186,11)="INTL-KOR J ","International Juvenile",IF(LEFT(B186,11)="INTL-JAP J ","International Juvenile",IF(LEFT(B186,11)="INTL-CHI J ","International Juvenile",IF(LEFT(B186,11)="INTL-SPA J ","International Juvenile",IF(LEFT(B186,14)="INTL-VIE TEEN ","International Teen",IF(LEFT(B186,14)="INTL-TAG TEEN ","International Teen",IF(LEFT(B186,14)="INTL-RUS TEEN ","International Teen",IF(LEFT(B186,14)="INTL-KOR TEEN ","International Teen",IF(LEFT(B186,14)="INTL-JAP TEEN ","International Teen",IF(LEFT(B186,14)="INTL-CHI TEEN ","International Teen",IF(LEFT(B186,14)="INTL-SPA TEEN ","International Teen",IF(LEFT(B186,11)="INTL-VIE E ","International Easy",IF(LEFT(B186,11)="INTL-TAG E ","International Easy",IF(LEFT(B186,11)="INTL-RUS E ","International Easy",IF(LEFT(B186,11)="INTL-JAP E ","International Easy",IF(LEFT(B186,11)="INTL-KOR E ","International Easy",IF(LEFT(B186,11)="INTL-CHI E ","International Easy",IF(LEFT(B186,11)="INTL-SPA E ","International Easy",
IF(D186="Teen Large Type","Teen Fiction",
IF(D186="Juvenile Large Type","Juvenile Fiction",
IF(LEFT(B186,6)="J CD O","Juvenile Compact Disc",
IF(AND(LEFT(B186,4)="TEEN",D186="Fiction"),"Teen Fiction",
IF(D186="DVD Educational","Nonfiction",
IF(D186="Juvenile DVD Educational","Nonfiction",
IF(D186="Reference","Nonfiction",
D186))))))))))))))))))))))))))))))))))))))))))</f>
        <v/>
      </c>
    </row>
    <row r="187" spans="1:14" ht="27" customHeight="1" x14ac:dyDescent="0.25">
      <c r="A187" s="10" t="str">
        <f ca="1">TEXT( INDIRECT( ADDRESS( ROW() + Row_Offset, INDIRECT( "Column_Number_" &amp; A$1), 4,1, tabname) ), "")</f>
        <v/>
      </c>
      <c r="B187" s="10" t="str">
        <f ca="1">TEXT(  IFERROR( VLOOKUP( $D187, CollName_Simplifier_Table[], 2, FALSE),"") &amp;
        INDIRECT( ADDRESS( ROW() + Row_Offset, INDIRECT( "Column_Number_" &amp; $B$1), 4,1, tabname) ), "")</f>
        <v/>
      </c>
      <c r="C187" s="10" t="str">
        <f ca="1">TEXT( INDIRECT( ADDRESS( ROW() + Row_Offset, INDIRECT( "Column_Number_" &amp; C$1), 4,1, tabname) ), "")</f>
        <v/>
      </c>
      <c r="D187" s="10" t="str">
        <f ca="1">TEXT( INDIRECT( ADDRESS( ROW() + Row_Offset, INDIRECT( "Column_Number_" &amp; D$1), 4,1, tabname) ), "")</f>
        <v/>
      </c>
      <c r="E187" s="10" t="str">
        <f ca="1">TEXT( INDIRECT( ADDRESS( ROW() + Row_Offset, INDIRECT( "Column_Number_" &amp; E$1), 4,1, tabname) ), "####")</f>
        <v/>
      </c>
      <c r="F187" s="15"/>
      <c r="G187" s="22" t="str">
        <f ca="1">IFERROR(INDEX(Rank_Table[],MATCH($D187&amp;$A187,Table4[Join],0)),"")</f>
        <v/>
      </c>
      <c r="H187" s="11" t="str">
        <f ca="1">IF(AND(D187="Juvenile Audiobook",LEFT(B187,8)="J CD BIO"),RIGHT(B187,LEN(B187)-9),
IF(AND(D187="Juvenile Audiobook",LEFT(B187,8)="J CD FIC"),B187,
IF(D187="Juvenile Audiobook",RIGHT(B187,LEN(B187)-5),
IF(AND(D187="Teen Audiobook",LEFT(B187,11)="TEEN CD BIO"),RIGHT(B187,LEN(B187)-12),
IF(AND(D187="Teen Audiobook",LEFT(B187,11)="TEEN CD FIC"),B187,
IF(D187="Juvenile Audiobook",RIGHT(B187,LEN(B187)-8),
IF(D187="Juvenile Nonfiction",RIGHT(B187,LEN(B187)-2),
IF(D187="Teen Nonfiction",RIGHT(B187,LEN(B187)-5),
IF(AND(D187="Audiobook",
              NOT(OR(Contains($B187,"CD BIO"),Contains($B187,"CD FIC")))),RIGHT(B187,LEN(B187)-3),
IF(D187="Juvenile Biography",RIGHT(B187,LEN(B187)-2),
IF(D187="Teen Biography",RIGHT(B187,LEN(B187)-5),
IF(AND(D187="Audiobook",
              IFERROR(FIND("BIO",$B187)&gt;0,FALSE)),RIGHT(B187,LEN(B187)-3),
IF(D187="Juvenile Large Type","J "&amp;RIGHT(B187,LEN(B187)-11),
IF(D187="Teen Large Type","TEEN "&amp;RIGHT(B187,LEN(B187)-14),
IF(D187="Reference",RIGHT(B187,LEN(B187)-4),
IF(D187="DVD Educational",RIGHT(B187,LEN(B187)-7),
IF(D187="Juvenile DVD Educational",RIGHT(B187,LEN(B187)-9),
B187)))))))))))))))))</f>
        <v/>
      </c>
      <c r="N187" s="11" t="str">
        <f ca="1">IF(IFERROR(FIND("New",$A187)&gt;0,FALSE),"New ","") &amp; IF(IFERROR(FIND("In Lib",$A187)&gt;0,FALSE),"Reference ","") &amp;
IF(AND(D187="Audiobook",LEFT(B187,6)="CD BIO"),"Biography",
IF(AND(D187="Teen Audiobook",LEFT(B187,11)="TEEN CD BIO"),"Biography",
IF(AND(D187="Juvenile Audiobook",LEFT(B187,8)="J CD BIO"),"Biography",
IF(AND(D187="Audiobook",LEFT(B187,6)="CD FIC"),"Audiobook Fiction",
IF(AND(D187="Teen Audiobook",LEFT(B187,11)="TEEN CD FIC"),"Teen Audiobook",
IF(AND(D187="Juvenile Audiobook",LEFT(B187,8)="J CD FIC"),"Juvenile Audiobook",
IF(D187="Audiobook","Nonfiction",
IF(D187="Juvenile Audiobook","Nonfiction",
IF(D187="Teen Audiobook","Nonfiction",
IF(D187="Juvenile Nonfiction","Nonfiction",
IF(D187="Teen Nonfiction","Nonfiction",
IF(D187="Juvenile Biography","Biography",
IF(D187="Teen Biography","Biography",
IF(D187="ESL","Nonfiction",
IF(LEFT(B187,11)="INTL-VIE J ","International Juvenile",IF(LEFT(B187,11)="INTL-TAG J ","International Juvenile",IF(LEFT(B187,11)="INTL-RUS J ","International Juvenile",IF(LEFT(B187,11)="INTL-KOR J ","International Juvenile",IF(LEFT(B187,11)="INTL-JAP J ","International Juvenile",IF(LEFT(B187,11)="INTL-CHI J ","International Juvenile",IF(LEFT(B187,11)="INTL-SPA J ","International Juvenile",IF(LEFT(B187,14)="INTL-VIE TEEN ","International Teen",IF(LEFT(B187,14)="INTL-TAG TEEN ","International Teen",IF(LEFT(B187,14)="INTL-RUS TEEN ","International Teen",IF(LEFT(B187,14)="INTL-KOR TEEN ","International Teen",IF(LEFT(B187,14)="INTL-JAP TEEN ","International Teen",IF(LEFT(B187,14)="INTL-CHI TEEN ","International Teen",IF(LEFT(B187,14)="INTL-SPA TEEN ","International Teen",IF(LEFT(B187,11)="INTL-VIE E ","International Easy",IF(LEFT(B187,11)="INTL-TAG E ","International Easy",IF(LEFT(B187,11)="INTL-RUS E ","International Easy",IF(LEFT(B187,11)="INTL-JAP E ","International Easy",IF(LEFT(B187,11)="INTL-KOR E ","International Easy",IF(LEFT(B187,11)="INTL-CHI E ","International Easy",IF(LEFT(B187,11)="INTL-SPA E ","International Easy",
IF(D187="Teen Large Type","Teen Fiction",
IF(D187="Juvenile Large Type","Juvenile Fiction",
IF(LEFT(B187,6)="J CD O","Juvenile Compact Disc",
IF(AND(LEFT(B187,4)="TEEN",D187="Fiction"),"Teen Fiction",
IF(D187="DVD Educational","Nonfiction",
IF(D187="Juvenile DVD Educational","Nonfiction",
IF(D187="Reference","Nonfiction",
D187))))))))))))))))))))))))))))))))))))))))))</f>
        <v/>
      </c>
    </row>
    <row r="188" spans="1:14" ht="27" customHeight="1" x14ac:dyDescent="0.25">
      <c r="A188" s="10" t="str">
        <f ca="1">TEXT( INDIRECT( ADDRESS( ROW() + Row_Offset, INDIRECT( "Column_Number_" &amp; A$1), 4,1, tabname) ), "")</f>
        <v/>
      </c>
      <c r="B188" s="10" t="str">
        <f ca="1">TEXT(  IFERROR( VLOOKUP( $D188, CollName_Simplifier_Table[], 2, FALSE),"") &amp;
        INDIRECT( ADDRESS( ROW() + Row_Offset, INDIRECT( "Column_Number_" &amp; $B$1), 4,1, tabname) ), "")</f>
        <v/>
      </c>
      <c r="C188" s="10" t="str">
        <f ca="1">TEXT( INDIRECT( ADDRESS( ROW() + Row_Offset, INDIRECT( "Column_Number_" &amp; C$1), 4,1, tabname) ), "")</f>
        <v/>
      </c>
      <c r="D188" s="10" t="str">
        <f ca="1">TEXT( INDIRECT( ADDRESS( ROW() + Row_Offset, INDIRECT( "Column_Number_" &amp; D$1), 4,1, tabname) ), "")</f>
        <v/>
      </c>
      <c r="E188" s="10" t="str">
        <f ca="1">TEXT( INDIRECT( ADDRESS( ROW() + Row_Offset, INDIRECT( "Column_Number_" &amp; E$1), 4,1, tabname) ), "####")</f>
        <v/>
      </c>
      <c r="F188" s="15"/>
      <c r="G188" s="22" t="str">
        <f ca="1">IFERROR(INDEX(Rank_Table[],MATCH($D188&amp;$A188,Table4[Join],0)),"")</f>
        <v/>
      </c>
      <c r="H188" s="11" t="str">
        <f ca="1">IF(AND(D188="Juvenile Audiobook",LEFT(B188,8)="J CD BIO"),RIGHT(B188,LEN(B188)-9),
IF(AND(D188="Juvenile Audiobook",LEFT(B188,8)="J CD FIC"),B188,
IF(D188="Juvenile Audiobook",RIGHT(B188,LEN(B188)-5),
IF(AND(D188="Teen Audiobook",LEFT(B188,11)="TEEN CD BIO"),RIGHT(B188,LEN(B188)-12),
IF(AND(D188="Teen Audiobook",LEFT(B188,11)="TEEN CD FIC"),B188,
IF(D188="Juvenile Audiobook",RIGHT(B188,LEN(B188)-8),
IF(D188="Juvenile Nonfiction",RIGHT(B188,LEN(B188)-2),
IF(D188="Teen Nonfiction",RIGHT(B188,LEN(B188)-5),
IF(AND(D188="Audiobook",
              NOT(OR(Contains($B188,"CD BIO"),Contains($B188,"CD FIC")))),RIGHT(B188,LEN(B188)-3),
IF(D188="Juvenile Biography",RIGHT(B188,LEN(B188)-2),
IF(D188="Teen Biography",RIGHT(B188,LEN(B188)-5),
IF(AND(D188="Audiobook",
              IFERROR(FIND("BIO",$B188)&gt;0,FALSE)),RIGHT(B188,LEN(B188)-3),
IF(D188="Juvenile Large Type","J "&amp;RIGHT(B188,LEN(B188)-11),
IF(D188="Teen Large Type","TEEN "&amp;RIGHT(B188,LEN(B188)-14),
IF(D188="Reference",RIGHT(B188,LEN(B188)-4),
IF(D188="DVD Educational",RIGHT(B188,LEN(B188)-7),
IF(D188="Juvenile DVD Educational",RIGHT(B188,LEN(B188)-9),
B188)))))))))))))))))</f>
        <v/>
      </c>
      <c r="N188" s="11" t="str">
        <f ca="1">IF(IFERROR(FIND("New",$A188)&gt;0,FALSE),"New ","") &amp; IF(IFERROR(FIND("In Lib",$A188)&gt;0,FALSE),"Reference ","") &amp;
IF(AND(D188="Audiobook",LEFT(B188,6)="CD BIO"),"Biography",
IF(AND(D188="Teen Audiobook",LEFT(B188,11)="TEEN CD BIO"),"Biography",
IF(AND(D188="Juvenile Audiobook",LEFT(B188,8)="J CD BIO"),"Biography",
IF(AND(D188="Audiobook",LEFT(B188,6)="CD FIC"),"Audiobook Fiction",
IF(AND(D188="Teen Audiobook",LEFT(B188,11)="TEEN CD FIC"),"Teen Audiobook",
IF(AND(D188="Juvenile Audiobook",LEFT(B188,8)="J CD FIC"),"Juvenile Audiobook",
IF(D188="Audiobook","Nonfiction",
IF(D188="Juvenile Audiobook","Nonfiction",
IF(D188="Teen Audiobook","Nonfiction",
IF(D188="Juvenile Nonfiction","Nonfiction",
IF(D188="Teen Nonfiction","Nonfiction",
IF(D188="Juvenile Biography","Biography",
IF(D188="Teen Biography","Biography",
IF(D188="ESL","Nonfiction",
IF(LEFT(B188,11)="INTL-VIE J ","International Juvenile",IF(LEFT(B188,11)="INTL-TAG J ","International Juvenile",IF(LEFT(B188,11)="INTL-RUS J ","International Juvenile",IF(LEFT(B188,11)="INTL-KOR J ","International Juvenile",IF(LEFT(B188,11)="INTL-JAP J ","International Juvenile",IF(LEFT(B188,11)="INTL-CHI J ","International Juvenile",IF(LEFT(B188,11)="INTL-SPA J ","International Juvenile",IF(LEFT(B188,14)="INTL-VIE TEEN ","International Teen",IF(LEFT(B188,14)="INTL-TAG TEEN ","International Teen",IF(LEFT(B188,14)="INTL-RUS TEEN ","International Teen",IF(LEFT(B188,14)="INTL-KOR TEEN ","International Teen",IF(LEFT(B188,14)="INTL-JAP TEEN ","International Teen",IF(LEFT(B188,14)="INTL-CHI TEEN ","International Teen",IF(LEFT(B188,14)="INTL-SPA TEEN ","International Teen",IF(LEFT(B188,11)="INTL-VIE E ","International Easy",IF(LEFT(B188,11)="INTL-TAG E ","International Easy",IF(LEFT(B188,11)="INTL-RUS E ","International Easy",IF(LEFT(B188,11)="INTL-JAP E ","International Easy",IF(LEFT(B188,11)="INTL-KOR E ","International Easy",IF(LEFT(B188,11)="INTL-CHI E ","International Easy",IF(LEFT(B188,11)="INTL-SPA E ","International Easy",
IF(D188="Teen Large Type","Teen Fiction",
IF(D188="Juvenile Large Type","Juvenile Fiction",
IF(LEFT(B188,6)="J CD O","Juvenile Compact Disc",
IF(AND(LEFT(B188,4)="TEEN",D188="Fiction"),"Teen Fiction",
IF(D188="DVD Educational","Nonfiction",
IF(D188="Juvenile DVD Educational","Nonfiction",
IF(D188="Reference","Nonfiction",
D188))))))))))))))))))))))))))))))))))))))))))</f>
        <v/>
      </c>
    </row>
    <row r="189" spans="1:14" ht="27" customHeight="1" x14ac:dyDescent="0.25">
      <c r="A189" s="10" t="str">
        <f ca="1">TEXT( INDIRECT( ADDRESS( ROW() + Row_Offset, INDIRECT( "Column_Number_" &amp; A$1), 4,1, tabname) ), "")</f>
        <v/>
      </c>
      <c r="B189" s="10" t="str">
        <f ca="1">TEXT(  IFERROR( VLOOKUP( $D189, CollName_Simplifier_Table[], 2, FALSE),"") &amp;
        INDIRECT( ADDRESS( ROW() + Row_Offset, INDIRECT( "Column_Number_" &amp; $B$1), 4,1, tabname) ), "")</f>
        <v/>
      </c>
      <c r="C189" s="10" t="str">
        <f ca="1">TEXT( INDIRECT( ADDRESS( ROW() + Row_Offset, INDIRECT( "Column_Number_" &amp; C$1), 4,1, tabname) ), "")</f>
        <v/>
      </c>
      <c r="D189" s="10" t="str">
        <f ca="1">TEXT( INDIRECT( ADDRESS( ROW() + Row_Offset, INDIRECT( "Column_Number_" &amp; D$1), 4,1, tabname) ), "")</f>
        <v/>
      </c>
      <c r="E189" s="10" t="str">
        <f ca="1">TEXT( INDIRECT( ADDRESS( ROW() + Row_Offset, INDIRECT( "Column_Number_" &amp; E$1), 4,1, tabname) ), "####")</f>
        <v/>
      </c>
      <c r="F189" s="15"/>
      <c r="G189" s="22" t="str">
        <f ca="1">IFERROR(INDEX(Rank_Table[],MATCH($D189&amp;$A189,Table4[Join],0)),"")</f>
        <v/>
      </c>
      <c r="H189" s="11" t="str">
        <f ca="1">IF(AND(D189="Juvenile Audiobook",LEFT(B189,8)="J CD BIO"),RIGHT(B189,LEN(B189)-9),
IF(AND(D189="Juvenile Audiobook",LEFT(B189,8)="J CD FIC"),B189,
IF(D189="Juvenile Audiobook",RIGHT(B189,LEN(B189)-5),
IF(AND(D189="Teen Audiobook",LEFT(B189,11)="TEEN CD BIO"),RIGHT(B189,LEN(B189)-12),
IF(AND(D189="Teen Audiobook",LEFT(B189,11)="TEEN CD FIC"),B189,
IF(D189="Juvenile Audiobook",RIGHT(B189,LEN(B189)-8),
IF(D189="Juvenile Nonfiction",RIGHT(B189,LEN(B189)-2),
IF(D189="Teen Nonfiction",RIGHT(B189,LEN(B189)-5),
IF(AND(D189="Audiobook",
              NOT(OR(Contains($B189,"CD BIO"),Contains($B189,"CD FIC")))),RIGHT(B189,LEN(B189)-3),
IF(D189="Juvenile Biography",RIGHT(B189,LEN(B189)-2),
IF(D189="Teen Biography",RIGHT(B189,LEN(B189)-5),
IF(AND(D189="Audiobook",
              IFERROR(FIND("BIO",$B189)&gt;0,FALSE)),RIGHT(B189,LEN(B189)-3),
IF(D189="Juvenile Large Type","J "&amp;RIGHT(B189,LEN(B189)-11),
IF(D189="Teen Large Type","TEEN "&amp;RIGHT(B189,LEN(B189)-14),
IF(D189="Reference",RIGHT(B189,LEN(B189)-4),
IF(D189="DVD Educational",RIGHT(B189,LEN(B189)-7),
IF(D189="Juvenile DVD Educational",RIGHT(B189,LEN(B189)-9),
B189)))))))))))))))))</f>
        <v/>
      </c>
      <c r="N189" s="11" t="str">
        <f ca="1">IF(IFERROR(FIND("New",$A189)&gt;0,FALSE),"New ","") &amp; IF(IFERROR(FIND("In Lib",$A189)&gt;0,FALSE),"Reference ","") &amp;
IF(AND(D189="Audiobook",LEFT(B189,6)="CD BIO"),"Biography",
IF(AND(D189="Teen Audiobook",LEFT(B189,11)="TEEN CD BIO"),"Biography",
IF(AND(D189="Juvenile Audiobook",LEFT(B189,8)="J CD BIO"),"Biography",
IF(AND(D189="Audiobook",LEFT(B189,6)="CD FIC"),"Audiobook Fiction",
IF(AND(D189="Teen Audiobook",LEFT(B189,11)="TEEN CD FIC"),"Teen Audiobook",
IF(AND(D189="Juvenile Audiobook",LEFT(B189,8)="J CD FIC"),"Juvenile Audiobook",
IF(D189="Audiobook","Nonfiction",
IF(D189="Juvenile Audiobook","Nonfiction",
IF(D189="Teen Audiobook","Nonfiction",
IF(D189="Juvenile Nonfiction","Nonfiction",
IF(D189="Teen Nonfiction","Nonfiction",
IF(D189="Juvenile Biography","Biography",
IF(D189="Teen Biography","Biography",
IF(D189="ESL","Nonfiction",
IF(LEFT(B189,11)="INTL-VIE J ","International Juvenile",IF(LEFT(B189,11)="INTL-TAG J ","International Juvenile",IF(LEFT(B189,11)="INTL-RUS J ","International Juvenile",IF(LEFT(B189,11)="INTL-KOR J ","International Juvenile",IF(LEFT(B189,11)="INTL-JAP J ","International Juvenile",IF(LEFT(B189,11)="INTL-CHI J ","International Juvenile",IF(LEFT(B189,11)="INTL-SPA J ","International Juvenile",IF(LEFT(B189,14)="INTL-VIE TEEN ","International Teen",IF(LEFT(B189,14)="INTL-TAG TEEN ","International Teen",IF(LEFT(B189,14)="INTL-RUS TEEN ","International Teen",IF(LEFT(B189,14)="INTL-KOR TEEN ","International Teen",IF(LEFT(B189,14)="INTL-JAP TEEN ","International Teen",IF(LEFT(B189,14)="INTL-CHI TEEN ","International Teen",IF(LEFT(B189,14)="INTL-SPA TEEN ","International Teen",IF(LEFT(B189,11)="INTL-VIE E ","International Easy",IF(LEFT(B189,11)="INTL-TAG E ","International Easy",IF(LEFT(B189,11)="INTL-RUS E ","International Easy",IF(LEFT(B189,11)="INTL-JAP E ","International Easy",IF(LEFT(B189,11)="INTL-KOR E ","International Easy",IF(LEFT(B189,11)="INTL-CHI E ","International Easy",IF(LEFT(B189,11)="INTL-SPA E ","International Easy",
IF(D189="Teen Large Type","Teen Fiction",
IF(D189="Juvenile Large Type","Juvenile Fiction",
IF(LEFT(B189,6)="J CD O","Juvenile Compact Disc",
IF(AND(LEFT(B189,4)="TEEN",D189="Fiction"),"Teen Fiction",
IF(D189="DVD Educational","Nonfiction",
IF(D189="Juvenile DVD Educational","Nonfiction",
IF(D189="Reference","Nonfiction",
D189))))))))))))))))))))))))))))))))))))))))))</f>
        <v/>
      </c>
    </row>
    <row r="190" spans="1:14" ht="27" customHeight="1" x14ac:dyDescent="0.25">
      <c r="A190" s="10" t="str">
        <f ca="1">TEXT( INDIRECT( ADDRESS( ROW() + Row_Offset, INDIRECT( "Column_Number_" &amp; A$1), 4,1, tabname) ), "")</f>
        <v/>
      </c>
      <c r="B190" s="10" t="str">
        <f ca="1">TEXT(  IFERROR( VLOOKUP( $D190, CollName_Simplifier_Table[], 2, FALSE),"") &amp;
        INDIRECT( ADDRESS( ROW() + Row_Offset, INDIRECT( "Column_Number_" &amp; $B$1), 4,1, tabname) ), "")</f>
        <v/>
      </c>
      <c r="C190" s="10" t="str">
        <f ca="1">TEXT( INDIRECT( ADDRESS( ROW() + Row_Offset, INDIRECT( "Column_Number_" &amp; C$1), 4,1, tabname) ), "")</f>
        <v/>
      </c>
      <c r="D190" s="10" t="str">
        <f ca="1">TEXT( INDIRECT( ADDRESS( ROW() + Row_Offset, INDIRECT( "Column_Number_" &amp; D$1), 4,1, tabname) ), "")</f>
        <v/>
      </c>
      <c r="E190" s="10" t="str">
        <f ca="1">TEXT( INDIRECT( ADDRESS( ROW() + Row_Offset, INDIRECT( "Column_Number_" &amp; E$1), 4,1, tabname) ), "####")</f>
        <v/>
      </c>
      <c r="F190" s="15"/>
      <c r="G190" s="22" t="str">
        <f ca="1">IFERROR(INDEX(Rank_Table[],MATCH($D190&amp;$A190,Table4[Join],0)),"")</f>
        <v/>
      </c>
      <c r="H190" s="11" t="str">
        <f ca="1">IF(AND(D190="Juvenile Audiobook",LEFT(B190,8)="J CD BIO"),RIGHT(B190,LEN(B190)-9),
IF(AND(D190="Juvenile Audiobook",LEFT(B190,8)="J CD FIC"),B190,
IF(D190="Juvenile Audiobook",RIGHT(B190,LEN(B190)-5),
IF(AND(D190="Teen Audiobook",LEFT(B190,11)="TEEN CD BIO"),RIGHT(B190,LEN(B190)-12),
IF(AND(D190="Teen Audiobook",LEFT(B190,11)="TEEN CD FIC"),B190,
IF(D190="Juvenile Audiobook",RIGHT(B190,LEN(B190)-8),
IF(D190="Juvenile Nonfiction",RIGHT(B190,LEN(B190)-2),
IF(D190="Teen Nonfiction",RIGHT(B190,LEN(B190)-5),
IF(AND(D190="Audiobook",
              NOT(OR(Contains($B190,"CD BIO"),Contains($B190,"CD FIC")))),RIGHT(B190,LEN(B190)-3),
IF(D190="Juvenile Biography",RIGHT(B190,LEN(B190)-2),
IF(D190="Teen Biography",RIGHT(B190,LEN(B190)-5),
IF(AND(D190="Audiobook",
              IFERROR(FIND("BIO",$B190)&gt;0,FALSE)),RIGHT(B190,LEN(B190)-3),
IF(D190="Juvenile Large Type","J "&amp;RIGHT(B190,LEN(B190)-11),
IF(D190="Teen Large Type","TEEN "&amp;RIGHT(B190,LEN(B190)-14),
IF(D190="Reference",RIGHT(B190,LEN(B190)-4),
IF(D190="DVD Educational",RIGHT(B190,LEN(B190)-7),
IF(D190="Juvenile DVD Educational",RIGHT(B190,LEN(B190)-9),
B190)))))))))))))))))</f>
        <v/>
      </c>
      <c r="N190" s="11" t="str">
        <f ca="1">IF(IFERROR(FIND("New",$A190)&gt;0,FALSE),"New ","") &amp; IF(IFERROR(FIND("In Lib",$A190)&gt;0,FALSE),"Reference ","") &amp;
IF(AND(D190="Audiobook",LEFT(B190,6)="CD BIO"),"Biography",
IF(AND(D190="Teen Audiobook",LEFT(B190,11)="TEEN CD BIO"),"Biography",
IF(AND(D190="Juvenile Audiobook",LEFT(B190,8)="J CD BIO"),"Biography",
IF(AND(D190="Audiobook",LEFT(B190,6)="CD FIC"),"Audiobook Fiction",
IF(AND(D190="Teen Audiobook",LEFT(B190,11)="TEEN CD FIC"),"Teen Audiobook",
IF(AND(D190="Juvenile Audiobook",LEFT(B190,8)="J CD FIC"),"Juvenile Audiobook",
IF(D190="Audiobook","Nonfiction",
IF(D190="Juvenile Audiobook","Nonfiction",
IF(D190="Teen Audiobook","Nonfiction",
IF(D190="Juvenile Nonfiction","Nonfiction",
IF(D190="Teen Nonfiction","Nonfiction",
IF(D190="Juvenile Biography","Biography",
IF(D190="Teen Biography","Biography",
IF(D190="ESL","Nonfiction",
IF(LEFT(B190,11)="INTL-VIE J ","International Juvenile",IF(LEFT(B190,11)="INTL-TAG J ","International Juvenile",IF(LEFT(B190,11)="INTL-RUS J ","International Juvenile",IF(LEFT(B190,11)="INTL-KOR J ","International Juvenile",IF(LEFT(B190,11)="INTL-JAP J ","International Juvenile",IF(LEFT(B190,11)="INTL-CHI J ","International Juvenile",IF(LEFT(B190,11)="INTL-SPA J ","International Juvenile",IF(LEFT(B190,14)="INTL-VIE TEEN ","International Teen",IF(LEFT(B190,14)="INTL-TAG TEEN ","International Teen",IF(LEFT(B190,14)="INTL-RUS TEEN ","International Teen",IF(LEFT(B190,14)="INTL-KOR TEEN ","International Teen",IF(LEFT(B190,14)="INTL-JAP TEEN ","International Teen",IF(LEFT(B190,14)="INTL-CHI TEEN ","International Teen",IF(LEFT(B190,14)="INTL-SPA TEEN ","International Teen",IF(LEFT(B190,11)="INTL-VIE E ","International Easy",IF(LEFT(B190,11)="INTL-TAG E ","International Easy",IF(LEFT(B190,11)="INTL-RUS E ","International Easy",IF(LEFT(B190,11)="INTL-JAP E ","International Easy",IF(LEFT(B190,11)="INTL-KOR E ","International Easy",IF(LEFT(B190,11)="INTL-CHI E ","International Easy",IF(LEFT(B190,11)="INTL-SPA E ","International Easy",
IF(D190="Teen Large Type","Teen Fiction",
IF(D190="Juvenile Large Type","Juvenile Fiction",
IF(LEFT(B190,6)="J CD O","Juvenile Compact Disc",
IF(AND(LEFT(B190,4)="TEEN",D190="Fiction"),"Teen Fiction",
IF(D190="DVD Educational","Nonfiction",
IF(D190="Juvenile DVD Educational","Nonfiction",
IF(D190="Reference","Nonfiction",
D190))))))))))))))))))))))))))))))))))))))))))</f>
        <v/>
      </c>
    </row>
    <row r="191" spans="1:14" ht="27" customHeight="1" x14ac:dyDescent="0.25">
      <c r="A191" s="10" t="str">
        <f ca="1">TEXT( INDIRECT( ADDRESS( ROW() + Row_Offset, INDIRECT( "Column_Number_" &amp; A$1), 4,1, tabname) ), "")</f>
        <v/>
      </c>
      <c r="B191" s="10" t="str">
        <f ca="1">TEXT(  IFERROR( VLOOKUP( $D191, CollName_Simplifier_Table[], 2, FALSE),"") &amp;
        INDIRECT( ADDRESS( ROW() + Row_Offset, INDIRECT( "Column_Number_" &amp; $B$1), 4,1, tabname) ), "")</f>
        <v/>
      </c>
      <c r="C191" s="10" t="str">
        <f ca="1">TEXT( INDIRECT( ADDRESS( ROW() + Row_Offset, INDIRECT( "Column_Number_" &amp; C$1), 4,1, tabname) ), "")</f>
        <v/>
      </c>
      <c r="D191" s="10" t="str">
        <f ca="1">TEXT( INDIRECT( ADDRESS( ROW() + Row_Offset, INDIRECT( "Column_Number_" &amp; D$1), 4,1, tabname) ), "")</f>
        <v/>
      </c>
      <c r="E191" s="10" t="str">
        <f ca="1">TEXT( INDIRECT( ADDRESS( ROW() + Row_Offset, INDIRECT( "Column_Number_" &amp; E$1), 4,1, tabname) ), "####")</f>
        <v/>
      </c>
      <c r="F191" s="15"/>
      <c r="G191" s="22" t="str">
        <f ca="1">IFERROR(INDEX(Rank_Table[],MATCH($D191&amp;$A191,Table4[Join],0)),"")</f>
        <v/>
      </c>
      <c r="H191" s="11" t="str">
        <f ca="1">IF(AND(D191="Juvenile Audiobook",LEFT(B191,8)="J CD BIO"),RIGHT(B191,LEN(B191)-9),
IF(AND(D191="Juvenile Audiobook",LEFT(B191,8)="J CD FIC"),B191,
IF(D191="Juvenile Audiobook",RIGHT(B191,LEN(B191)-5),
IF(AND(D191="Teen Audiobook",LEFT(B191,11)="TEEN CD BIO"),RIGHT(B191,LEN(B191)-12),
IF(AND(D191="Teen Audiobook",LEFT(B191,11)="TEEN CD FIC"),B191,
IF(D191="Juvenile Audiobook",RIGHT(B191,LEN(B191)-8),
IF(D191="Juvenile Nonfiction",RIGHT(B191,LEN(B191)-2),
IF(D191="Teen Nonfiction",RIGHT(B191,LEN(B191)-5),
IF(AND(D191="Audiobook",
              NOT(OR(Contains($B191,"CD BIO"),Contains($B191,"CD FIC")))),RIGHT(B191,LEN(B191)-3),
IF(D191="Juvenile Biography",RIGHT(B191,LEN(B191)-2),
IF(D191="Teen Biography",RIGHT(B191,LEN(B191)-5),
IF(AND(D191="Audiobook",
              IFERROR(FIND("BIO",$B191)&gt;0,FALSE)),RIGHT(B191,LEN(B191)-3),
IF(D191="Juvenile Large Type","J "&amp;RIGHT(B191,LEN(B191)-11),
IF(D191="Teen Large Type","TEEN "&amp;RIGHT(B191,LEN(B191)-14),
IF(D191="Reference",RIGHT(B191,LEN(B191)-4),
IF(D191="DVD Educational",RIGHT(B191,LEN(B191)-7),
IF(D191="Juvenile DVD Educational",RIGHT(B191,LEN(B191)-9),
B191)))))))))))))))))</f>
        <v/>
      </c>
      <c r="N191" s="11" t="str">
        <f ca="1">IF(IFERROR(FIND("New",$A191)&gt;0,FALSE),"New ","") &amp; IF(IFERROR(FIND("In Lib",$A191)&gt;0,FALSE),"Reference ","") &amp;
IF(AND(D191="Audiobook",LEFT(B191,6)="CD BIO"),"Biography",
IF(AND(D191="Teen Audiobook",LEFT(B191,11)="TEEN CD BIO"),"Biography",
IF(AND(D191="Juvenile Audiobook",LEFT(B191,8)="J CD BIO"),"Biography",
IF(AND(D191="Audiobook",LEFT(B191,6)="CD FIC"),"Audiobook Fiction",
IF(AND(D191="Teen Audiobook",LEFT(B191,11)="TEEN CD FIC"),"Teen Audiobook",
IF(AND(D191="Juvenile Audiobook",LEFT(B191,8)="J CD FIC"),"Juvenile Audiobook",
IF(D191="Audiobook","Nonfiction",
IF(D191="Juvenile Audiobook","Nonfiction",
IF(D191="Teen Audiobook","Nonfiction",
IF(D191="Juvenile Nonfiction","Nonfiction",
IF(D191="Teen Nonfiction","Nonfiction",
IF(D191="Juvenile Biography","Biography",
IF(D191="Teen Biography","Biography",
IF(D191="ESL","Nonfiction",
IF(LEFT(B191,11)="INTL-VIE J ","International Juvenile",IF(LEFT(B191,11)="INTL-TAG J ","International Juvenile",IF(LEFT(B191,11)="INTL-RUS J ","International Juvenile",IF(LEFT(B191,11)="INTL-KOR J ","International Juvenile",IF(LEFT(B191,11)="INTL-JAP J ","International Juvenile",IF(LEFT(B191,11)="INTL-CHI J ","International Juvenile",IF(LEFT(B191,11)="INTL-SPA J ","International Juvenile",IF(LEFT(B191,14)="INTL-VIE TEEN ","International Teen",IF(LEFT(B191,14)="INTL-TAG TEEN ","International Teen",IF(LEFT(B191,14)="INTL-RUS TEEN ","International Teen",IF(LEFT(B191,14)="INTL-KOR TEEN ","International Teen",IF(LEFT(B191,14)="INTL-JAP TEEN ","International Teen",IF(LEFT(B191,14)="INTL-CHI TEEN ","International Teen",IF(LEFT(B191,14)="INTL-SPA TEEN ","International Teen",IF(LEFT(B191,11)="INTL-VIE E ","International Easy",IF(LEFT(B191,11)="INTL-TAG E ","International Easy",IF(LEFT(B191,11)="INTL-RUS E ","International Easy",IF(LEFT(B191,11)="INTL-JAP E ","International Easy",IF(LEFT(B191,11)="INTL-KOR E ","International Easy",IF(LEFT(B191,11)="INTL-CHI E ","International Easy",IF(LEFT(B191,11)="INTL-SPA E ","International Easy",
IF(D191="Teen Large Type","Teen Fiction",
IF(D191="Juvenile Large Type","Juvenile Fiction",
IF(LEFT(B191,6)="J CD O","Juvenile Compact Disc",
IF(AND(LEFT(B191,4)="TEEN",D191="Fiction"),"Teen Fiction",
IF(D191="DVD Educational","Nonfiction",
IF(D191="Juvenile DVD Educational","Nonfiction",
IF(D191="Reference","Nonfiction",
D191))))))))))))))))))))))))))))))))))))))))))</f>
        <v/>
      </c>
    </row>
    <row r="192" spans="1:14" ht="27" customHeight="1" x14ac:dyDescent="0.25">
      <c r="A192" s="10" t="str">
        <f ca="1">TEXT( INDIRECT( ADDRESS( ROW() + Row_Offset, INDIRECT( "Column_Number_" &amp; A$1), 4,1, tabname) ), "")</f>
        <v/>
      </c>
      <c r="B192" s="10" t="str">
        <f ca="1">TEXT(  IFERROR( VLOOKUP( $D192, CollName_Simplifier_Table[], 2, FALSE),"") &amp;
        INDIRECT( ADDRESS( ROW() + Row_Offset, INDIRECT( "Column_Number_" &amp; $B$1), 4,1, tabname) ), "")</f>
        <v/>
      </c>
      <c r="C192" s="10" t="str">
        <f ca="1">TEXT( INDIRECT( ADDRESS( ROW() + Row_Offset, INDIRECT( "Column_Number_" &amp; C$1), 4,1, tabname) ), "")</f>
        <v/>
      </c>
      <c r="D192" s="10" t="str">
        <f ca="1">TEXT( INDIRECT( ADDRESS( ROW() + Row_Offset, INDIRECT( "Column_Number_" &amp; D$1), 4,1, tabname) ), "")</f>
        <v/>
      </c>
      <c r="E192" s="10" t="str">
        <f ca="1">TEXT( INDIRECT( ADDRESS( ROW() + Row_Offset, INDIRECT( "Column_Number_" &amp; E$1), 4,1, tabname) ), "####")</f>
        <v/>
      </c>
      <c r="F192" s="15"/>
      <c r="G192" s="22" t="str">
        <f ca="1">IFERROR(INDEX(Rank_Table[],MATCH($D192&amp;$A192,Table4[Join],0)),"")</f>
        <v/>
      </c>
      <c r="H192" s="11" t="str">
        <f ca="1">IF(AND(D192="Juvenile Audiobook",LEFT(B192,8)="J CD BIO"),RIGHT(B192,LEN(B192)-9),
IF(AND(D192="Juvenile Audiobook",LEFT(B192,8)="J CD FIC"),B192,
IF(D192="Juvenile Audiobook",RIGHT(B192,LEN(B192)-5),
IF(AND(D192="Teen Audiobook",LEFT(B192,11)="TEEN CD BIO"),RIGHT(B192,LEN(B192)-12),
IF(AND(D192="Teen Audiobook",LEFT(B192,11)="TEEN CD FIC"),B192,
IF(D192="Juvenile Audiobook",RIGHT(B192,LEN(B192)-8),
IF(D192="Juvenile Nonfiction",RIGHT(B192,LEN(B192)-2),
IF(D192="Teen Nonfiction",RIGHT(B192,LEN(B192)-5),
IF(AND(D192="Audiobook",
              NOT(OR(Contains($B192,"CD BIO"),Contains($B192,"CD FIC")))),RIGHT(B192,LEN(B192)-3),
IF(D192="Juvenile Biography",RIGHT(B192,LEN(B192)-2),
IF(D192="Teen Biography",RIGHT(B192,LEN(B192)-5),
IF(AND(D192="Audiobook",
              IFERROR(FIND("BIO",$B192)&gt;0,FALSE)),RIGHT(B192,LEN(B192)-3),
IF(D192="Juvenile Large Type","J "&amp;RIGHT(B192,LEN(B192)-11),
IF(D192="Teen Large Type","TEEN "&amp;RIGHT(B192,LEN(B192)-14),
IF(D192="Reference",RIGHT(B192,LEN(B192)-4),
IF(D192="DVD Educational",RIGHT(B192,LEN(B192)-7),
IF(D192="Juvenile DVD Educational",RIGHT(B192,LEN(B192)-9),
B192)))))))))))))))))</f>
        <v/>
      </c>
      <c r="N192" s="11" t="str">
        <f ca="1">IF(IFERROR(FIND("New",$A192)&gt;0,FALSE),"New ","") &amp; IF(IFERROR(FIND("In Lib",$A192)&gt;0,FALSE),"Reference ","") &amp;
IF(AND(D192="Audiobook",LEFT(B192,6)="CD BIO"),"Biography",
IF(AND(D192="Teen Audiobook",LEFT(B192,11)="TEEN CD BIO"),"Biography",
IF(AND(D192="Juvenile Audiobook",LEFT(B192,8)="J CD BIO"),"Biography",
IF(AND(D192="Audiobook",LEFT(B192,6)="CD FIC"),"Audiobook Fiction",
IF(AND(D192="Teen Audiobook",LEFT(B192,11)="TEEN CD FIC"),"Teen Audiobook",
IF(AND(D192="Juvenile Audiobook",LEFT(B192,8)="J CD FIC"),"Juvenile Audiobook",
IF(D192="Audiobook","Nonfiction",
IF(D192="Juvenile Audiobook","Nonfiction",
IF(D192="Teen Audiobook","Nonfiction",
IF(D192="Juvenile Nonfiction","Nonfiction",
IF(D192="Teen Nonfiction","Nonfiction",
IF(D192="Juvenile Biography","Biography",
IF(D192="Teen Biography","Biography",
IF(D192="ESL","Nonfiction",
IF(LEFT(B192,11)="INTL-VIE J ","International Juvenile",IF(LEFT(B192,11)="INTL-TAG J ","International Juvenile",IF(LEFT(B192,11)="INTL-RUS J ","International Juvenile",IF(LEFT(B192,11)="INTL-KOR J ","International Juvenile",IF(LEFT(B192,11)="INTL-JAP J ","International Juvenile",IF(LEFT(B192,11)="INTL-CHI J ","International Juvenile",IF(LEFT(B192,11)="INTL-SPA J ","International Juvenile",IF(LEFT(B192,14)="INTL-VIE TEEN ","International Teen",IF(LEFT(B192,14)="INTL-TAG TEEN ","International Teen",IF(LEFT(B192,14)="INTL-RUS TEEN ","International Teen",IF(LEFT(B192,14)="INTL-KOR TEEN ","International Teen",IF(LEFT(B192,14)="INTL-JAP TEEN ","International Teen",IF(LEFT(B192,14)="INTL-CHI TEEN ","International Teen",IF(LEFT(B192,14)="INTL-SPA TEEN ","International Teen",IF(LEFT(B192,11)="INTL-VIE E ","International Easy",IF(LEFT(B192,11)="INTL-TAG E ","International Easy",IF(LEFT(B192,11)="INTL-RUS E ","International Easy",IF(LEFT(B192,11)="INTL-JAP E ","International Easy",IF(LEFT(B192,11)="INTL-KOR E ","International Easy",IF(LEFT(B192,11)="INTL-CHI E ","International Easy",IF(LEFT(B192,11)="INTL-SPA E ","International Easy",
IF(D192="Teen Large Type","Teen Fiction",
IF(D192="Juvenile Large Type","Juvenile Fiction",
IF(LEFT(B192,6)="J CD O","Juvenile Compact Disc",
IF(AND(LEFT(B192,4)="TEEN",D192="Fiction"),"Teen Fiction",
IF(D192="DVD Educational","Nonfiction",
IF(D192="Juvenile DVD Educational","Nonfiction",
IF(D192="Reference","Nonfiction",
D192))))))))))))))))))))))))))))))))))))))))))</f>
        <v/>
      </c>
    </row>
    <row r="193" spans="1:14" ht="27" customHeight="1" x14ac:dyDescent="0.25">
      <c r="A193" s="10" t="str">
        <f ca="1">TEXT( INDIRECT( ADDRESS( ROW() + Row_Offset, INDIRECT( "Column_Number_" &amp; A$1), 4,1, tabname) ), "")</f>
        <v/>
      </c>
      <c r="B193" s="10" t="str">
        <f ca="1">TEXT(  IFERROR( VLOOKUP( $D193, CollName_Simplifier_Table[], 2, FALSE),"") &amp;
        INDIRECT( ADDRESS( ROW() + Row_Offset, INDIRECT( "Column_Number_" &amp; $B$1), 4,1, tabname) ), "")</f>
        <v/>
      </c>
      <c r="C193" s="10" t="str">
        <f ca="1">TEXT( INDIRECT( ADDRESS( ROW() + Row_Offset, INDIRECT( "Column_Number_" &amp; C$1), 4,1, tabname) ), "")</f>
        <v/>
      </c>
      <c r="D193" s="10" t="str">
        <f ca="1">TEXT( INDIRECT( ADDRESS( ROW() + Row_Offset, INDIRECT( "Column_Number_" &amp; D$1), 4,1, tabname) ), "")</f>
        <v/>
      </c>
      <c r="E193" s="10" t="str">
        <f ca="1">TEXT( INDIRECT( ADDRESS( ROW() + Row_Offset, INDIRECT( "Column_Number_" &amp; E$1), 4,1, tabname) ), "####")</f>
        <v/>
      </c>
      <c r="F193" s="15"/>
      <c r="G193" s="22" t="str">
        <f ca="1">IFERROR(INDEX(Rank_Table[],MATCH($D193&amp;$A193,Table4[Join],0)),"")</f>
        <v/>
      </c>
      <c r="H193" s="11" t="str">
        <f ca="1">IF(AND(D193="Juvenile Audiobook",LEFT(B193,8)="J CD BIO"),RIGHT(B193,LEN(B193)-9),
IF(AND(D193="Juvenile Audiobook",LEFT(B193,8)="J CD FIC"),B193,
IF(D193="Juvenile Audiobook",RIGHT(B193,LEN(B193)-5),
IF(AND(D193="Teen Audiobook",LEFT(B193,11)="TEEN CD BIO"),RIGHT(B193,LEN(B193)-12),
IF(AND(D193="Teen Audiobook",LEFT(B193,11)="TEEN CD FIC"),B193,
IF(D193="Juvenile Audiobook",RIGHT(B193,LEN(B193)-8),
IF(D193="Juvenile Nonfiction",RIGHT(B193,LEN(B193)-2),
IF(D193="Teen Nonfiction",RIGHT(B193,LEN(B193)-5),
IF(AND(D193="Audiobook",
              NOT(OR(Contains($B193,"CD BIO"),Contains($B193,"CD FIC")))),RIGHT(B193,LEN(B193)-3),
IF(D193="Juvenile Biography",RIGHT(B193,LEN(B193)-2),
IF(D193="Teen Biography",RIGHT(B193,LEN(B193)-5),
IF(AND(D193="Audiobook",
              IFERROR(FIND("BIO",$B193)&gt;0,FALSE)),RIGHT(B193,LEN(B193)-3),
IF(D193="Juvenile Large Type","J "&amp;RIGHT(B193,LEN(B193)-11),
IF(D193="Teen Large Type","TEEN "&amp;RIGHT(B193,LEN(B193)-14),
IF(D193="Reference",RIGHT(B193,LEN(B193)-4),
IF(D193="DVD Educational",RIGHT(B193,LEN(B193)-7),
IF(D193="Juvenile DVD Educational",RIGHT(B193,LEN(B193)-9),
B193)))))))))))))))))</f>
        <v/>
      </c>
      <c r="N193" s="11" t="str">
        <f ca="1">IF(IFERROR(FIND("New",$A193)&gt;0,FALSE),"New ","") &amp; IF(IFERROR(FIND("In Lib",$A193)&gt;0,FALSE),"Reference ","") &amp;
IF(AND(D193="Audiobook",LEFT(B193,6)="CD BIO"),"Biography",
IF(AND(D193="Teen Audiobook",LEFT(B193,11)="TEEN CD BIO"),"Biography",
IF(AND(D193="Juvenile Audiobook",LEFT(B193,8)="J CD BIO"),"Biography",
IF(AND(D193="Audiobook",LEFT(B193,6)="CD FIC"),"Audiobook Fiction",
IF(AND(D193="Teen Audiobook",LEFT(B193,11)="TEEN CD FIC"),"Teen Audiobook",
IF(AND(D193="Juvenile Audiobook",LEFT(B193,8)="J CD FIC"),"Juvenile Audiobook",
IF(D193="Audiobook","Nonfiction",
IF(D193="Juvenile Audiobook","Nonfiction",
IF(D193="Teen Audiobook","Nonfiction",
IF(D193="Juvenile Nonfiction","Nonfiction",
IF(D193="Teen Nonfiction","Nonfiction",
IF(D193="Juvenile Biography","Biography",
IF(D193="Teen Biography","Biography",
IF(D193="ESL","Nonfiction",
IF(LEFT(B193,11)="INTL-VIE J ","International Juvenile",IF(LEFT(B193,11)="INTL-TAG J ","International Juvenile",IF(LEFT(B193,11)="INTL-RUS J ","International Juvenile",IF(LEFT(B193,11)="INTL-KOR J ","International Juvenile",IF(LEFT(B193,11)="INTL-JAP J ","International Juvenile",IF(LEFT(B193,11)="INTL-CHI J ","International Juvenile",IF(LEFT(B193,11)="INTL-SPA J ","International Juvenile",IF(LEFT(B193,14)="INTL-VIE TEEN ","International Teen",IF(LEFT(B193,14)="INTL-TAG TEEN ","International Teen",IF(LEFT(B193,14)="INTL-RUS TEEN ","International Teen",IF(LEFT(B193,14)="INTL-KOR TEEN ","International Teen",IF(LEFT(B193,14)="INTL-JAP TEEN ","International Teen",IF(LEFT(B193,14)="INTL-CHI TEEN ","International Teen",IF(LEFT(B193,14)="INTL-SPA TEEN ","International Teen",IF(LEFT(B193,11)="INTL-VIE E ","International Easy",IF(LEFT(B193,11)="INTL-TAG E ","International Easy",IF(LEFT(B193,11)="INTL-RUS E ","International Easy",IF(LEFT(B193,11)="INTL-JAP E ","International Easy",IF(LEFT(B193,11)="INTL-KOR E ","International Easy",IF(LEFT(B193,11)="INTL-CHI E ","International Easy",IF(LEFT(B193,11)="INTL-SPA E ","International Easy",
IF(D193="Teen Large Type","Teen Fiction",
IF(D193="Juvenile Large Type","Juvenile Fiction",
IF(LEFT(B193,6)="J CD O","Juvenile Compact Disc",
IF(AND(LEFT(B193,4)="TEEN",D193="Fiction"),"Teen Fiction",
IF(D193="DVD Educational","Nonfiction",
IF(D193="Juvenile DVD Educational","Nonfiction",
IF(D193="Reference","Nonfiction",
D193))))))))))))))))))))))))))))))))))))))))))</f>
        <v/>
      </c>
    </row>
    <row r="194" spans="1:14" ht="27" customHeight="1" x14ac:dyDescent="0.25">
      <c r="A194" s="10" t="str">
        <f ca="1">TEXT( INDIRECT( ADDRESS( ROW() + Row_Offset, INDIRECT( "Column_Number_" &amp; A$1), 4,1, tabname) ), "")</f>
        <v/>
      </c>
      <c r="B194" s="10" t="str">
        <f ca="1">TEXT(  IFERROR( VLOOKUP( $D194, CollName_Simplifier_Table[], 2, FALSE),"") &amp;
        INDIRECT( ADDRESS( ROW() + Row_Offset, INDIRECT( "Column_Number_" &amp; $B$1), 4,1, tabname) ), "")</f>
        <v/>
      </c>
      <c r="C194" s="10" t="str">
        <f ca="1">TEXT( INDIRECT( ADDRESS( ROW() + Row_Offset, INDIRECT( "Column_Number_" &amp; C$1), 4,1, tabname) ), "")</f>
        <v/>
      </c>
      <c r="D194" s="10" t="str">
        <f ca="1">TEXT( INDIRECT( ADDRESS( ROW() + Row_Offset, INDIRECT( "Column_Number_" &amp; D$1), 4,1, tabname) ), "")</f>
        <v/>
      </c>
      <c r="E194" s="10" t="str">
        <f ca="1">TEXT( INDIRECT( ADDRESS( ROW() + Row_Offset, INDIRECT( "Column_Number_" &amp; E$1), 4,1, tabname) ), "####")</f>
        <v/>
      </c>
      <c r="F194" s="15"/>
      <c r="G194" s="22" t="str">
        <f ca="1">IFERROR(INDEX(Rank_Table[],MATCH($D194&amp;$A194,Table4[Join],0)),"")</f>
        <v/>
      </c>
      <c r="H194" s="11" t="str">
        <f ca="1">IF(AND(D194="Juvenile Audiobook",LEFT(B194,8)="J CD BIO"),RIGHT(B194,LEN(B194)-9),
IF(AND(D194="Juvenile Audiobook",LEFT(B194,8)="J CD FIC"),B194,
IF(D194="Juvenile Audiobook",RIGHT(B194,LEN(B194)-5),
IF(AND(D194="Teen Audiobook",LEFT(B194,11)="TEEN CD BIO"),RIGHT(B194,LEN(B194)-12),
IF(AND(D194="Teen Audiobook",LEFT(B194,11)="TEEN CD FIC"),B194,
IF(D194="Juvenile Audiobook",RIGHT(B194,LEN(B194)-8),
IF(D194="Juvenile Nonfiction",RIGHT(B194,LEN(B194)-2),
IF(D194="Teen Nonfiction",RIGHT(B194,LEN(B194)-5),
IF(AND(D194="Audiobook",
              NOT(OR(Contains($B194,"CD BIO"),Contains($B194,"CD FIC")))),RIGHT(B194,LEN(B194)-3),
IF(D194="Juvenile Biography",RIGHT(B194,LEN(B194)-2),
IF(D194="Teen Biography",RIGHT(B194,LEN(B194)-5),
IF(AND(D194="Audiobook",
              IFERROR(FIND("BIO",$B194)&gt;0,FALSE)),RIGHT(B194,LEN(B194)-3),
IF(D194="Juvenile Large Type","J "&amp;RIGHT(B194,LEN(B194)-11),
IF(D194="Teen Large Type","TEEN "&amp;RIGHT(B194,LEN(B194)-14),
IF(D194="Reference",RIGHT(B194,LEN(B194)-4),
IF(D194="DVD Educational",RIGHT(B194,LEN(B194)-7),
IF(D194="Juvenile DVD Educational",RIGHT(B194,LEN(B194)-9),
B194)))))))))))))))))</f>
        <v/>
      </c>
      <c r="N194" s="11" t="str">
        <f ca="1">IF(IFERROR(FIND("New",$A194)&gt;0,FALSE),"New ","") &amp; IF(IFERROR(FIND("In Lib",$A194)&gt;0,FALSE),"Reference ","") &amp;
IF(AND(D194="Audiobook",LEFT(B194,6)="CD BIO"),"Biography",
IF(AND(D194="Teen Audiobook",LEFT(B194,11)="TEEN CD BIO"),"Biography",
IF(AND(D194="Juvenile Audiobook",LEFT(B194,8)="J CD BIO"),"Biography",
IF(AND(D194="Audiobook",LEFT(B194,6)="CD FIC"),"Audiobook Fiction",
IF(AND(D194="Teen Audiobook",LEFT(B194,11)="TEEN CD FIC"),"Teen Audiobook",
IF(AND(D194="Juvenile Audiobook",LEFT(B194,8)="J CD FIC"),"Juvenile Audiobook",
IF(D194="Audiobook","Nonfiction",
IF(D194="Juvenile Audiobook","Nonfiction",
IF(D194="Teen Audiobook","Nonfiction",
IF(D194="Juvenile Nonfiction","Nonfiction",
IF(D194="Teen Nonfiction","Nonfiction",
IF(D194="Juvenile Biography","Biography",
IF(D194="Teen Biography","Biography",
IF(D194="ESL","Nonfiction",
IF(LEFT(B194,11)="INTL-VIE J ","International Juvenile",IF(LEFT(B194,11)="INTL-TAG J ","International Juvenile",IF(LEFT(B194,11)="INTL-RUS J ","International Juvenile",IF(LEFT(B194,11)="INTL-KOR J ","International Juvenile",IF(LEFT(B194,11)="INTL-JAP J ","International Juvenile",IF(LEFT(B194,11)="INTL-CHI J ","International Juvenile",IF(LEFT(B194,11)="INTL-SPA J ","International Juvenile",IF(LEFT(B194,14)="INTL-VIE TEEN ","International Teen",IF(LEFT(B194,14)="INTL-TAG TEEN ","International Teen",IF(LEFT(B194,14)="INTL-RUS TEEN ","International Teen",IF(LEFT(B194,14)="INTL-KOR TEEN ","International Teen",IF(LEFT(B194,14)="INTL-JAP TEEN ","International Teen",IF(LEFT(B194,14)="INTL-CHI TEEN ","International Teen",IF(LEFT(B194,14)="INTL-SPA TEEN ","International Teen",IF(LEFT(B194,11)="INTL-VIE E ","International Easy",IF(LEFT(B194,11)="INTL-TAG E ","International Easy",IF(LEFT(B194,11)="INTL-RUS E ","International Easy",IF(LEFT(B194,11)="INTL-JAP E ","International Easy",IF(LEFT(B194,11)="INTL-KOR E ","International Easy",IF(LEFT(B194,11)="INTL-CHI E ","International Easy",IF(LEFT(B194,11)="INTL-SPA E ","International Easy",
IF(D194="Teen Large Type","Teen Fiction",
IF(D194="Juvenile Large Type","Juvenile Fiction",
IF(LEFT(B194,6)="J CD O","Juvenile Compact Disc",
IF(AND(LEFT(B194,4)="TEEN",D194="Fiction"),"Teen Fiction",
IF(D194="DVD Educational","Nonfiction",
IF(D194="Juvenile DVD Educational","Nonfiction",
IF(D194="Reference","Nonfiction",
D194))))))))))))))))))))))))))))))))))))))))))</f>
        <v/>
      </c>
    </row>
    <row r="195" spans="1:14" ht="27" customHeight="1" x14ac:dyDescent="0.25">
      <c r="A195" s="10" t="str">
        <f ca="1">TEXT( INDIRECT( ADDRESS( ROW() + Row_Offset, INDIRECT( "Column_Number_" &amp; A$1), 4,1, tabname) ), "")</f>
        <v/>
      </c>
      <c r="B195" s="10" t="str">
        <f ca="1">TEXT(  IFERROR( VLOOKUP( $D195, CollName_Simplifier_Table[], 2, FALSE),"") &amp;
        INDIRECT( ADDRESS( ROW() + Row_Offset, INDIRECT( "Column_Number_" &amp; $B$1), 4,1, tabname) ), "")</f>
        <v/>
      </c>
      <c r="C195" s="10" t="str">
        <f ca="1">TEXT( INDIRECT( ADDRESS( ROW() + Row_Offset, INDIRECT( "Column_Number_" &amp; C$1), 4,1, tabname) ), "")</f>
        <v/>
      </c>
      <c r="D195" s="10" t="str">
        <f ca="1">TEXT( INDIRECT( ADDRESS( ROW() + Row_Offset, INDIRECT( "Column_Number_" &amp; D$1), 4,1, tabname) ), "")</f>
        <v/>
      </c>
      <c r="E195" s="10" t="str">
        <f ca="1">TEXT( INDIRECT( ADDRESS( ROW() + Row_Offset, INDIRECT( "Column_Number_" &amp; E$1), 4,1, tabname) ), "####")</f>
        <v/>
      </c>
      <c r="F195" s="15"/>
      <c r="G195" s="22" t="str">
        <f ca="1">IFERROR(INDEX(Rank_Table[],MATCH($D195&amp;$A195,Table4[Join],0)),"")</f>
        <v/>
      </c>
      <c r="H195" s="11" t="str">
        <f ca="1">IF(AND(D195="Juvenile Audiobook",LEFT(B195,8)="J CD BIO"),RIGHT(B195,LEN(B195)-9),
IF(AND(D195="Juvenile Audiobook",LEFT(B195,8)="J CD FIC"),B195,
IF(D195="Juvenile Audiobook",RIGHT(B195,LEN(B195)-5),
IF(AND(D195="Teen Audiobook",LEFT(B195,11)="TEEN CD BIO"),RIGHT(B195,LEN(B195)-12),
IF(AND(D195="Teen Audiobook",LEFT(B195,11)="TEEN CD FIC"),B195,
IF(D195="Juvenile Audiobook",RIGHT(B195,LEN(B195)-8),
IF(D195="Juvenile Nonfiction",RIGHT(B195,LEN(B195)-2),
IF(D195="Teen Nonfiction",RIGHT(B195,LEN(B195)-5),
IF(AND(D195="Audiobook",
              NOT(OR(Contains($B195,"CD BIO"),Contains($B195,"CD FIC")))),RIGHT(B195,LEN(B195)-3),
IF(D195="Juvenile Biography",RIGHT(B195,LEN(B195)-2),
IF(D195="Teen Biography",RIGHT(B195,LEN(B195)-5),
IF(AND(D195="Audiobook",
              IFERROR(FIND("BIO",$B195)&gt;0,FALSE)),RIGHT(B195,LEN(B195)-3),
IF(D195="Juvenile Large Type","J "&amp;RIGHT(B195,LEN(B195)-11),
IF(D195="Teen Large Type","TEEN "&amp;RIGHT(B195,LEN(B195)-14),
IF(D195="Reference",RIGHT(B195,LEN(B195)-4),
IF(D195="DVD Educational",RIGHT(B195,LEN(B195)-7),
IF(D195="Juvenile DVD Educational",RIGHT(B195,LEN(B195)-9),
B195)))))))))))))))))</f>
        <v/>
      </c>
      <c r="N195" s="11" t="str">
        <f ca="1">IF(IFERROR(FIND("New",$A195)&gt;0,FALSE),"New ","") &amp; IF(IFERROR(FIND("In Lib",$A195)&gt;0,FALSE),"Reference ","") &amp;
IF(AND(D195="Audiobook",LEFT(B195,6)="CD BIO"),"Biography",
IF(AND(D195="Teen Audiobook",LEFT(B195,11)="TEEN CD BIO"),"Biography",
IF(AND(D195="Juvenile Audiobook",LEFT(B195,8)="J CD BIO"),"Biography",
IF(AND(D195="Audiobook",LEFT(B195,6)="CD FIC"),"Audiobook Fiction",
IF(AND(D195="Teen Audiobook",LEFT(B195,11)="TEEN CD FIC"),"Teen Audiobook",
IF(AND(D195="Juvenile Audiobook",LEFT(B195,8)="J CD FIC"),"Juvenile Audiobook",
IF(D195="Audiobook","Nonfiction",
IF(D195="Juvenile Audiobook","Nonfiction",
IF(D195="Teen Audiobook","Nonfiction",
IF(D195="Juvenile Nonfiction","Nonfiction",
IF(D195="Teen Nonfiction","Nonfiction",
IF(D195="Juvenile Biography","Biography",
IF(D195="Teen Biography","Biography",
IF(D195="ESL","Nonfiction",
IF(LEFT(B195,11)="INTL-VIE J ","International Juvenile",IF(LEFT(B195,11)="INTL-TAG J ","International Juvenile",IF(LEFT(B195,11)="INTL-RUS J ","International Juvenile",IF(LEFT(B195,11)="INTL-KOR J ","International Juvenile",IF(LEFT(B195,11)="INTL-JAP J ","International Juvenile",IF(LEFT(B195,11)="INTL-CHI J ","International Juvenile",IF(LEFT(B195,11)="INTL-SPA J ","International Juvenile",IF(LEFT(B195,14)="INTL-VIE TEEN ","International Teen",IF(LEFT(B195,14)="INTL-TAG TEEN ","International Teen",IF(LEFT(B195,14)="INTL-RUS TEEN ","International Teen",IF(LEFT(B195,14)="INTL-KOR TEEN ","International Teen",IF(LEFT(B195,14)="INTL-JAP TEEN ","International Teen",IF(LEFT(B195,14)="INTL-CHI TEEN ","International Teen",IF(LEFT(B195,14)="INTL-SPA TEEN ","International Teen",IF(LEFT(B195,11)="INTL-VIE E ","International Easy",IF(LEFT(B195,11)="INTL-TAG E ","International Easy",IF(LEFT(B195,11)="INTL-RUS E ","International Easy",IF(LEFT(B195,11)="INTL-JAP E ","International Easy",IF(LEFT(B195,11)="INTL-KOR E ","International Easy",IF(LEFT(B195,11)="INTL-CHI E ","International Easy",IF(LEFT(B195,11)="INTL-SPA E ","International Easy",
IF(D195="Teen Large Type","Teen Fiction",
IF(D195="Juvenile Large Type","Juvenile Fiction",
IF(LEFT(B195,6)="J CD O","Juvenile Compact Disc",
IF(AND(LEFT(B195,4)="TEEN",D195="Fiction"),"Teen Fiction",
IF(D195="DVD Educational","Nonfiction",
IF(D195="Juvenile DVD Educational","Nonfiction",
IF(D195="Reference","Nonfiction",
D195))))))))))))))))))))))))))))))))))))))))))</f>
        <v/>
      </c>
    </row>
    <row r="196" spans="1:14" ht="27" customHeight="1" x14ac:dyDescent="0.25">
      <c r="A196" s="10" t="str">
        <f ca="1">TEXT( INDIRECT( ADDRESS( ROW() + Row_Offset, INDIRECT( "Column_Number_" &amp; A$1), 4,1, tabname) ), "")</f>
        <v/>
      </c>
      <c r="B196" s="10" t="str">
        <f ca="1">TEXT(  IFERROR( VLOOKUP( $D196, CollName_Simplifier_Table[], 2, FALSE),"") &amp;
        INDIRECT( ADDRESS( ROW() + Row_Offset, INDIRECT( "Column_Number_" &amp; $B$1), 4,1, tabname) ), "")</f>
        <v/>
      </c>
      <c r="C196" s="10" t="str">
        <f ca="1">TEXT( INDIRECT( ADDRESS( ROW() + Row_Offset, INDIRECT( "Column_Number_" &amp; C$1), 4,1, tabname) ), "")</f>
        <v/>
      </c>
      <c r="D196" s="10" t="str">
        <f ca="1">TEXT( INDIRECT( ADDRESS( ROW() + Row_Offset, INDIRECT( "Column_Number_" &amp; D$1), 4,1, tabname) ), "")</f>
        <v/>
      </c>
      <c r="E196" s="10" t="str">
        <f ca="1">TEXT( INDIRECT( ADDRESS( ROW() + Row_Offset, INDIRECT( "Column_Number_" &amp; E$1), 4,1, tabname) ), "####")</f>
        <v/>
      </c>
      <c r="F196" s="15"/>
      <c r="G196" s="22" t="str">
        <f ca="1">IFERROR(INDEX(Rank_Table[],MATCH($D196&amp;$A196,Table4[Join],0)),"")</f>
        <v/>
      </c>
      <c r="H196" s="11" t="str">
        <f ca="1">IF(AND(D196="Juvenile Audiobook",LEFT(B196,8)="J CD BIO"),RIGHT(B196,LEN(B196)-9),
IF(AND(D196="Juvenile Audiobook",LEFT(B196,8)="J CD FIC"),B196,
IF(D196="Juvenile Audiobook",RIGHT(B196,LEN(B196)-5),
IF(AND(D196="Teen Audiobook",LEFT(B196,11)="TEEN CD BIO"),RIGHT(B196,LEN(B196)-12),
IF(AND(D196="Teen Audiobook",LEFT(B196,11)="TEEN CD FIC"),B196,
IF(D196="Juvenile Audiobook",RIGHT(B196,LEN(B196)-8),
IF(D196="Juvenile Nonfiction",RIGHT(B196,LEN(B196)-2),
IF(D196="Teen Nonfiction",RIGHT(B196,LEN(B196)-5),
IF(AND(D196="Audiobook",
              NOT(OR(Contains($B196,"CD BIO"),Contains($B196,"CD FIC")))),RIGHT(B196,LEN(B196)-3),
IF(D196="Juvenile Biography",RIGHT(B196,LEN(B196)-2),
IF(D196="Teen Biography",RIGHT(B196,LEN(B196)-5),
IF(AND(D196="Audiobook",
              IFERROR(FIND("BIO",$B196)&gt;0,FALSE)),RIGHT(B196,LEN(B196)-3),
IF(D196="Juvenile Large Type","J "&amp;RIGHT(B196,LEN(B196)-11),
IF(D196="Teen Large Type","TEEN "&amp;RIGHT(B196,LEN(B196)-14),
IF(D196="Reference",RIGHT(B196,LEN(B196)-4),
IF(D196="DVD Educational",RIGHT(B196,LEN(B196)-7),
IF(D196="Juvenile DVD Educational",RIGHT(B196,LEN(B196)-9),
B196)))))))))))))))))</f>
        <v/>
      </c>
      <c r="N196" s="11" t="str">
        <f ca="1">IF(IFERROR(FIND("New",$A196)&gt;0,FALSE),"New ","") &amp; IF(IFERROR(FIND("In Lib",$A196)&gt;0,FALSE),"Reference ","") &amp;
IF(AND(D196="Audiobook",LEFT(B196,6)="CD BIO"),"Biography",
IF(AND(D196="Teen Audiobook",LEFT(B196,11)="TEEN CD BIO"),"Biography",
IF(AND(D196="Juvenile Audiobook",LEFT(B196,8)="J CD BIO"),"Biography",
IF(AND(D196="Audiobook",LEFT(B196,6)="CD FIC"),"Audiobook Fiction",
IF(AND(D196="Teen Audiobook",LEFT(B196,11)="TEEN CD FIC"),"Teen Audiobook",
IF(AND(D196="Juvenile Audiobook",LEFT(B196,8)="J CD FIC"),"Juvenile Audiobook",
IF(D196="Audiobook","Nonfiction",
IF(D196="Juvenile Audiobook","Nonfiction",
IF(D196="Teen Audiobook","Nonfiction",
IF(D196="Juvenile Nonfiction","Nonfiction",
IF(D196="Teen Nonfiction","Nonfiction",
IF(D196="Juvenile Biography","Biography",
IF(D196="Teen Biography","Biography",
IF(D196="ESL","Nonfiction",
IF(LEFT(B196,11)="INTL-VIE J ","International Juvenile",IF(LEFT(B196,11)="INTL-TAG J ","International Juvenile",IF(LEFT(B196,11)="INTL-RUS J ","International Juvenile",IF(LEFT(B196,11)="INTL-KOR J ","International Juvenile",IF(LEFT(B196,11)="INTL-JAP J ","International Juvenile",IF(LEFT(B196,11)="INTL-CHI J ","International Juvenile",IF(LEFT(B196,11)="INTL-SPA J ","International Juvenile",IF(LEFT(B196,14)="INTL-VIE TEEN ","International Teen",IF(LEFT(B196,14)="INTL-TAG TEEN ","International Teen",IF(LEFT(B196,14)="INTL-RUS TEEN ","International Teen",IF(LEFT(B196,14)="INTL-KOR TEEN ","International Teen",IF(LEFT(B196,14)="INTL-JAP TEEN ","International Teen",IF(LEFT(B196,14)="INTL-CHI TEEN ","International Teen",IF(LEFT(B196,14)="INTL-SPA TEEN ","International Teen",IF(LEFT(B196,11)="INTL-VIE E ","International Easy",IF(LEFT(B196,11)="INTL-TAG E ","International Easy",IF(LEFT(B196,11)="INTL-RUS E ","International Easy",IF(LEFT(B196,11)="INTL-JAP E ","International Easy",IF(LEFT(B196,11)="INTL-KOR E ","International Easy",IF(LEFT(B196,11)="INTL-CHI E ","International Easy",IF(LEFT(B196,11)="INTL-SPA E ","International Easy",
IF(D196="Teen Large Type","Teen Fiction",
IF(D196="Juvenile Large Type","Juvenile Fiction",
IF(LEFT(B196,6)="J CD O","Juvenile Compact Disc",
IF(AND(LEFT(B196,4)="TEEN",D196="Fiction"),"Teen Fiction",
IF(D196="DVD Educational","Nonfiction",
IF(D196="Juvenile DVD Educational","Nonfiction",
IF(D196="Reference","Nonfiction",
D196))))))))))))))))))))))))))))))))))))))))))</f>
        <v/>
      </c>
    </row>
    <row r="197" spans="1:14" ht="27" customHeight="1" x14ac:dyDescent="0.25">
      <c r="A197" s="10" t="str">
        <f ca="1">TEXT( INDIRECT( ADDRESS( ROW() + Row_Offset, INDIRECT( "Column_Number_" &amp; A$1), 4,1, tabname) ), "")</f>
        <v/>
      </c>
      <c r="B197" s="10" t="str">
        <f ca="1">TEXT(  IFERROR( VLOOKUP( $D197, CollName_Simplifier_Table[], 2, FALSE),"") &amp;
        INDIRECT( ADDRESS( ROW() + Row_Offset, INDIRECT( "Column_Number_" &amp; $B$1), 4,1, tabname) ), "")</f>
        <v/>
      </c>
      <c r="C197" s="10" t="str">
        <f ca="1">TEXT( INDIRECT( ADDRESS( ROW() + Row_Offset, INDIRECT( "Column_Number_" &amp; C$1), 4,1, tabname) ), "")</f>
        <v/>
      </c>
      <c r="D197" s="10" t="str">
        <f ca="1">TEXT( INDIRECT( ADDRESS( ROW() + Row_Offset, INDIRECT( "Column_Number_" &amp; D$1), 4,1, tabname) ), "")</f>
        <v/>
      </c>
      <c r="E197" s="10" t="str">
        <f ca="1">TEXT( INDIRECT( ADDRESS( ROW() + Row_Offset, INDIRECT( "Column_Number_" &amp; E$1), 4,1, tabname) ), "####")</f>
        <v/>
      </c>
      <c r="F197" s="15"/>
      <c r="G197" s="22" t="str">
        <f ca="1">IFERROR(INDEX(Rank_Table[],MATCH($D197&amp;$A197,Table4[Join],0)),"")</f>
        <v/>
      </c>
      <c r="H197" s="11" t="str">
        <f ca="1">IF(AND(D197="Juvenile Audiobook",LEFT(B197,8)="J CD BIO"),RIGHT(B197,LEN(B197)-9),
IF(AND(D197="Juvenile Audiobook",LEFT(B197,8)="J CD FIC"),B197,
IF(D197="Juvenile Audiobook",RIGHT(B197,LEN(B197)-5),
IF(AND(D197="Teen Audiobook",LEFT(B197,11)="TEEN CD BIO"),RIGHT(B197,LEN(B197)-12),
IF(AND(D197="Teen Audiobook",LEFT(B197,11)="TEEN CD FIC"),B197,
IF(D197="Juvenile Audiobook",RIGHT(B197,LEN(B197)-8),
IF(D197="Juvenile Nonfiction",RIGHT(B197,LEN(B197)-2),
IF(D197="Teen Nonfiction",RIGHT(B197,LEN(B197)-5),
IF(AND(D197="Audiobook",
              NOT(OR(Contains($B197,"CD BIO"),Contains($B197,"CD FIC")))),RIGHT(B197,LEN(B197)-3),
IF(D197="Juvenile Biography",RIGHT(B197,LEN(B197)-2),
IF(D197="Teen Biography",RIGHT(B197,LEN(B197)-5),
IF(AND(D197="Audiobook",
              IFERROR(FIND("BIO",$B197)&gt;0,FALSE)),RIGHT(B197,LEN(B197)-3),
IF(D197="Juvenile Large Type","J "&amp;RIGHT(B197,LEN(B197)-11),
IF(D197="Teen Large Type","TEEN "&amp;RIGHT(B197,LEN(B197)-14),
IF(D197="Reference",RIGHT(B197,LEN(B197)-4),
IF(D197="DVD Educational",RIGHT(B197,LEN(B197)-7),
IF(D197="Juvenile DVD Educational",RIGHT(B197,LEN(B197)-9),
B197)))))))))))))))))</f>
        <v/>
      </c>
      <c r="N197" s="11" t="str">
        <f ca="1">IF(IFERROR(FIND("New",$A197)&gt;0,FALSE),"New ","") &amp; IF(IFERROR(FIND("In Lib",$A197)&gt;0,FALSE),"Reference ","") &amp;
IF(AND(D197="Audiobook",LEFT(B197,6)="CD BIO"),"Biography",
IF(AND(D197="Teen Audiobook",LEFT(B197,11)="TEEN CD BIO"),"Biography",
IF(AND(D197="Juvenile Audiobook",LEFT(B197,8)="J CD BIO"),"Biography",
IF(AND(D197="Audiobook",LEFT(B197,6)="CD FIC"),"Audiobook Fiction",
IF(AND(D197="Teen Audiobook",LEFT(B197,11)="TEEN CD FIC"),"Teen Audiobook",
IF(AND(D197="Juvenile Audiobook",LEFT(B197,8)="J CD FIC"),"Juvenile Audiobook",
IF(D197="Audiobook","Nonfiction",
IF(D197="Juvenile Audiobook","Nonfiction",
IF(D197="Teen Audiobook","Nonfiction",
IF(D197="Juvenile Nonfiction","Nonfiction",
IF(D197="Teen Nonfiction","Nonfiction",
IF(D197="Juvenile Biography","Biography",
IF(D197="Teen Biography","Biography",
IF(D197="ESL","Nonfiction",
IF(LEFT(B197,11)="INTL-VIE J ","International Juvenile",IF(LEFT(B197,11)="INTL-TAG J ","International Juvenile",IF(LEFT(B197,11)="INTL-RUS J ","International Juvenile",IF(LEFT(B197,11)="INTL-KOR J ","International Juvenile",IF(LEFT(B197,11)="INTL-JAP J ","International Juvenile",IF(LEFT(B197,11)="INTL-CHI J ","International Juvenile",IF(LEFT(B197,11)="INTL-SPA J ","International Juvenile",IF(LEFT(B197,14)="INTL-VIE TEEN ","International Teen",IF(LEFT(B197,14)="INTL-TAG TEEN ","International Teen",IF(LEFT(B197,14)="INTL-RUS TEEN ","International Teen",IF(LEFT(B197,14)="INTL-KOR TEEN ","International Teen",IF(LEFT(B197,14)="INTL-JAP TEEN ","International Teen",IF(LEFT(B197,14)="INTL-CHI TEEN ","International Teen",IF(LEFT(B197,14)="INTL-SPA TEEN ","International Teen",IF(LEFT(B197,11)="INTL-VIE E ","International Easy",IF(LEFT(B197,11)="INTL-TAG E ","International Easy",IF(LEFT(B197,11)="INTL-RUS E ","International Easy",IF(LEFT(B197,11)="INTL-JAP E ","International Easy",IF(LEFT(B197,11)="INTL-KOR E ","International Easy",IF(LEFT(B197,11)="INTL-CHI E ","International Easy",IF(LEFT(B197,11)="INTL-SPA E ","International Easy",
IF(D197="Teen Large Type","Teen Fiction",
IF(D197="Juvenile Large Type","Juvenile Fiction",
IF(LEFT(B197,6)="J CD O","Juvenile Compact Disc",
IF(AND(LEFT(B197,4)="TEEN",D197="Fiction"),"Teen Fiction",
IF(D197="DVD Educational","Nonfiction",
IF(D197="Juvenile DVD Educational","Nonfiction",
IF(D197="Reference","Nonfiction",
D197))))))))))))))))))))))))))))))))))))))))))</f>
        <v/>
      </c>
    </row>
    <row r="198" spans="1:14" ht="27" customHeight="1" x14ac:dyDescent="0.25">
      <c r="A198" s="10" t="str">
        <f ca="1">TEXT( INDIRECT( ADDRESS( ROW() + Row_Offset, INDIRECT( "Column_Number_" &amp; A$1), 4,1, tabname) ), "")</f>
        <v/>
      </c>
      <c r="B198" s="10" t="str">
        <f ca="1">TEXT(  IFERROR( VLOOKUP( $D198, CollName_Simplifier_Table[], 2, FALSE),"") &amp;
        INDIRECT( ADDRESS( ROW() + Row_Offset, INDIRECT( "Column_Number_" &amp; $B$1), 4,1, tabname) ), "")</f>
        <v/>
      </c>
      <c r="C198" s="10" t="str">
        <f ca="1">TEXT( INDIRECT( ADDRESS( ROW() + Row_Offset, INDIRECT( "Column_Number_" &amp; C$1), 4,1, tabname) ), "")</f>
        <v/>
      </c>
      <c r="D198" s="10" t="str">
        <f ca="1">TEXT( INDIRECT( ADDRESS( ROW() + Row_Offset, INDIRECT( "Column_Number_" &amp; D$1), 4,1, tabname) ), "")</f>
        <v/>
      </c>
      <c r="E198" s="10" t="str">
        <f ca="1">TEXT( INDIRECT( ADDRESS( ROW() + Row_Offset, INDIRECT( "Column_Number_" &amp; E$1), 4,1, tabname) ), "####")</f>
        <v/>
      </c>
      <c r="F198" s="15"/>
      <c r="G198" s="22" t="str">
        <f ca="1">IFERROR(INDEX(Rank_Table[],MATCH($D198&amp;$A198,Table4[Join],0)),"")</f>
        <v/>
      </c>
      <c r="H198" s="11" t="str">
        <f ca="1">IF(AND(D198="Juvenile Audiobook",LEFT(B198,8)="J CD BIO"),RIGHT(B198,LEN(B198)-9),
IF(AND(D198="Juvenile Audiobook",LEFT(B198,8)="J CD FIC"),B198,
IF(D198="Juvenile Audiobook",RIGHT(B198,LEN(B198)-5),
IF(AND(D198="Teen Audiobook",LEFT(B198,11)="TEEN CD BIO"),RIGHT(B198,LEN(B198)-12),
IF(AND(D198="Teen Audiobook",LEFT(B198,11)="TEEN CD FIC"),B198,
IF(D198="Juvenile Audiobook",RIGHT(B198,LEN(B198)-8),
IF(D198="Juvenile Nonfiction",RIGHT(B198,LEN(B198)-2),
IF(D198="Teen Nonfiction",RIGHT(B198,LEN(B198)-5),
IF(AND(D198="Audiobook",
              NOT(OR(Contains($B198,"CD BIO"),Contains($B198,"CD FIC")))),RIGHT(B198,LEN(B198)-3),
IF(D198="Juvenile Biography",RIGHT(B198,LEN(B198)-2),
IF(D198="Teen Biography",RIGHT(B198,LEN(B198)-5),
IF(AND(D198="Audiobook",
              IFERROR(FIND("BIO",$B198)&gt;0,FALSE)),RIGHT(B198,LEN(B198)-3),
IF(D198="Juvenile Large Type","J "&amp;RIGHT(B198,LEN(B198)-11),
IF(D198="Teen Large Type","TEEN "&amp;RIGHT(B198,LEN(B198)-14),
IF(D198="Reference",RIGHT(B198,LEN(B198)-4),
IF(D198="DVD Educational",RIGHT(B198,LEN(B198)-7),
IF(D198="Juvenile DVD Educational",RIGHT(B198,LEN(B198)-9),
B198)))))))))))))))))</f>
        <v/>
      </c>
      <c r="N198" s="11" t="str">
        <f ca="1">IF(IFERROR(FIND("New",$A198)&gt;0,FALSE),"New ","") &amp; IF(IFERROR(FIND("In Lib",$A198)&gt;0,FALSE),"Reference ","") &amp;
IF(AND(D198="Audiobook",LEFT(B198,6)="CD BIO"),"Biography",
IF(AND(D198="Teen Audiobook",LEFT(B198,11)="TEEN CD BIO"),"Biography",
IF(AND(D198="Juvenile Audiobook",LEFT(B198,8)="J CD BIO"),"Biography",
IF(AND(D198="Audiobook",LEFT(B198,6)="CD FIC"),"Audiobook Fiction",
IF(AND(D198="Teen Audiobook",LEFT(B198,11)="TEEN CD FIC"),"Teen Audiobook",
IF(AND(D198="Juvenile Audiobook",LEFT(B198,8)="J CD FIC"),"Juvenile Audiobook",
IF(D198="Audiobook","Nonfiction",
IF(D198="Juvenile Audiobook","Nonfiction",
IF(D198="Teen Audiobook","Nonfiction",
IF(D198="Juvenile Nonfiction","Nonfiction",
IF(D198="Teen Nonfiction","Nonfiction",
IF(D198="Juvenile Biography","Biography",
IF(D198="Teen Biography","Biography",
IF(D198="ESL","Nonfiction",
IF(LEFT(B198,11)="INTL-VIE J ","International Juvenile",IF(LEFT(B198,11)="INTL-TAG J ","International Juvenile",IF(LEFT(B198,11)="INTL-RUS J ","International Juvenile",IF(LEFT(B198,11)="INTL-KOR J ","International Juvenile",IF(LEFT(B198,11)="INTL-JAP J ","International Juvenile",IF(LEFT(B198,11)="INTL-CHI J ","International Juvenile",IF(LEFT(B198,11)="INTL-SPA J ","International Juvenile",IF(LEFT(B198,14)="INTL-VIE TEEN ","International Teen",IF(LEFT(B198,14)="INTL-TAG TEEN ","International Teen",IF(LEFT(B198,14)="INTL-RUS TEEN ","International Teen",IF(LEFT(B198,14)="INTL-KOR TEEN ","International Teen",IF(LEFT(B198,14)="INTL-JAP TEEN ","International Teen",IF(LEFT(B198,14)="INTL-CHI TEEN ","International Teen",IF(LEFT(B198,14)="INTL-SPA TEEN ","International Teen",IF(LEFT(B198,11)="INTL-VIE E ","International Easy",IF(LEFT(B198,11)="INTL-TAG E ","International Easy",IF(LEFT(B198,11)="INTL-RUS E ","International Easy",IF(LEFT(B198,11)="INTL-JAP E ","International Easy",IF(LEFT(B198,11)="INTL-KOR E ","International Easy",IF(LEFT(B198,11)="INTL-CHI E ","International Easy",IF(LEFT(B198,11)="INTL-SPA E ","International Easy",
IF(D198="Teen Large Type","Teen Fiction",
IF(D198="Juvenile Large Type","Juvenile Fiction",
IF(LEFT(B198,6)="J CD O","Juvenile Compact Disc",
IF(AND(LEFT(B198,4)="TEEN",D198="Fiction"),"Teen Fiction",
IF(D198="DVD Educational","Nonfiction",
IF(D198="Juvenile DVD Educational","Nonfiction",
IF(D198="Reference","Nonfiction",
D198))))))))))))))))))))))))))))))))))))))))))</f>
        <v/>
      </c>
    </row>
    <row r="199" spans="1:14" ht="27" customHeight="1" x14ac:dyDescent="0.25">
      <c r="A199" s="10" t="str">
        <f ca="1">TEXT( INDIRECT( ADDRESS( ROW() + Row_Offset, INDIRECT( "Column_Number_" &amp; A$1), 4,1, tabname) ), "")</f>
        <v/>
      </c>
      <c r="B199" s="10" t="str">
        <f ca="1">TEXT(  IFERROR( VLOOKUP( $D199, CollName_Simplifier_Table[], 2, FALSE),"") &amp;
        INDIRECT( ADDRESS( ROW() + Row_Offset, INDIRECT( "Column_Number_" &amp; $B$1), 4,1, tabname) ), "")</f>
        <v/>
      </c>
      <c r="C199" s="10" t="str">
        <f ca="1">TEXT( INDIRECT( ADDRESS( ROW() + Row_Offset, INDIRECT( "Column_Number_" &amp; C$1), 4,1, tabname) ), "")</f>
        <v/>
      </c>
      <c r="D199" s="10" t="str">
        <f ca="1">TEXT( INDIRECT( ADDRESS( ROW() + Row_Offset, INDIRECT( "Column_Number_" &amp; D$1), 4,1, tabname) ), "")</f>
        <v/>
      </c>
      <c r="E199" s="10" t="str">
        <f ca="1">TEXT( INDIRECT( ADDRESS( ROW() + Row_Offset, INDIRECT( "Column_Number_" &amp; E$1), 4,1, tabname) ), "####")</f>
        <v/>
      </c>
      <c r="F199" s="15"/>
      <c r="G199" s="22" t="str">
        <f ca="1">IFERROR(INDEX(Rank_Table[],MATCH($D199&amp;$A199,Table4[Join],0)),"")</f>
        <v/>
      </c>
      <c r="H199" s="11" t="str">
        <f ca="1">IF(AND(D199="Juvenile Audiobook",LEFT(B199,8)="J CD BIO"),RIGHT(B199,LEN(B199)-9),
IF(AND(D199="Juvenile Audiobook",LEFT(B199,8)="J CD FIC"),B199,
IF(D199="Juvenile Audiobook",RIGHT(B199,LEN(B199)-5),
IF(AND(D199="Teen Audiobook",LEFT(B199,11)="TEEN CD BIO"),RIGHT(B199,LEN(B199)-12),
IF(AND(D199="Teen Audiobook",LEFT(B199,11)="TEEN CD FIC"),B199,
IF(D199="Juvenile Audiobook",RIGHT(B199,LEN(B199)-8),
IF(D199="Juvenile Nonfiction",RIGHT(B199,LEN(B199)-2),
IF(D199="Teen Nonfiction",RIGHT(B199,LEN(B199)-5),
IF(AND(D199="Audiobook",
              NOT(OR(Contains($B199,"CD BIO"),Contains($B199,"CD FIC")))),RIGHT(B199,LEN(B199)-3),
IF(D199="Juvenile Biography",RIGHT(B199,LEN(B199)-2),
IF(D199="Teen Biography",RIGHT(B199,LEN(B199)-5),
IF(AND(D199="Audiobook",
              IFERROR(FIND("BIO",$B199)&gt;0,FALSE)),RIGHT(B199,LEN(B199)-3),
IF(D199="Juvenile Large Type","J "&amp;RIGHT(B199,LEN(B199)-11),
IF(D199="Teen Large Type","TEEN "&amp;RIGHT(B199,LEN(B199)-14),
IF(D199="Reference",RIGHT(B199,LEN(B199)-4),
IF(D199="DVD Educational",RIGHT(B199,LEN(B199)-7),
IF(D199="Juvenile DVD Educational",RIGHT(B199,LEN(B199)-9),
B199)))))))))))))))))</f>
        <v/>
      </c>
      <c r="N199" s="11" t="str">
        <f ca="1">IF(IFERROR(FIND("New",$A199)&gt;0,FALSE),"New ","") &amp; IF(IFERROR(FIND("In Lib",$A199)&gt;0,FALSE),"Reference ","") &amp;
IF(AND(D199="Audiobook",LEFT(B199,6)="CD BIO"),"Biography",
IF(AND(D199="Teen Audiobook",LEFT(B199,11)="TEEN CD BIO"),"Biography",
IF(AND(D199="Juvenile Audiobook",LEFT(B199,8)="J CD BIO"),"Biography",
IF(AND(D199="Audiobook",LEFT(B199,6)="CD FIC"),"Audiobook Fiction",
IF(AND(D199="Teen Audiobook",LEFT(B199,11)="TEEN CD FIC"),"Teen Audiobook",
IF(AND(D199="Juvenile Audiobook",LEFT(B199,8)="J CD FIC"),"Juvenile Audiobook",
IF(D199="Audiobook","Nonfiction",
IF(D199="Juvenile Audiobook","Nonfiction",
IF(D199="Teen Audiobook","Nonfiction",
IF(D199="Juvenile Nonfiction","Nonfiction",
IF(D199="Teen Nonfiction","Nonfiction",
IF(D199="Juvenile Biography","Biography",
IF(D199="Teen Biography","Biography",
IF(D199="ESL","Nonfiction",
IF(LEFT(B199,11)="INTL-VIE J ","International Juvenile",IF(LEFT(B199,11)="INTL-TAG J ","International Juvenile",IF(LEFT(B199,11)="INTL-RUS J ","International Juvenile",IF(LEFT(B199,11)="INTL-KOR J ","International Juvenile",IF(LEFT(B199,11)="INTL-JAP J ","International Juvenile",IF(LEFT(B199,11)="INTL-CHI J ","International Juvenile",IF(LEFT(B199,11)="INTL-SPA J ","International Juvenile",IF(LEFT(B199,14)="INTL-VIE TEEN ","International Teen",IF(LEFT(B199,14)="INTL-TAG TEEN ","International Teen",IF(LEFT(B199,14)="INTL-RUS TEEN ","International Teen",IF(LEFT(B199,14)="INTL-KOR TEEN ","International Teen",IF(LEFT(B199,14)="INTL-JAP TEEN ","International Teen",IF(LEFT(B199,14)="INTL-CHI TEEN ","International Teen",IF(LEFT(B199,14)="INTL-SPA TEEN ","International Teen",IF(LEFT(B199,11)="INTL-VIE E ","International Easy",IF(LEFT(B199,11)="INTL-TAG E ","International Easy",IF(LEFT(B199,11)="INTL-RUS E ","International Easy",IF(LEFT(B199,11)="INTL-JAP E ","International Easy",IF(LEFT(B199,11)="INTL-KOR E ","International Easy",IF(LEFT(B199,11)="INTL-CHI E ","International Easy",IF(LEFT(B199,11)="INTL-SPA E ","International Easy",
IF(D199="Teen Large Type","Teen Fiction",
IF(D199="Juvenile Large Type","Juvenile Fiction",
IF(LEFT(B199,6)="J CD O","Juvenile Compact Disc",
IF(AND(LEFT(B199,4)="TEEN",D199="Fiction"),"Teen Fiction",
IF(D199="DVD Educational","Nonfiction",
IF(D199="Juvenile DVD Educational","Nonfiction",
IF(D199="Reference","Nonfiction",
D199))))))))))))))))))))))))))))))))))))))))))</f>
        <v/>
      </c>
    </row>
    <row r="200" spans="1:14" ht="27" customHeight="1" x14ac:dyDescent="0.25">
      <c r="A200" s="10" t="str">
        <f ca="1">TEXT( INDIRECT( ADDRESS( ROW() + Row_Offset, INDIRECT( "Column_Number_" &amp; A$1), 4,1, tabname) ), "")</f>
        <v/>
      </c>
      <c r="B200" s="10" t="str">
        <f ca="1">TEXT(  IFERROR( VLOOKUP( $D200, CollName_Simplifier_Table[], 2, FALSE),"") &amp;
        INDIRECT( ADDRESS( ROW() + Row_Offset, INDIRECT( "Column_Number_" &amp; $B$1), 4,1, tabname) ), "")</f>
        <v/>
      </c>
      <c r="C200" s="10" t="str">
        <f ca="1">TEXT( INDIRECT( ADDRESS( ROW() + Row_Offset, INDIRECT( "Column_Number_" &amp; C$1), 4,1, tabname) ), "")</f>
        <v/>
      </c>
      <c r="D200" s="10" t="str">
        <f ca="1">TEXT( INDIRECT( ADDRESS( ROW() + Row_Offset, INDIRECT( "Column_Number_" &amp; D$1), 4,1, tabname) ), "")</f>
        <v/>
      </c>
      <c r="E200" s="10" t="str">
        <f ca="1">TEXT( INDIRECT( ADDRESS( ROW() + Row_Offset, INDIRECT( "Column_Number_" &amp; E$1), 4,1, tabname) ), "####")</f>
        <v/>
      </c>
      <c r="F200" s="15"/>
      <c r="G200" s="22" t="str">
        <f ca="1">IFERROR(INDEX(Rank_Table[],MATCH($D200&amp;$A200,Table4[Join],0)),"")</f>
        <v/>
      </c>
      <c r="H200" s="11" t="str">
        <f ca="1">IF(AND(D200="Juvenile Audiobook",LEFT(B200,8)="J CD BIO"),RIGHT(B200,LEN(B200)-9),
IF(AND(D200="Juvenile Audiobook",LEFT(B200,8)="J CD FIC"),B200,
IF(D200="Juvenile Audiobook",RIGHT(B200,LEN(B200)-5),
IF(AND(D200="Teen Audiobook",LEFT(B200,11)="TEEN CD BIO"),RIGHT(B200,LEN(B200)-12),
IF(AND(D200="Teen Audiobook",LEFT(B200,11)="TEEN CD FIC"),B200,
IF(D200="Juvenile Audiobook",RIGHT(B200,LEN(B200)-8),
IF(D200="Juvenile Nonfiction",RIGHT(B200,LEN(B200)-2),
IF(D200="Teen Nonfiction",RIGHT(B200,LEN(B200)-5),
IF(AND(D200="Audiobook",
              NOT(OR(Contains($B200,"CD BIO"),Contains($B200,"CD FIC")))),RIGHT(B200,LEN(B200)-3),
IF(D200="Juvenile Biography",RIGHT(B200,LEN(B200)-2),
IF(D200="Teen Biography",RIGHT(B200,LEN(B200)-5),
IF(AND(D200="Audiobook",
              IFERROR(FIND("BIO",$B200)&gt;0,FALSE)),RIGHT(B200,LEN(B200)-3),
IF(D200="Juvenile Large Type","J "&amp;RIGHT(B200,LEN(B200)-11),
IF(D200="Teen Large Type","TEEN "&amp;RIGHT(B200,LEN(B200)-14),
IF(D200="Reference",RIGHT(B200,LEN(B200)-4),
IF(D200="DVD Educational",RIGHT(B200,LEN(B200)-7),
IF(D200="Juvenile DVD Educational",RIGHT(B200,LEN(B200)-9),
B200)))))))))))))))))</f>
        <v/>
      </c>
      <c r="N200" s="11" t="str">
        <f ca="1">IF(IFERROR(FIND("New",$A200)&gt;0,FALSE),"New ","") &amp; IF(IFERROR(FIND("In Lib",$A200)&gt;0,FALSE),"Reference ","") &amp;
IF(AND(D200="Audiobook",LEFT(B200,6)="CD BIO"),"Biography",
IF(AND(D200="Teen Audiobook",LEFT(B200,11)="TEEN CD BIO"),"Biography",
IF(AND(D200="Juvenile Audiobook",LEFT(B200,8)="J CD BIO"),"Biography",
IF(AND(D200="Audiobook",LEFT(B200,6)="CD FIC"),"Audiobook Fiction",
IF(AND(D200="Teen Audiobook",LEFT(B200,11)="TEEN CD FIC"),"Teen Audiobook",
IF(AND(D200="Juvenile Audiobook",LEFT(B200,8)="J CD FIC"),"Juvenile Audiobook",
IF(D200="Audiobook","Nonfiction",
IF(D200="Juvenile Audiobook","Nonfiction",
IF(D200="Teen Audiobook","Nonfiction",
IF(D200="Juvenile Nonfiction","Nonfiction",
IF(D200="Teen Nonfiction","Nonfiction",
IF(D200="Juvenile Biography","Biography",
IF(D200="Teen Biography","Biography",
IF(D200="ESL","Nonfiction",
IF(LEFT(B200,11)="INTL-VIE J ","International Juvenile",IF(LEFT(B200,11)="INTL-TAG J ","International Juvenile",IF(LEFT(B200,11)="INTL-RUS J ","International Juvenile",IF(LEFT(B200,11)="INTL-KOR J ","International Juvenile",IF(LEFT(B200,11)="INTL-JAP J ","International Juvenile",IF(LEFT(B200,11)="INTL-CHI J ","International Juvenile",IF(LEFT(B200,11)="INTL-SPA J ","International Juvenile",IF(LEFT(B200,14)="INTL-VIE TEEN ","International Teen",IF(LEFT(B200,14)="INTL-TAG TEEN ","International Teen",IF(LEFT(B200,14)="INTL-RUS TEEN ","International Teen",IF(LEFT(B200,14)="INTL-KOR TEEN ","International Teen",IF(LEFT(B200,14)="INTL-JAP TEEN ","International Teen",IF(LEFT(B200,14)="INTL-CHI TEEN ","International Teen",IF(LEFT(B200,14)="INTL-SPA TEEN ","International Teen",IF(LEFT(B200,11)="INTL-VIE E ","International Easy",IF(LEFT(B200,11)="INTL-TAG E ","International Easy",IF(LEFT(B200,11)="INTL-RUS E ","International Easy",IF(LEFT(B200,11)="INTL-JAP E ","International Easy",IF(LEFT(B200,11)="INTL-KOR E ","International Easy",IF(LEFT(B200,11)="INTL-CHI E ","International Easy",IF(LEFT(B200,11)="INTL-SPA E ","International Easy",
IF(D200="Teen Large Type","Teen Fiction",
IF(D200="Juvenile Large Type","Juvenile Fiction",
IF(LEFT(B200,6)="J CD O","Juvenile Compact Disc",
IF(AND(LEFT(B200,4)="TEEN",D200="Fiction"),"Teen Fiction",
IF(D200="DVD Educational","Nonfiction",
IF(D200="Juvenile DVD Educational","Nonfiction",
IF(D200="Reference","Nonfiction",
D200))))))))))))))))))))))))))))))))))))))))))</f>
        <v/>
      </c>
    </row>
    <row r="201" spans="1:14" ht="27" customHeight="1" x14ac:dyDescent="0.25">
      <c r="A201" s="10" t="str">
        <f ca="1">TEXT( INDIRECT( ADDRESS( ROW() + Row_Offset, INDIRECT( "Column_Number_" &amp; A$1), 4,1, tabname) ), "")</f>
        <v/>
      </c>
      <c r="B201" s="10" t="str">
        <f ca="1">TEXT(  IFERROR( VLOOKUP( $D201, CollName_Simplifier_Table[], 2, FALSE),"") &amp;
        INDIRECT( ADDRESS( ROW() + Row_Offset, INDIRECT( "Column_Number_" &amp; $B$1), 4,1, tabname) ), "")</f>
        <v/>
      </c>
      <c r="C201" s="10" t="str">
        <f ca="1">TEXT( INDIRECT( ADDRESS( ROW() + Row_Offset, INDIRECT( "Column_Number_" &amp; C$1), 4,1, tabname) ), "")</f>
        <v/>
      </c>
      <c r="D201" s="10" t="str">
        <f ca="1">TEXT( INDIRECT( ADDRESS( ROW() + Row_Offset, INDIRECT( "Column_Number_" &amp; D$1), 4,1, tabname) ), "")</f>
        <v/>
      </c>
      <c r="E201" s="10" t="str">
        <f ca="1">TEXT( INDIRECT( ADDRESS( ROW() + Row_Offset, INDIRECT( "Column_Number_" &amp; E$1), 4,1, tabname) ), "####")</f>
        <v/>
      </c>
      <c r="F201" s="15"/>
      <c r="G201" s="22" t="str">
        <f ca="1">IFERROR(INDEX(Rank_Table[],MATCH($D201&amp;$A201,Table4[Join],0)),"")</f>
        <v/>
      </c>
      <c r="H201" s="11" t="str">
        <f ca="1">IF(AND(D201="Juvenile Audiobook",LEFT(B201,8)="J CD BIO"),RIGHT(B201,LEN(B201)-9),
IF(AND(D201="Juvenile Audiobook",LEFT(B201,8)="J CD FIC"),B201,
IF(D201="Juvenile Audiobook",RIGHT(B201,LEN(B201)-5),
IF(AND(D201="Teen Audiobook",LEFT(B201,11)="TEEN CD BIO"),RIGHT(B201,LEN(B201)-12),
IF(AND(D201="Teen Audiobook",LEFT(B201,11)="TEEN CD FIC"),B201,
IF(D201="Juvenile Audiobook",RIGHT(B201,LEN(B201)-8),
IF(D201="Juvenile Nonfiction",RIGHT(B201,LEN(B201)-2),
IF(D201="Teen Nonfiction",RIGHT(B201,LEN(B201)-5),
IF(AND(D201="Audiobook",
              NOT(OR(Contains($B201,"CD BIO"),Contains($B201,"CD FIC")))),RIGHT(B201,LEN(B201)-3),
IF(D201="Juvenile Biography",RIGHT(B201,LEN(B201)-2),
IF(D201="Teen Biography",RIGHT(B201,LEN(B201)-5),
IF(AND(D201="Audiobook",
              IFERROR(FIND("BIO",$B201)&gt;0,FALSE)),RIGHT(B201,LEN(B201)-3),
IF(D201="Juvenile Large Type","J "&amp;RIGHT(B201,LEN(B201)-11),
IF(D201="Teen Large Type","TEEN "&amp;RIGHT(B201,LEN(B201)-14),
IF(D201="Reference",RIGHT(B201,LEN(B201)-4),
IF(D201="DVD Educational",RIGHT(B201,LEN(B201)-7),
IF(D201="Juvenile DVD Educational",RIGHT(B201,LEN(B201)-9),
B201)))))))))))))))))</f>
        <v/>
      </c>
      <c r="N201" s="11" t="str">
        <f ca="1">IF(IFERROR(FIND("New",$A201)&gt;0,FALSE),"New ","") &amp; IF(IFERROR(FIND("In Lib",$A201)&gt;0,FALSE),"Reference ","") &amp;
IF(AND(D201="Audiobook",LEFT(B201,6)="CD BIO"),"Biography",
IF(AND(D201="Teen Audiobook",LEFT(B201,11)="TEEN CD BIO"),"Biography",
IF(AND(D201="Juvenile Audiobook",LEFT(B201,8)="J CD BIO"),"Biography",
IF(AND(D201="Audiobook",LEFT(B201,6)="CD FIC"),"Audiobook Fiction",
IF(AND(D201="Teen Audiobook",LEFT(B201,11)="TEEN CD FIC"),"Teen Audiobook",
IF(AND(D201="Juvenile Audiobook",LEFT(B201,8)="J CD FIC"),"Juvenile Audiobook",
IF(D201="Audiobook","Nonfiction",
IF(D201="Juvenile Audiobook","Nonfiction",
IF(D201="Teen Audiobook","Nonfiction",
IF(D201="Juvenile Nonfiction","Nonfiction",
IF(D201="Teen Nonfiction","Nonfiction",
IF(D201="Juvenile Biography","Biography",
IF(D201="Teen Biography","Biography",
IF(D201="ESL","Nonfiction",
IF(LEFT(B201,11)="INTL-VIE J ","International Juvenile",IF(LEFT(B201,11)="INTL-TAG J ","International Juvenile",IF(LEFT(B201,11)="INTL-RUS J ","International Juvenile",IF(LEFT(B201,11)="INTL-KOR J ","International Juvenile",IF(LEFT(B201,11)="INTL-JAP J ","International Juvenile",IF(LEFT(B201,11)="INTL-CHI J ","International Juvenile",IF(LEFT(B201,11)="INTL-SPA J ","International Juvenile",IF(LEFT(B201,14)="INTL-VIE TEEN ","International Teen",IF(LEFT(B201,14)="INTL-TAG TEEN ","International Teen",IF(LEFT(B201,14)="INTL-RUS TEEN ","International Teen",IF(LEFT(B201,14)="INTL-KOR TEEN ","International Teen",IF(LEFT(B201,14)="INTL-JAP TEEN ","International Teen",IF(LEFT(B201,14)="INTL-CHI TEEN ","International Teen",IF(LEFT(B201,14)="INTL-SPA TEEN ","International Teen",IF(LEFT(B201,11)="INTL-VIE E ","International Easy",IF(LEFT(B201,11)="INTL-TAG E ","International Easy",IF(LEFT(B201,11)="INTL-RUS E ","International Easy",IF(LEFT(B201,11)="INTL-JAP E ","International Easy",IF(LEFT(B201,11)="INTL-KOR E ","International Easy",IF(LEFT(B201,11)="INTL-CHI E ","International Easy",IF(LEFT(B201,11)="INTL-SPA E ","International Easy",
IF(D201="Teen Large Type","Teen Fiction",
IF(D201="Juvenile Large Type","Juvenile Fiction",
IF(LEFT(B201,6)="J CD O","Juvenile Compact Disc",
IF(AND(LEFT(B201,4)="TEEN",D201="Fiction"),"Teen Fiction",
IF(D201="DVD Educational","Nonfiction",
IF(D201="Juvenile DVD Educational","Nonfiction",
IF(D201="Reference","Nonfiction",
D201))))))))))))))))))))))))))))))))))))))))))</f>
        <v/>
      </c>
    </row>
    <row r="202" spans="1:14" ht="27" customHeight="1" x14ac:dyDescent="0.25">
      <c r="A202" s="10" t="str">
        <f ca="1">TEXT( INDIRECT( ADDRESS( ROW() + Row_Offset, INDIRECT( "Column_Number_" &amp; A$1), 4,1, tabname) ), "")</f>
        <v/>
      </c>
      <c r="B202" s="10" t="str">
        <f ca="1">TEXT(  IFERROR( VLOOKUP( $D202, CollName_Simplifier_Table[], 2, FALSE),"") &amp;
        INDIRECT( ADDRESS( ROW() + Row_Offset, INDIRECT( "Column_Number_" &amp; $B$1), 4,1, tabname) ), "")</f>
        <v/>
      </c>
      <c r="C202" s="10" t="str">
        <f ca="1">TEXT( INDIRECT( ADDRESS( ROW() + Row_Offset, INDIRECT( "Column_Number_" &amp; C$1), 4,1, tabname) ), "")</f>
        <v/>
      </c>
      <c r="D202" s="10" t="str">
        <f ca="1">TEXT( INDIRECT( ADDRESS( ROW() + Row_Offset, INDIRECT( "Column_Number_" &amp; D$1), 4,1, tabname) ), "")</f>
        <v/>
      </c>
      <c r="E202" s="10" t="str">
        <f ca="1">TEXT( INDIRECT( ADDRESS( ROW() + Row_Offset, INDIRECT( "Column_Number_" &amp; E$1), 4,1, tabname) ), "####")</f>
        <v/>
      </c>
      <c r="F202" s="15"/>
      <c r="G202" s="22" t="str">
        <f ca="1">IFERROR(INDEX(Rank_Table[],MATCH($D202&amp;$A202,Table4[Join],0)),"")</f>
        <v/>
      </c>
      <c r="H202" s="11" t="str">
        <f ca="1">IF(AND(D202="Juvenile Audiobook",LEFT(B202,8)="J CD BIO"),RIGHT(B202,LEN(B202)-9),
IF(AND(D202="Juvenile Audiobook",LEFT(B202,8)="J CD FIC"),B202,
IF(D202="Juvenile Audiobook",RIGHT(B202,LEN(B202)-5),
IF(AND(D202="Teen Audiobook",LEFT(B202,11)="TEEN CD BIO"),RIGHT(B202,LEN(B202)-12),
IF(AND(D202="Teen Audiobook",LEFT(B202,11)="TEEN CD FIC"),B202,
IF(D202="Juvenile Audiobook",RIGHT(B202,LEN(B202)-8),
IF(D202="Juvenile Nonfiction",RIGHT(B202,LEN(B202)-2),
IF(D202="Teen Nonfiction",RIGHT(B202,LEN(B202)-5),
IF(AND(D202="Audiobook",
              NOT(OR(Contains($B202,"CD BIO"),Contains($B202,"CD FIC")))),RIGHT(B202,LEN(B202)-3),
IF(D202="Juvenile Biography",RIGHT(B202,LEN(B202)-2),
IF(D202="Teen Biography",RIGHT(B202,LEN(B202)-5),
IF(AND(D202="Audiobook",
              IFERROR(FIND("BIO",$B202)&gt;0,FALSE)),RIGHT(B202,LEN(B202)-3),
IF(D202="Juvenile Large Type","J "&amp;RIGHT(B202,LEN(B202)-11),
IF(D202="Teen Large Type","TEEN "&amp;RIGHT(B202,LEN(B202)-14),
IF(D202="Reference",RIGHT(B202,LEN(B202)-4),
IF(D202="DVD Educational",RIGHT(B202,LEN(B202)-7),
IF(D202="Juvenile DVD Educational",RIGHT(B202,LEN(B202)-9),
B202)))))))))))))))))</f>
        <v/>
      </c>
      <c r="N202" s="11" t="str">
        <f ca="1">IF(IFERROR(FIND("New",$A202)&gt;0,FALSE),"New ","") &amp; IF(IFERROR(FIND("In Lib",$A202)&gt;0,FALSE),"Reference ","") &amp;
IF(AND(D202="Audiobook",LEFT(B202,6)="CD BIO"),"Biography",
IF(AND(D202="Teen Audiobook",LEFT(B202,11)="TEEN CD BIO"),"Biography",
IF(AND(D202="Juvenile Audiobook",LEFT(B202,8)="J CD BIO"),"Biography",
IF(AND(D202="Audiobook",LEFT(B202,6)="CD FIC"),"Audiobook Fiction",
IF(AND(D202="Teen Audiobook",LEFT(B202,11)="TEEN CD FIC"),"Teen Audiobook",
IF(AND(D202="Juvenile Audiobook",LEFT(B202,8)="J CD FIC"),"Juvenile Audiobook",
IF(D202="Audiobook","Nonfiction",
IF(D202="Juvenile Audiobook","Nonfiction",
IF(D202="Teen Audiobook","Nonfiction",
IF(D202="Juvenile Nonfiction","Nonfiction",
IF(D202="Teen Nonfiction","Nonfiction",
IF(D202="Juvenile Biography","Biography",
IF(D202="Teen Biography","Biography",
IF(D202="ESL","Nonfiction",
IF(LEFT(B202,11)="INTL-VIE J ","International Juvenile",IF(LEFT(B202,11)="INTL-TAG J ","International Juvenile",IF(LEFT(B202,11)="INTL-RUS J ","International Juvenile",IF(LEFT(B202,11)="INTL-KOR J ","International Juvenile",IF(LEFT(B202,11)="INTL-JAP J ","International Juvenile",IF(LEFT(B202,11)="INTL-CHI J ","International Juvenile",IF(LEFT(B202,11)="INTL-SPA J ","International Juvenile",IF(LEFT(B202,14)="INTL-VIE TEEN ","International Teen",IF(LEFT(B202,14)="INTL-TAG TEEN ","International Teen",IF(LEFT(B202,14)="INTL-RUS TEEN ","International Teen",IF(LEFT(B202,14)="INTL-KOR TEEN ","International Teen",IF(LEFT(B202,14)="INTL-JAP TEEN ","International Teen",IF(LEFT(B202,14)="INTL-CHI TEEN ","International Teen",IF(LEFT(B202,14)="INTL-SPA TEEN ","International Teen",IF(LEFT(B202,11)="INTL-VIE E ","International Easy",IF(LEFT(B202,11)="INTL-TAG E ","International Easy",IF(LEFT(B202,11)="INTL-RUS E ","International Easy",IF(LEFT(B202,11)="INTL-JAP E ","International Easy",IF(LEFT(B202,11)="INTL-KOR E ","International Easy",IF(LEFT(B202,11)="INTL-CHI E ","International Easy",IF(LEFT(B202,11)="INTL-SPA E ","International Easy",
IF(D202="Teen Large Type","Teen Fiction",
IF(D202="Juvenile Large Type","Juvenile Fiction",
IF(LEFT(B202,6)="J CD O","Juvenile Compact Disc",
IF(AND(LEFT(B202,4)="TEEN",D202="Fiction"),"Teen Fiction",
IF(D202="DVD Educational","Nonfiction",
IF(D202="Juvenile DVD Educational","Nonfiction",
IF(D202="Reference","Nonfiction",
D202))))))))))))))))))))))))))))))))))))))))))</f>
        <v/>
      </c>
    </row>
    <row r="203" spans="1:14" ht="27" customHeight="1" x14ac:dyDescent="0.25">
      <c r="A203" s="10" t="str">
        <f ca="1">TEXT( INDIRECT( ADDRESS( ROW() + Row_Offset, INDIRECT( "Column_Number_" &amp; A$1), 4,1, tabname) ), "")</f>
        <v/>
      </c>
      <c r="B203" s="10" t="str">
        <f ca="1">TEXT(  IFERROR( VLOOKUP( $D203, CollName_Simplifier_Table[], 2, FALSE),"") &amp;
        INDIRECT( ADDRESS( ROW() + Row_Offset, INDIRECT( "Column_Number_" &amp; $B$1), 4,1, tabname) ), "")</f>
        <v/>
      </c>
      <c r="C203" s="10" t="str">
        <f ca="1">TEXT( INDIRECT( ADDRESS( ROW() + Row_Offset, INDIRECT( "Column_Number_" &amp; C$1), 4,1, tabname) ), "")</f>
        <v/>
      </c>
      <c r="D203" s="10" t="str">
        <f ca="1">TEXT( INDIRECT( ADDRESS( ROW() + Row_Offset, INDIRECT( "Column_Number_" &amp; D$1), 4,1, tabname) ), "")</f>
        <v/>
      </c>
      <c r="E203" s="10" t="str">
        <f ca="1">TEXT( INDIRECT( ADDRESS( ROW() + Row_Offset, INDIRECT( "Column_Number_" &amp; E$1), 4,1, tabname) ), "####")</f>
        <v/>
      </c>
      <c r="F203" s="15"/>
      <c r="G203" s="22" t="str">
        <f ca="1">IFERROR(INDEX(Rank_Table[],MATCH($D203&amp;$A203,Table4[Join],0)),"")</f>
        <v/>
      </c>
      <c r="H203" s="11" t="str">
        <f ca="1">IF(AND(D203="Juvenile Audiobook",LEFT(B203,8)="J CD BIO"),RIGHT(B203,LEN(B203)-9),
IF(AND(D203="Juvenile Audiobook",LEFT(B203,8)="J CD FIC"),B203,
IF(D203="Juvenile Audiobook",RIGHT(B203,LEN(B203)-5),
IF(AND(D203="Teen Audiobook",LEFT(B203,11)="TEEN CD BIO"),RIGHT(B203,LEN(B203)-12),
IF(AND(D203="Teen Audiobook",LEFT(B203,11)="TEEN CD FIC"),B203,
IF(D203="Juvenile Audiobook",RIGHT(B203,LEN(B203)-8),
IF(D203="Juvenile Nonfiction",RIGHT(B203,LEN(B203)-2),
IF(D203="Teen Nonfiction",RIGHT(B203,LEN(B203)-5),
IF(AND(D203="Audiobook",
              NOT(OR(Contains($B203,"CD BIO"),Contains($B203,"CD FIC")))),RIGHT(B203,LEN(B203)-3),
IF(D203="Juvenile Biography",RIGHT(B203,LEN(B203)-2),
IF(D203="Teen Biography",RIGHT(B203,LEN(B203)-5),
IF(AND(D203="Audiobook",
              IFERROR(FIND("BIO",$B203)&gt;0,FALSE)),RIGHT(B203,LEN(B203)-3),
IF(D203="Juvenile Large Type","J "&amp;RIGHT(B203,LEN(B203)-11),
IF(D203="Teen Large Type","TEEN "&amp;RIGHT(B203,LEN(B203)-14),
IF(D203="Reference",RIGHT(B203,LEN(B203)-4),
IF(D203="DVD Educational",RIGHT(B203,LEN(B203)-7),
IF(D203="Juvenile DVD Educational",RIGHT(B203,LEN(B203)-9),
B203)))))))))))))))))</f>
        <v/>
      </c>
      <c r="N203" s="11" t="str">
        <f ca="1">IF(IFERROR(FIND("New",$A203)&gt;0,FALSE),"New ","") &amp; IF(IFERROR(FIND("In Lib",$A203)&gt;0,FALSE),"Reference ","") &amp;
IF(AND(D203="Audiobook",LEFT(B203,6)="CD BIO"),"Biography",
IF(AND(D203="Teen Audiobook",LEFT(B203,11)="TEEN CD BIO"),"Biography",
IF(AND(D203="Juvenile Audiobook",LEFT(B203,8)="J CD BIO"),"Biography",
IF(AND(D203="Audiobook",LEFT(B203,6)="CD FIC"),"Audiobook Fiction",
IF(AND(D203="Teen Audiobook",LEFT(B203,11)="TEEN CD FIC"),"Teen Audiobook",
IF(AND(D203="Juvenile Audiobook",LEFT(B203,8)="J CD FIC"),"Juvenile Audiobook",
IF(D203="Audiobook","Nonfiction",
IF(D203="Juvenile Audiobook","Nonfiction",
IF(D203="Teen Audiobook","Nonfiction",
IF(D203="Juvenile Nonfiction","Nonfiction",
IF(D203="Teen Nonfiction","Nonfiction",
IF(D203="Juvenile Biography","Biography",
IF(D203="Teen Biography","Biography",
IF(D203="ESL","Nonfiction",
IF(LEFT(B203,11)="INTL-VIE J ","International Juvenile",IF(LEFT(B203,11)="INTL-TAG J ","International Juvenile",IF(LEFT(B203,11)="INTL-RUS J ","International Juvenile",IF(LEFT(B203,11)="INTL-KOR J ","International Juvenile",IF(LEFT(B203,11)="INTL-JAP J ","International Juvenile",IF(LEFT(B203,11)="INTL-CHI J ","International Juvenile",IF(LEFT(B203,11)="INTL-SPA J ","International Juvenile",IF(LEFT(B203,14)="INTL-VIE TEEN ","International Teen",IF(LEFT(B203,14)="INTL-TAG TEEN ","International Teen",IF(LEFT(B203,14)="INTL-RUS TEEN ","International Teen",IF(LEFT(B203,14)="INTL-KOR TEEN ","International Teen",IF(LEFT(B203,14)="INTL-JAP TEEN ","International Teen",IF(LEFT(B203,14)="INTL-CHI TEEN ","International Teen",IF(LEFT(B203,14)="INTL-SPA TEEN ","International Teen",IF(LEFT(B203,11)="INTL-VIE E ","International Easy",IF(LEFT(B203,11)="INTL-TAG E ","International Easy",IF(LEFT(B203,11)="INTL-RUS E ","International Easy",IF(LEFT(B203,11)="INTL-JAP E ","International Easy",IF(LEFT(B203,11)="INTL-KOR E ","International Easy",IF(LEFT(B203,11)="INTL-CHI E ","International Easy",IF(LEFT(B203,11)="INTL-SPA E ","International Easy",
IF(D203="Teen Large Type","Teen Fiction",
IF(D203="Juvenile Large Type","Juvenile Fiction",
IF(LEFT(B203,6)="J CD O","Juvenile Compact Disc",
IF(AND(LEFT(B203,4)="TEEN",D203="Fiction"),"Teen Fiction",
IF(D203="DVD Educational","Nonfiction",
IF(D203="Juvenile DVD Educational","Nonfiction",
IF(D203="Reference","Nonfiction",
D203))))))))))))))))))))))))))))))))))))))))))</f>
        <v/>
      </c>
    </row>
    <row r="204" spans="1:14" ht="27" customHeight="1" x14ac:dyDescent="0.25">
      <c r="A204" s="10" t="str">
        <f ca="1">TEXT( INDIRECT( ADDRESS( ROW() + Row_Offset, INDIRECT( "Column_Number_" &amp; A$1), 4,1, tabname) ), "")</f>
        <v/>
      </c>
      <c r="B204" s="10" t="str">
        <f ca="1">TEXT(  IFERROR( VLOOKUP( $D204, CollName_Simplifier_Table[], 2, FALSE),"") &amp;
        INDIRECT( ADDRESS( ROW() + Row_Offset, INDIRECT( "Column_Number_" &amp; $B$1), 4,1, tabname) ), "")</f>
        <v/>
      </c>
      <c r="C204" s="10" t="str">
        <f ca="1">TEXT( INDIRECT( ADDRESS( ROW() + Row_Offset, INDIRECT( "Column_Number_" &amp; C$1), 4,1, tabname) ), "")</f>
        <v/>
      </c>
      <c r="D204" s="10" t="str">
        <f ca="1">TEXT( INDIRECT( ADDRESS( ROW() + Row_Offset, INDIRECT( "Column_Number_" &amp; D$1), 4,1, tabname) ), "")</f>
        <v/>
      </c>
      <c r="E204" s="10" t="str">
        <f ca="1">TEXT( INDIRECT( ADDRESS( ROW() + Row_Offset, INDIRECT( "Column_Number_" &amp; E$1), 4,1, tabname) ), "####")</f>
        <v/>
      </c>
      <c r="F204" s="15"/>
      <c r="G204" s="22" t="str">
        <f ca="1">IFERROR(INDEX(Rank_Table[],MATCH($D204&amp;$A204,Table4[Join],0)),"")</f>
        <v/>
      </c>
      <c r="H204" s="11" t="str">
        <f ca="1">IF(AND(D204="Juvenile Audiobook",LEFT(B204,8)="J CD BIO"),RIGHT(B204,LEN(B204)-9),
IF(AND(D204="Juvenile Audiobook",LEFT(B204,8)="J CD FIC"),B204,
IF(D204="Juvenile Audiobook",RIGHT(B204,LEN(B204)-5),
IF(AND(D204="Teen Audiobook",LEFT(B204,11)="TEEN CD BIO"),RIGHT(B204,LEN(B204)-12),
IF(AND(D204="Teen Audiobook",LEFT(B204,11)="TEEN CD FIC"),B204,
IF(D204="Juvenile Audiobook",RIGHT(B204,LEN(B204)-8),
IF(D204="Juvenile Nonfiction",RIGHT(B204,LEN(B204)-2),
IF(D204="Teen Nonfiction",RIGHT(B204,LEN(B204)-5),
IF(AND(D204="Audiobook",
              NOT(OR(Contains($B204,"CD BIO"),Contains($B204,"CD FIC")))),RIGHT(B204,LEN(B204)-3),
IF(D204="Juvenile Biography",RIGHT(B204,LEN(B204)-2),
IF(D204="Teen Biography",RIGHT(B204,LEN(B204)-5),
IF(AND(D204="Audiobook",
              IFERROR(FIND("BIO",$B204)&gt;0,FALSE)),RIGHT(B204,LEN(B204)-3),
IF(D204="Juvenile Large Type","J "&amp;RIGHT(B204,LEN(B204)-11),
IF(D204="Teen Large Type","TEEN "&amp;RIGHT(B204,LEN(B204)-14),
IF(D204="Reference",RIGHT(B204,LEN(B204)-4),
IF(D204="DVD Educational",RIGHT(B204,LEN(B204)-7),
IF(D204="Juvenile DVD Educational",RIGHT(B204,LEN(B204)-9),
B204)))))))))))))))))</f>
        <v/>
      </c>
      <c r="N204" s="11" t="str">
        <f ca="1">IF(IFERROR(FIND("New",$A204)&gt;0,FALSE),"New ","") &amp; IF(IFERROR(FIND("In Lib",$A204)&gt;0,FALSE),"Reference ","") &amp;
IF(AND(D204="Audiobook",LEFT(B204,6)="CD BIO"),"Biography",
IF(AND(D204="Teen Audiobook",LEFT(B204,11)="TEEN CD BIO"),"Biography",
IF(AND(D204="Juvenile Audiobook",LEFT(B204,8)="J CD BIO"),"Biography",
IF(AND(D204="Audiobook",LEFT(B204,6)="CD FIC"),"Audiobook Fiction",
IF(AND(D204="Teen Audiobook",LEFT(B204,11)="TEEN CD FIC"),"Teen Audiobook",
IF(AND(D204="Juvenile Audiobook",LEFT(B204,8)="J CD FIC"),"Juvenile Audiobook",
IF(D204="Audiobook","Nonfiction",
IF(D204="Juvenile Audiobook","Nonfiction",
IF(D204="Teen Audiobook","Nonfiction",
IF(D204="Juvenile Nonfiction","Nonfiction",
IF(D204="Teen Nonfiction","Nonfiction",
IF(D204="Juvenile Biography","Biography",
IF(D204="Teen Biography","Biography",
IF(D204="ESL","Nonfiction",
IF(LEFT(B204,11)="INTL-VIE J ","International Juvenile",IF(LEFT(B204,11)="INTL-TAG J ","International Juvenile",IF(LEFT(B204,11)="INTL-RUS J ","International Juvenile",IF(LEFT(B204,11)="INTL-KOR J ","International Juvenile",IF(LEFT(B204,11)="INTL-JAP J ","International Juvenile",IF(LEFT(B204,11)="INTL-CHI J ","International Juvenile",IF(LEFT(B204,11)="INTL-SPA J ","International Juvenile",IF(LEFT(B204,14)="INTL-VIE TEEN ","International Teen",IF(LEFT(B204,14)="INTL-TAG TEEN ","International Teen",IF(LEFT(B204,14)="INTL-RUS TEEN ","International Teen",IF(LEFT(B204,14)="INTL-KOR TEEN ","International Teen",IF(LEFT(B204,14)="INTL-JAP TEEN ","International Teen",IF(LEFT(B204,14)="INTL-CHI TEEN ","International Teen",IF(LEFT(B204,14)="INTL-SPA TEEN ","International Teen",IF(LEFT(B204,11)="INTL-VIE E ","International Easy",IF(LEFT(B204,11)="INTL-TAG E ","International Easy",IF(LEFT(B204,11)="INTL-RUS E ","International Easy",IF(LEFT(B204,11)="INTL-JAP E ","International Easy",IF(LEFT(B204,11)="INTL-KOR E ","International Easy",IF(LEFT(B204,11)="INTL-CHI E ","International Easy",IF(LEFT(B204,11)="INTL-SPA E ","International Easy",
IF(D204="Teen Large Type","Teen Fiction",
IF(D204="Juvenile Large Type","Juvenile Fiction",
IF(LEFT(B204,6)="J CD O","Juvenile Compact Disc",
IF(AND(LEFT(B204,4)="TEEN",D204="Fiction"),"Teen Fiction",
IF(D204="DVD Educational","Nonfiction",
IF(D204="Juvenile DVD Educational","Nonfiction",
IF(D204="Reference","Nonfiction",
D204))))))))))))))))))))))))))))))))))))))))))</f>
        <v/>
      </c>
    </row>
    <row r="205" spans="1:14" ht="27" customHeight="1" x14ac:dyDescent="0.25">
      <c r="A205" s="10" t="str">
        <f ca="1">TEXT( INDIRECT( ADDRESS( ROW() + Row_Offset, INDIRECT( "Column_Number_" &amp; A$1), 4,1, tabname) ), "")</f>
        <v/>
      </c>
      <c r="B205" s="10" t="str">
        <f ca="1">TEXT(  IFERROR( VLOOKUP( $D205, CollName_Simplifier_Table[], 2, FALSE),"") &amp;
        INDIRECT( ADDRESS( ROW() + Row_Offset, INDIRECT( "Column_Number_" &amp; $B$1), 4,1, tabname) ), "")</f>
        <v/>
      </c>
      <c r="C205" s="10" t="str">
        <f ca="1">TEXT( INDIRECT( ADDRESS( ROW() + Row_Offset, INDIRECT( "Column_Number_" &amp; C$1), 4,1, tabname) ), "")</f>
        <v/>
      </c>
      <c r="D205" s="10" t="str">
        <f ca="1">TEXT( INDIRECT( ADDRESS( ROW() + Row_Offset, INDIRECT( "Column_Number_" &amp; D$1), 4,1, tabname) ), "")</f>
        <v/>
      </c>
      <c r="E205" s="10" t="str">
        <f ca="1">TEXT( INDIRECT( ADDRESS( ROW() + Row_Offset, INDIRECT( "Column_Number_" &amp; E$1), 4,1, tabname) ), "####")</f>
        <v/>
      </c>
      <c r="F205" s="15"/>
      <c r="G205" s="22" t="str">
        <f ca="1">IFERROR(INDEX(Rank_Table[],MATCH($D205&amp;$A205,Table4[Join],0)),"")</f>
        <v/>
      </c>
      <c r="H205" s="11" t="str">
        <f ca="1">IF(AND(D205="Juvenile Audiobook",LEFT(B205,8)="J CD BIO"),RIGHT(B205,LEN(B205)-9),
IF(AND(D205="Juvenile Audiobook",LEFT(B205,8)="J CD FIC"),B205,
IF(D205="Juvenile Audiobook",RIGHT(B205,LEN(B205)-5),
IF(AND(D205="Teen Audiobook",LEFT(B205,11)="TEEN CD BIO"),RIGHT(B205,LEN(B205)-12),
IF(AND(D205="Teen Audiobook",LEFT(B205,11)="TEEN CD FIC"),B205,
IF(D205="Juvenile Audiobook",RIGHT(B205,LEN(B205)-8),
IF(D205="Juvenile Nonfiction",RIGHT(B205,LEN(B205)-2),
IF(D205="Teen Nonfiction",RIGHT(B205,LEN(B205)-5),
IF(AND(D205="Audiobook",
              NOT(OR(Contains($B205,"CD BIO"),Contains($B205,"CD FIC")))),RIGHT(B205,LEN(B205)-3),
IF(D205="Juvenile Biography",RIGHT(B205,LEN(B205)-2),
IF(D205="Teen Biography",RIGHT(B205,LEN(B205)-5),
IF(AND(D205="Audiobook",
              IFERROR(FIND("BIO",$B205)&gt;0,FALSE)),RIGHT(B205,LEN(B205)-3),
IF(D205="Juvenile Large Type","J "&amp;RIGHT(B205,LEN(B205)-11),
IF(D205="Teen Large Type","TEEN "&amp;RIGHT(B205,LEN(B205)-14),
IF(D205="Reference",RIGHT(B205,LEN(B205)-4),
IF(D205="DVD Educational",RIGHT(B205,LEN(B205)-7),
IF(D205="Juvenile DVD Educational",RIGHT(B205,LEN(B205)-9),
B205)))))))))))))))))</f>
        <v/>
      </c>
      <c r="N205" s="11" t="str">
        <f ca="1">IF(IFERROR(FIND("New",$A205)&gt;0,FALSE),"New ","") &amp; IF(IFERROR(FIND("In Lib",$A205)&gt;0,FALSE),"Reference ","") &amp;
IF(AND(D205="Audiobook",LEFT(B205,6)="CD BIO"),"Biography",
IF(AND(D205="Teen Audiobook",LEFT(B205,11)="TEEN CD BIO"),"Biography",
IF(AND(D205="Juvenile Audiobook",LEFT(B205,8)="J CD BIO"),"Biography",
IF(AND(D205="Audiobook",LEFT(B205,6)="CD FIC"),"Audiobook Fiction",
IF(AND(D205="Teen Audiobook",LEFT(B205,11)="TEEN CD FIC"),"Teen Audiobook",
IF(AND(D205="Juvenile Audiobook",LEFT(B205,8)="J CD FIC"),"Juvenile Audiobook",
IF(D205="Audiobook","Nonfiction",
IF(D205="Juvenile Audiobook","Nonfiction",
IF(D205="Teen Audiobook","Nonfiction",
IF(D205="Juvenile Nonfiction","Nonfiction",
IF(D205="Teen Nonfiction","Nonfiction",
IF(D205="Juvenile Biography","Biography",
IF(D205="Teen Biography","Biography",
IF(D205="ESL","Nonfiction",
IF(LEFT(B205,11)="INTL-VIE J ","International Juvenile",IF(LEFT(B205,11)="INTL-TAG J ","International Juvenile",IF(LEFT(B205,11)="INTL-RUS J ","International Juvenile",IF(LEFT(B205,11)="INTL-KOR J ","International Juvenile",IF(LEFT(B205,11)="INTL-JAP J ","International Juvenile",IF(LEFT(B205,11)="INTL-CHI J ","International Juvenile",IF(LEFT(B205,11)="INTL-SPA J ","International Juvenile",IF(LEFT(B205,14)="INTL-VIE TEEN ","International Teen",IF(LEFT(B205,14)="INTL-TAG TEEN ","International Teen",IF(LEFT(B205,14)="INTL-RUS TEEN ","International Teen",IF(LEFT(B205,14)="INTL-KOR TEEN ","International Teen",IF(LEFT(B205,14)="INTL-JAP TEEN ","International Teen",IF(LEFT(B205,14)="INTL-CHI TEEN ","International Teen",IF(LEFT(B205,14)="INTL-SPA TEEN ","International Teen",IF(LEFT(B205,11)="INTL-VIE E ","International Easy",IF(LEFT(B205,11)="INTL-TAG E ","International Easy",IF(LEFT(B205,11)="INTL-RUS E ","International Easy",IF(LEFT(B205,11)="INTL-JAP E ","International Easy",IF(LEFT(B205,11)="INTL-KOR E ","International Easy",IF(LEFT(B205,11)="INTL-CHI E ","International Easy",IF(LEFT(B205,11)="INTL-SPA E ","International Easy",
IF(D205="Teen Large Type","Teen Fiction",
IF(D205="Juvenile Large Type","Juvenile Fiction",
IF(LEFT(B205,6)="J CD O","Juvenile Compact Disc",
IF(AND(LEFT(B205,4)="TEEN",D205="Fiction"),"Teen Fiction",
IF(D205="DVD Educational","Nonfiction",
IF(D205="Juvenile DVD Educational","Nonfiction",
IF(D205="Reference","Nonfiction",
D205))))))))))))))))))))))))))))))))))))))))))</f>
        <v/>
      </c>
    </row>
    <row r="206" spans="1:14" ht="27" customHeight="1" x14ac:dyDescent="0.25">
      <c r="A206" s="10" t="str">
        <f ca="1">TEXT( INDIRECT( ADDRESS( ROW() + Row_Offset, INDIRECT( "Column_Number_" &amp; A$1), 4,1, tabname) ), "")</f>
        <v/>
      </c>
      <c r="B206" s="10" t="str">
        <f ca="1">TEXT(  IFERROR( VLOOKUP( $D206, CollName_Simplifier_Table[], 2, FALSE),"") &amp;
        INDIRECT( ADDRESS( ROW() + Row_Offset, INDIRECT( "Column_Number_" &amp; $B$1), 4,1, tabname) ), "")</f>
        <v/>
      </c>
      <c r="C206" s="10" t="str">
        <f ca="1">TEXT( INDIRECT( ADDRESS( ROW() + Row_Offset, INDIRECT( "Column_Number_" &amp; C$1), 4,1, tabname) ), "")</f>
        <v/>
      </c>
      <c r="D206" s="10" t="str">
        <f ca="1">TEXT( INDIRECT( ADDRESS( ROW() + Row_Offset, INDIRECT( "Column_Number_" &amp; D$1), 4,1, tabname) ), "")</f>
        <v/>
      </c>
      <c r="E206" s="10" t="str">
        <f ca="1">TEXT( INDIRECT( ADDRESS( ROW() + Row_Offset, INDIRECT( "Column_Number_" &amp; E$1), 4,1, tabname) ), "####")</f>
        <v/>
      </c>
      <c r="F206" s="15"/>
      <c r="G206" s="22" t="str">
        <f ca="1">IFERROR(INDEX(Rank_Table[],MATCH($D206&amp;$A206,Table4[Join],0)),"")</f>
        <v/>
      </c>
      <c r="H206" s="11" t="str">
        <f ca="1">IF(AND(D206="Juvenile Audiobook",LEFT(B206,8)="J CD BIO"),RIGHT(B206,LEN(B206)-9),
IF(AND(D206="Juvenile Audiobook",LEFT(B206,8)="J CD FIC"),B206,
IF(D206="Juvenile Audiobook",RIGHT(B206,LEN(B206)-5),
IF(AND(D206="Teen Audiobook",LEFT(B206,11)="TEEN CD BIO"),RIGHT(B206,LEN(B206)-12),
IF(AND(D206="Teen Audiobook",LEFT(B206,11)="TEEN CD FIC"),B206,
IF(D206="Juvenile Audiobook",RIGHT(B206,LEN(B206)-8),
IF(D206="Juvenile Nonfiction",RIGHT(B206,LEN(B206)-2),
IF(D206="Teen Nonfiction",RIGHT(B206,LEN(B206)-5),
IF(AND(D206="Audiobook",
              NOT(OR(Contains($B206,"CD BIO"),Contains($B206,"CD FIC")))),RIGHT(B206,LEN(B206)-3),
IF(D206="Juvenile Biography",RIGHT(B206,LEN(B206)-2),
IF(D206="Teen Biography",RIGHT(B206,LEN(B206)-5),
IF(AND(D206="Audiobook",
              IFERROR(FIND("BIO",$B206)&gt;0,FALSE)),RIGHT(B206,LEN(B206)-3),
IF(D206="Juvenile Large Type","J "&amp;RIGHT(B206,LEN(B206)-11),
IF(D206="Teen Large Type","TEEN "&amp;RIGHT(B206,LEN(B206)-14),
IF(D206="Reference",RIGHT(B206,LEN(B206)-4),
IF(D206="DVD Educational",RIGHT(B206,LEN(B206)-7),
IF(D206="Juvenile DVD Educational",RIGHT(B206,LEN(B206)-9),
B206)))))))))))))))))</f>
        <v/>
      </c>
      <c r="N206" s="11" t="str">
        <f ca="1">IF(IFERROR(FIND("New",$A206)&gt;0,FALSE),"New ","") &amp; IF(IFERROR(FIND("In Lib",$A206)&gt;0,FALSE),"Reference ","") &amp;
IF(AND(D206="Audiobook",LEFT(B206,6)="CD BIO"),"Biography",
IF(AND(D206="Teen Audiobook",LEFT(B206,11)="TEEN CD BIO"),"Biography",
IF(AND(D206="Juvenile Audiobook",LEFT(B206,8)="J CD BIO"),"Biography",
IF(AND(D206="Audiobook",LEFT(B206,6)="CD FIC"),"Audiobook Fiction",
IF(AND(D206="Teen Audiobook",LEFT(B206,11)="TEEN CD FIC"),"Teen Audiobook",
IF(AND(D206="Juvenile Audiobook",LEFT(B206,8)="J CD FIC"),"Juvenile Audiobook",
IF(D206="Audiobook","Nonfiction",
IF(D206="Juvenile Audiobook","Nonfiction",
IF(D206="Teen Audiobook","Nonfiction",
IF(D206="Juvenile Nonfiction","Nonfiction",
IF(D206="Teen Nonfiction","Nonfiction",
IF(D206="Juvenile Biography","Biography",
IF(D206="Teen Biography","Biography",
IF(D206="ESL","Nonfiction",
IF(LEFT(B206,11)="INTL-VIE J ","International Juvenile",IF(LEFT(B206,11)="INTL-TAG J ","International Juvenile",IF(LEFT(B206,11)="INTL-RUS J ","International Juvenile",IF(LEFT(B206,11)="INTL-KOR J ","International Juvenile",IF(LEFT(B206,11)="INTL-JAP J ","International Juvenile",IF(LEFT(B206,11)="INTL-CHI J ","International Juvenile",IF(LEFT(B206,11)="INTL-SPA J ","International Juvenile",IF(LEFT(B206,14)="INTL-VIE TEEN ","International Teen",IF(LEFT(B206,14)="INTL-TAG TEEN ","International Teen",IF(LEFT(B206,14)="INTL-RUS TEEN ","International Teen",IF(LEFT(B206,14)="INTL-KOR TEEN ","International Teen",IF(LEFT(B206,14)="INTL-JAP TEEN ","International Teen",IF(LEFT(B206,14)="INTL-CHI TEEN ","International Teen",IF(LEFT(B206,14)="INTL-SPA TEEN ","International Teen",IF(LEFT(B206,11)="INTL-VIE E ","International Easy",IF(LEFT(B206,11)="INTL-TAG E ","International Easy",IF(LEFT(B206,11)="INTL-RUS E ","International Easy",IF(LEFT(B206,11)="INTL-JAP E ","International Easy",IF(LEFT(B206,11)="INTL-KOR E ","International Easy",IF(LEFT(B206,11)="INTL-CHI E ","International Easy",IF(LEFT(B206,11)="INTL-SPA E ","International Easy",
IF(D206="Teen Large Type","Teen Fiction",
IF(D206="Juvenile Large Type","Juvenile Fiction",
IF(LEFT(B206,6)="J CD O","Juvenile Compact Disc",
IF(AND(LEFT(B206,4)="TEEN",D206="Fiction"),"Teen Fiction",
IF(D206="DVD Educational","Nonfiction",
IF(D206="Juvenile DVD Educational","Nonfiction",
IF(D206="Reference","Nonfiction",
D206))))))))))))))))))))))))))))))))))))))))))</f>
        <v/>
      </c>
    </row>
    <row r="207" spans="1:14" ht="27" customHeight="1" x14ac:dyDescent="0.25">
      <c r="A207" s="10" t="str">
        <f ca="1">TEXT( INDIRECT( ADDRESS( ROW() + Row_Offset, INDIRECT( "Column_Number_" &amp; A$1), 4,1, tabname) ), "")</f>
        <v/>
      </c>
      <c r="B207" s="10" t="str">
        <f ca="1">TEXT(  IFERROR( VLOOKUP( $D207, CollName_Simplifier_Table[], 2, FALSE),"") &amp;
        INDIRECT( ADDRESS( ROW() + Row_Offset, INDIRECT( "Column_Number_" &amp; $B$1), 4,1, tabname) ), "")</f>
        <v/>
      </c>
      <c r="C207" s="10" t="str">
        <f ca="1">TEXT( INDIRECT( ADDRESS( ROW() + Row_Offset, INDIRECT( "Column_Number_" &amp; C$1), 4,1, tabname) ), "")</f>
        <v/>
      </c>
      <c r="D207" s="10" t="str">
        <f ca="1">TEXT( INDIRECT( ADDRESS( ROW() + Row_Offset, INDIRECT( "Column_Number_" &amp; D$1), 4,1, tabname) ), "")</f>
        <v/>
      </c>
      <c r="E207" s="10" t="str">
        <f ca="1">TEXT( INDIRECT( ADDRESS( ROW() + Row_Offset, INDIRECT( "Column_Number_" &amp; E$1), 4,1, tabname) ), "####")</f>
        <v/>
      </c>
      <c r="F207" s="15"/>
      <c r="G207" s="22" t="str">
        <f ca="1">IFERROR(INDEX(Rank_Table[],MATCH($D207&amp;$A207,Table4[Join],0)),"")</f>
        <v/>
      </c>
      <c r="H207" s="11" t="str">
        <f ca="1">IF(AND(D207="Juvenile Audiobook",LEFT(B207,8)="J CD BIO"),RIGHT(B207,LEN(B207)-9),
IF(AND(D207="Juvenile Audiobook",LEFT(B207,8)="J CD FIC"),B207,
IF(D207="Juvenile Audiobook",RIGHT(B207,LEN(B207)-5),
IF(AND(D207="Teen Audiobook",LEFT(B207,11)="TEEN CD BIO"),RIGHT(B207,LEN(B207)-12),
IF(AND(D207="Teen Audiobook",LEFT(B207,11)="TEEN CD FIC"),B207,
IF(D207="Juvenile Audiobook",RIGHT(B207,LEN(B207)-8),
IF(D207="Juvenile Nonfiction",RIGHT(B207,LEN(B207)-2),
IF(D207="Teen Nonfiction",RIGHT(B207,LEN(B207)-5),
IF(AND(D207="Audiobook",
              NOT(OR(Contains($B207,"CD BIO"),Contains($B207,"CD FIC")))),RIGHT(B207,LEN(B207)-3),
IF(D207="Juvenile Biography",RIGHT(B207,LEN(B207)-2),
IF(D207="Teen Biography",RIGHT(B207,LEN(B207)-5),
IF(AND(D207="Audiobook",
              IFERROR(FIND("BIO",$B207)&gt;0,FALSE)),RIGHT(B207,LEN(B207)-3),
IF(D207="Juvenile Large Type","J "&amp;RIGHT(B207,LEN(B207)-11),
IF(D207="Teen Large Type","TEEN "&amp;RIGHT(B207,LEN(B207)-14),
IF(D207="Reference",RIGHT(B207,LEN(B207)-4),
IF(D207="DVD Educational",RIGHT(B207,LEN(B207)-7),
IF(D207="Juvenile DVD Educational",RIGHT(B207,LEN(B207)-9),
B207)))))))))))))))))</f>
        <v/>
      </c>
      <c r="N207" s="11" t="str">
        <f ca="1">IF(IFERROR(FIND("New",$A207)&gt;0,FALSE),"New ","") &amp; IF(IFERROR(FIND("In Lib",$A207)&gt;0,FALSE),"Reference ","") &amp;
IF(AND(D207="Audiobook",LEFT(B207,6)="CD BIO"),"Biography",
IF(AND(D207="Teen Audiobook",LEFT(B207,11)="TEEN CD BIO"),"Biography",
IF(AND(D207="Juvenile Audiobook",LEFT(B207,8)="J CD BIO"),"Biography",
IF(AND(D207="Audiobook",LEFT(B207,6)="CD FIC"),"Audiobook Fiction",
IF(AND(D207="Teen Audiobook",LEFT(B207,11)="TEEN CD FIC"),"Teen Audiobook",
IF(AND(D207="Juvenile Audiobook",LEFT(B207,8)="J CD FIC"),"Juvenile Audiobook",
IF(D207="Audiobook","Nonfiction",
IF(D207="Juvenile Audiobook","Nonfiction",
IF(D207="Teen Audiobook","Nonfiction",
IF(D207="Juvenile Nonfiction","Nonfiction",
IF(D207="Teen Nonfiction","Nonfiction",
IF(D207="Juvenile Biography","Biography",
IF(D207="Teen Biography","Biography",
IF(D207="ESL","Nonfiction",
IF(LEFT(B207,11)="INTL-VIE J ","International Juvenile",IF(LEFT(B207,11)="INTL-TAG J ","International Juvenile",IF(LEFT(B207,11)="INTL-RUS J ","International Juvenile",IF(LEFT(B207,11)="INTL-KOR J ","International Juvenile",IF(LEFT(B207,11)="INTL-JAP J ","International Juvenile",IF(LEFT(B207,11)="INTL-CHI J ","International Juvenile",IF(LEFT(B207,11)="INTL-SPA J ","International Juvenile",IF(LEFT(B207,14)="INTL-VIE TEEN ","International Teen",IF(LEFT(B207,14)="INTL-TAG TEEN ","International Teen",IF(LEFT(B207,14)="INTL-RUS TEEN ","International Teen",IF(LEFT(B207,14)="INTL-KOR TEEN ","International Teen",IF(LEFT(B207,14)="INTL-JAP TEEN ","International Teen",IF(LEFT(B207,14)="INTL-CHI TEEN ","International Teen",IF(LEFT(B207,14)="INTL-SPA TEEN ","International Teen",IF(LEFT(B207,11)="INTL-VIE E ","International Easy",IF(LEFT(B207,11)="INTL-TAG E ","International Easy",IF(LEFT(B207,11)="INTL-RUS E ","International Easy",IF(LEFT(B207,11)="INTL-JAP E ","International Easy",IF(LEFT(B207,11)="INTL-KOR E ","International Easy",IF(LEFT(B207,11)="INTL-CHI E ","International Easy",IF(LEFT(B207,11)="INTL-SPA E ","International Easy",
IF(D207="Teen Large Type","Teen Fiction",
IF(D207="Juvenile Large Type","Juvenile Fiction",
IF(LEFT(B207,6)="J CD O","Juvenile Compact Disc",
IF(AND(LEFT(B207,4)="TEEN",D207="Fiction"),"Teen Fiction",
IF(D207="DVD Educational","Nonfiction",
IF(D207="Juvenile DVD Educational","Nonfiction",
IF(D207="Reference","Nonfiction",
D207))))))))))))))))))))))))))))))))))))))))))</f>
        <v/>
      </c>
    </row>
    <row r="208" spans="1:14" ht="27" customHeight="1" x14ac:dyDescent="0.25">
      <c r="A208" s="10" t="str">
        <f ca="1">TEXT( INDIRECT( ADDRESS( ROW() + Row_Offset, INDIRECT( "Column_Number_" &amp; A$1), 4,1, tabname) ), "")</f>
        <v/>
      </c>
      <c r="B208" s="10" t="str">
        <f ca="1">TEXT(  IFERROR( VLOOKUP( $D208, CollName_Simplifier_Table[], 2, FALSE),"") &amp;
        INDIRECT( ADDRESS( ROW() + Row_Offset, INDIRECT( "Column_Number_" &amp; $B$1), 4,1, tabname) ), "")</f>
        <v/>
      </c>
      <c r="C208" s="10" t="str">
        <f ca="1">TEXT( INDIRECT( ADDRESS( ROW() + Row_Offset, INDIRECT( "Column_Number_" &amp; C$1), 4,1, tabname) ), "")</f>
        <v/>
      </c>
      <c r="D208" s="10" t="str">
        <f ca="1">TEXT( INDIRECT( ADDRESS( ROW() + Row_Offset, INDIRECT( "Column_Number_" &amp; D$1), 4,1, tabname) ), "")</f>
        <v/>
      </c>
      <c r="E208" s="10" t="str">
        <f ca="1">TEXT( INDIRECT( ADDRESS( ROW() + Row_Offset, INDIRECT( "Column_Number_" &amp; E$1), 4,1, tabname) ), "####")</f>
        <v/>
      </c>
      <c r="F208" s="15"/>
      <c r="G208" s="22" t="str">
        <f ca="1">IFERROR(INDEX(Rank_Table[],MATCH($D208&amp;$A208,Table4[Join],0)),"")</f>
        <v/>
      </c>
      <c r="H208" s="11" t="str">
        <f ca="1">IF(AND(D208="Juvenile Audiobook",LEFT(B208,8)="J CD BIO"),RIGHT(B208,LEN(B208)-9),
IF(AND(D208="Juvenile Audiobook",LEFT(B208,8)="J CD FIC"),B208,
IF(D208="Juvenile Audiobook",RIGHT(B208,LEN(B208)-5),
IF(AND(D208="Teen Audiobook",LEFT(B208,11)="TEEN CD BIO"),RIGHT(B208,LEN(B208)-12),
IF(AND(D208="Teen Audiobook",LEFT(B208,11)="TEEN CD FIC"),B208,
IF(D208="Juvenile Audiobook",RIGHT(B208,LEN(B208)-8),
IF(D208="Juvenile Nonfiction",RIGHT(B208,LEN(B208)-2),
IF(D208="Teen Nonfiction",RIGHT(B208,LEN(B208)-5),
IF(AND(D208="Audiobook",
              NOT(OR(Contains($B208,"CD BIO"),Contains($B208,"CD FIC")))),RIGHT(B208,LEN(B208)-3),
IF(D208="Juvenile Biography",RIGHT(B208,LEN(B208)-2),
IF(D208="Teen Biography",RIGHT(B208,LEN(B208)-5),
IF(AND(D208="Audiobook",
              IFERROR(FIND("BIO",$B208)&gt;0,FALSE)),RIGHT(B208,LEN(B208)-3),
IF(D208="Juvenile Large Type","J "&amp;RIGHT(B208,LEN(B208)-11),
IF(D208="Teen Large Type","TEEN "&amp;RIGHT(B208,LEN(B208)-14),
IF(D208="Reference",RIGHT(B208,LEN(B208)-4),
IF(D208="DVD Educational",RIGHT(B208,LEN(B208)-7),
IF(D208="Juvenile DVD Educational",RIGHT(B208,LEN(B208)-9),
B208)))))))))))))))))</f>
        <v/>
      </c>
      <c r="N208" s="11" t="str">
        <f ca="1">IF(IFERROR(FIND("New",$A208)&gt;0,FALSE),"New ","") &amp; IF(IFERROR(FIND("In Lib",$A208)&gt;0,FALSE),"Reference ","") &amp;
IF(AND(D208="Audiobook",LEFT(B208,6)="CD BIO"),"Biography",
IF(AND(D208="Teen Audiobook",LEFT(B208,11)="TEEN CD BIO"),"Biography",
IF(AND(D208="Juvenile Audiobook",LEFT(B208,8)="J CD BIO"),"Biography",
IF(AND(D208="Audiobook",LEFT(B208,6)="CD FIC"),"Audiobook Fiction",
IF(AND(D208="Teen Audiobook",LEFT(B208,11)="TEEN CD FIC"),"Teen Audiobook",
IF(AND(D208="Juvenile Audiobook",LEFT(B208,8)="J CD FIC"),"Juvenile Audiobook",
IF(D208="Audiobook","Nonfiction",
IF(D208="Juvenile Audiobook","Nonfiction",
IF(D208="Teen Audiobook","Nonfiction",
IF(D208="Juvenile Nonfiction","Nonfiction",
IF(D208="Teen Nonfiction","Nonfiction",
IF(D208="Juvenile Biography","Biography",
IF(D208="Teen Biography","Biography",
IF(D208="ESL","Nonfiction",
IF(LEFT(B208,11)="INTL-VIE J ","International Juvenile",IF(LEFT(B208,11)="INTL-TAG J ","International Juvenile",IF(LEFT(B208,11)="INTL-RUS J ","International Juvenile",IF(LEFT(B208,11)="INTL-KOR J ","International Juvenile",IF(LEFT(B208,11)="INTL-JAP J ","International Juvenile",IF(LEFT(B208,11)="INTL-CHI J ","International Juvenile",IF(LEFT(B208,11)="INTL-SPA J ","International Juvenile",IF(LEFT(B208,14)="INTL-VIE TEEN ","International Teen",IF(LEFT(B208,14)="INTL-TAG TEEN ","International Teen",IF(LEFT(B208,14)="INTL-RUS TEEN ","International Teen",IF(LEFT(B208,14)="INTL-KOR TEEN ","International Teen",IF(LEFT(B208,14)="INTL-JAP TEEN ","International Teen",IF(LEFT(B208,14)="INTL-CHI TEEN ","International Teen",IF(LEFT(B208,14)="INTL-SPA TEEN ","International Teen",IF(LEFT(B208,11)="INTL-VIE E ","International Easy",IF(LEFT(B208,11)="INTL-TAG E ","International Easy",IF(LEFT(B208,11)="INTL-RUS E ","International Easy",IF(LEFT(B208,11)="INTL-JAP E ","International Easy",IF(LEFT(B208,11)="INTL-KOR E ","International Easy",IF(LEFT(B208,11)="INTL-CHI E ","International Easy",IF(LEFT(B208,11)="INTL-SPA E ","International Easy",
IF(D208="Teen Large Type","Teen Fiction",
IF(D208="Juvenile Large Type","Juvenile Fiction",
IF(LEFT(B208,6)="J CD O","Juvenile Compact Disc",
IF(AND(LEFT(B208,4)="TEEN",D208="Fiction"),"Teen Fiction",
IF(D208="DVD Educational","Nonfiction",
IF(D208="Juvenile DVD Educational","Nonfiction",
IF(D208="Reference","Nonfiction",
D208))))))))))))))))))))))))))))))))))))))))))</f>
        <v/>
      </c>
    </row>
    <row r="209" spans="1:14" ht="27" customHeight="1" x14ac:dyDescent="0.25">
      <c r="A209" s="10" t="str">
        <f ca="1">TEXT( INDIRECT( ADDRESS( ROW() + Row_Offset, INDIRECT( "Column_Number_" &amp; A$1), 4,1, tabname) ), "")</f>
        <v/>
      </c>
      <c r="B209" s="10" t="str">
        <f ca="1">TEXT(  IFERROR( VLOOKUP( $D209, CollName_Simplifier_Table[], 2, FALSE),"") &amp;
        INDIRECT( ADDRESS( ROW() + Row_Offset, INDIRECT( "Column_Number_" &amp; $B$1), 4,1, tabname) ), "")</f>
        <v/>
      </c>
      <c r="C209" s="10" t="str">
        <f ca="1">TEXT( INDIRECT( ADDRESS( ROW() + Row_Offset, INDIRECT( "Column_Number_" &amp; C$1), 4,1, tabname) ), "")</f>
        <v/>
      </c>
      <c r="D209" s="10" t="str">
        <f ca="1">TEXT( INDIRECT( ADDRESS( ROW() + Row_Offset, INDIRECT( "Column_Number_" &amp; D$1), 4,1, tabname) ), "")</f>
        <v/>
      </c>
      <c r="E209" s="10" t="str">
        <f ca="1">TEXT( INDIRECT( ADDRESS( ROW() + Row_Offset, INDIRECT( "Column_Number_" &amp; E$1), 4,1, tabname) ), "####")</f>
        <v/>
      </c>
      <c r="F209" s="15"/>
      <c r="G209" s="22" t="str">
        <f ca="1">IFERROR(INDEX(Rank_Table[],MATCH($D209&amp;$A209,Table4[Join],0)),"")</f>
        <v/>
      </c>
      <c r="H209" s="11" t="str">
        <f ca="1">IF(AND(D209="Juvenile Audiobook",LEFT(B209,8)="J CD BIO"),RIGHT(B209,LEN(B209)-9),
IF(AND(D209="Juvenile Audiobook",LEFT(B209,8)="J CD FIC"),B209,
IF(D209="Juvenile Audiobook",RIGHT(B209,LEN(B209)-5),
IF(AND(D209="Teen Audiobook",LEFT(B209,11)="TEEN CD BIO"),RIGHT(B209,LEN(B209)-12),
IF(AND(D209="Teen Audiobook",LEFT(B209,11)="TEEN CD FIC"),B209,
IF(D209="Juvenile Audiobook",RIGHT(B209,LEN(B209)-8),
IF(D209="Juvenile Nonfiction",RIGHT(B209,LEN(B209)-2),
IF(D209="Teen Nonfiction",RIGHT(B209,LEN(B209)-5),
IF(AND(D209="Audiobook",
              NOT(OR(Contains($B209,"CD BIO"),Contains($B209,"CD FIC")))),RIGHT(B209,LEN(B209)-3),
IF(D209="Juvenile Biography",RIGHT(B209,LEN(B209)-2),
IF(D209="Teen Biography",RIGHT(B209,LEN(B209)-5),
IF(AND(D209="Audiobook",
              IFERROR(FIND("BIO",$B209)&gt;0,FALSE)),RIGHT(B209,LEN(B209)-3),
IF(D209="Juvenile Large Type","J "&amp;RIGHT(B209,LEN(B209)-11),
IF(D209="Teen Large Type","TEEN "&amp;RIGHT(B209,LEN(B209)-14),
IF(D209="Reference",RIGHT(B209,LEN(B209)-4),
IF(D209="DVD Educational",RIGHT(B209,LEN(B209)-7),
IF(D209="Juvenile DVD Educational",RIGHT(B209,LEN(B209)-9),
B209)))))))))))))))))</f>
        <v/>
      </c>
      <c r="N209" s="11" t="str">
        <f ca="1">IF(IFERROR(FIND("New",$A209)&gt;0,FALSE),"New ","") &amp; IF(IFERROR(FIND("In Lib",$A209)&gt;0,FALSE),"Reference ","") &amp;
IF(AND(D209="Audiobook",LEFT(B209,6)="CD BIO"),"Biography",
IF(AND(D209="Teen Audiobook",LEFT(B209,11)="TEEN CD BIO"),"Biography",
IF(AND(D209="Juvenile Audiobook",LEFT(B209,8)="J CD BIO"),"Biography",
IF(AND(D209="Audiobook",LEFT(B209,6)="CD FIC"),"Audiobook Fiction",
IF(AND(D209="Teen Audiobook",LEFT(B209,11)="TEEN CD FIC"),"Teen Audiobook",
IF(AND(D209="Juvenile Audiobook",LEFT(B209,8)="J CD FIC"),"Juvenile Audiobook",
IF(D209="Audiobook","Nonfiction",
IF(D209="Juvenile Audiobook","Nonfiction",
IF(D209="Teen Audiobook","Nonfiction",
IF(D209="Juvenile Nonfiction","Nonfiction",
IF(D209="Teen Nonfiction","Nonfiction",
IF(D209="Juvenile Biography","Biography",
IF(D209="Teen Biography","Biography",
IF(D209="ESL","Nonfiction",
IF(LEFT(B209,11)="INTL-VIE J ","International Juvenile",IF(LEFT(B209,11)="INTL-TAG J ","International Juvenile",IF(LEFT(B209,11)="INTL-RUS J ","International Juvenile",IF(LEFT(B209,11)="INTL-KOR J ","International Juvenile",IF(LEFT(B209,11)="INTL-JAP J ","International Juvenile",IF(LEFT(B209,11)="INTL-CHI J ","International Juvenile",IF(LEFT(B209,11)="INTL-SPA J ","International Juvenile",IF(LEFT(B209,14)="INTL-VIE TEEN ","International Teen",IF(LEFT(B209,14)="INTL-TAG TEEN ","International Teen",IF(LEFT(B209,14)="INTL-RUS TEEN ","International Teen",IF(LEFT(B209,14)="INTL-KOR TEEN ","International Teen",IF(LEFT(B209,14)="INTL-JAP TEEN ","International Teen",IF(LEFT(B209,14)="INTL-CHI TEEN ","International Teen",IF(LEFT(B209,14)="INTL-SPA TEEN ","International Teen",IF(LEFT(B209,11)="INTL-VIE E ","International Easy",IF(LEFT(B209,11)="INTL-TAG E ","International Easy",IF(LEFT(B209,11)="INTL-RUS E ","International Easy",IF(LEFT(B209,11)="INTL-JAP E ","International Easy",IF(LEFT(B209,11)="INTL-KOR E ","International Easy",IF(LEFT(B209,11)="INTL-CHI E ","International Easy",IF(LEFT(B209,11)="INTL-SPA E ","International Easy",
IF(D209="Teen Large Type","Teen Fiction",
IF(D209="Juvenile Large Type","Juvenile Fiction",
IF(LEFT(B209,6)="J CD O","Juvenile Compact Disc",
IF(AND(LEFT(B209,4)="TEEN",D209="Fiction"),"Teen Fiction",
IF(D209="DVD Educational","Nonfiction",
IF(D209="Juvenile DVD Educational","Nonfiction",
IF(D209="Reference","Nonfiction",
D209))))))))))))))))))))))))))))))))))))))))))</f>
        <v/>
      </c>
    </row>
    <row r="210" spans="1:14" ht="27" customHeight="1" x14ac:dyDescent="0.25">
      <c r="A210" s="10" t="str">
        <f ca="1">TEXT( INDIRECT( ADDRESS( ROW() + Row_Offset, INDIRECT( "Column_Number_" &amp; A$1), 4,1, tabname) ), "")</f>
        <v/>
      </c>
      <c r="B210" s="10" t="str">
        <f ca="1">TEXT(  IFERROR( VLOOKUP( $D210, CollName_Simplifier_Table[], 2, FALSE),"") &amp;
        INDIRECT( ADDRESS( ROW() + Row_Offset, INDIRECT( "Column_Number_" &amp; $B$1), 4,1, tabname) ), "")</f>
        <v/>
      </c>
      <c r="C210" s="10" t="str">
        <f ca="1">TEXT( INDIRECT( ADDRESS( ROW() + Row_Offset, INDIRECT( "Column_Number_" &amp; C$1), 4,1, tabname) ), "")</f>
        <v/>
      </c>
      <c r="D210" s="10" t="str">
        <f ca="1">TEXT( INDIRECT( ADDRESS( ROW() + Row_Offset, INDIRECT( "Column_Number_" &amp; D$1), 4,1, tabname) ), "")</f>
        <v/>
      </c>
      <c r="E210" s="10" t="str">
        <f ca="1">TEXT( INDIRECT( ADDRESS( ROW() + Row_Offset, INDIRECT( "Column_Number_" &amp; E$1), 4,1, tabname) ), "####")</f>
        <v/>
      </c>
      <c r="F210" s="15"/>
      <c r="G210" s="22" t="str">
        <f ca="1">IFERROR(INDEX(Rank_Table[],MATCH($D210&amp;$A210,Table4[Join],0)),"")</f>
        <v/>
      </c>
      <c r="H210" s="11" t="str">
        <f ca="1">IF(AND(D210="Juvenile Audiobook",LEFT(B210,8)="J CD BIO"),RIGHT(B210,LEN(B210)-9),
IF(AND(D210="Juvenile Audiobook",LEFT(B210,8)="J CD FIC"),B210,
IF(D210="Juvenile Audiobook",RIGHT(B210,LEN(B210)-5),
IF(AND(D210="Teen Audiobook",LEFT(B210,11)="TEEN CD BIO"),RIGHT(B210,LEN(B210)-12),
IF(AND(D210="Teen Audiobook",LEFT(B210,11)="TEEN CD FIC"),B210,
IF(D210="Juvenile Audiobook",RIGHT(B210,LEN(B210)-8),
IF(D210="Juvenile Nonfiction",RIGHT(B210,LEN(B210)-2),
IF(D210="Teen Nonfiction",RIGHT(B210,LEN(B210)-5),
IF(AND(D210="Audiobook",
              NOT(OR(Contains($B210,"CD BIO"),Contains($B210,"CD FIC")))),RIGHT(B210,LEN(B210)-3),
IF(D210="Juvenile Biography",RIGHT(B210,LEN(B210)-2),
IF(D210="Teen Biography",RIGHT(B210,LEN(B210)-5),
IF(AND(D210="Audiobook",
              IFERROR(FIND("BIO",$B210)&gt;0,FALSE)),RIGHT(B210,LEN(B210)-3),
IF(D210="Juvenile Large Type","J "&amp;RIGHT(B210,LEN(B210)-11),
IF(D210="Teen Large Type","TEEN "&amp;RIGHT(B210,LEN(B210)-14),
IF(D210="Reference",RIGHT(B210,LEN(B210)-4),
IF(D210="DVD Educational",RIGHT(B210,LEN(B210)-7),
IF(D210="Juvenile DVD Educational",RIGHT(B210,LEN(B210)-9),
B210)))))))))))))))))</f>
        <v/>
      </c>
      <c r="N210" s="11" t="str">
        <f ca="1">IF(IFERROR(FIND("New",$A210)&gt;0,FALSE),"New ","") &amp; IF(IFERROR(FIND("In Lib",$A210)&gt;0,FALSE),"Reference ","") &amp;
IF(AND(D210="Audiobook",LEFT(B210,6)="CD BIO"),"Biography",
IF(AND(D210="Teen Audiobook",LEFT(B210,11)="TEEN CD BIO"),"Biography",
IF(AND(D210="Juvenile Audiobook",LEFT(B210,8)="J CD BIO"),"Biography",
IF(AND(D210="Audiobook",LEFT(B210,6)="CD FIC"),"Audiobook Fiction",
IF(AND(D210="Teen Audiobook",LEFT(B210,11)="TEEN CD FIC"),"Teen Audiobook",
IF(AND(D210="Juvenile Audiobook",LEFT(B210,8)="J CD FIC"),"Juvenile Audiobook",
IF(D210="Audiobook","Nonfiction",
IF(D210="Juvenile Audiobook","Nonfiction",
IF(D210="Teen Audiobook","Nonfiction",
IF(D210="Juvenile Nonfiction","Nonfiction",
IF(D210="Teen Nonfiction","Nonfiction",
IF(D210="Juvenile Biography","Biography",
IF(D210="Teen Biography","Biography",
IF(D210="ESL","Nonfiction",
IF(LEFT(B210,11)="INTL-VIE J ","International Juvenile",IF(LEFT(B210,11)="INTL-TAG J ","International Juvenile",IF(LEFT(B210,11)="INTL-RUS J ","International Juvenile",IF(LEFT(B210,11)="INTL-KOR J ","International Juvenile",IF(LEFT(B210,11)="INTL-JAP J ","International Juvenile",IF(LEFT(B210,11)="INTL-CHI J ","International Juvenile",IF(LEFT(B210,11)="INTL-SPA J ","International Juvenile",IF(LEFT(B210,14)="INTL-VIE TEEN ","International Teen",IF(LEFT(B210,14)="INTL-TAG TEEN ","International Teen",IF(LEFT(B210,14)="INTL-RUS TEEN ","International Teen",IF(LEFT(B210,14)="INTL-KOR TEEN ","International Teen",IF(LEFT(B210,14)="INTL-JAP TEEN ","International Teen",IF(LEFT(B210,14)="INTL-CHI TEEN ","International Teen",IF(LEFT(B210,14)="INTL-SPA TEEN ","International Teen",IF(LEFT(B210,11)="INTL-VIE E ","International Easy",IF(LEFT(B210,11)="INTL-TAG E ","International Easy",IF(LEFT(B210,11)="INTL-RUS E ","International Easy",IF(LEFT(B210,11)="INTL-JAP E ","International Easy",IF(LEFT(B210,11)="INTL-KOR E ","International Easy",IF(LEFT(B210,11)="INTL-CHI E ","International Easy",IF(LEFT(B210,11)="INTL-SPA E ","International Easy",
IF(D210="Teen Large Type","Teen Fiction",
IF(D210="Juvenile Large Type","Juvenile Fiction",
IF(LEFT(B210,6)="J CD O","Juvenile Compact Disc",
IF(AND(LEFT(B210,4)="TEEN",D210="Fiction"),"Teen Fiction",
IF(D210="DVD Educational","Nonfiction",
IF(D210="Juvenile DVD Educational","Nonfiction",
IF(D210="Reference","Nonfiction",
D210))))))))))))))))))))))))))))))))))))))))))</f>
        <v/>
      </c>
    </row>
    <row r="211" spans="1:14" ht="27" customHeight="1" x14ac:dyDescent="0.25">
      <c r="A211" s="10" t="str">
        <f ca="1">TEXT( INDIRECT( ADDRESS( ROW() + Row_Offset, INDIRECT( "Column_Number_" &amp; A$1), 4,1, tabname) ), "")</f>
        <v/>
      </c>
      <c r="B211" s="10" t="str">
        <f ca="1">TEXT(  IFERROR( VLOOKUP( $D211, CollName_Simplifier_Table[], 2, FALSE),"") &amp;
        INDIRECT( ADDRESS( ROW() + Row_Offset, INDIRECT( "Column_Number_" &amp; $B$1), 4,1, tabname) ), "")</f>
        <v/>
      </c>
      <c r="C211" s="10" t="str">
        <f ca="1">TEXT( INDIRECT( ADDRESS( ROW() + Row_Offset, INDIRECT( "Column_Number_" &amp; C$1), 4,1, tabname) ), "")</f>
        <v/>
      </c>
      <c r="D211" s="10" t="str">
        <f ca="1">TEXT( INDIRECT( ADDRESS( ROW() + Row_Offset, INDIRECT( "Column_Number_" &amp; D$1), 4,1, tabname) ), "")</f>
        <v/>
      </c>
      <c r="E211" s="10" t="str">
        <f ca="1">TEXT( INDIRECT( ADDRESS( ROW() + Row_Offset, INDIRECT( "Column_Number_" &amp; E$1), 4,1, tabname) ), "####")</f>
        <v/>
      </c>
      <c r="F211" s="15"/>
      <c r="G211" s="22" t="str">
        <f ca="1">IFERROR(INDEX(Rank_Table[],MATCH($D211&amp;$A211,Table4[Join],0)),"")</f>
        <v/>
      </c>
      <c r="H211" s="11" t="str">
        <f ca="1">IF(AND(D211="Juvenile Audiobook",LEFT(B211,8)="J CD BIO"),RIGHT(B211,LEN(B211)-9),
IF(AND(D211="Juvenile Audiobook",LEFT(B211,8)="J CD FIC"),B211,
IF(D211="Juvenile Audiobook",RIGHT(B211,LEN(B211)-5),
IF(AND(D211="Teen Audiobook",LEFT(B211,11)="TEEN CD BIO"),RIGHT(B211,LEN(B211)-12),
IF(AND(D211="Teen Audiobook",LEFT(B211,11)="TEEN CD FIC"),B211,
IF(D211="Juvenile Audiobook",RIGHT(B211,LEN(B211)-8),
IF(D211="Juvenile Nonfiction",RIGHT(B211,LEN(B211)-2),
IF(D211="Teen Nonfiction",RIGHT(B211,LEN(B211)-5),
IF(AND(D211="Audiobook",
              NOT(OR(Contains($B211,"CD BIO"),Contains($B211,"CD FIC")))),RIGHT(B211,LEN(B211)-3),
IF(D211="Juvenile Biography",RIGHT(B211,LEN(B211)-2),
IF(D211="Teen Biography",RIGHT(B211,LEN(B211)-5),
IF(AND(D211="Audiobook",
              IFERROR(FIND("BIO",$B211)&gt;0,FALSE)),RIGHT(B211,LEN(B211)-3),
IF(D211="Juvenile Large Type","J "&amp;RIGHT(B211,LEN(B211)-11),
IF(D211="Teen Large Type","TEEN "&amp;RIGHT(B211,LEN(B211)-14),
IF(D211="Reference",RIGHT(B211,LEN(B211)-4),
IF(D211="DVD Educational",RIGHT(B211,LEN(B211)-7),
IF(D211="Juvenile DVD Educational",RIGHT(B211,LEN(B211)-9),
B211)))))))))))))))))</f>
        <v/>
      </c>
      <c r="N211" s="11" t="str">
        <f ca="1">IF(IFERROR(FIND("New",$A211)&gt;0,FALSE),"New ","") &amp; IF(IFERROR(FIND("In Lib",$A211)&gt;0,FALSE),"Reference ","") &amp;
IF(AND(D211="Audiobook",LEFT(B211,6)="CD BIO"),"Biography",
IF(AND(D211="Teen Audiobook",LEFT(B211,11)="TEEN CD BIO"),"Biography",
IF(AND(D211="Juvenile Audiobook",LEFT(B211,8)="J CD BIO"),"Biography",
IF(AND(D211="Audiobook",LEFT(B211,6)="CD FIC"),"Audiobook Fiction",
IF(AND(D211="Teen Audiobook",LEFT(B211,11)="TEEN CD FIC"),"Teen Audiobook",
IF(AND(D211="Juvenile Audiobook",LEFT(B211,8)="J CD FIC"),"Juvenile Audiobook",
IF(D211="Audiobook","Nonfiction",
IF(D211="Juvenile Audiobook","Nonfiction",
IF(D211="Teen Audiobook","Nonfiction",
IF(D211="Juvenile Nonfiction","Nonfiction",
IF(D211="Teen Nonfiction","Nonfiction",
IF(D211="Juvenile Biography","Biography",
IF(D211="Teen Biography","Biography",
IF(D211="ESL","Nonfiction",
IF(LEFT(B211,11)="INTL-VIE J ","International Juvenile",IF(LEFT(B211,11)="INTL-TAG J ","International Juvenile",IF(LEFT(B211,11)="INTL-RUS J ","International Juvenile",IF(LEFT(B211,11)="INTL-KOR J ","International Juvenile",IF(LEFT(B211,11)="INTL-JAP J ","International Juvenile",IF(LEFT(B211,11)="INTL-CHI J ","International Juvenile",IF(LEFT(B211,11)="INTL-SPA J ","International Juvenile",IF(LEFT(B211,14)="INTL-VIE TEEN ","International Teen",IF(LEFT(B211,14)="INTL-TAG TEEN ","International Teen",IF(LEFT(B211,14)="INTL-RUS TEEN ","International Teen",IF(LEFT(B211,14)="INTL-KOR TEEN ","International Teen",IF(LEFT(B211,14)="INTL-JAP TEEN ","International Teen",IF(LEFT(B211,14)="INTL-CHI TEEN ","International Teen",IF(LEFT(B211,14)="INTL-SPA TEEN ","International Teen",IF(LEFT(B211,11)="INTL-VIE E ","International Easy",IF(LEFT(B211,11)="INTL-TAG E ","International Easy",IF(LEFT(B211,11)="INTL-RUS E ","International Easy",IF(LEFT(B211,11)="INTL-JAP E ","International Easy",IF(LEFT(B211,11)="INTL-KOR E ","International Easy",IF(LEFT(B211,11)="INTL-CHI E ","International Easy",IF(LEFT(B211,11)="INTL-SPA E ","International Easy",
IF(D211="Teen Large Type","Teen Fiction",
IF(D211="Juvenile Large Type","Juvenile Fiction",
IF(LEFT(B211,6)="J CD O","Juvenile Compact Disc",
IF(AND(LEFT(B211,4)="TEEN",D211="Fiction"),"Teen Fiction",
IF(D211="DVD Educational","Nonfiction",
IF(D211="Juvenile DVD Educational","Nonfiction",
IF(D211="Reference","Nonfiction",
D211))))))))))))))))))))))))))))))))))))))))))</f>
        <v/>
      </c>
    </row>
    <row r="212" spans="1:14" ht="27" customHeight="1" x14ac:dyDescent="0.25">
      <c r="A212" s="10" t="str">
        <f ca="1">TEXT( INDIRECT( ADDRESS( ROW() + Row_Offset, INDIRECT( "Column_Number_" &amp; A$1), 4,1, tabname) ), "")</f>
        <v/>
      </c>
      <c r="B212" s="10" t="str">
        <f ca="1">TEXT(  IFERROR( VLOOKUP( $D212, CollName_Simplifier_Table[], 2, FALSE),"") &amp;
        INDIRECT( ADDRESS( ROW() + Row_Offset, INDIRECT( "Column_Number_" &amp; $B$1), 4,1, tabname) ), "")</f>
        <v/>
      </c>
      <c r="C212" s="10" t="str">
        <f ca="1">TEXT( INDIRECT( ADDRESS( ROW() + Row_Offset, INDIRECT( "Column_Number_" &amp; C$1), 4,1, tabname) ), "")</f>
        <v/>
      </c>
      <c r="D212" s="10" t="str">
        <f ca="1">TEXT( INDIRECT( ADDRESS( ROW() + Row_Offset, INDIRECT( "Column_Number_" &amp; D$1), 4,1, tabname) ), "")</f>
        <v/>
      </c>
      <c r="E212" s="10" t="str">
        <f ca="1">TEXT( INDIRECT( ADDRESS( ROW() + Row_Offset, INDIRECT( "Column_Number_" &amp; E$1), 4,1, tabname) ), "####")</f>
        <v/>
      </c>
      <c r="F212" s="15"/>
      <c r="G212" s="22" t="str">
        <f ca="1">IFERROR(INDEX(Rank_Table[],MATCH($D212&amp;$A212,Table4[Join],0)),"")</f>
        <v/>
      </c>
      <c r="H212" s="11" t="str">
        <f ca="1">IF(AND(D212="Juvenile Audiobook",LEFT(B212,8)="J CD BIO"),RIGHT(B212,LEN(B212)-9),
IF(AND(D212="Juvenile Audiobook",LEFT(B212,8)="J CD FIC"),B212,
IF(D212="Juvenile Audiobook",RIGHT(B212,LEN(B212)-5),
IF(AND(D212="Teen Audiobook",LEFT(B212,11)="TEEN CD BIO"),RIGHT(B212,LEN(B212)-12),
IF(AND(D212="Teen Audiobook",LEFT(B212,11)="TEEN CD FIC"),B212,
IF(D212="Juvenile Audiobook",RIGHT(B212,LEN(B212)-8),
IF(D212="Juvenile Nonfiction",RIGHT(B212,LEN(B212)-2),
IF(D212="Teen Nonfiction",RIGHT(B212,LEN(B212)-5),
IF(AND(D212="Audiobook",
              NOT(OR(Contains($B212,"CD BIO"),Contains($B212,"CD FIC")))),RIGHT(B212,LEN(B212)-3),
IF(D212="Juvenile Biography",RIGHT(B212,LEN(B212)-2),
IF(D212="Teen Biography",RIGHT(B212,LEN(B212)-5),
IF(AND(D212="Audiobook",
              IFERROR(FIND("BIO",$B212)&gt;0,FALSE)),RIGHT(B212,LEN(B212)-3),
IF(D212="Juvenile Large Type","J "&amp;RIGHT(B212,LEN(B212)-11),
IF(D212="Teen Large Type","TEEN "&amp;RIGHT(B212,LEN(B212)-14),
IF(D212="Reference",RIGHT(B212,LEN(B212)-4),
IF(D212="DVD Educational",RIGHT(B212,LEN(B212)-7),
IF(D212="Juvenile DVD Educational",RIGHT(B212,LEN(B212)-9),
B212)))))))))))))))))</f>
        <v/>
      </c>
      <c r="N212" s="11" t="str">
        <f ca="1">IF(IFERROR(FIND("New",$A212)&gt;0,FALSE),"New ","") &amp; IF(IFERROR(FIND("In Lib",$A212)&gt;0,FALSE),"Reference ","") &amp;
IF(AND(D212="Audiobook",LEFT(B212,6)="CD BIO"),"Biography",
IF(AND(D212="Teen Audiobook",LEFT(B212,11)="TEEN CD BIO"),"Biography",
IF(AND(D212="Juvenile Audiobook",LEFT(B212,8)="J CD BIO"),"Biography",
IF(AND(D212="Audiobook",LEFT(B212,6)="CD FIC"),"Audiobook Fiction",
IF(AND(D212="Teen Audiobook",LEFT(B212,11)="TEEN CD FIC"),"Teen Audiobook",
IF(AND(D212="Juvenile Audiobook",LEFT(B212,8)="J CD FIC"),"Juvenile Audiobook",
IF(D212="Audiobook","Nonfiction",
IF(D212="Juvenile Audiobook","Nonfiction",
IF(D212="Teen Audiobook","Nonfiction",
IF(D212="Juvenile Nonfiction","Nonfiction",
IF(D212="Teen Nonfiction","Nonfiction",
IF(D212="Juvenile Biography","Biography",
IF(D212="Teen Biography","Biography",
IF(D212="ESL","Nonfiction",
IF(LEFT(B212,11)="INTL-VIE J ","International Juvenile",IF(LEFT(B212,11)="INTL-TAG J ","International Juvenile",IF(LEFT(B212,11)="INTL-RUS J ","International Juvenile",IF(LEFT(B212,11)="INTL-KOR J ","International Juvenile",IF(LEFT(B212,11)="INTL-JAP J ","International Juvenile",IF(LEFT(B212,11)="INTL-CHI J ","International Juvenile",IF(LEFT(B212,11)="INTL-SPA J ","International Juvenile",IF(LEFT(B212,14)="INTL-VIE TEEN ","International Teen",IF(LEFT(B212,14)="INTL-TAG TEEN ","International Teen",IF(LEFT(B212,14)="INTL-RUS TEEN ","International Teen",IF(LEFT(B212,14)="INTL-KOR TEEN ","International Teen",IF(LEFT(B212,14)="INTL-JAP TEEN ","International Teen",IF(LEFT(B212,14)="INTL-CHI TEEN ","International Teen",IF(LEFT(B212,14)="INTL-SPA TEEN ","International Teen",IF(LEFT(B212,11)="INTL-VIE E ","International Easy",IF(LEFT(B212,11)="INTL-TAG E ","International Easy",IF(LEFT(B212,11)="INTL-RUS E ","International Easy",IF(LEFT(B212,11)="INTL-JAP E ","International Easy",IF(LEFT(B212,11)="INTL-KOR E ","International Easy",IF(LEFT(B212,11)="INTL-CHI E ","International Easy",IF(LEFT(B212,11)="INTL-SPA E ","International Easy",
IF(D212="Teen Large Type","Teen Fiction",
IF(D212="Juvenile Large Type","Juvenile Fiction",
IF(LEFT(B212,6)="J CD O","Juvenile Compact Disc",
IF(AND(LEFT(B212,4)="TEEN",D212="Fiction"),"Teen Fiction",
IF(D212="DVD Educational","Nonfiction",
IF(D212="Juvenile DVD Educational","Nonfiction",
IF(D212="Reference","Nonfiction",
D212))))))))))))))))))))))))))))))))))))))))))</f>
        <v/>
      </c>
    </row>
    <row r="213" spans="1:14" ht="27" customHeight="1" x14ac:dyDescent="0.25">
      <c r="A213" s="10" t="str">
        <f ca="1">TEXT( INDIRECT( ADDRESS( ROW() + Row_Offset, INDIRECT( "Column_Number_" &amp; A$1), 4,1, tabname) ), "")</f>
        <v/>
      </c>
      <c r="B213" s="10" t="str">
        <f ca="1">TEXT(  IFERROR( VLOOKUP( $D213, CollName_Simplifier_Table[], 2, FALSE),"") &amp;
        INDIRECT( ADDRESS( ROW() + Row_Offset, INDIRECT( "Column_Number_" &amp; $B$1), 4,1, tabname) ), "")</f>
        <v/>
      </c>
      <c r="C213" s="10" t="str">
        <f ca="1">TEXT( INDIRECT( ADDRESS( ROW() + Row_Offset, INDIRECT( "Column_Number_" &amp; C$1), 4,1, tabname) ), "")</f>
        <v/>
      </c>
      <c r="D213" s="10" t="str">
        <f ca="1">TEXT( INDIRECT( ADDRESS( ROW() + Row_Offset, INDIRECT( "Column_Number_" &amp; D$1), 4,1, tabname) ), "")</f>
        <v/>
      </c>
      <c r="E213" s="10" t="str">
        <f ca="1">TEXT( INDIRECT( ADDRESS( ROW() + Row_Offset, INDIRECT( "Column_Number_" &amp; E$1), 4,1, tabname) ), "####")</f>
        <v/>
      </c>
      <c r="F213" s="15"/>
      <c r="G213" s="22" t="str">
        <f ca="1">IFERROR(INDEX(Rank_Table[],MATCH($D213&amp;$A213,Table4[Join],0)),"")</f>
        <v/>
      </c>
      <c r="H213" s="11" t="str">
        <f ca="1">IF(AND(D213="Juvenile Audiobook",LEFT(B213,8)="J CD BIO"),RIGHT(B213,LEN(B213)-9),
IF(AND(D213="Juvenile Audiobook",LEFT(B213,8)="J CD FIC"),B213,
IF(D213="Juvenile Audiobook",RIGHT(B213,LEN(B213)-5),
IF(AND(D213="Teen Audiobook",LEFT(B213,11)="TEEN CD BIO"),RIGHT(B213,LEN(B213)-12),
IF(AND(D213="Teen Audiobook",LEFT(B213,11)="TEEN CD FIC"),B213,
IF(D213="Juvenile Audiobook",RIGHT(B213,LEN(B213)-8),
IF(D213="Juvenile Nonfiction",RIGHT(B213,LEN(B213)-2),
IF(D213="Teen Nonfiction",RIGHT(B213,LEN(B213)-5),
IF(AND(D213="Audiobook",
              NOT(OR(Contains($B213,"CD BIO"),Contains($B213,"CD FIC")))),RIGHT(B213,LEN(B213)-3),
IF(D213="Juvenile Biography",RIGHT(B213,LEN(B213)-2),
IF(D213="Teen Biography",RIGHT(B213,LEN(B213)-5),
IF(AND(D213="Audiobook",
              IFERROR(FIND("BIO",$B213)&gt;0,FALSE)),RIGHT(B213,LEN(B213)-3),
IF(D213="Juvenile Large Type","J "&amp;RIGHT(B213,LEN(B213)-11),
IF(D213="Teen Large Type","TEEN "&amp;RIGHT(B213,LEN(B213)-14),
IF(D213="Reference",RIGHT(B213,LEN(B213)-4),
IF(D213="DVD Educational",RIGHT(B213,LEN(B213)-7),
IF(D213="Juvenile DVD Educational",RIGHT(B213,LEN(B213)-9),
B213)))))))))))))))))</f>
        <v/>
      </c>
      <c r="N213" s="11" t="str">
        <f ca="1">IF(IFERROR(FIND("New",$A213)&gt;0,FALSE),"New ","") &amp; IF(IFERROR(FIND("In Lib",$A213)&gt;0,FALSE),"Reference ","") &amp;
IF(AND(D213="Audiobook",LEFT(B213,6)="CD BIO"),"Biography",
IF(AND(D213="Teen Audiobook",LEFT(B213,11)="TEEN CD BIO"),"Biography",
IF(AND(D213="Juvenile Audiobook",LEFT(B213,8)="J CD BIO"),"Biography",
IF(AND(D213="Audiobook",LEFT(B213,6)="CD FIC"),"Audiobook Fiction",
IF(AND(D213="Teen Audiobook",LEFT(B213,11)="TEEN CD FIC"),"Teen Audiobook",
IF(AND(D213="Juvenile Audiobook",LEFT(B213,8)="J CD FIC"),"Juvenile Audiobook",
IF(D213="Audiobook","Nonfiction",
IF(D213="Juvenile Audiobook","Nonfiction",
IF(D213="Teen Audiobook","Nonfiction",
IF(D213="Juvenile Nonfiction","Nonfiction",
IF(D213="Teen Nonfiction","Nonfiction",
IF(D213="Juvenile Biography","Biography",
IF(D213="Teen Biography","Biography",
IF(D213="ESL","Nonfiction",
IF(LEFT(B213,11)="INTL-VIE J ","International Juvenile",IF(LEFT(B213,11)="INTL-TAG J ","International Juvenile",IF(LEFT(B213,11)="INTL-RUS J ","International Juvenile",IF(LEFT(B213,11)="INTL-KOR J ","International Juvenile",IF(LEFT(B213,11)="INTL-JAP J ","International Juvenile",IF(LEFT(B213,11)="INTL-CHI J ","International Juvenile",IF(LEFT(B213,11)="INTL-SPA J ","International Juvenile",IF(LEFT(B213,14)="INTL-VIE TEEN ","International Teen",IF(LEFT(B213,14)="INTL-TAG TEEN ","International Teen",IF(LEFT(B213,14)="INTL-RUS TEEN ","International Teen",IF(LEFT(B213,14)="INTL-KOR TEEN ","International Teen",IF(LEFT(B213,14)="INTL-JAP TEEN ","International Teen",IF(LEFT(B213,14)="INTL-CHI TEEN ","International Teen",IF(LEFT(B213,14)="INTL-SPA TEEN ","International Teen",IF(LEFT(B213,11)="INTL-VIE E ","International Easy",IF(LEFT(B213,11)="INTL-TAG E ","International Easy",IF(LEFT(B213,11)="INTL-RUS E ","International Easy",IF(LEFT(B213,11)="INTL-JAP E ","International Easy",IF(LEFT(B213,11)="INTL-KOR E ","International Easy",IF(LEFT(B213,11)="INTL-CHI E ","International Easy",IF(LEFT(B213,11)="INTL-SPA E ","International Easy",
IF(D213="Teen Large Type","Teen Fiction",
IF(D213="Juvenile Large Type","Juvenile Fiction",
IF(LEFT(B213,6)="J CD O","Juvenile Compact Disc",
IF(AND(LEFT(B213,4)="TEEN",D213="Fiction"),"Teen Fiction",
IF(D213="DVD Educational","Nonfiction",
IF(D213="Juvenile DVD Educational","Nonfiction",
IF(D213="Reference","Nonfiction",
D213))))))))))))))))))))))))))))))))))))))))))</f>
        <v/>
      </c>
    </row>
    <row r="214" spans="1:14" ht="27" customHeight="1" x14ac:dyDescent="0.25">
      <c r="A214" s="10" t="str">
        <f ca="1">TEXT( INDIRECT( ADDRESS( ROW() + Row_Offset, INDIRECT( "Column_Number_" &amp; A$1), 4,1, tabname) ), "")</f>
        <v/>
      </c>
      <c r="B214" s="10" t="str">
        <f ca="1">TEXT(  IFERROR( VLOOKUP( $D214, CollName_Simplifier_Table[], 2, FALSE),"") &amp;
        INDIRECT( ADDRESS( ROW() + Row_Offset, INDIRECT( "Column_Number_" &amp; $B$1), 4,1, tabname) ), "")</f>
        <v/>
      </c>
      <c r="C214" s="10" t="str">
        <f ca="1">TEXT( INDIRECT( ADDRESS( ROW() + Row_Offset, INDIRECT( "Column_Number_" &amp; C$1), 4,1, tabname) ), "")</f>
        <v/>
      </c>
      <c r="D214" s="10" t="str">
        <f ca="1">TEXT( INDIRECT( ADDRESS( ROW() + Row_Offset, INDIRECT( "Column_Number_" &amp; D$1), 4,1, tabname) ), "")</f>
        <v/>
      </c>
      <c r="E214" s="10" t="str">
        <f ca="1">TEXT( INDIRECT( ADDRESS( ROW() + Row_Offset, INDIRECT( "Column_Number_" &amp; E$1), 4,1, tabname) ), "####")</f>
        <v/>
      </c>
      <c r="F214" s="15"/>
      <c r="G214" s="22" t="str">
        <f ca="1">IFERROR(INDEX(Rank_Table[],MATCH($D214&amp;$A214,Table4[Join],0)),"")</f>
        <v/>
      </c>
      <c r="H214" s="11" t="str">
        <f ca="1">IF(AND(D214="Juvenile Audiobook",LEFT(B214,8)="J CD BIO"),RIGHT(B214,LEN(B214)-9),
IF(AND(D214="Juvenile Audiobook",LEFT(B214,8)="J CD FIC"),B214,
IF(D214="Juvenile Audiobook",RIGHT(B214,LEN(B214)-5),
IF(AND(D214="Teen Audiobook",LEFT(B214,11)="TEEN CD BIO"),RIGHT(B214,LEN(B214)-12),
IF(AND(D214="Teen Audiobook",LEFT(B214,11)="TEEN CD FIC"),B214,
IF(D214="Juvenile Audiobook",RIGHT(B214,LEN(B214)-8),
IF(D214="Juvenile Nonfiction",RIGHT(B214,LEN(B214)-2),
IF(D214="Teen Nonfiction",RIGHT(B214,LEN(B214)-5),
IF(AND(D214="Audiobook",
              NOT(OR(Contains($B214,"CD BIO"),Contains($B214,"CD FIC")))),RIGHT(B214,LEN(B214)-3),
IF(D214="Juvenile Biography",RIGHT(B214,LEN(B214)-2),
IF(D214="Teen Biography",RIGHT(B214,LEN(B214)-5),
IF(AND(D214="Audiobook",
              IFERROR(FIND("BIO",$B214)&gt;0,FALSE)),RIGHT(B214,LEN(B214)-3),
IF(D214="Juvenile Large Type","J "&amp;RIGHT(B214,LEN(B214)-11),
IF(D214="Teen Large Type","TEEN "&amp;RIGHT(B214,LEN(B214)-14),
IF(D214="Reference",RIGHT(B214,LEN(B214)-4),
IF(D214="DVD Educational",RIGHT(B214,LEN(B214)-7),
IF(D214="Juvenile DVD Educational",RIGHT(B214,LEN(B214)-9),
B214)))))))))))))))))</f>
        <v/>
      </c>
      <c r="N214" s="11" t="str">
        <f ca="1">IF(IFERROR(FIND("New",$A214)&gt;0,FALSE),"New ","") &amp; IF(IFERROR(FIND("In Lib",$A214)&gt;0,FALSE),"Reference ","") &amp;
IF(AND(D214="Audiobook",LEFT(B214,6)="CD BIO"),"Biography",
IF(AND(D214="Teen Audiobook",LEFT(B214,11)="TEEN CD BIO"),"Biography",
IF(AND(D214="Juvenile Audiobook",LEFT(B214,8)="J CD BIO"),"Biography",
IF(AND(D214="Audiobook",LEFT(B214,6)="CD FIC"),"Audiobook Fiction",
IF(AND(D214="Teen Audiobook",LEFT(B214,11)="TEEN CD FIC"),"Teen Audiobook",
IF(AND(D214="Juvenile Audiobook",LEFT(B214,8)="J CD FIC"),"Juvenile Audiobook",
IF(D214="Audiobook","Nonfiction",
IF(D214="Juvenile Audiobook","Nonfiction",
IF(D214="Teen Audiobook","Nonfiction",
IF(D214="Juvenile Nonfiction","Nonfiction",
IF(D214="Teen Nonfiction","Nonfiction",
IF(D214="Juvenile Biography","Biography",
IF(D214="Teen Biography","Biography",
IF(D214="ESL","Nonfiction",
IF(LEFT(B214,11)="INTL-VIE J ","International Juvenile",IF(LEFT(B214,11)="INTL-TAG J ","International Juvenile",IF(LEFT(B214,11)="INTL-RUS J ","International Juvenile",IF(LEFT(B214,11)="INTL-KOR J ","International Juvenile",IF(LEFT(B214,11)="INTL-JAP J ","International Juvenile",IF(LEFT(B214,11)="INTL-CHI J ","International Juvenile",IF(LEFT(B214,11)="INTL-SPA J ","International Juvenile",IF(LEFT(B214,14)="INTL-VIE TEEN ","International Teen",IF(LEFT(B214,14)="INTL-TAG TEEN ","International Teen",IF(LEFT(B214,14)="INTL-RUS TEEN ","International Teen",IF(LEFT(B214,14)="INTL-KOR TEEN ","International Teen",IF(LEFT(B214,14)="INTL-JAP TEEN ","International Teen",IF(LEFT(B214,14)="INTL-CHI TEEN ","International Teen",IF(LEFT(B214,14)="INTL-SPA TEEN ","International Teen",IF(LEFT(B214,11)="INTL-VIE E ","International Easy",IF(LEFT(B214,11)="INTL-TAG E ","International Easy",IF(LEFT(B214,11)="INTL-RUS E ","International Easy",IF(LEFT(B214,11)="INTL-JAP E ","International Easy",IF(LEFT(B214,11)="INTL-KOR E ","International Easy",IF(LEFT(B214,11)="INTL-CHI E ","International Easy",IF(LEFT(B214,11)="INTL-SPA E ","International Easy",
IF(D214="Teen Large Type","Teen Fiction",
IF(D214="Juvenile Large Type","Juvenile Fiction",
IF(LEFT(B214,6)="J CD O","Juvenile Compact Disc",
IF(AND(LEFT(B214,4)="TEEN",D214="Fiction"),"Teen Fiction",
IF(D214="DVD Educational","Nonfiction",
IF(D214="Juvenile DVD Educational","Nonfiction",
IF(D214="Reference","Nonfiction",
D214))))))))))))))))))))))))))))))))))))))))))</f>
        <v/>
      </c>
    </row>
    <row r="215" spans="1:14" ht="27" customHeight="1" x14ac:dyDescent="0.25">
      <c r="A215" s="10" t="str">
        <f ca="1">TEXT( INDIRECT( ADDRESS( ROW() + Row_Offset, INDIRECT( "Column_Number_" &amp; A$1), 4,1, tabname) ), "")</f>
        <v/>
      </c>
      <c r="B215" s="10" t="str">
        <f ca="1">TEXT(  IFERROR( VLOOKUP( $D215, CollName_Simplifier_Table[], 2, FALSE),"") &amp;
        INDIRECT( ADDRESS( ROW() + Row_Offset, INDIRECT( "Column_Number_" &amp; $B$1), 4,1, tabname) ), "")</f>
        <v/>
      </c>
      <c r="C215" s="10" t="str">
        <f ca="1">TEXT( INDIRECT( ADDRESS( ROW() + Row_Offset, INDIRECT( "Column_Number_" &amp; C$1), 4,1, tabname) ), "")</f>
        <v/>
      </c>
      <c r="D215" s="10" t="str">
        <f ca="1">TEXT( INDIRECT( ADDRESS( ROW() + Row_Offset, INDIRECT( "Column_Number_" &amp; D$1), 4,1, tabname) ), "")</f>
        <v/>
      </c>
      <c r="E215" s="10" t="str">
        <f ca="1">TEXT( INDIRECT( ADDRESS( ROW() + Row_Offset, INDIRECT( "Column_Number_" &amp; E$1), 4,1, tabname) ), "####")</f>
        <v/>
      </c>
      <c r="F215" s="15"/>
      <c r="G215" s="22" t="str">
        <f ca="1">IFERROR(INDEX(Rank_Table[],MATCH($D215&amp;$A215,Table4[Join],0)),"")</f>
        <v/>
      </c>
      <c r="H215" s="11" t="str">
        <f ca="1">IF(AND(D215="Juvenile Audiobook",LEFT(B215,8)="J CD BIO"),RIGHT(B215,LEN(B215)-9),
IF(AND(D215="Juvenile Audiobook",LEFT(B215,8)="J CD FIC"),B215,
IF(D215="Juvenile Audiobook",RIGHT(B215,LEN(B215)-5),
IF(AND(D215="Teen Audiobook",LEFT(B215,11)="TEEN CD BIO"),RIGHT(B215,LEN(B215)-12),
IF(AND(D215="Teen Audiobook",LEFT(B215,11)="TEEN CD FIC"),B215,
IF(D215="Juvenile Audiobook",RIGHT(B215,LEN(B215)-8),
IF(D215="Juvenile Nonfiction",RIGHT(B215,LEN(B215)-2),
IF(D215="Teen Nonfiction",RIGHT(B215,LEN(B215)-5),
IF(AND(D215="Audiobook",
              NOT(OR(Contains($B215,"CD BIO"),Contains($B215,"CD FIC")))),RIGHT(B215,LEN(B215)-3),
IF(D215="Juvenile Biography",RIGHT(B215,LEN(B215)-2),
IF(D215="Teen Biography",RIGHT(B215,LEN(B215)-5),
IF(AND(D215="Audiobook",
              IFERROR(FIND("BIO",$B215)&gt;0,FALSE)),RIGHT(B215,LEN(B215)-3),
IF(D215="Juvenile Large Type","J "&amp;RIGHT(B215,LEN(B215)-11),
IF(D215="Teen Large Type","TEEN "&amp;RIGHT(B215,LEN(B215)-14),
IF(D215="Reference",RIGHT(B215,LEN(B215)-4),
IF(D215="DVD Educational",RIGHT(B215,LEN(B215)-7),
IF(D215="Juvenile DVD Educational",RIGHT(B215,LEN(B215)-9),
B215)))))))))))))))))</f>
        <v/>
      </c>
      <c r="N215" s="11" t="str">
        <f ca="1">IF(IFERROR(FIND("New",$A215)&gt;0,FALSE),"New ","") &amp; IF(IFERROR(FIND("In Lib",$A215)&gt;0,FALSE),"Reference ","") &amp;
IF(AND(D215="Audiobook",LEFT(B215,6)="CD BIO"),"Biography",
IF(AND(D215="Teen Audiobook",LEFT(B215,11)="TEEN CD BIO"),"Biography",
IF(AND(D215="Juvenile Audiobook",LEFT(B215,8)="J CD BIO"),"Biography",
IF(AND(D215="Audiobook",LEFT(B215,6)="CD FIC"),"Audiobook Fiction",
IF(AND(D215="Teen Audiobook",LEFT(B215,11)="TEEN CD FIC"),"Teen Audiobook",
IF(AND(D215="Juvenile Audiobook",LEFT(B215,8)="J CD FIC"),"Juvenile Audiobook",
IF(D215="Audiobook","Nonfiction",
IF(D215="Juvenile Audiobook","Nonfiction",
IF(D215="Teen Audiobook","Nonfiction",
IF(D215="Juvenile Nonfiction","Nonfiction",
IF(D215="Teen Nonfiction","Nonfiction",
IF(D215="Juvenile Biography","Biography",
IF(D215="Teen Biography","Biography",
IF(D215="ESL","Nonfiction",
IF(LEFT(B215,11)="INTL-VIE J ","International Juvenile",IF(LEFT(B215,11)="INTL-TAG J ","International Juvenile",IF(LEFT(B215,11)="INTL-RUS J ","International Juvenile",IF(LEFT(B215,11)="INTL-KOR J ","International Juvenile",IF(LEFT(B215,11)="INTL-JAP J ","International Juvenile",IF(LEFT(B215,11)="INTL-CHI J ","International Juvenile",IF(LEFT(B215,11)="INTL-SPA J ","International Juvenile",IF(LEFT(B215,14)="INTL-VIE TEEN ","International Teen",IF(LEFT(B215,14)="INTL-TAG TEEN ","International Teen",IF(LEFT(B215,14)="INTL-RUS TEEN ","International Teen",IF(LEFT(B215,14)="INTL-KOR TEEN ","International Teen",IF(LEFT(B215,14)="INTL-JAP TEEN ","International Teen",IF(LEFT(B215,14)="INTL-CHI TEEN ","International Teen",IF(LEFT(B215,14)="INTL-SPA TEEN ","International Teen",IF(LEFT(B215,11)="INTL-VIE E ","International Easy",IF(LEFT(B215,11)="INTL-TAG E ","International Easy",IF(LEFT(B215,11)="INTL-RUS E ","International Easy",IF(LEFT(B215,11)="INTL-JAP E ","International Easy",IF(LEFT(B215,11)="INTL-KOR E ","International Easy",IF(LEFT(B215,11)="INTL-CHI E ","International Easy",IF(LEFT(B215,11)="INTL-SPA E ","International Easy",
IF(D215="Teen Large Type","Teen Fiction",
IF(D215="Juvenile Large Type","Juvenile Fiction",
IF(LEFT(B215,6)="J CD O","Juvenile Compact Disc",
IF(AND(LEFT(B215,4)="TEEN",D215="Fiction"),"Teen Fiction",
IF(D215="DVD Educational","Nonfiction",
IF(D215="Juvenile DVD Educational","Nonfiction",
IF(D215="Reference","Nonfiction",
D215))))))))))))))))))))))))))))))))))))))))))</f>
        <v/>
      </c>
    </row>
    <row r="216" spans="1:14" ht="27" customHeight="1" x14ac:dyDescent="0.25">
      <c r="A216" s="10" t="str">
        <f ca="1">TEXT( INDIRECT( ADDRESS( ROW() + Row_Offset, INDIRECT( "Column_Number_" &amp; A$1), 4,1, tabname) ), "")</f>
        <v/>
      </c>
      <c r="B216" s="10" t="str">
        <f ca="1">TEXT(  IFERROR( VLOOKUP( $D216, CollName_Simplifier_Table[], 2, FALSE),"") &amp;
        INDIRECT( ADDRESS( ROW() + Row_Offset, INDIRECT( "Column_Number_" &amp; $B$1), 4,1, tabname) ), "")</f>
        <v/>
      </c>
      <c r="C216" s="10" t="str">
        <f ca="1">TEXT( INDIRECT( ADDRESS( ROW() + Row_Offset, INDIRECT( "Column_Number_" &amp; C$1), 4,1, tabname) ), "")</f>
        <v/>
      </c>
      <c r="D216" s="10" t="str">
        <f ca="1">TEXT( INDIRECT( ADDRESS( ROW() + Row_Offset, INDIRECT( "Column_Number_" &amp; D$1), 4,1, tabname) ), "")</f>
        <v/>
      </c>
      <c r="E216" s="10" t="str">
        <f ca="1">TEXT( INDIRECT( ADDRESS( ROW() + Row_Offset, INDIRECT( "Column_Number_" &amp; E$1), 4,1, tabname) ), "####")</f>
        <v/>
      </c>
      <c r="F216" s="15"/>
      <c r="G216" s="22" t="str">
        <f ca="1">IFERROR(INDEX(Rank_Table[],MATCH($D216&amp;$A216,Table4[Join],0)),"")</f>
        <v/>
      </c>
      <c r="H216" s="11" t="str">
        <f ca="1">IF(AND(D216="Juvenile Audiobook",LEFT(B216,8)="J CD BIO"),RIGHT(B216,LEN(B216)-9),
IF(AND(D216="Juvenile Audiobook",LEFT(B216,8)="J CD FIC"),B216,
IF(D216="Juvenile Audiobook",RIGHT(B216,LEN(B216)-5),
IF(AND(D216="Teen Audiobook",LEFT(B216,11)="TEEN CD BIO"),RIGHT(B216,LEN(B216)-12),
IF(AND(D216="Teen Audiobook",LEFT(B216,11)="TEEN CD FIC"),B216,
IF(D216="Juvenile Audiobook",RIGHT(B216,LEN(B216)-8),
IF(D216="Juvenile Nonfiction",RIGHT(B216,LEN(B216)-2),
IF(D216="Teen Nonfiction",RIGHT(B216,LEN(B216)-5),
IF(AND(D216="Audiobook",
              NOT(OR(Contains($B216,"CD BIO"),Contains($B216,"CD FIC")))),RIGHT(B216,LEN(B216)-3),
IF(D216="Juvenile Biography",RIGHT(B216,LEN(B216)-2),
IF(D216="Teen Biography",RIGHT(B216,LEN(B216)-5),
IF(AND(D216="Audiobook",
              IFERROR(FIND("BIO",$B216)&gt;0,FALSE)),RIGHT(B216,LEN(B216)-3),
IF(D216="Juvenile Large Type","J "&amp;RIGHT(B216,LEN(B216)-11),
IF(D216="Teen Large Type","TEEN "&amp;RIGHT(B216,LEN(B216)-14),
IF(D216="Reference",RIGHT(B216,LEN(B216)-4),
IF(D216="DVD Educational",RIGHT(B216,LEN(B216)-7),
IF(D216="Juvenile DVD Educational",RIGHT(B216,LEN(B216)-9),
B216)))))))))))))))))</f>
        <v/>
      </c>
      <c r="N216" s="11" t="str">
        <f ca="1">IF(IFERROR(FIND("New",$A216)&gt;0,FALSE),"New ","") &amp; IF(IFERROR(FIND("In Lib",$A216)&gt;0,FALSE),"Reference ","") &amp;
IF(AND(D216="Audiobook",LEFT(B216,6)="CD BIO"),"Biography",
IF(AND(D216="Teen Audiobook",LEFT(B216,11)="TEEN CD BIO"),"Biography",
IF(AND(D216="Juvenile Audiobook",LEFT(B216,8)="J CD BIO"),"Biography",
IF(AND(D216="Audiobook",LEFT(B216,6)="CD FIC"),"Audiobook Fiction",
IF(AND(D216="Teen Audiobook",LEFT(B216,11)="TEEN CD FIC"),"Teen Audiobook",
IF(AND(D216="Juvenile Audiobook",LEFT(B216,8)="J CD FIC"),"Juvenile Audiobook",
IF(D216="Audiobook","Nonfiction",
IF(D216="Juvenile Audiobook","Nonfiction",
IF(D216="Teen Audiobook","Nonfiction",
IF(D216="Juvenile Nonfiction","Nonfiction",
IF(D216="Teen Nonfiction","Nonfiction",
IF(D216="Juvenile Biography","Biography",
IF(D216="Teen Biography","Biography",
IF(D216="ESL","Nonfiction",
IF(LEFT(B216,11)="INTL-VIE J ","International Juvenile",IF(LEFT(B216,11)="INTL-TAG J ","International Juvenile",IF(LEFT(B216,11)="INTL-RUS J ","International Juvenile",IF(LEFT(B216,11)="INTL-KOR J ","International Juvenile",IF(LEFT(B216,11)="INTL-JAP J ","International Juvenile",IF(LEFT(B216,11)="INTL-CHI J ","International Juvenile",IF(LEFT(B216,11)="INTL-SPA J ","International Juvenile",IF(LEFT(B216,14)="INTL-VIE TEEN ","International Teen",IF(LEFT(B216,14)="INTL-TAG TEEN ","International Teen",IF(LEFT(B216,14)="INTL-RUS TEEN ","International Teen",IF(LEFT(B216,14)="INTL-KOR TEEN ","International Teen",IF(LEFT(B216,14)="INTL-JAP TEEN ","International Teen",IF(LEFT(B216,14)="INTL-CHI TEEN ","International Teen",IF(LEFT(B216,14)="INTL-SPA TEEN ","International Teen",IF(LEFT(B216,11)="INTL-VIE E ","International Easy",IF(LEFT(B216,11)="INTL-TAG E ","International Easy",IF(LEFT(B216,11)="INTL-RUS E ","International Easy",IF(LEFT(B216,11)="INTL-JAP E ","International Easy",IF(LEFT(B216,11)="INTL-KOR E ","International Easy",IF(LEFT(B216,11)="INTL-CHI E ","International Easy",IF(LEFT(B216,11)="INTL-SPA E ","International Easy",
IF(D216="Teen Large Type","Teen Fiction",
IF(D216="Juvenile Large Type","Juvenile Fiction",
IF(LEFT(B216,6)="J CD O","Juvenile Compact Disc",
IF(AND(LEFT(B216,4)="TEEN",D216="Fiction"),"Teen Fiction",
IF(D216="DVD Educational","Nonfiction",
IF(D216="Juvenile DVD Educational","Nonfiction",
IF(D216="Reference","Nonfiction",
D216))))))))))))))))))))))))))))))))))))))))))</f>
        <v/>
      </c>
    </row>
    <row r="217" spans="1:14" ht="27" customHeight="1" x14ac:dyDescent="0.25">
      <c r="A217" s="10" t="str">
        <f ca="1">TEXT( INDIRECT( ADDRESS( ROW() + Row_Offset, INDIRECT( "Column_Number_" &amp; A$1), 4,1, tabname) ), "")</f>
        <v/>
      </c>
      <c r="B217" s="10" t="str">
        <f ca="1">TEXT(  IFERROR( VLOOKUP( $D217, CollName_Simplifier_Table[], 2, FALSE),"") &amp;
        INDIRECT( ADDRESS( ROW() + Row_Offset, INDIRECT( "Column_Number_" &amp; $B$1), 4,1, tabname) ), "")</f>
        <v/>
      </c>
      <c r="C217" s="10" t="str">
        <f ca="1">TEXT( INDIRECT( ADDRESS( ROW() + Row_Offset, INDIRECT( "Column_Number_" &amp; C$1), 4,1, tabname) ), "")</f>
        <v/>
      </c>
      <c r="D217" s="10" t="str">
        <f ca="1">TEXT( INDIRECT( ADDRESS( ROW() + Row_Offset, INDIRECT( "Column_Number_" &amp; D$1), 4,1, tabname) ), "")</f>
        <v/>
      </c>
      <c r="E217" s="10" t="str">
        <f ca="1">TEXT( INDIRECT( ADDRESS( ROW() + Row_Offset, INDIRECT( "Column_Number_" &amp; E$1), 4,1, tabname) ), "####")</f>
        <v/>
      </c>
      <c r="F217" s="15"/>
      <c r="G217" s="22" t="str">
        <f ca="1">IFERROR(INDEX(Rank_Table[],MATCH($D217&amp;$A217,Table4[Join],0)),"")</f>
        <v/>
      </c>
      <c r="H217" s="11" t="str">
        <f ca="1">IF(AND(D217="Juvenile Audiobook",LEFT(B217,8)="J CD BIO"),RIGHT(B217,LEN(B217)-9),
IF(AND(D217="Juvenile Audiobook",LEFT(B217,8)="J CD FIC"),B217,
IF(D217="Juvenile Audiobook",RIGHT(B217,LEN(B217)-5),
IF(AND(D217="Teen Audiobook",LEFT(B217,11)="TEEN CD BIO"),RIGHT(B217,LEN(B217)-12),
IF(AND(D217="Teen Audiobook",LEFT(B217,11)="TEEN CD FIC"),B217,
IF(D217="Juvenile Audiobook",RIGHT(B217,LEN(B217)-8),
IF(D217="Juvenile Nonfiction",RIGHT(B217,LEN(B217)-2),
IF(D217="Teen Nonfiction",RIGHT(B217,LEN(B217)-5),
IF(AND(D217="Audiobook",
              NOT(OR(Contains($B217,"CD BIO"),Contains($B217,"CD FIC")))),RIGHT(B217,LEN(B217)-3),
IF(D217="Juvenile Biography",RIGHT(B217,LEN(B217)-2),
IF(D217="Teen Biography",RIGHT(B217,LEN(B217)-5),
IF(AND(D217="Audiobook",
              IFERROR(FIND("BIO",$B217)&gt;0,FALSE)),RIGHT(B217,LEN(B217)-3),
IF(D217="Juvenile Large Type","J "&amp;RIGHT(B217,LEN(B217)-11),
IF(D217="Teen Large Type","TEEN "&amp;RIGHT(B217,LEN(B217)-14),
IF(D217="Reference",RIGHT(B217,LEN(B217)-4),
IF(D217="DVD Educational",RIGHT(B217,LEN(B217)-7),
IF(D217="Juvenile DVD Educational",RIGHT(B217,LEN(B217)-9),
B217)))))))))))))))))</f>
        <v/>
      </c>
      <c r="N217" s="11" t="str">
        <f ca="1">IF(IFERROR(FIND("New",$A217)&gt;0,FALSE),"New ","") &amp; IF(IFERROR(FIND("In Lib",$A217)&gt;0,FALSE),"Reference ","") &amp;
IF(AND(D217="Audiobook",LEFT(B217,6)="CD BIO"),"Biography",
IF(AND(D217="Teen Audiobook",LEFT(B217,11)="TEEN CD BIO"),"Biography",
IF(AND(D217="Juvenile Audiobook",LEFT(B217,8)="J CD BIO"),"Biography",
IF(AND(D217="Audiobook",LEFT(B217,6)="CD FIC"),"Audiobook Fiction",
IF(AND(D217="Teen Audiobook",LEFT(B217,11)="TEEN CD FIC"),"Teen Audiobook",
IF(AND(D217="Juvenile Audiobook",LEFT(B217,8)="J CD FIC"),"Juvenile Audiobook",
IF(D217="Audiobook","Nonfiction",
IF(D217="Juvenile Audiobook","Nonfiction",
IF(D217="Teen Audiobook","Nonfiction",
IF(D217="Juvenile Nonfiction","Nonfiction",
IF(D217="Teen Nonfiction","Nonfiction",
IF(D217="Juvenile Biography","Biography",
IF(D217="Teen Biography","Biography",
IF(D217="ESL","Nonfiction",
IF(LEFT(B217,11)="INTL-VIE J ","International Juvenile",IF(LEFT(B217,11)="INTL-TAG J ","International Juvenile",IF(LEFT(B217,11)="INTL-RUS J ","International Juvenile",IF(LEFT(B217,11)="INTL-KOR J ","International Juvenile",IF(LEFT(B217,11)="INTL-JAP J ","International Juvenile",IF(LEFT(B217,11)="INTL-CHI J ","International Juvenile",IF(LEFT(B217,11)="INTL-SPA J ","International Juvenile",IF(LEFT(B217,14)="INTL-VIE TEEN ","International Teen",IF(LEFT(B217,14)="INTL-TAG TEEN ","International Teen",IF(LEFT(B217,14)="INTL-RUS TEEN ","International Teen",IF(LEFT(B217,14)="INTL-KOR TEEN ","International Teen",IF(LEFT(B217,14)="INTL-JAP TEEN ","International Teen",IF(LEFT(B217,14)="INTL-CHI TEEN ","International Teen",IF(LEFT(B217,14)="INTL-SPA TEEN ","International Teen",IF(LEFT(B217,11)="INTL-VIE E ","International Easy",IF(LEFT(B217,11)="INTL-TAG E ","International Easy",IF(LEFT(B217,11)="INTL-RUS E ","International Easy",IF(LEFT(B217,11)="INTL-JAP E ","International Easy",IF(LEFT(B217,11)="INTL-KOR E ","International Easy",IF(LEFT(B217,11)="INTL-CHI E ","International Easy",IF(LEFT(B217,11)="INTL-SPA E ","International Easy",
IF(D217="Teen Large Type","Teen Fiction",
IF(D217="Juvenile Large Type","Juvenile Fiction",
IF(LEFT(B217,6)="J CD O","Juvenile Compact Disc",
IF(AND(LEFT(B217,4)="TEEN",D217="Fiction"),"Teen Fiction",
IF(D217="DVD Educational","Nonfiction",
IF(D217="Juvenile DVD Educational","Nonfiction",
IF(D217="Reference","Nonfiction",
D217))))))))))))))))))))))))))))))))))))))))))</f>
        <v/>
      </c>
    </row>
    <row r="218" spans="1:14" ht="27" customHeight="1" x14ac:dyDescent="0.25">
      <c r="A218" s="10" t="str">
        <f ca="1">TEXT( INDIRECT( ADDRESS( ROW() + Row_Offset, INDIRECT( "Column_Number_" &amp; A$1), 4,1, tabname) ), "")</f>
        <v/>
      </c>
      <c r="B218" s="10" t="str">
        <f ca="1">TEXT(  IFERROR( VLOOKUP( $D218, CollName_Simplifier_Table[], 2, FALSE),"") &amp;
        INDIRECT( ADDRESS( ROW() + Row_Offset, INDIRECT( "Column_Number_" &amp; $B$1), 4,1, tabname) ), "")</f>
        <v/>
      </c>
      <c r="C218" s="10" t="str">
        <f ca="1">TEXT( INDIRECT( ADDRESS( ROW() + Row_Offset, INDIRECT( "Column_Number_" &amp; C$1), 4,1, tabname) ), "")</f>
        <v/>
      </c>
      <c r="D218" s="10" t="str">
        <f ca="1">TEXT( INDIRECT( ADDRESS( ROW() + Row_Offset, INDIRECT( "Column_Number_" &amp; D$1), 4,1, tabname) ), "")</f>
        <v/>
      </c>
      <c r="E218" s="10" t="str">
        <f ca="1">TEXT( INDIRECT( ADDRESS( ROW() + Row_Offset, INDIRECT( "Column_Number_" &amp; E$1), 4,1, tabname) ), "####")</f>
        <v/>
      </c>
      <c r="F218" s="15"/>
      <c r="G218" s="22" t="str">
        <f ca="1">IFERROR(INDEX(Rank_Table[],MATCH($D218&amp;$A218,Table4[Join],0)),"")</f>
        <v/>
      </c>
      <c r="H218" s="11" t="str">
        <f ca="1">IF(AND(D218="Juvenile Audiobook",LEFT(B218,8)="J CD BIO"),RIGHT(B218,LEN(B218)-9),
IF(AND(D218="Juvenile Audiobook",LEFT(B218,8)="J CD FIC"),B218,
IF(D218="Juvenile Audiobook",RIGHT(B218,LEN(B218)-5),
IF(AND(D218="Teen Audiobook",LEFT(B218,11)="TEEN CD BIO"),RIGHT(B218,LEN(B218)-12),
IF(AND(D218="Teen Audiobook",LEFT(B218,11)="TEEN CD FIC"),B218,
IF(D218="Juvenile Audiobook",RIGHT(B218,LEN(B218)-8),
IF(D218="Juvenile Nonfiction",RIGHT(B218,LEN(B218)-2),
IF(D218="Teen Nonfiction",RIGHT(B218,LEN(B218)-5),
IF(AND(D218="Audiobook",
              NOT(OR(Contains($B218,"CD BIO"),Contains($B218,"CD FIC")))),RIGHT(B218,LEN(B218)-3),
IF(D218="Juvenile Biography",RIGHT(B218,LEN(B218)-2),
IF(D218="Teen Biography",RIGHT(B218,LEN(B218)-5),
IF(AND(D218="Audiobook",
              IFERROR(FIND("BIO",$B218)&gt;0,FALSE)),RIGHT(B218,LEN(B218)-3),
IF(D218="Juvenile Large Type","J "&amp;RIGHT(B218,LEN(B218)-11),
IF(D218="Teen Large Type","TEEN "&amp;RIGHT(B218,LEN(B218)-14),
IF(D218="Reference",RIGHT(B218,LEN(B218)-4),
IF(D218="DVD Educational",RIGHT(B218,LEN(B218)-7),
IF(D218="Juvenile DVD Educational",RIGHT(B218,LEN(B218)-9),
B218)))))))))))))))))</f>
        <v/>
      </c>
      <c r="N218" s="11" t="str">
        <f ca="1">IF(IFERROR(FIND("New",$A218)&gt;0,FALSE),"New ","") &amp; IF(IFERROR(FIND("In Lib",$A218)&gt;0,FALSE),"Reference ","") &amp;
IF(AND(D218="Audiobook",LEFT(B218,6)="CD BIO"),"Biography",
IF(AND(D218="Teen Audiobook",LEFT(B218,11)="TEEN CD BIO"),"Biography",
IF(AND(D218="Juvenile Audiobook",LEFT(B218,8)="J CD BIO"),"Biography",
IF(AND(D218="Audiobook",LEFT(B218,6)="CD FIC"),"Audiobook Fiction",
IF(AND(D218="Teen Audiobook",LEFT(B218,11)="TEEN CD FIC"),"Teen Audiobook",
IF(AND(D218="Juvenile Audiobook",LEFT(B218,8)="J CD FIC"),"Juvenile Audiobook",
IF(D218="Audiobook","Nonfiction",
IF(D218="Juvenile Audiobook","Nonfiction",
IF(D218="Teen Audiobook","Nonfiction",
IF(D218="Juvenile Nonfiction","Nonfiction",
IF(D218="Teen Nonfiction","Nonfiction",
IF(D218="Juvenile Biography","Biography",
IF(D218="Teen Biography","Biography",
IF(D218="ESL","Nonfiction",
IF(LEFT(B218,11)="INTL-VIE J ","International Juvenile",IF(LEFT(B218,11)="INTL-TAG J ","International Juvenile",IF(LEFT(B218,11)="INTL-RUS J ","International Juvenile",IF(LEFT(B218,11)="INTL-KOR J ","International Juvenile",IF(LEFT(B218,11)="INTL-JAP J ","International Juvenile",IF(LEFT(B218,11)="INTL-CHI J ","International Juvenile",IF(LEFT(B218,11)="INTL-SPA J ","International Juvenile",IF(LEFT(B218,14)="INTL-VIE TEEN ","International Teen",IF(LEFT(B218,14)="INTL-TAG TEEN ","International Teen",IF(LEFT(B218,14)="INTL-RUS TEEN ","International Teen",IF(LEFT(B218,14)="INTL-KOR TEEN ","International Teen",IF(LEFT(B218,14)="INTL-JAP TEEN ","International Teen",IF(LEFT(B218,14)="INTL-CHI TEEN ","International Teen",IF(LEFT(B218,14)="INTL-SPA TEEN ","International Teen",IF(LEFT(B218,11)="INTL-VIE E ","International Easy",IF(LEFT(B218,11)="INTL-TAG E ","International Easy",IF(LEFT(B218,11)="INTL-RUS E ","International Easy",IF(LEFT(B218,11)="INTL-JAP E ","International Easy",IF(LEFT(B218,11)="INTL-KOR E ","International Easy",IF(LEFT(B218,11)="INTL-CHI E ","International Easy",IF(LEFT(B218,11)="INTL-SPA E ","International Easy",
IF(D218="Teen Large Type","Teen Fiction",
IF(D218="Juvenile Large Type","Juvenile Fiction",
IF(LEFT(B218,6)="J CD O","Juvenile Compact Disc",
IF(AND(LEFT(B218,4)="TEEN",D218="Fiction"),"Teen Fiction",
IF(D218="DVD Educational","Nonfiction",
IF(D218="Juvenile DVD Educational","Nonfiction",
IF(D218="Reference","Nonfiction",
D218))))))))))))))))))))))))))))))))))))))))))</f>
        <v/>
      </c>
    </row>
    <row r="219" spans="1:14" ht="27" customHeight="1" x14ac:dyDescent="0.25">
      <c r="A219" s="10" t="str">
        <f ca="1">TEXT( INDIRECT( ADDRESS( ROW() + Row_Offset, INDIRECT( "Column_Number_" &amp; A$1), 4,1, tabname) ), "")</f>
        <v/>
      </c>
      <c r="B219" s="10" t="str">
        <f ca="1">TEXT(  IFERROR( VLOOKUP( $D219, CollName_Simplifier_Table[], 2, FALSE),"") &amp;
        INDIRECT( ADDRESS( ROW() + Row_Offset, INDIRECT( "Column_Number_" &amp; $B$1), 4,1, tabname) ), "")</f>
        <v/>
      </c>
      <c r="C219" s="10" t="str">
        <f ca="1">TEXT( INDIRECT( ADDRESS( ROW() + Row_Offset, INDIRECT( "Column_Number_" &amp; C$1), 4,1, tabname) ), "")</f>
        <v/>
      </c>
      <c r="D219" s="10" t="str">
        <f ca="1">TEXT( INDIRECT( ADDRESS( ROW() + Row_Offset, INDIRECT( "Column_Number_" &amp; D$1), 4,1, tabname) ), "")</f>
        <v/>
      </c>
      <c r="E219" s="10" t="str">
        <f ca="1">TEXT( INDIRECT( ADDRESS( ROW() + Row_Offset, INDIRECT( "Column_Number_" &amp; E$1), 4,1, tabname) ), "####")</f>
        <v/>
      </c>
      <c r="F219" s="15"/>
      <c r="G219" s="22" t="str">
        <f ca="1">IFERROR(INDEX(Rank_Table[],MATCH($D219&amp;$A219,Table4[Join],0)),"")</f>
        <v/>
      </c>
      <c r="H219" s="11" t="str">
        <f ca="1">IF(AND(D219="Juvenile Audiobook",LEFT(B219,8)="J CD BIO"),RIGHT(B219,LEN(B219)-9),
IF(AND(D219="Juvenile Audiobook",LEFT(B219,8)="J CD FIC"),B219,
IF(D219="Juvenile Audiobook",RIGHT(B219,LEN(B219)-5),
IF(AND(D219="Teen Audiobook",LEFT(B219,11)="TEEN CD BIO"),RIGHT(B219,LEN(B219)-12),
IF(AND(D219="Teen Audiobook",LEFT(B219,11)="TEEN CD FIC"),B219,
IF(D219="Juvenile Audiobook",RIGHT(B219,LEN(B219)-8),
IF(D219="Juvenile Nonfiction",RIGHT(B219,LEN(B219)-2),
IF(D219="Teen Nonfiction",RIGHT(B219,LEN(B219)-5),
IF(AND(D219="Audiobook",
              NOT(OR(Contains($B219,"CD BIO"),Contains($B219,"CD FIC")))),RIGHT(B219,LEN(B219)-3),
IF(D219="Juvenile Biography",RIGHT(B219,LEN(B219)-2),
IF(D219="Teen Biography",RIGHT(B219,LEN(B219)-5),
IF(AND(D219="Audiobook",
              IFERROR(FIND("BIO",$B219)&gt;0,FALSE)),RIGHT(B219,LEN(B219)-3),
IF(D219="Juvenile Large Type","J "&amp;RIGHT(B219,LEN(B219)-11),
IF(D219="Teen Large Type","TEEN "&amp;RIGHT(B219,LEN(B219)-14),
IF(D219="Reference",RIGHT(B219,LEN(B219)-4),
IF(D219="DVD Educational",RIGHT(B219,LEN(B219)-7),
IF(D219="Juvenile DVD Educational",RIGHT(B219,LEN(B219)-9),
B219)))))))))))))))))</f>
        <v/>
      </c>
      <c r="N219" s="11" t="str">
        <f ca="1">IF(IFERROR(FIND("New",$A219)&gt;0,FALSE),"New ","") &amp; IF(IFERROR(FIND("In Lib",$A219)&gt;0,FALSE),"Reference ","") &amp;
IF(AND(D219="Audiobook",LEFT(B219,6)="CD BIO"),"Biography",
IF(AND(D219="Teen Audiobook",LEFT(B219,11)="TEEN CD BIO"),"Biography",
IF(AND(D219="Juvenile Audiobook",LEFT(B219,8)="J CD BIO"),"Biography",
IF(AND(D219="Audiobook",LEFT(B219,6)="CD FIC"),"Audiobook Fiction",
IF(AND(D219="Teen Audiobook",LEFT(B219,11)="TEEN CD FIC"),"Teen Audiobook",
IF(AND(D219="Juvenile Audiobook",LEFT(B219,8)="J CD FIC"),"Juvenile Audiobook",
IF(D219="Audiobook","Nonfiction",
IF(D219="Juvenile Audiobook","Nonfiction",
IF(D219="Teen Audiobook","Nonfiction",
IF(D219="Juvenile Nonfiction","Nonfiction",
IF(D219="Teen Nonfiction","Nonfiction",
IF(D219="Juvenile Biography","Biography",
IF(D219="Teen Biography","Biography",
IF(D219="ESL","Nonfiction",
IF(LEFT(B219,11)="INTL-VIE J ","International Juvenile",IF(LEFT(B219,11)="INTL-TAG J ","International Juvenile",IF(LEFT(B219,11)="INTL-RUS J ","International Juvenile",IF(LEFT(B219,11)="INTL-KOR J ","International Juvenile",IF(LEFT(B219,11)="INTL-JAP J ","International Juvenile",IF(LEFT(B219,11)="INTL-CHI J ","International Juvenile",IF(LEFT(B219,11)="INTL-SPA J ","International Juvenile",IF(LEFT(B219,14)="INTL-VIE TEEN ","International Teen",IF(LEFT(B219,14)="INTL-TAG TEEN ","International Teen",IF(LEFT(B219,14)="INTL-RUS TEEN ","International Teen",IF(LEFT(B219,14)="INTL-KOR TEEN ","International Teen",IF(LEFT(B219,14)="INTL-JAP TEEN ","International Teen",IF(LEFT(B219,14)="INTL-CHI TEEN ","International Teen",IF(LEFT(B219,14)="INTL-SPA TEEN ","International Teen",IF(LEFT(B219,11)="INTL-VIE E ","International Easy",IF(LEFT(B219,11)="INTL-TAG E ","International Easy",IF(LEFT(B219,11)="INTL-RUS E ","International Easy",IF(LEFT(B219,11)="INTL-JAP E ","International Easy",IF(LEFT(B219,11)="INTL-KOR E ","International Easy",IF(LEFT(B219,11)="INTL-CHI E ","International Easy",IF(LEFT(B219,11)="INTL-SPA E ","International Easy",
IF(D219="Teen Large Type","Teen Fiction",
IF(D219="Juvenile Large Type","Juvenile Fiction",
IF(LEFT(B219,6)="J CD O","Juvenile Compact Disc",
IF(AND(LEFT(B219,4)="TEEN",D219="Fiction"),"Teen Fiction",
IF(D219="DVD Educational","Nonfiction",
IF(D219="Juvenile DVD Educational","Nonfiction",
IF(D219="Reference","Nonfiction",
D219))))))))))))))))))))))))))))))))))))))))))</f>
        <v/>
      </c>
    </row>
    <row r="220" spans="1:14" ht="27" customHeight="1" x14ac:dyDescent="0.25">
      <c r="A220" s="10" t="str">
        <f ca="1">TEXT( INDIRECT( ADDRESS( ROW() + Row_Offset, INDIRECT( "Column_Number_" &amp; A$1), 4,1, tabname) ), "")</f>
        <v/>
      </c>
      <c r="B220" s="10" t="str">
        <f ca="1">TEXT(  IFERROR( VLOOKUP( $D220, CollName_Simplifier_Table[], 2, FALSE),"") &amp;
        INDIRECT( ADDRESS( ROW() + Row_Offset, INDIRECT( "Column_Number_" &amp; $B$1), 4,1, tabname) ), "")</f>
        <v/>
      </c>
      <c r="C220" s="10" t="str">
        <f ca="1">TEXT( INDIRECT( ADDRESS( ROW() + Row_Offset, INDIRECT( "Column_Number_" &amp; C$1), 4,1, tabname) ), "")</f>
        <v/>
      </c>
      <c r="D220" s="10" t="str">
        <f ca="1">TEXT( INDIRECT( ADDRESS( ROW() + Row_Offset, INDIRECT( "Column_Number_" &amp; D$1), 4,1, tabname) ), "")</f>
        <v/>
      </c>
      <c r="E220" s="10" t="str">
        <f ca="1">TEXT( INDIRECT( ADDRESS( ROW() + Row_Offset, INDIRECT( "Column_Number_" &amp; E$1), 4,1, tabname) ), "####")</f>
        <v/>
      </c>
      <c r="F220" s="15"/>
      <c r="G220" s="22" t="str">
        <f ca="1">IFERROR(INDEX(Rank_Table[],MATCH($D220&amp;$A220,Table4[Join],0)),"")</f>
        <v/>
      </c>
      <c r="H220" s="11" t="str">
        <f ca="1">IF(AND(D220="Juvenile Audiobook",LEFT(B220,8)="J CD BIO"),RIGHT(B220,LEN(B220)-9),
IF(AND(D220="Juvenile Audiobook",LEFT(B220,8)="J CD FIC"),B220,
IF(D220="Juvenile Audiobook",RIGHT(B220,LEN(B220)-5),
IF(AND(D220="Teen Audiobook",LEFT(B220,11)="TEEN CD BIO"),RIGHT(B220,LEN(B220)-12),
IF(AND(D220="Teen Audiobook",LEFT(B220,11)="TEEN CD FIC"),B220,
IF(D220="Juvenile Audiobook",RIGHT(B220,LEN(B220)-8),
IF(D220="Juvenile Nonfiction",RIGHT(B220,LEN(B220)-2),
IF(D220="Teen Nonfiction",RIGHT(B220,LEN(B220)-5),
IF(AND(D220="Audiobook",
              NOT(OR(Contains($B220,"CD BIO"),Contains($B220,"CD FIC")))),RIGHT(B220,LEN(B220)-3),
IF(D220="Juvenile Biography",RIGHT(B220,LEN(B220)-2),
IF(D220="Teen Biography",RIGHT(B220,LEN(B220)-5),
IF(AND(D220="Audiobook",
              IFERROR(FIND("BIO",$B220)&gt;0,FALSE)),RIGHT(B220,LEN(B220)-3),
IF(D220="Juvenile Large Type","J "&amp;RIGHT(B220,LEN(B220)-11),
IF(D220="Teen Large Type","TEEN "&amp;RIGHT(B220,LEN(B220)-14),
IF(D220="Reference",RIGHT(B220,LEN(B220)-4),
IF(D220="DVD Educational",RIGHT(B220,LEN(B220)-7),
IF(D220="Juvenile DVD Educational",RIGHT(B220,LEN(B220)-9),
B220)))))))))))))))))</f>
        <v/>
      </c>
      <c r="N220" s="11" t="str">
        <f ca="1">IF(IFERROR(FIND("New",$A220)&gt;0,FALSE),"New ","") &amp; IF(IFERROR(FIND("In Lib",$A220)&gt;0,FALSE),"Reference ","") &amp;
IF(AND(D220="Audiobook",LEFT(B220,6)="CD BIO"),"Biography",
IF(AND(D220="Teen Audiobook",LEFT(B220,11)="TEEN CD BIO"),"Biography",
IF(AND(D220="Juvenile Audiobook",LEFT(B220,8)="J CD BIO"),"Biography",
IF(AND(D220="Audiobook",LEFT(B220,6)="CD FIC"),"Audiobook Fiction",
IF(AND(D220="Teen Audiobook",LEFT(B220,11)="TEEN CD FIC"),"Teen Audiobook",
IF(AND(D220="Juvenile Audiobook",LEFT(B220,8)="J CD FIC"),"Juvenile Audiobook",
IF(D220="Audiobook","Nonfiction",
IF(D220="Juvenile Audiobook","Nonfiction",
IF(D220="Teen Audiobook","Nonfiction",
IF(D220="Juvenile Nonfiction","Nonfiction",
IF(D220="Teen Nonfiction","Nonfiction",
IF(D220="Juvenile Biography","Biography",
IF(D220="Teen Biography","Biography",
IF(D220="ESL","Nonfiction",
IF(LEFT(B220,11)="INTL-VIE J ","International Juvenile",IF(LEFT(B220,11)="INTL-TAG J ","International Juvenile",IF(LEFT(B220,11)="INTL-RUS J ","International Juvenile",IF(LEFT(B220,11)="INTL-KOR J ","International Juvenile",IF(LEFT(B220,11)="INTL-JAP J ","International Juvenile",IF(LEFT(B220,11)="INTL-CHI J ","International Juvenile",IF(LEFT(B220,11)="INTL-SPA J ","International Juvenile",IF(LEFT(B220,14)="INTL-VIE TEEN ","International Teen",IF(LEFT(B220,14)="INTL-TAG TEEN ","International Teen",IF(LEFT(B220,14)="INTL-RUS TEEN ","International Teen",IF(LEFT(B220,14)="INTL-KOR TEEN ","International Teen",IF(LEFT(B220,14)="INTL-JAP TEEN ","International Teen",IF(LEFT(B220,14)="INTL-CHI TEEN ","International Teen",IF(LEFT(B220,14)="INTL-SPA TEEN ","International Teen",IF(LEFT(B220,11)="INTL-VIE E ","International Easy",IF(LEFT(B220,11)="INTL-TAG E ","International Easy",IF(LEFT(B220,11)="INTL-RUS E ","International Easy",IF(LEFT(B220,11)="INTL-JAP E ","International Easy",IF(LEFT(B220,11)="INTL-KOR E ","International Easy",IF(LEFT(B220,11)="INTL-CHI E ","International Easy",IF(LEFT(B220,11)="INTL-SPA E ","International Easy",
IF(D220="Teen Large Type","Teen Fiction",
IF(D220="Juvenile Large Type","Juvenile Fiction",
IF(LEFT(B220,6)="J CD O","Juvenile Compact Disc",
IF(AND(LEFT(B220,4)="TEEN",D220="Fiction"),"Teen Fiction",
IF(D220="DVD Educational","Nonfiction",
IF(D220="Juvenile DVD Educational","Nonfiction",
IF(D220="Reference","Nonfiction",
D220))))))))))))))))))))))))))))))))))))))))))</f>
        <v/>
      </c>
    </row>
    <row r="221" spans="1:14" ht="27" customHeight="1" x14ac:dyDescent="0.25">
      <c r="A221" s="10" t="str">
        <f ca="1">TEXT( INDIRECT( ADDRESS( ROW() + Row_Offset, INDIRECT( "Column_Number_" &amp; A$1), 4,1, tabname) ), "")</f>
        <v/>
      </c>
      <c r="B221" s="10" t="str">
        <f ca="1">TEXT(  IFERROR( VLOOKUP( $D221, CollName_Simplifier_Table[], 2, FALSE),"") &amp;
        INDIRECT( ADDRESS( ROW() + Row_Offset, INDIRECT( "Column_Number_" &amp; $B$1), 4,1, tabname) ), "")</f>
        <v/>
      </c>
      <c r="C221" s="10" t="str">
        <f ca="1">TEXT( INDIRECT( ADDRESS( ROW() + Row_Offset, INDIRECT( "Column_Number_" &amp; C$1), 4,1, tabname) ), "")</f>
        <v/>
      </c>
      <c r="D221" s="10" t="str">
        <f ca="1">TEXT( INDIRECT( ADDRESS( ROW() + Row_Offset, INDIRECT( "Column_Number_" &amp; D$1), 4,1, tabname) ), "")</f>
        <v/>
      </c>
      <c r="E221" s="10" t="str">
        <f ca="1">TEXT( INDIRECT( ADDRESS( ROW() + Row_Offset, INDIRECT( "Column_Number_" &amp; E$1), 4,1, tabname) ), "####")</f>
        <v/>
      </c>
      <c r="F221" s="15"/>
      <c r="G221" s="22" t="str">
        <f ca="1">IFERROR(INDEX(Rank_Table[],MATCH($D221&amp;$A221,Table4[Join],0)),"")</f>
        <v/>
      </c>
      <c r="H221" s="11" t="str">
        <f ca="1">IF(AND(D221="Juvenile Audiobook",LEFT(B221,8)="J CD BIO"),RIGHT(B221,LEN(B221)-9),
IF(AND(D221="Juvenile Audiobook",LEFT(B221,8)="J CD FIC"),B221,
IF(D221="Juvenile Audiobook",RIGHT(B221,LEN(B221)-5),
IF(AND(D221="Teen Audiobook",LEFT(B221,11)="TEEN CD BIO"),RIGHT(B221,LEN(B221)-12),
IF(AND(D221="Teen Audiobook",LEFT(B221,11)="TEEN CD FIC"),B221,
IF(D221="Juvenile Audiobook",RIGHT(B221,LEN(B221)-8),
IF(D221="Juvenile Nonfiction",RIGHT(B221,LEN(B221)-2),
IF(D221="Teen Nonfiction",RIGHT(B221,LEN(B221)-5),
IF(AND(D221="Audiobook",
              NOT(OR(Contains($B221,"CD BIO"),Contains($B221,"CD FIC")))),RIGHT(B221,LEN(B221)-3),
IF(D221="Juvenile Biography",RIGHT(B221,LEN(B221)-2),
IF(D221="Teen Biography",RIGHT(B221,LEN(B221)-5),
IF(AND(D221="Audiobook",
              IFERROR(FIND("BIO",$B221)&gt;0,FALSE)),RIGHT(B221,LEN(B221)-3),
IF(D221="Juvenile Large Type","J "&amp;RIGHT(B221,LEN(B221)-11),
IF(D221="Teen Large Type","TEEN "&amp;RIGHT(B221,LEN(B221)-14),
IF(D221="Reference",RIGHT(B221,LEN(B221)-4),
IF(D221="DVD Educational",RIGHT(B221,LEN(B221)-7),
IF(D221="Juvenile DVD Educational",RIGHT(B221,LEN(B221)-9),
B221)))))))))))))))))</f>
        <v/>
      </c>
      <c r="N221" s="11" t="str">
        <f ca="1">IF(IFERROR(FIND("New",$A221)&gt;0,FALSE),"New ","") &amp; IF(IFERROR(FIND("In Lib",$A221)&gt;0,FALSE),"Reference ","") &amp;
IF(AND(D221="Audiobook",LEFT(B221,6)="CD BIO"),"Biography",
IF(AND(D221="Teen Audiobook",LEFT(B221,11)="TEEN CD BIO"),"Biography",
IF(AND(D221="Juvenile Audiobook",LEFT(B221,8)="J CD BIO"),"Biography",
IF(AND(D221="Audiobook",LEFT(B221,6)="CD FIC"),"Audiobook Fiction",
IF(AND(D221="Teen Audiobook",LEFT(B221,11)="TEEN CD FIC"),"Teen Audiobook",
IF(AND(D221="Juvenile Audiobook",LEFT(B221,8)="J CD FIC"),"Juvenile Audiobook",
IF(D221="Audiobook","Nonfiction",
IF(D221="Juvenile Audiobook","Nonfiction",
IF(D221="Teen Audiobook","Nonfiction",
IF(D221="Juvenile Nonfiction","Nonfiction",
IF(D221="Teen Nonfiction","Nonfiction",
IF(D221="Juvenile Biography","Biography",
IF(D221="Teen Biography","Biography",
IF(D221="ESL","Nonfiction",
IF(LEFT(B221,11)="INTL-VIE J ","International Juvenile",IF(LEFT(B221,11)="INTL-TAG J ","International Juvenile",IF(LEFT(B221,11)="INTL-RUS J ","International Juvenile",IF(LEFT(B221,11)="INTL-KOR J ","International Juvenile",IF(LEFT(B221,11)="INTL-JAP J ","International Juvenile",IF(LEFT(B221,11)="INTL-CHI J ","International Juvenile",IF(LEFT(B221,11)="INTL-SPA J ","International Juvenile",IF(LEFT(B221,14)="INTL-VIE TEEN ","International Teen",IF(LEFT(B221,14)="INTL-TAG TEEN ","International Teen",IF(LEFT(B221,14)="INTL-RUS TEEN ","International Teen",IF(LEFT(B221,14)="INTL-KOR TEEN ","International Teen",IF(LEFT(B221,14)="INTL-JAP TEEN ","International Teen",IF(LEFT(B221,14)="INTL-CHI TEEN ","International Teen",IF(LEFT(B221,14)="INTL-SPA TEEN ","International Teen",IF(LEFT(B221,11)="INTL-VIE E ","International Easy",IF(LEFT(B221,11)="INTL-TAG E ","International Easy",IF(LEFT(B221,11)="INTL-RUS E ","International Easy",IF(LEFT(B221,11)="INTL-JAP E ","International Easy",IF(LEFT(B221,11)="INTL-KOR E ","International Easy",IF(LEFT(B221,11)="INTL-CHI E ","International Easy",IF(LEFT(B221,11)="INTL-SPA E ","International Easy",
IF(D221="Teen Large Type","Teen Fiction",
IF(D221="Juvenile Large Type","Juvenile Fiction",
IF(LEFT(B221,6)="J CD O","Juvenile Compact Disc",
IF(AND(LEFT(B221,4)="TEEN",D221="Fiction"),"Teen Fiction",
IF(D221="DVD Educational","Nonfiction",
IF(D221="Juvenile DVD Educational","Nonfiction",
IF(D221="Reference","Nonfiction",
D221))))))))))))))))))))))))))))))))))))))))))</f>
        <v/>
      </c>
    </row>
    <row r="222" spans="1:14" ht="27" customHeight="1" x14ac:dyDescent="0.25">
      <c r="A222" s="10" t="str">
        <f ca="1">TEXT( INDIRECT( ADDRESS( ROW() + Row_Offset, INDIRECT( "Column_Number_" &amp; A$1), 4,1, tabname) ), "")</f>
        <v/>
      </c>
      <c r="B222" s="10" t="str">
        <f ca="1">TEXT(  IFERROR( VLOOKUP( $D222, CollName_Simplifier_Table[], 2, FALSE),"") &amp;
        INDIRECT( ADDRESS( ROW() + Row_Offset, INDIRECT( "Column_Number_" &amp; $B$1), 4,1, tabname) ), "")</f>
        <v/>
      </c>
      <c r="C222" s="10" t="str">
        <f ca="1">TEXT( INDIRECT( ADDRESS( ROW() + Row_Offset, INDIRECT( "Column_Number_" &amp; C$1), 4,1, tabname) ), "")</f>
        <v/>
      </c>
      <c r="D222" s="10" t="str">
        <f ca="1">TEXT( INDIRECT( ADDRESS( ROW() + Row_Offset, INDIRECT( "Column_Number_" &amp; D$1), 4,1, tabname) ), "")</f>
        <v/>
      </c>
      <c r="E222" s="10" t="str">
        <f ca="1">TEXT( INDIRECT( ADDRESS( ROW() + Row_Offset, INDIRECT( "Column_Number_" &amp; E$1), 4,1, tabname) ), "####")</f>
        <v/>
      </c>
      <c r="F222" s="15"/>
      <c r="G222" s="22" t="str">
        <f ca="1">IFERROR(INDEX(Rank_Table[],MATCH($D222&amp;$A222,Table4[Join],0)),"")</f>
        <v/>
      </c>
      <c r="H222" s="11" t="str">
        <f ca="1">IF(AND(D222="Juvenile Audiobook",LEFT(B222,8)="J CD BIO"),RIGHT(B222,LEN(B222)-9),
IF(AND(D222="Juvenile Audiobook",LEFT(B222,8)="J CD FIC"),B222,
IF(D222="Juvenile Audiobook",RIGHT(B222,LEN(B222)-5),
IF(AND(D222="Teen Audiobook",LEFT(B222,11)="TEEN CD BIO"),RIGHT(B222,LEN(B222)-12),
IF(AND(D222="Teen Audiobook",LEFT(B222,11)="TEEN CD FIC"),B222,
IF(D222="Juvenile Audiobook",RIGHT(B222,LEN(B222)-8),
IF(D222="Juvenile Nonfiction",RIGHT(B222,LEN(B222)-2),
IF(D222="Teen Nonfiction",RIGHT(B222,LEN(B222)-5),
IF(AND(D222="Audiobook",
              NOT(OR(Contains($B222,"CD BIO"),Contains($B222,"CD FIC")))),RIGHT(B222,LEN(B222)-3),
IF(D222="Juvenile Biography",RIGHT(B222,LEN(B222)-2),
IF(D222="Teen Biography",RIGHT(B222,LEN(B222)-5),
IF(AND(D222="Audiobook",
              IFERROR(FIND("BIO",$B222)&gt;0,FALSE)),RIGHT(B222,LEN(B222)-3),
IF(D222="Juvenile Large Type","J "&amp;RIGHT(B222,LEN(B222)-11),
IF(D222="Teen Large Type","TEEN "&amp;RIGHT(B222,LEN(B222)-14),
IF(D222="Reference",RIGHT(B222,LEN(B222)-4),
IF(D222="DVD Educational",RIGHT(B222,LEN(B222)-7),
IF(D222="Juvenile DVD Educational",RIGHT(B222,LEN(B222)-9),
B222)))))))))))))))))</f>
        <v/>
      </c>
      <c r="N222" s="11" t="str">
        <f ca="1">IF(IFERROR(FIND("New",$A222)&gt;0,FALSE),"New ","") &amp; IF(IFERROR(FIND("In Lib",$A222)&gt;0,FALSE),"Reference ","") &amp;
IF(AND(D222="Audiobook",LEFT(B222,6)="CD BIO"),"Biography",
IF(AND(D222="Teen Audiobook",LEFT(B222,11)="TEEN CD BIO"),"Biography",
IF(AND(D222="Juvenile Audiobook",LEFT(B222,8)="J CD BIO"),"Biography",
IF(AND(D222="Audiobook",LEFT(B222,6)="CD FIC"),"Audiobook Fiction",
IF(AND(D222="Teen Audiobook",LEFT(B222,11)="TEEN CD FIC"),"Teen Audiobook",
IF(AND(D222="Juvenile Audiobook",LEFT(B222,8)="J CD FIC"),"Juvenile Audiobook",
IF(D222="Audiobook","Nonfiction",
IF(D222="Juvenile Audiobook","Nonfiction",
IF(D222="Teen Audiobook","Nonfiction",
IF(D222="Juvenile Nonfiction","Nonfiction",
IF(D222="Teen Nonfiction","Nonfiction",
IF(D222="Juvenile Biography","Biography",
IF(D222="Teen Biography","Biography",
IF(D222="ESL","Nonfiction",
IF(LEFT(B222,11)="INTL-VIE J ","International Juvenile",IF(LEFT(B222,11)="INTL-TAG J ","International Juvenile",IF(LEFT(B222,11)="INTL-RUS J ","International Juvenile",IF(LEFT(B222,11)="INTL-KOR J ","International Juvenile",IF(LEFT(B222,11)="INTL-JAP J ","International Juvenile",IF(LEFT(B222,11)="INTL-CHI J ","International Juvenile",IF(LEFT(B222,11)="INTL-SPA J ","International Juvenile",IF(LEFT(B222,14)="INTL-VIE TEEN ","International Teen",IF(LEFT(B222,14)="INTL-TAG TEEN ","International Teen",IF(LEFT(B222,14)="INTL-RUS TEEN ","International Teen",IF(LEFT(B222,14)="INTL-KOR TEEN ","International Teen",IF(LEFT(B222,14)="INTL-JAP TEEN ","International Teen",IF(LEFT(B222,14)="INTL-CHI TEEN ","International Teen",IF(LEFT(B222,14)="INTL-SPA TEEN ","International Teen",IF(LEFT(B222,11)="INTL-VIE E ","International Easy",IF(LEFT(B222,11)="INTL-TAG E ","International Easy",IF(LEFT(B222,11)="INTL-RUS E ","International Easy",IF(LEFT(B222,11)="INTL-JAP E ","International Easy",IF(LEFT(B222,11)="INTL-KOR E ","International Easy",IF(LEFT(B222,11)="INTL-CHI E ","International Easy",IF(LEFT(B222,11)="INTL-SPA E ","International Easy",
IF(D222="Teen Large Type","Teen Fiction",
IF(D222="Juvenile Large Type","Juvenile Fiction",
IF(LEFT(B222,6)="J CD O","Juvenile Compact Disc",
IF(AND(LEFT(B222,4)="TEEN",D222="Fiction"),"Teen Fiction",
IF(D222="DVD Educational","Nonfiction",
IF(D222="Juvenile DVD Educational","Nonfiction",
IF(D222="Reference","Nonfiction",
D222))))))))))))))))))))))))))))))))))))))))))</f>
        <v/>
      </c>
    </row>
    <row r="223" spans="1:14" ht="27" customHeight="1" x14ac:dyDescent="0.25">
      <c r="A223" s="10" t="str">
        <f ca="1">TEXT( INDIRECT( ADDRESS( ROW() + Row_Offset, INDIRECT( "Column_Number_" &amp; A$1), 4,1, tabname) ), "")</f>
        <v/>
      </c>
      <c r="B223" s="10" t="str">
        <f ca="1">TEXT(  IFERROR( VLOOKUP( $D223, CollName_Simplifier_Table[], 2, FALSE),"") &amp;
        INDIRECT( ADDRESS( ROW() + Row_Offset, INDIRECT( "Column_Number_" &amp; $B$1), 4,1, tabname) ), "")</f>
        <v/>
      </c>
      <c r="C223" s="10" t="str">
        <f ca="1">TEXT( INDIRECT( ADDRESS( ROW() + Row_Offset, INDIRECT( "Column_Number_" &amp; C$1), 4,1, tabname) ), "")</f>
        <v/>
      </c>
      <c r="D223" s="10" t="str">
        <f ca="1">TEXT( INDIRECT( ADDRESS( ROW() + Row_Offset, INDIRECT( "Column_Number_" &amp; D$1), 4,1, tabname) ), "")</f>
        <v/>
      </c>
      <c r="E223" s="10" t="str">
        <f ca="1">TEXT( INDIRECT( ADDRESS( ROW() + Row_Offset, INDIRECT( "Column_Number_" &amp; E$1), 4,1, tabname) ), "####")</f>
        <v/>
      </c>
      <c r="F223" s="15"/>
      <c r="G223" s="22" t="str">
        <f ca="1">IFERROR(INDEX(Rank_Table[],MATCH($D223&amp;$A223,Table4[Join],0)),"")</f>
        <v/>
      </c>
      <c r="H223" s="11" t="str">
        <f ca="1">IF(AND(D223="Juvenile Audiobook",LEFT(B223,8)="J CD BIO"),RIGHT(B223,LEN(B223)-9),
IF(AND(D223="Juvenile Audiobook",LEFT(B223,8)="J CD FIC"),B223,
IF(D223="Juvenile Audiobook",RIGHT(B223,LEN(B223)-5),
IF(AND(D223="Teen Audiobook",LEFT(B223,11)="TEEN CD BIO"),RIGHT(B223,LEN(B223)-12),
IF(AND(D223="Teen Audiobook",LEFT(B223,11)="TEEN CD FIC"),B223,
IF(D223="Juvenile Audiobook",RIGHT(B223,LEN(B223)-8),
IF(D223="Juvenile Nonfiction",RIGHT(B223,LEN(B223)-2),
IF(D223="Teen Nonfiction",RIGHT(B223,LEN(B223)-5),
IF(AND(D223="Audiobook",
              NOT(OR(Contains($B223,"CD BIO"),Contains($B223,"CD FIC")))),RIGHT(B223,LEN(B223)-3),
IF(D223="Juvenile Biography",RIGHT(B223,LEN(B223)-2),
IF(D223="Teen Biography",RIGHT(B223,LEN(B223)-5),
IF(AND(D223="Audiobook",
              IFERROR(FIND("BIO",$B223)&gt;0,FALSE)),RIGHT(B223,LEN(B223)-3),
IF(D223="Juvenile Large Type","J "&amp;RIGHT(B223,LEN(B223)-11),
IF(D223="Teen Large Type","TEEN "&amp;RIGHT(B223,LEN(B223)-14),
IF(D223="Reference",RIGHT(B223,LEN(B223)-4),
IF(D223="DVD Educational",RIGHT(B223,LEN(B223)-7),
IF(D223="Juvenile DVD Educational",RIGHT(B223,LEN(B223)-9),
B223)))))))))))))))))</f>
        <v/>
      </c>
      <c r="N223" s="11" t="str">
        <f ca="1">IF(IFERROR(FIND("New",$A223)&gt;0,FALSE),"New ","") &amp; IF(IFERROR(FIND("In Lib",$A223)&gt;0,FALSE),"Reference ","") &amp;
IF(AND(D223="Audiobook",LEFT(B223,6)="CD BIO"),"Biography",
IF(AND(D223="Teen Audiobook",LEFT(B223,11)="TEEN CD BIO"),"Biography",
IF(AND(D223="Juvenile Audiobook",LEFT(B223,8)="J CD BIO"),"Biography",
IF(AND(D223="Audiobook",LEFT(B223,6)="CD FIC"),"Audiobook Fiction",
IF(AND(D223="Teen Audiobook",LEFT(B223,11)="TEEN CD FIC"),"Teen Audiobook",
IF(AND(D223="Juvenile Audiobook",LEFT(B223,8)="J CD FIC"),"Juvenile Audiobook",
IF(D223="Audiobook","Nonfiction",
IF(D223="Juvenile Audiobook","Nonfiction",
IF(D223="Teen Audiobook","Nonfiction",
IF(D223="Juvenile Nonfiction","Nonfiction",
IF(D223="Teen Nonfiction","Nonfiction",
IF(D223="Juvenile Biography","Biography",
IF(D223="Teen Biography","Biography",
IF(D223="ESL","Nonfiction",
IF(LEFT(B223,11)="INTL-VIE J ","International Juvenile",IF(LEFT(B223,11)="INTL-TAG J ","International Juvenile",IF(LEFT(B223,11)="INTL-RUS J ","International Juvenile",IF(LEFT(B223,11)="INTL-KOR J ","International Juvenile",IF(LEFT(B223,11)="INTL-JAP J ","International Juvenile",IF(LEFT(B223,11)="INTL-CHI J ","International Juvenile",IF(LEFT(B223,11)="INTL-SPA J ","International Juvenile",IF(LEFT(B223,14)="INTL-VIE TEEN ","International Teen",IF(LEFT(B223,14)="INTL-TAG TEEN ","International Teen",IF(LEFT(B223,14)="INTL-RUS TEEN ","International Teen",IF(LEFT(B223,14)="INTL-KOR TEEN ","International Teen",IF(LEFT(B223,14)="INTL-JAP TEEN ","International Teen",IF(LEFT(B223,14)="INTL-CHI TEEN ","International Teen",IF(LEFT(B223,14)="INTL-SPA TEEN ","International Teen",IF(LEFT(B223,11)="INTL-VIE E ","International Easy",IF(LEFT(B223,11)="INTL-TAG E ","International Easy",IF(LEFT(B223,11)="INTL-RUS E ","International Easy",IF(LEFT(B223,11)="INTL-JAP E ","International Easy",IF(LEFT(B223,11)="INTL-KOR E ","International Easy",IF(LEFT(B223,11)="INTL-CHI E ","International Easy",IF(LEFT(B223,11)="INTL-SPA E ","International Easy",
IF(D223="Teen Large Type","Teen Fiction",
IF(D223="Juvenile Large Type","Juvenile Fiction",
IF(LEFT(B223,6)="J CD O","Juvenile Compact Disc",
IF(AND(LEFT(B223,4)="TEEN",D223="Fiction"),"Teen Fiction",
IF(D223="DVD Educational","Nonfiction",
IF(D223="Juvenile DVD Educational","Nonfiction",
IF(D223="Reference","Nonfiction",
D223))))))))))))))))))))))))))))))))))))))))))</f>
        <v/>
      </c>
    </row>
    <row r="224" spans="1:14" ht="27" customHeight="1" x14ac:dyDescent="0.25">
      <c r="A224" s="10" t="str">
        <f ca="1">TEXT( INDIRECT( ADDRESS( ROW() + Row_Offset, INDIRECT( "Column_Number_" &amp; A$1), 4,1, tabname) ), "")</f>
        <v/>
      </c>
      <c r="B224" s="10" t="str">
        <f ca="1">TEXT(  IFERROR( VLOOKUP( $D224, CollName_Simplifier_Table[], 2, FALSE),"") &amp;
        INDIRECT( ADDRESS( ROW() + Row_Offset, INDIRECT( "Column_Number_" &amp; $B$1), 4,1, tabname) ), "")</f>
        <v/>
      </c>
      <c r="C224" s="10" t="str">
        <f ca="1">TEXT( INDIRECT( ADDRESS( ROW() + Row_Offset, INDIRECT( "Column_Number_" &amp; C$1), 4,1, tabname) ), "")</f>
        <v/>
      </c>
      <c r="D224" s="10" t="str">
        <f ca="1">TEXT( INDIRECT( ADDRESS( ROW() + Row_Offset, INDIRECT( "Column_Number_" &amp; D$1), 4,1, tabname) ), "")</f>
        <v/>
      </c>
      <c r="E224" s="10" t="str">
        <f ca="1">TEXT( INDIRECT( ADDRESS( ROW() + Row_Offset, INDIRECT( "Column_Number_" &amp; E$1), 4,1, tabname) ), "####")</f>
        <v/>
      </c>
      <c r="F224" s="15"/>
      <c r="G224" s="22" t="str">
        <f ca="1">IFERROR(INDEX(Rank_Table[],MATCH($D224&amp;$A224,Table4[Join],0)),"")</f>
        <v/>
      </c>
      <c r="H224" s="11" t="str">
        <f ca="1">IF(AND(D224="Juvenile Audiobook",LEFT(B224,8)="J CD BIO"),RIGHT(B224,LEN(B224)-9),
IF(AND(D224="Juvenile Audiobook",LEFT(B224,8)="J CD FIC"),B224,
IF(D224="Juvenile Audiobook",RIGHT(B224,LEN(B224)-5),
IF(AND(D224="Teen Audiobook",LEFT(B224,11)="TEEN CD BIO"),RIGHT(B224,LEN(B224)-12),
IF(AND(D224="Teen Audiobook",LEFT(B224,11)="TEEN CD FIC"),B224,
IF(D224="Juvenile Audiobook",RIGHT(B224,LEN(B224)-8),
IF(D224="Juvenile Nonfiction",RIGHT(B224,LEN(B224)-2),
IF(D224="Teen Nonfiction",RIGHT(B224,LEN(B224)-5),
IF(AND(D224="Audiobook",
              NOT(OR(Contains($B224,"CD BIO"),Contains($B224,"CD FIC")))),RIGHT(B224,LEN(B224)-3),
IF(D224="Juvenile Biography",RIGHT(B224,LEN(B224)-2),
IF(D224="Teen Biography",RIGHT(B224,LEN(B224)-5),
IF(AND(D224="Audiobook",
              IFERROR(FIND("BIO",$B224)&gt;0,FALSE)),RIGHT(B224,LEN(B224)-3),
IF(D224="Juvenile Large Type","J "&amp;RIGHT(B224,LEN(B224)-11),
IF(D224="Teen Large Type","TEEN "&amp;RIGHT(B224,LEN(B224)-14),
IF(D224="Reference",RIGHT(B224,LEN(B224)-4),
IF(D224="DVD Educational",RIGHT(B224,LEN(B224)-7),
IF(D224="Juvenile DVD Educational",RIGHT(B224,LEN(B224)-9),
B224)))))))))))))))))</f>
        <v/>
      </c>
      <c r="N224" s="11" t="str">
        <f ca="1">IF(IFERROR(FIND("New",$A224)&gt;0,FALSE),"New ","") &amp; IF(IFERROR(FIND("In Lib",$A224)&gt;0,FALSE),"Reference ","") &amp;
IF(AND(D224="Audiobook",LEFT(B224,6)="CD BIO"),"Biography",
IF(AND(D224="Teen Audiobook",LEFT(B224,11)="TEEN CD BIO"),"Biography",
IF(AND(D224="Juvenile Audiobook",LEFT(B224,8)="J CD BIO"),"Biography",
IF(AND(D224="Audiobook",LEFT(B224,6)="CD FIC"),"Audiobook Fiction",
IF(AND(D224="Teen Audiobook",LEFT(B224,11)="TEEN CD FIC"),"Teen Audiobook",
IF(AND(D224="Juvenile Audiobook",LEFT(B224,8)="J CD FIC"),"Juvenile Audiobook",
IF(D224="Audiobook","Nonfiction",
IF(D224="Juvenile Audiobook","Nonfiction",
IF(D224="Teen Audiobook","Nonfiction",
IF(D224="Juvenile Nonfiction","Nonfiction",
IF(D224="Teen Nonfiction","Nonfiction",
IF(D224="Juvenile Biography","Biography",
IF(D224="Teen Biography","Biography",
IF(D224="ESL","Nonfiction",
IF(LEFT(B224,11)="INTL-VIE J ","International Juvenile",IF(LEFT(B224,11)="INTL-TAG J ","International Juvenile",IF(LEFT(B224,11)="INTL-RUS J ","International Juvenile",IF(LEFT(B224,11)="INTL-KOR J ","International Juvenile",IF(LEFT(B224,11)="INTL-JAP J ","International Juvenile",IF(LEFT(B224,11)="INTL-CHI J ","International Juvenile",IF(LEFT(B224,11)="INTL-SPA J ","International Juvenile",IF(LEFT(B224,14)="INTL-VIE TEEN ","International Teen",IF(LEFT(B224,14)="INTL-TAG TEEN ","International Teen",IF(LEFT(B224,14)="INTL-RUS TEEN ","International Teen",IF(LEFT(B224,14)="INTL-KOR TEEN ","International Teen",IF(LEFT(B224,14)="INTL-JAP TEEN ","International Teen",IF(LEFT(B224,14)="INTL-CHI TEEN ","International Teen",IF(LEFT(B224,14)="INTL-SPA TEEN ","International Teen",IF(LEFT(B224,11)="INTL-VIE E ","International Easy",IF(LEFT(B224,11)="INTL-TAG E ","International Easy",IF(LEFT(B224,11)="INTL-RUS E ","International Easy",IF(LEFT(B224,11)="INTL-JAP E ","International Easy",IF(LEFT(B224,11)="INTL-KOR E ","International Easy",IF(LEFT(B224,11)="INTL-CHI E ","International Easy",IF(LEFT(B224,11)="INTL-SPA E ","International Easy",
IF(D224="Teen Large Type","Teen Fiction",
IF(D224="Juvenile Large Type","Juvenile Fiction",
IF(LEFT(B224,6)="J CD O","Juvenile Compact Disc",
IF(AND(LEFT(B224,4)="TEEN",D224="Fiction"),"Teen Fiction",
IF(D224="DVD Educational","Nonfiction",
IF(D224="Juvenile DVD Educational","Nonfiction",
IF(D224="Reference","Nonfiction",
D224))))))))))))))))))))))))))))))))))))))))))</f>
        <v/>
      </c>
    </row>
    <row r="225" spans="1:14" ht="27" customHeight="1" x14ac:dyDescent="0.25">
      <c r="A225" s="10" t="str">
        <f ca="1">TEXT( INDIRECT( ADDRESS( ROW() + Row_Offset, INDIRECT( "Column_Number_" &amp; A$1), 4,1, tabname) ), "")</f>
        <v/>
      </c>
      <c r="B225" s="10" t="str">
        <f ca="1">TEXT(  IFERROR( VLOOKUP( $D225, CollName_Simplifier_Table[], 2, FALSE),"") &amp;
        INDIRECT( ADDRESS( ROW() + Row_Offset, INDIRECT( "Column_Number_" &amp; $B$1), 4,1, tabname) ), "")</f>
        <v/>
      </c>
      <c r="C225" s="10" t="str">
        <f ca="1">TEXT( INDIRECT( ADDRESS( ROW() + Row_Offset, INDIRECT( "Column_Number_" &amp; C$1), 4,1, tabname) ), "")</f>
        <v/>
      </c>
      <c r="D225" s="10" t="str">
        <f ca="1">TEXT( INDIRECT( ADDRESS( ROW() + Row_Offset, INDIRECT( "Column_Number_" &amp; D$1), 4,1, tabname) ), "")</f>
        <v/>
      </c>
      <c r="E225" s="10" t="str">
        <f ca="1">TEXT( INDIRECT( ADDRESS( ROW() + Row_Offset, INDIRECT( "Column_Number_" &amp; E$1), 4,1, tabname) ), "####")</f>
        <v/>
      </c>
      <c r="F225" s="15"/>
      <c r="G225" s="22" t="str">
        <f ca="1">IFERROR(INDEX(Rank_Table[],MATCH($D225&amp;$A225,Table4[Join],0)),"")</f>
        <v/>
      </c>
      <c r="H225" s="11" t="str">
        <f ca="1">IF(AND(D225="Juvenile Audiobook",LEFT(B225,8)="J CD BIO"),RIGHT(B225,LEN(B225)-9),
IF(AND(D225="Juvenile Audiobook",LEFT(B225,8)="J CD FIC"),B225,
IF(D225="Juvenile Audiobook",RIGHT(B225,LEN(B225)-5),
IF(AND(D225="Teen Audiobook",LEFT(B225,11)="TEEN CD BIO"),RIGHT(B225,LEN(B225)-12),
IF(AND(D225="Teen Audiobook",LEFT(B225,11)="TEEN CD FIC"),B225,
IF(D225="Juvenile Audiobook",RIGHT(B225,LEN(B225)-8),
IF(D225="Juvenile Nonfiction",RIGHT(B225,LEN(B225)-2),
IF(D225="Teen Nonfiction",RIGHT(B225,LEN(B225)-5),
IF(AND(D225="Audiobook",
              NOT(OR(Contains($B225,"CD BIO"),Contains($B225,"CD FIC")))),RIGHT(B225,LEN(B225)-3),
IF(D225="Juvenile Biography",RIGHT(B225,LEN(B225)-2),
IF(D225="Teen Biography",RIGHT(B225,LEN(B225)-5),
IF(AND(D225="Audiobook",
              IFERROR(FIND("BIO",$B225)&gt;0,FALSE)),RIGHT(B225,LEN(B225)-3),
IF(D225="Juvenile Large Type","J "&amp;RIGHT(B225,LEN(B225)-11),
IF(D225="Teen Large Type","TEEN "&amp;RIGHT(B225,LEN(B225)-14),
IF(D225="Reference",RIGHT(B225,LEN(B225)-4),
IF(D225="DVD Educational",RIGHT(B225,LEN(B225)-7),
IF(D225="Juvenile DVD Educational",RIGHT(B225,LEN(B225)-9),
B225)))))))))))))))))</f>
        <v/>
      </c>
      <c r="N225" s="11" t="str">
        <f ca="1">IF(IFERROR(FIND("New",$A225)&gt;0,FALSE),"New ","") &amp; IF(IFERROR(FIND("In Lib",$A225)&gt;0,FALSE),"Reference ","") &amp;
IF(AND(D225="Audiobook",LEFT(B225,6)="CD BIO"),"Biography",
IF(AND(D225="Teen Audiobook",LEFT(B225,11)="TEEN CD BIO"),"Biography",
IF(AND(D225="Juvenile Audiobook",LEFT(B225,8)="J CD BIO"),"Biography",
IF(AND(D225="Audiobook",LEFT(B225,6)="CD FIC"),"Audiobook Fiction",
IF(AND(D225="Teen Audiobook",LEFT(B225,11)="TEEN CD FIC"),"Teen Audiobook",
IF(AND(D225="Juvenile Audiobook",LEFT(B225,8)="J CD FIC"),"Juvenile Audiobook",
IF(D225="Audiobook","Nonfiction",
IF(D225="Juvenile Audiobook","Nonfiction",
IF(D225="Teen Audiobook","Nonfiction",
IF(D225="Juvenile Nonfiction","Nonfiction",
IF(D225="Teen Nonfiction","Nonfiction",
IF(D225="Juvenile Biography","Biography",
IF(D225="Teen Biography","Biography",
IF(D225="ESL","Nonfiction",
IF(LEFT(B225,11)="INTL-VIE J ","International Juvenile",IF(LEFT(B225,11)="INTL-TAG J ","International Juvenile",IF(LEFT(B225,11)="INTL-RUS J ","International Juvenile",IF(LEFT(B225,11)="INTL-KOR J ","International Juvenile",IF(LEFT(B225,11)="INTL-JAP J ","International Juvenile",IF(LEFT(B225,11)="INTL-CHI J ","International Juvenile",IF(LEFT(B225,11)="INTL-SPA J ","International Juvenile",IF(LEFT(B225,14)="INTL-VIE TEEN ","International Teen",IF(LEFT(B225,14)="INTL-TAG TEEN ","International Teen",IF(LEFT(B225,14)="INTL-RUS TEEN ","International Teen",IF(LEFT(B225,14)="INTL-KOR TEEN ","International Teen",IF(LEFT(B225,14)="INTL-JAP TEEN ","International Teen",IF(LEFT(B225,14)="INTL-CHI TEEN ","International Teen",IF(LEFT(B225,14)="INTL-SPA TEEN ","International Teen",IF(LEFT(B225,11)="INTL-VIE E ","International Easy",IF(LEFT(B225,11)="INTL-TAG E ","International Easy",IF(LEFT(B225,11)="INTL-RUS E ","International Easy",IF(LEFT(B225,11)="INTL-JAP E ","International Easy",IF(LEFT(B225,11)="INTL-KOR E ","International Easy",IF(LEFT(B225,11)="INTL-CHI E ","International Easy",IF(LEFT(B225,11)="INTL-SPA E ","International Easy",
IF(D225="Teen Large Type","Teen Fiction",
IF(D225="Juvenile Large Type","Juvenile Fiction",
IF(LEFT(B225,6)="J CD O","Juvenile Compact Disc",
IF(AND(LEFT(B225,4)="TEEN",D225="Fiction"),"Teen Fiction",
IF(D225="DVD Educational","Nonfiction",
IF(D225="Juvenile DVD Educational","Nonfiction",
IF(D225="Reference","Nonfiction",
D225))))))))))))))))))))))))))))))))))))))))))</f>
        <v/>
      </c>
    </row>
    <row r="226" spans="1:14" ht="27" customHeight="1" x14ac:dyDescent="0.25">
      <c r="A226" s="10" t="str">
        <f ca="1">TEXT( INDIRECT( ADDRESS( ROW() + Row_Offset, INDIRECT( "Column_Number_" &amp; A$1), 4,1, tabname) ), "")</f>
        <v/>
      </c>
      <c r="B226" s="10" t="str">
        <f ca="1">TEXT(  IFERROR( VLOOKUP( $D226, CollName_Simplifier_Table[], 2, FALSE),"") &amp;
        INDIRECT( ADDRESS( ROW() + Row_Offset, INDIRECT( "Column_Number_" &amp; $B$1), 4,1, tabname) ), "")</f>
        <v/>
      </c>
      <c r="C226" s="10" t="str">
        <f ca="1">TEXT( INDIRECT( ADDRESS( ROW() + Row_Offset, INDIRECT( "Column_Number_" &amp; C$1), 4,1, tabname) ), "")</f>
        <v/>
      </c>
      <c r="D226" s="10" t="str">
        <f ca="1">TEXT( INDIRECT( ADDRESS( ROW() + Row_Offset, INDIRECT( "Column_Number_" &amp; D$1), 4,1, tabname) ), "")</f>
        <v/>
      </c>
      <c r="E226" s="10" t="str">
        <f ca="1">TEXT( INDIRECT( ADDRESS( ROW() + Row_Offset, INDIRECT( "Column_Number_" &amp; E$1), 4,1, tabname) ), "####")</f>
        <v/>
      </c>
      <c r="F226" s="15"/>
      <c r="G226" s="22" t="str">
        <f ca="1">IFERROR(INDEX(Rank_Table[],MATCH($D226&amp;$A226,Table4[Join],0)),"")</f>
        <v/>
      </c>
      <c r="H226" s="11" t="str">
        <f ca="1">IF(AND(D226="Juvenile Audiobook",LEFT(B226,8)="J CD BIO"),RIGHT(B226,LEN(B226)-9),
IF(AND(D226="Juvenile Audiobook",LEFT(B226,8)="J CD FIC"),B226,
IF(D226="Juvenile Audiobook",RIGHT(B226,LEN(B226)-5),
IF(AND(D226="Teen Audiobook",LEFT(B226,11)="TEEN CD BIO"),RIGHT(B226,LEN(B226)-12),
IF(AND(D226="Teen Audiobook",LEFT(B226,11)="TEEN CD FIC"),B226,
IF(D226="Juvenile Audiobook",RIGHT(B226,LEN(B226)-8),
IF(D226="Juvenile Nonfiction",RIGHT(B226,LEN(B226)-2),
IF(D226="Teen Nonfiction",RIGHT(B226,LEN(B226)-5),
IF(AND(D226="Audiobook",
              NOT(OR(Contains($B226,"CD BIO"),Contains($B226,"CD FIC")))),RIGHT(B226,LEN(B226)-3),
IF(D226="Juvenile Biography",RIGHT(B226,LEN(B226)-2),
IF(D226="Teen Biography",RIGHT(B226,LEN(B226)-5),
IF(AND(D226="Audiobook",
              IFERROR(FIND("BIO",$B226)&gt;0,FALSE)),RIGHT(B226,LEN(B226)-3),
IF(D226="Juvenile Large Type","J "&amp;RIGHT(B226,LEN(B226)-11),
IF(D226="Teen Large Type","TEEN "&amp;RIGHT(B226,LEN(B226)-14),
IF(D226="Reference",RIGHT(B226,LEN(B226)-4),
IF(D226="DVD Educational",RIGHT(B226,LEN(B226)-7),
IF(D226="Juvenile DVD Educational",RIGHT(B226,LEN(B226)-9),
B226)))))))))))))))))</f>
        <v/>
      </c>
      <c r="N226" s="11" t="str">
        <f ca="1">IF(IFERROR(FIND("New",$A226)&gt;0,FALSE),"New ","") &amp; IF(IFERROR(FIND("In Lib",$A226)&gt;0,FALSE),"Reference ","") &amp;
IF(AND(D226="Audiobook",LEFT(B226,6)="CD BIO"),"Biography",
IF(AND(D226="Teen Audiobook",LEFT(B226,11)="TEEN CD BIO"),"Biography",
IF(AND(D226="Juvenile Audiobook",LEFT(B226,8)="J CD BIO"),"Biography",
IF(AND(D226="Audiobook",LEFT(B226,6)="CD FIC"),"Audiobook Fiction",
IF(AND(D226="Teen Audiobook",LEFT(B226,11)="TEEN CD FIC"),"Teen Audiobook",
IF(AND(D226="Juvenile Audiobook",LEFT(B226,8)="J CD FIC"),"Juvenile Audiobook",
IF(D226="Audiobook","Nonfiction",
IF(D226="Juvenile Audiobook","Nonfiction",
IF(D226="Teen Audiobook","Nonfiction",
IF(D226="Juvenile Nonfiction","Nonfiction",
IF(D226="Teen Nonfiction","Nonfiction",
IF(D226="Juvenile Biography","Biography",
IF(D226="Teen Biography","Biography",
IF(D226="ESL","Nonfiction",
IF(LEFT(B226,11)="INTL-VIE J ","International Juvenile",IF(LEFT(B226,11)="INTL-TAG J ","International Juvenile",IF(LEFT(B226,11)="INTL-RUS J ","International Juvenile",IF(LEFT(B226,11)="INTL-KOR J ","International Juvenile",IF(LEFT(B226,11)="INTL-JAP J ","International Juvenile",IF(LEFT(B226,11)="INTL-CHI J ","International Juvenile",IF(LEFT(B226,11)="INTL-SPA J ","International Juvenile",IF(LEFT(B226,14)="INTL-VIE TEEN ","International Teen",IF(LEFT(B226,14)="INTL-TAG TEEN ","International Teen",IF(LEFT(B226,14)="INTL-RUS TEEN ","International Teen",IF(LEFT(B226,14)="INTL-KOR TEEN ","International Teen",IF(LEFT(B226,14)="INTL-JAP TEEN ","International Teen",IF(LEFT(B226,14)="INTL-CHI TEEN ","International Teen",IF(LEFT(B226,14)="INTL-SPA TEEN ","International Teen",IF(LEFT(B226,11)="INTL-VIE E ","International Easy",IF(LEFT(B226,11)="INTL-TAG E ","International Easy",IF(LEFT(B226,11)="INTL-RUS E ","International Easy",IF(LEFT(B226,11)="INTL-JAP E ","International Easy",IF(LEFT(B226,11)="INTL-KOR E ","International Easy",IF(LEFT(B226,11)="INTL-CHI E ","International Easy",IF(LEFT(B226,11)="INTL-SPA E ","International Easy",
IF(D226="Teen Large Type","Teen Fiction",
IF(D226="Juvenile Large Type","Juvenile Fiction",
IF(LEFT(B226,6)="J CD O","Juvenile Compact Disc",
IF(AND(LEFT(B226,4)="TEEN",D226="Fiction"),"Teen Fiction",
IF(D226="DVD Educational","Nonfiction",
IF(D226="Juvenile DVD Educational","Nonfiction",
IF(D226="Reference","Nonfiction",
D226))))))))))))))))))))))))))))))))))))))))))</f>
        <v/>
      </c>
    </row>
    <row r="227" spans="1:14" ht="27" customHeight="1" x14ac:dyDescent="0.25">
      <c r="A227" s="10" t="str">
        <f ca="1">TEXT( INDIRECT( ADDRESS( ROW() + Row_Offset, INDIRECT( "Column_Number_" &amp; A$1), 4,1, tabname) ), "")</f>
        <v/>
      </c>
      <c r="B227" s="10" t="str">
        <f ca="1">TEXT(  IFERROR( VLOOKUP( $D227, CollName_Simplifier_Table[], 2, FALSE),"") &amp;
        INDIRECT( ADDRESS( ROW() + Row_Offset, INDIRECT( "Column_Number_" &amp; $B$1), 4,1, tabname) ), "")</f>
        <v/>
      </c>
      <c r="C227" s="10" t="str">
        <f ca="1">TEXT( INDIRECT( ADDRESS( ROW() + Row_Offset, INDIRECT( "Column_Number_" &amp; C$1), 4,1, tabname) ), "")</f>
        <v/>
      </c>
      <c r="D227" s="10" t="str">
        <f ca="1">TEXT( INDIRECT( ADDRESS( ROW() + Row_Offset, INDIRECT( "Column_Number_" &amp; D$1), 4,1, tabname) ), "")</f>
        <v/>
      </c>
      <c r="E227" s="10" t="str">
        <f ca="1">TEXT( INDIRECT( ADDRESS( ROW() + Row_Offset, INDIRECT( "Column_Number_" &amp; E$1), 4,1, tabname) ), "####")</f>
        <v/>
      </c>
      <c r="F227" s="15"/>
      <c r="G227" s="22" t="str">
        <f ca="1">IFERROR(INDEX(Rank_Table[],MATCH($D227&amp;$A227,Table4[Join],0)),"")</f>
        <v/>
      </c>
      <c r="H227" s="11" t="str">
        <f ca="1">IF(AND(D227="Juvenile Audiobook",LEFT(B227,8)="J CD BIO"),RIGHT(B227,LEN(B227)-9),
IF(AND(D227="Juvenile Audiobook",LEFT(B227,8)="J CD FIC"),B227,
IF(D227="Juvenile Audiobook",RIGHT(B227,LEN(B227)-5),
IF(AND(D227="Teen Audiobook",LEFT(B227,11)="TEEN CD BIO"),RIGHT(B227,LEN(B227)-12),
IF(AND(D227="Teen Audiobook",LEFT(B227,11)="TEEN CD FIC"),B227,
IF(D227="Juvenile Audiobook",RIGHT(B227,LEN(B227)-8),
IF(D227="Juvenile Nonfiction",RIGHT(B227,LEN(B227)-2),
IF(D227="Teen Nonfiction",RIGHT(B227,LEN(B227)-5),
IF(AND(D227="Audiobook",
              NOT(OR(Contains($B227,"CD BIO"),Contains($B227,"CD FIC")))),RIGHT(B227,LEN(B227)-3),
IF(D227="Juvenile Biography",RIGHT(B227,LEN(B227)-2),
IF(D227="Teen Biography",RIGHT(B227,LEN(B227)-5),
IF(AND(D227="Audiobook",
              IFERROR(FIND("BIO",$B227)&gt;0,FALSE)),RIGHT(B227,LEN(B227)-3),
IF(D227="Juvenile Large Type","J "&amp;RIGHT(B227,LEN(B227)-11),
IF(D227="Teen Large Type","TEEN "&amp;RIGHT(B227,LEN(B227)-14),
IF(D227="Reference",RIGHT(B227,LEN(B227)-4),
IF(D227="DVD Educational",RIGHT(B227,LEN(B227)-7),
IF(D227="Juvenile DVD Educational",RIGHT(B227,LEN(B227)-9),
B227)))))))))))))))))</f>
        <v/>
      </c>
      <c r="N227" s="11" t="str">
        <f ca="1">IF(IFERROR(FIND("New",$A227)&gt;0,FALSE),"New ","") &amp; IF(IFERROR(FIND("In Lib",$A227)&gt;0,FALSE),"Reference ","") &amp;
IF(AND(D227="Audiobook",LEFT(B227,6)="CD BIO"),"Biography",
IF(AND(D227="Teen Audiobook",LEFT(B227,11)="TEEN CD BIO"),"Biography",
IF(AND(D227="Juvenile Audiobook",LEFT(B227,8)="J CD BIO"),"Biography",
IF(AND(D227="Audiobook",LEFT(B227,6)="CD FIC"),"Audiobook Fiction",
IF(AND(D227="Teen Audiobook",LEFT(B227,11)="TEEN CD FIC"),"Teen Audiobook",
IF(AND(D227="Juvenile Audiobook",LEFT(B227,8)="J CD FIC"),"Juvenile Audiobook",
IF(D227="Audiobook","Nonfiction",
IF(D227="Juvenile Audiobook","Nonfiction",
IF(D227="Teen Audiobook","Nonfiction",
IF(D227="Juvenile Nonfiction","Nonfiction",
IF(D227="Teen Nonfiction","Nonfiction",
IF(D227="Juvenile Biography","Biography",
IF(D227="Teen Biography","Biography",
IF(D227="ESL","Nonfiction",
IF(LEFT(B227,11)="INTL-VIE J ","International Juvenile",IF(LEFT(B227,11)="INTL-TAG J ","International Juvenile",IF(LEFT(B227,11)="INTL-RUS J ","International Juvenile",IF(LEFT(B227,11)="INTL-KOR J ","International Juvenile",IF(LEFT(B227,11)="INTL-JAP J ","International Juvenile",IF(LEFT(B227,11)="INTL-CHI J ","International Juvenile",IF(LEFT(B227,11)="INTL-SPA J ","International Juvenile",IF(LEFT(B227,14)="INTL-VIE TEEN ","International Teen",IF(LEFT(B227,14)="INTL-TAG TEEN ","International Teen",IF(LEFT(B227,14)="INTL-RUS TEEN ","International Teen",IF(LEFT(B227,14)="INTL-KOR TEEN ","International Teen",IF(LEFT(B227,14)="INTL-JAP TEEN ","International Teen",IF(LEFT(B227,14)="INTL-CHI TEEN ","International Teen",IF(LEFT(B227,14)="INTL-SPA TEEN ","International Teen",IF(LEFT(B227,11)="INTL-VIE E ","International Easy",IF(LEFT(B227,11)="INTL-TAG E ","International Easy",IF(LEFT(B227,11)="INTL-RUS E ","International Easy",IF(LEFT(B227,11)="INTL-JAP E ","International Easy",IF(LEFT(B227,11)="INTL-KOR E ","International Easy",IF(LEFT(B227,11)="INTL-CHI E ","International Easy",IF(LEFT(B227,11)="INTL-SPA E ","International Easy",
IF(D227="Teen Large Type","Teen Fiction",
IF(D227="Juvenile Large Type","Juvenile Fiction",
IF(LEFT(B227,6)="J CD O","Juvenile Compact Disc",
IF(AND(LEFT(B227,4)="TEEN",D227="Fiction"),"Teen Fiction",
IF(D227="DVD Educational","Nonfiction",
IF(D227="Juvenile DVD Educational","Nonfiction",
IF(D227="Reference","Nonfiction",
D227))))))))))))))))))))))))))))))))))))))))))</f>
        <v/>
      </c>
    </row>
    <row r="228" spans="1:14" ht="27" customHeight="1" x14ac:dyDescent="0.25">
      <c r="A228" s="10" t="str">
        <f ca="1">TEXT( INDIRECT( ADDRESS( ROW() + Row_Offset, INDIRECT( "Column_Number_" &amp; A$1), 4,1, tabname) ), "")</f>
        <v/>
      </c>
      <c r="B228" s="10" t="str">
        <f ca="1">TEXT(  IFERROR( VLOOKUP( $D228, CollName_Simplifier_Table[], 2, FALSE),"") &amp;
        INDIRECT( ADDRESS( ROW() + Row_Offset, INDIRECT( "Column_Number_" &amp; $B$1), 4,1, tabname) ), "")</f>
        <v/>
      </c>
      <c r="C228" s="10" t="str">
        <f ca="1">TEXT( INDIRECT( ADDRESS( ROW() + Row_Offset, INDIRECT( "Column_Number_" &amp; C$1), 4,1, tabname) ), "")</f>
        <v/>
      </c>
      <c r="D228" s="10" t="str">
        <f ca="1">TEXT( INDIRECT( ADDRESS( ROW() + Row_Offset, INDIRECT( "Column_Number_" &amp; D$1), 4,1, tabname) ), "")</f>
        <v/>
      </c>
      <c r="E228" s="10" t="str">
        <f ca="1">TEXT( INDIRECT( ADDRESS( ROW() + Row_Offset, INDIRECT( "Column_Number_" &amp; E$1), 4,1, tabname) ), "####")</f>
        <v/>
      </c>
      <c r="F228" s="15"/>
      <c r="G228" s="22" t="str">
        <f ca="1">IFERROR(INDEX(Rank_Table[],MATCH($D228&amp;$A228,Table4[Join],0)),"")</f>
        <v/>
      </c>
      <c r="H228" s="11" t="str">
        <f ca="1">IF(AND(D228="Juvenile Audiobook",LEFT(B228,8)="J CD BIO"),RIGHT(B228,LEN(B228)-9),
IF(AND(D228="Juvenile Audiobook",LEFT(B228,8)="J CD FIC"),B228,
IF(D228="Juvenile Audiobook",RIGHT(B228,LEN(B228)-5),
IF(AND(D228="Teen Audiobook",LEFT(B228,11)="TEEN CD BIO"),RIGHT(B228,LEN(B228)-12),
IF(AND(D228="Teen Audiobook",LEFT(B228,11)="TEEN CD FIC"),B228,
IF(D228="Juvenile Audiobook",RIGHT(B228,LEN(B228)-8),
IF(D228="Juvenile Nonfiction",RIGHT(B228,LEN(B228)-2),
IF(D228="Teen Nonfiction",RIGHT(B228,LEN(B228)-5),
IF(AND(D228="Audiobook",
              NOT(OR(Contains($B228,"CD BIO"),Contains($B228,"CD FIC")))),RIGHT(B228,LEN(B228)-3),
IF(D228="Juvenile Biography",RIGHT(B228,LEN(B228)-2),
IF(D228="Teen Biography",RIGHT(B228,LEN(B228)-5),
IF(AND(D228="Audiobook",
              IFERROR(FIND("BIO",$B228)&gt;0,FALSE)),RIGHT(B228,LEN(B228)-3),
IF(D228="Juvenile Large Type","J "&amp;RIGHT(B228,LEN(B228)-11),
IF(D228="Teen Large Type","TEEN "&amp;RIGHT(B228,LEN(B228)-14),
IF(D228="Reference",RIGHT(B228,LEN(B228)-4),
IF(D228="DVD Educational",RIGHT(B228,LEN(B228)-7),
IF(D228="Juvenile DVD Educational",RIGHT(B228,LEN(B228)-9),
B228)))))))))))))))))</f>
        <v/>
      </c>
      <c r="N228" s="11" t="str">
        <f ca="1">IF(IFERROR(FIND("New",$A228)&gt;0,FALSE),"New ","") &amp; IF(IFERROR(FIND("In Lib",$A228)&gt;0,FALSE),"Reference ","") &amp;
IF(AND(D228="Audiobook",LEFT(B228,6)="CD BIO"),"Biography",
IF(AND(D228="Teen Audiobook",LEFT(B228,11)="TEEN CD BIO"),"Biography",
IF(AND(D228="Juvenile Audiobook",LEFT(B228,8)="J CD BIO"),"Biography",
IF(AND(D228="Audiobook",LEFT(B228,6)="CD FIC"),"Audiobook Fiction",
IF(AND(D228="Teen Audiobook",LEFT(B228,11)="TEEN CD FIC"),"Teen Audiobook",
IF(AND(D228="Juvenile Audiobook",LEFT(B228,8)="J CD FIC"),"Juvenile Audiobook",
IF(D228="Audiobook","Nonfiction",
IF(D228="Juvenile Audiobook","Nonfiction",
IF(D228="Teen Audiobook","Nonfiction",
IF(D228="Juvenile Nonfiction","Nonfiction",
IF(D228="Teen Nonfiction","Nonfiction",
IF(D228="Juvenile Biography","Biography",
IF(D228="Teen Biography","Biography",
IF(D228="ESL","Nonfiction",
IF(LEFT(B228,11)="INTL-VIE J ","International Juvenile",IF(LEFT(B228,11)="INTL-TAG J ","International Juvenile",IF(LEFT(B228,11)="INTL-RUS J ","International Juvenile",IF(LEFT(B228,11)="INTL-KOR J ","International Juvenile",IF(LEFT(B228,11)="INTL-JAP J ","International Juvenile",IF(LEFT(B228,11)="INTL-CHI J ","International Juvenile",IF(LEFT(B228,11)="INTL-SPA J ","International Juvenile",IF(LEFT(B228,14)="INTL-VIE TEEN ","International Teen",IF(LEFT(B228,14)="INTL-TAG TEEN ","International Teen",IF(LEFT(B228,14)="INTL-RUS TEEN ","International Teen",IF(LEFT(B228,14)="INTL-KOR TEEN ","International Teen",IF(LEFT(B228,14)="INTL-JAP TEEN ","International Teen",IF(LEFT(B228,14)="INTL-CHI TEEN ","International Teen",IF(LEFT(B228,14)="INTL-SPA TEEN ","International Teen",IF(LEFT(B228,11)="INTL-VIE E ","International Easy",IF(LEFT(B228,11)="INTL-TAG E ","International Easy",IF(LEFT(B228,11)="INTL-RUS E ","International Easy",IF(LEFT(B228,11)="INTL-JAP E ","International Easy",IF(LEFT(B228,11)="INTL-KOR E ","International Easy",IF(LEFT(B228,11)="INTL-CHI E ","International Easy",IF(LEFT(B228,11)="INTL-SPA E ","International Easy",
IF(D228="Teen Large Type","Teen Fiction",
IF(D228="Juvenile Large Type","Juvenile Fiction",
IF(LEFT(B228,6)="J CD O","Juvenile Compact Disc",
IF(AND(LEFT(B228,4)="TEEN",D228="Fiction"),"Teen Fiction",
IF(D228="DVD Educational","Nonfiction",
IF(D228="Juvenile DVD Educational","Nonfiction",
IF(D228="Reference","Nonfiction",
D228))))))))))))))))))))))))))))))))))))))))))</f>
        <v/>
      </c>
    </row>
    <row r="229" spans="1:14" ht="27" customHeight="1" x14ac:dyDescent="0.25">
      <c r="A229" s="10" t="str">
        <f ca="1">TEXT( INDIRECT( ADDRESS( ROW() + Row_Offset, INDIRECT( "Column_Number_" &amp; A$1), 4,1, tabname) ), "")</f>
        <v/>
      </c>
      <c r="B229" s="10" t="str">
        <f ca="1">TEXT(  IFERROR( VLOOKUP( $D229, CollName_Simplifier_Table[], 2, FALSE),"") &amp;
        INDIRECT( ADDRESS( ROW() + Row_Offset, INDIRECT( "Column_Number_" &amp; $B$1), 4,1, tabname) ), "")</f>
        <v/>
      </c>
      <c r="C229" s="10" t="str">
        <f ca="1">TEXT( INDIRECT( ADDRESS( ROW() + Row_Offset, INDIRECT( "Column_Number_" &amp; C$1), 4,1, tabname) ), "")</f>
        <v/>
      </c>
      <c r="D229" s="10" t="str">
        <f ca="1">TEXT( INDIRECT( ADDRESS( ROW() + Row_Offset, INDIRECT( "Column_Number_" &amp; D$1), 4,1, tabname) ), "")</f>
        <v/>
      </c>
      <c r="E229" s="10" t="str">
        <f ca="1">TEXT( INDIRECT( ADDRESS( ROW() + Row_Offset, INDIRECT( "Column_Number_" &amp; E$1), 4,1, tabname) ), "####")</f>
        <v/>
      </c>
      <c r="F229" s="15"/>
      <c r="G229" s="22" t="str">
        <f ca="1">IFERROR(INDEX(Rank_Table[],MATCH($D229&amp;$A229,Table4[Join],0)),"")</f>
        <v/>
      </c>
      <c r="H229" s="11" t="str">
        <f ca="1">IF(AND(D229="Juvenile Audiobook",LEFT(B229,8)="J CD BIO"),RIGHT(B229,LEN(B229)-9),
IF(AND(D229="Juvenile Audiobook",LEFT(B229,8)="J CD FIC"),B229,
IF(D229="Juvenile Audiobook",RIGHT(B229,LEN(B229)-5),
IF(AND(D229="Teen Audiobook",LEFT(B229,11)="TEEN CD BIO"),RIGHT(B229,LEN(B229)-12),
IF(AND(D229="Teen Audiobook",LEFT(B229,11)="TEEN CD FIC"),B229,
IF(D229="Juvenile Audiobook",RIGHT(B229,LEN(B229)-8),
IF(D229="Juvenile Nonfiction",RIGHT(B229,LEN(B229)-2),
IF(D229="Teen Nonfiction",RIGHT(B229,LEN(B229)-5),
IF(AND(D229="Audiobook",
              NOT(OR(Contains($B229,"CD BIO"),Contains($B229,"CD FIC")))),RIGHT(B229,LEN(B229)-3),
IF(D229="Juvenile Biography",RIGHT(B229,LEN(B229)-2),
IF(D229="Teen Biography",RIGHT(B229,LEN(B229)-5),
IF(AND(D229="Audiobook",
              IFERROR(FIND("BIO",$B229)&gt;0,FALSE)),RIGHT(B229,LEN(B229)-3),
IF(D229="Juvenile Large Type","J "&amp;RIGHT(B229,LEN(B229)-11),
IF(D229="Teen Large Type","TEEN "&amp;RIGHT(B229,LEN(B229)-14),
IF(D229="Reference",RIGHT(B229,LEN(B229)-4),
IF(D229="DVD Educational",RIGHT(B229,LEN(B229)-7),
IF(D229="Juvenile DVD Educational",RIGHT(B229,LEN(B229)-9),
B229)))))))))))))))))</f>
        <v/>
      </c>
      <c r="N229" s="11" t="str">
        <f ca="1">IF(IFERROR(FIND("New",$A229)&gt;0,FALSE),"New ","") &amp; IF(IFERROR(FIND("In Lib",$A229)&gt;0,FALSE),"Reference ","") &amp;
IF(AND(D229="Audiobook",LEFT(B229,6)="CD BIO"),"Biography",
IF(AND(D229="Teen Audiobook",LEFT(B229,11)="TEEN CD BIO"),"Biography",
IF(AND(D229="Juvenile Audiobook",LEFT(B229,8)="J CD BIO"),"Biography",
IF(AND(D229="Audiobook",LEFT(B229,6)="CD FIC"),"Audiobook Fiction",
IF(AND(D229="Teen Audiobook",LEFT(B229,11)="TEEN CD FIC"),"Teen Audiobook",
IF(AND(D229="Juvenile Audiobook",LEFT(B229,8)="J CD FIC"),"Juvenile Audiobook",
IF(D229="Audiobook","Nonfiction",
IF(D229="Juvenile Audiobook","Nonfiction",
IF(D229="Teen Audiobook","Nonfiction",
IF(D229="Juvenile Nonfiction","Nonfiction",
IF(D229="Teen Nonfiction","Nonfiction",
IF(D229="Juvenile Biography","Biography",
IF(D229="Teen Biography","Biography",
IF(D229="ESL","Nonfiction",
IF(LEFT(B229,11)="INTL-VIE J ","International Juvenile",IF(LEFT(B229,11)="INTL-TAG J ","International Juvenile",IF(LEFT(B229,11)="INTL-RUS J ","International Juvenile",IF(LEFT(B229,11)="INTL-KOR J ","International Juvenile",IF(LEFT(B229,11)="INTL-JAP J ","International Juvenile",IF(LEFT(B229,11)="INTL-CHI J ","International Juvenile",IF(LEFT(B229,11)="INTL-SPA J ","International Juvenile",IF(LEFT(B229,14)="INTL-VIE TEEN ","International Teen",IF(LEFT(B229,14)="INTL-TAG TEEN ","International Teen",IF(LEFT(B229,14)="INTL-RUS TEEN ","International Teen",IF(LEFT(B229,14)="INTL-KOR TEEN ","International Teen",IF(LEFT(B229,14)="INTL-JAP TEEN ","International Teen",IF(LEFT(B229,14)="INTL-CHI TEEN ","International Teen",IF(LEFT(B229,14)="INTL-SPA TEEN ","International Teen",IF(LEFT(B229,11)="INTL-VIE E ","International Easy",IF(LEFT(B229,11)="INTL-TAG E ","International Easy",IF(LEFT(B229,11)="INTL-RUS E ","International Easy",IF(LEFT(B229,11)="INTL-JAP E ","International Easy",IF(LEFT(B229,11)="INTL-KOR E ","International Easy",IF(LEFT(B229,11)="INTL-CHI E ","International Easy",IF(LEFT(B229,11)="INTL-SPA E ","International Easy",
IF(D229="Teen Large Type","Teen Fiction",
IF(D229="Juvenile Large Type","Juvenile Fiction",
IF(LEFT(B229,6)="J CD O","Juvenile Compact Disc",
IF(AND(LEFT(B229,4)="TEEN",D229="Fiction"),"Teen Fiction",
IF(D229="DVD Educational","Nonfiction",
IF(D229="Juvenile DVD Educational","Nonfiction",
IF(D229="Reference","Nonfiction",
D229))))))))))))))))))))))))))))))))))))))))))</f>
        <v/>
      </c>
    </row>
    <row r="230" spans="1:14" ht="27" customHeight="1" x14ac:dyDescent="0.25">
      <c r="A230" s="10" t="str">
        <f ca="1">TEXT( INDIRECT( ADDRESS( ROW() + Row_Offset, INDIRECT( "Column_Number_" &amp; A$1), 4,1, tabname) ), "")</f>
        <v/>
      </c>
      <c r="B230" s="10" t="str">
        <f ca="1">TEXT(  IFERROR( VLOOKUP( $D230, CollName_Simplifier_Table[], 2, FALSE),"") &amp;
        INDIRECT( ADDRESS( ROW() + Row_Offset, INDIRECT( "Column_Number_" &amp; $B$1), 4,1, tabname) ), "")</f>
        <v/>
      </c>
      <c r="C230" s="10" t="str">
        <f ca="1">TEXT( INDIRECT( ADDRESS( ROW() + Row_Offset, INDIRECT( "Column_Number_" &amp; C$1), 4,1, tabname) ), "")</f>
        <v/>
      </c>
      <c r="D230" s="10" t="str">
        <f ca="1">TEXT( INDIRECT( ADDRESS( ROW() + Row_Offset, INDIRECT( "Column_Number_" &amp; D$1), 4,1, tabname) ), "")</f>
        <v/>
      </c>
      <c r="E230" s="10" t="str">
        <f ca="1">TEXT( INDIRECT( ADDRESS( ROW() + Row_Offset, INDIRECT( "Column_Number_" &amp; E$1), 4,1, tabname) ), "####")</f>
        <v/>
      </c>
      <c r="F230" s="15"/>
      <c r="G230" s="22" t="str">
        <f ca="1">IFERROR(INDEX(Rank_Table[],MATCH($D230&amp;$A230,Table4[Join],0)),"")</f>
        <v/>
      </c>
      <c r="H230" s="11" t="str">
        <f ca="1">IF(AND(D230="Juvenile Audiobook",LEFT(B230,8)="J CD BIO"),RIGHT(B230,LEN(B230)-9),
IF(AND(D230="Juvenile Audiobook",LEFT(B230,8)="J CD FIC"),B230,
IF(D230="Juvenile Audiobook",RIGHT(B230,LEN(B230)-5),
IF(AND(D230="Teen Audiobook",LEFT(B230,11)="TEEN CD BIO"),RIGHT(B230,LEN(B230)-12),
IF(AND(D230="Teen Audiobook",LEFT(B230,11)="TEEN CD FIC"),B230,
IF(D230="Juvenile Audiobook",RIGHT(B230,LEN(B230)-8),
IF(D230="Juvenile Nonfiction",RIGHT(B230,LEN(B230)-2),
IF(D230="Teen Nonfiction",RIGHT(B230,LEN(B230)-5),
IF(AND(D230="Audiobook",
              NOT(OR(Contains($B230,"CD BIO"),Contains($B230,"CD FIC")))),RIGHT(B230,LEN(B230)-3),
IF(D230="Juvenile Biography",RIGHT(B230,LEN(B230)-2),
IF(D230="Teen Biography",RIGHT(B230,LEN(B230)-5),
IF(AND(D230="Audiobook",
              IFERROR(FIND("BIO",$B230)&gt;0,FALSE)),RIGHT(B230,LEN(B230)-3),
IF(D230="Juvenile Large Type","J "&amp;RIGHT(B230,LEN(B230)-11),
IF(D230="Teen Large Type","TEEN "&amp;RIGHT(B230,LEN(B230)-14),
IF(D230="Reference",RIGHT(B230,LEN(B230)-4),
IF(D230="DVD Educational",RIGHT(B230,LEN(B230)-7),
IF(D230="Juvenile DVD Educational",RIGHT(B230,LEN(B230)-9),
B230)))))))))))))))))</f>
        <v/>
      </c>
      <c r="N230" s="11" t="str">
        <f ca="1">IF(IFERROR(FIND("New",$A230)&gt;0,FALSE),"New ","") &amp; IF(IFERROR(FIND("In Lib",$A230)&gt;0,FALSE),"Reference ","") &amp;
IF(AND(D230="Audiobook",LEFT(B230,6)="CD BIO"),"Biography",
IF(AND(D230="Teen Audiobook",LEFT(B230,11)="TEEN CD BIO"),"Biography",
IF(AND(D230="Juvenile Audiobook",LEFT(B230,8)="J CD BIO"),"Biography",
IF(AND(D230="Audiobook",LEFT(B230,6)="CD FIC"),"Audiobook Fiction",
IF(AND(D230="Teen Audiobook",LEFT(B230,11)="TEEN CD FIC"),"Teen Audiobook",
IF(AND(D230="Juvenile Audiobook",LEFT(B230,8)="J CD FIC"),"Juvenile Audiobook",
IF(D230="Audiobook","Nonfiction",
IF(D230="Juvenile Audiobook","Nonfiction",
IF(D230="Teen Audiobook","Nonfiction",
IF(D230="Juvenile Nonfiction","Nonfiction",
IF(D230="Teen Nonfiction","Nonfiction",
IF(D230="Juvenile Biography","Biography",
IF(D230="Teen Biography","Biography",
IF(D230="ESL","Nonfiction",
IF(LEFT(B230,11)="INTL-VIE J ","International Juvenile",IF(LEFT(B230,11)="INTL-TAG J ","International Juvenile",IF(LEFT(B230,11)="INTL-RUS J ","International Juvenile",IF(LEFT(B230,11)="INTL-KOR J ","International Juvenile",IF(LEFT(B230,11)="INTL-JAP J ","International Juvenile",IF(LEFT(B230,11)="INTL-CHI J ","International Juvenile",IF(LEFT(B230,11)="INTL-SPA J ","International Juvenile",IF(LEFT(B230,14)="INTL-VIE TEEN ","International Teen",IF(LEFT(B230,14)="INTL-TAG TEEN ","International Teen",IF(LEFT(B230,14)="INTL-RUS TEEN ","International Teen",IF(LEFT(B230,14)="INTL-KOR TEEN ","International Teen",IF(LEFT(B230,14)="INTL-JAP TEEN ","International Teen",IF(LEFT(B230,14)="INTL-CHI TEEN ","International Teen",IF(LEFT(B230,14)="INTL-SPA TEEN ","International Teen",IF(LEFT(B230,11)="INTL-VIE E ","International Easy",IF(LEFT(B230,11)="INTL-TAG E ","International Easy",IF(LEFT(B230,11)="INTL-RUS E ","International Easy",IF(LEFT(B230,11)="INTL-JAP E ","International Easy",IF(LEFT(B230,11)="INTL-KOR E ","International Easy",IF(LEFT(B230,11)="INTL-CHI E ","International Easy",IF(LEFT(B230,11)="INTL-SPA E ","International Easy",
IF(D230="Teen Large Type","Teen Fiction",
IF(D230="Juvenile Large Type","Juvenile Fiction",
IF(LEFT(B230,6)="J CD O","Juvenile Compact Disc",
IF(AND(LEFT(B230,4)="TEEN",D230="Fiction"),"Teen Fiction",
IF(D230="DVD Educational","Nonfiction",
IF(D230="Juvenile DVD Educational","Nonfiction",
IF(D230="Reference","Nonfiction",
D230))))))))))))))))))))))))))))))))))))))))))</f>
        <v/>
      </c>
    </row>
    <row r="231" spans="1:14" ht="27" customHeight="1" x14ac:dyDescent="0.25">
      <c r="A231" s="10" t="str">
        <f ca="1">TEXT( INDIRECT( ADDRESS( ROW() + Row_Offset, INDIRECT( "Column_Number_" &amp; A$1), 4,1, tabname) ), "")</f>
        <v/>
      </c>
      <c r="B231" s="10" t="str">
        <f ca="1">TEXT(  IFERROR( VLOOKUP( $D231, CollName_Simplifier_Table[], 2, FALSE),"") &amp;
        INDIRECT( ADDRESS( ROW() + Row_Offset, INDIRECT( "Column_Number_" &amp; $B$1), 4,1, tabname) ), "")</f>
        <v/>
      </c>
      <c r="C231" s="10" t="str">
        <f ca="1">TEXT( INDIRECT( ADDRESS( ROW() + Row_Offset, INDIRECT( "Column_Number_" &amp; C$1), 4,1, tabname) ), "")</f>
        <v/>
      </c>
      <c r="D231" s="10" t="str">
        <f ca="1">TEXT( INDIRECT( ADDRESS( ROW() + Row_Offset, INDIRECT( "Column_Number_" &amp; D$1), 4,1, tabname) ), "")</f>
        <v/>
      </c>
      <c r="E231" s="10" t="str">
        <f ca="1">TEXT( INDIRECT( ADDRESS( ROW() + Row_Offset, INDIRECT( "Column_Number_" &amp; E$1), 4,1, tabname) ), "####")</f>
        <v/>
      </c>
      <c r="F231" s="15"/>
      <c r="G231" s="22" t="str">
        <f ca="1">IFERROR(INDEX(Rank_Table[],MATCH($D231&amp;$A231,Table4[Join],0)),"")</f>
        <v/>
      </c>
      <c r="H231" s="11" t="str">
        <f ca="1">IF(AND(D231="Juvenile Audiobook",LEFT(B231,8)="J CD BIO"),RIGHT(B231,LEN(B231)-9),
IF(AND(D231="Juvenile Audiobook",LEFT(B231,8)="J CD FIC"),B231,
IF(D231="Juvenile Audiobook",RIGHT(B231,LEN(B231)-5),
IF(AND(D231="Teen Audiobook",LEFT(B231,11)="TEEN CD BIO"),RIGHT(B231,LEN(B231)-12),
IF(AND(D231="Teen Audiobook",LEFT(B231,11)="TEEN CD FIC"),B231,
IF(D231="Juvenile Audiobook",RIGHT(B231,LEN(B231)-8),
IF(D231="Juvenile Nonfiction",RIGHT(B231,LEN(B231)-2),
IF(D231="Teen Nonfiction",RIGHT(B231,LEN(B231)-5),
IF(AND(D231="Audiobook",
              NOT(OR(Contains($B231,"CD BIO"),Contains($B231,"CD FIC")))),RIGHT(B231,LEN(B231)-3),
IF(D231="Juvenile Biography",RIGHT(B231,LEN(B231)-2),
IF(D231="Teen Biography",RIGHT(B231,LEN(B231)-5),
IF(AND(D231="Audiobook",
              IFERROR(FIND("BIO",$B231)&gt;0,FALSE)),RIGHT(B231,LEN(B231)-3),
IF(D231="Juvenile Large Type","J "&amp;RIGHT(B231,LEN(B231)-11),
IF(D231="Teen Large Type","TEEN "&amp;RIGHT(B231,LEN(B231)-14),
IF(D231="Reference",RIGHT(B231,LEN(B231)-4),
IF(D231="DVD Educational",RIGHT(B231,LEN(B231)-7),
IF(D231="Juvenile DVD Educational",RIGHT(B231,LEN(B231)-9),
B231)))))))))))))))))</f>
        <v/>
      </c>
      <c r="N231" s="11" t="str">
        <f ca="1">IF(IFERROR(FIND("New",$A231)&gt;0,FALSE),"New ","") &amp; IF(IFERROR(FIND("In Lib",$A231)&gt;0,FALSE),"Reference ","") &amp;
IF(AND(D231="Audiobook",LEFT(B231,6)="CD BIO"),"Biography",
IF(AND(D231="Teen Audiobook",LEFT(B231,11)="TEEN CD BIO"),"Biography",
IF(AND(D231="Juvenile Audiobook",LEFT(B231,8)="J CD BIO"),"Biography",
IF(AND(D231="Audiobook",LEFT(B231,6)="CD FIC"),"Audiobook Fiction",
IF(AND(D231="Teen Audiobook",LEFT(B231,11)="TEEN CD FIC"),"Teen Audiobook",
IF(AND(D231="Juvenile Audiobook",LEFT(B231,8)="J CD FIC"),"Juvenile Audiobook",
IF(D231="Audiobook","Nonfiction",
IF(D231="Juvenile Audiobook","Nonfiction",
IF(D231="Teen Audiobook","Nonfiction",
IF(D231="Juvenile Nonfiction","Nonfiction",
IF(D231="Teen Nonfiction","Nonfiction",
IF(D231="Juvenile Biography","Biography",
IF(D231="Teen Biography","Biography",
IF(D231="ESL","Nonfiction",
IF(LEFT(B231,11)="INTL-VIE J ","International Juvenile",IF(LEFT(B231,11)="INTL-TAG J ","International Juvenile",IF(LEFT(B231,11)="INTL-RUS J ","International Juvenile",IF(LEFT(B231,11)="INTL-KOR J ","International Juvenile",IF(LEFT(B231,11)="INTL-JAP J ","International Juvenile",IF(LEFT(B231,11)="INTL-CHI J ","International Juvenile",IF(LEFT(B231,11)="INTL-SPA J ","International Juvenile",IF(LEFT(B231,14)="INTL-VIE TEEN ","International Teen",IF(LEFT(B231,14)="INTL-TAG TEEN ","International Teen",IF(LEFT(B231,14)="INTL-RUS TEEN ","International Teen",IF(LEFT(B231,14)="INTL-KOR TEEN ","International Teen",IF(LEFT(B231,14)="INTL-JAP TEEN ","International Teen",IF(LEFT(B231,14)="INTL-CHI TEEN ","International Teen",IF(LEFT(B231,14)="INTL-SPA TEEN ","International Teen",IF(LEFT(B231,11)="INTL-VIE E ","International Easy",IF(LEFT(B231,11)="INTL-TAG E ","International Easy",IF(LEFT(B231,11)="INTL-RUS E ","International Easy",IF(LEFT(B231,11)="INTL-JAP E ","International Easy",IF(LEFT(B231,11)="INTL-KOR E ","International Easy",IF(LEFT(B231,11)="INTL-CHI E ","International Easy",IF(LEFT(B231,11)="INTL-SPA E ","International Easy",
IF(D231="Teen Large Type","Teen Fiction",
IF(D231="Juvenile Large Type","Juvenile Fiction",
IF(LEFT(B231,6)="J CD O","Juvenile Compact Disc",
IF(AND(LEFT(B231,4)="TEEN",D231="Fiction"),"Teen Fiction",
IF(D231="DVD Educational","Nonfiction",
IF(D231="Juvenile DVD Educational","Nonfiction",
IF(D231="Reference","Nonfiction",
D231))))))))))))))))))))))))))))))))))))))))))</f>
        <v/>
      </c>
    </row>
    <row r="232" spans="1:14" ht="27" customHeight="1" x14ac:dyDescent="0.25">
      <c r="A232" s="10" t="str">
        <f ca="1">TEXT( INDIRECT( ADDRESS( ROW() + Row_Offset, INDIRECT( "Column_Number_" &amp; A$1), 4,1, tabname) ), "")</f>
        <v/>
      </c>
      <c r="B232" s="10" t="str">
        <f ca="1">TEXT(  IFERROR( VLOOKUP( $D232, CollName_Simplifier_Table[], 2, FALSE),"") &amp;
        INDIRECT( ADDRESS( ROW() + Row_Offset, INDIRECT( "Column_Number_" &amp; $B$1), 4,1, tabname) ), "")</f>
        <v/>
      </c>
      <c r="C232" s="10" t="str">
        <f ca="1">TEXT( INDIRECT( ADDRESS( ROW() + Row_Offset, INDIRECT( "Column_Number_" &amp; C$1), 4,1, tabname) ), "")</f>
        <v/>
      </c>
      <c r="D232" s="10" t="str">
        <f ca="1">TEXT( INDIRECT( ADDRESS( ROW() + Row_Offset, INDIRECT( "Column_Number_" &amp; D$1), 4,1, tabname) ), "")</f>
        <v/>
      </c>
      <c r="E232" s="10" t="str">
        <f ca="1">TEXT( INDIRECT( ADDRESS( ROW() + Row_Offset, INDIRECT( "Column_Number_" &amp; E$1), 4,1, tabname) ), "####")</f>
        <v/>
      </c>
      <c r="F232" s="15"/>
      <c r="G232" s="22" t="str">
        <f ca="1">IFERROR(INDEX(Rank_Table[],MATCH($D232&amp;$A232,Table4[Join],0)),"")</f>
        <v/>
      </c>
      <c r="H232" s="11" t="str">
        <f ca="1">IF(AND(D232="Juvenile Audiobook",LEFT(B232,8)="J CD BIO"),RIGHT(B232,LEN(B232)-9),
IF(AND(D232="Juvenile Audiobook",LEFT(B232,8)="J CD FIC"),B232,
IF(D232="Juvenile Audiobook",RIGHT(B232,LEN(B232)-5),
IF(AND(D232="Teen Audiobook",LEFT(B232,11)="TEEN CD BIO"),RIGHT(B232,LEN(B232)-12),
IF(AND(D232="Teen Audiobook",LEFT(B232,11)="TEEN CD FIC"),B232,
IF(D232="Juvenile Audiobook",RIGHT(B232,LEN(B232)-8),
IF(D232="Juvenile Nonfiction",RIGHT(B232,LEN(B232)-2),
IF(D232="Teen Nonfiction",RIGHT(B232,LEN(B232)-5),
IF(AND(D232="Audiobook",
              NOT(OR(Contains($B232,"CD BIO"),Contains($B232,"CD FIC")))),RIGHT(B232,LEN(B232)-3),
IF(D232="Juvenile Biography",RIGHT(B232,LEN(B232)-2),
IF(D232="Teen Biography",RIGHT(B232,LEN(B232)-5),
IF(AND(D232="Audiobook",
              IFERROR(FIND("BIO",$B232)&gt;0,FALSE)),RIGHT(B232,LEN(B232)-3),
IF(D232="Juvenile Large Type","J "&amp;RIGHT(B232,LEN(B232)-11),
IF(D232="Teen Large Type","TEEN "&amp;RIGHT(B232,LEN(B232)-14),
IF(D232="Reference",RIGHT(B232,LEN(B232)-4),
IF(D232="DVD Educational",RIGHT(B232,LEN(B232)-7),
IF(D232="Juvenile DVD Educational",RIGHT(B232,LEN(B232)-9),
B232)))))))))))))))))</f>
        <v/>
      </c>
      <c r="N232" s="11" t="str">
        <f ca="1">IF(IFERROR(FIND("New",$A232)&gt;0,FALSE),"New ","") &amp; IF(IFERROR(FIND("In Lib",$A232)&gt;0,FALSE),"Reference ","") &amp;
IF(AND(D232="Audiobook",LEFT(B232,6)="CD BIO"),"Biography",
IF(AND(D232="Teen Audiobook",LEFT(B232,11)="TEEN CD BIO"),"Biography",
IF(AND(D232="Juvenile Audiobook",LEFT(B232,8)="J CD BIO"),"Biography",
IF(AND(D232="Audiobook",LEFT(B232,6)="CD FIC"),"Audiobook Fiction",
IF(AND(D232="Teen Audiobook",LEFT(B232,11)="TEEN CD FIC"),"Teen Audiobook",
IF(AND(D232="Juvenile Audiobook",LEFT(B232,8)="J CD FIC"),"Juvenile Audiobook",
IF(D232="Audiobook","Nonfiction",
IF(D232="Juvenile Audiobook","Nonfiction",
IF(D232="Teen Audiobook","Nonfiction",
IF(D232="Juvenile Nonfiction","Nonfiction",
IF(D232="Teen Nonfiction","Nonfiction",
IF(D232="Juvenile Biography","Biography",
IF(D232="Teen Biography","Biography",
IF(D232="ESL","Nonfiction",
IF(LEFT(B232,11)="INTL-VIE J ","International Juvenile",IF(LEFT(B232,11)="INTL-TAG J ","International Juvenile",IF(LEFT(B232,11)="INTL-RUS J ","International Juvenile",IF(LEFT(B232,11)="INTL-KOR J ","International Juvenile",IF(LEFT(B232,11)="INTL-JAP J ","International Juvenile",IF(LEFT(B232,11)="INTL-CHI J ","International Juvenile",IF(LEFT(B232,11)="INTL-SPA J ","International Juvenile",IF(LEFT(B232,14)="INTL-VIE TEEN ","International Teen",IF(LEFT(B232,14)="INTL-TAG TEEN ","International Teen",IF(LEFT(B232,14)="INTL-RUS TEEN ","International Teen",IF(LEFT(B232,14)="INTL-KOR TEEN ","International Teen",IF(LEFT(B232,14)="INTL-JAP TEEN ","International Teen",IF(LEFT(B232,14)="INTL-CHI TEEN ","International Teen",IF(LEFT(B232,14)="INTL-SPA TEEN ","International Teen",IF(LEFT(B232,11)="INTL-VIE E ","International Easy",IF(LEFT(B232,11)="INTL-TAG E ","International Easy",IF(LEFT(B232,11)="INTL-RUS E ","International Easy",IF(LEFT(B232,11)="INTL-JAP E ","International Easy",IF(LEFT(B232,11)="INTL-KOR E ","International Easy",IF(LEFT(B232,11)="INTL-CHI E ","International Easy",IF(LEFT(B232,11)="INTL-SPA E ","International Easy",
IF(D232="Teen Large Type","Teen Fiction",
IF(D232="Juvenile Large Type","Juvenile Fiction",
IF(LEFT(B232,6)="J CD O","Juvenile Compact Disc",
IF(AND(LEFT(B232,4)="TEEN",D232="Fiction"),"Teen Fiction",
IF(D232="DVD Educational","Nonfiction",
IF(D232="Juvenile DVD Educational","Nonfiction",
IF(D232="Reference","Nonfiction",
D232))))))))))))))))))))))))))))))))))))))))))</f>
        <v/>
      </c>
    </row>
    <row r="233" spans="1:14" ht="27" customHeight="1" x14ac:dyDescent="0.25">
      <c r="A233" s="10" t="str">
        <f ca="1">TEXT( INDIRECT( ADDRESS( ROW() + Row_Offset, INDIRECT( "Column_Number_" &amp; A$1), 4,1, tabname) ), "")</f>
        <v/>
      </c>
      <c r="B233" s="10" t="str">
        <f ca="1">TEXT(  IFERROR( VLOOKUP( $D233, CollName_Simplifier_Table[], 2, FALSE),"") &amp;
        INDIRECT( ADDRESS( ROW() + Row_Offset, INDIRECT( "Column_Number_" &amp; $B$1), 4,1, tabname) ), "")</f>
        <v/>
      </c>
      <c r="C233" s="10" t="str">
        <f ca="1">TEXT( INDIRECT( ADDRESS( ROW() + Row_Offset, INDIRECT( "Column_Number_" &amp; C$1), 4,1, tabname) ), "")</f>
        <v/>
      </c>
      <c r="D233" s="10" t="str">
        <f ca="1">TEXT( INDIRECT( ADDRESS( ROW() + Row_Offset, INDIRECT( "Column_Number_" &amp; D$1), 4,1, tabname) ), "")</f>
        <v/>
      </c>
      <c r="E233" s="10" t="str">
        <f ca="1">TEXT( INDIRECT( ADDRESS( ROW() + Row_Offset, INDIRECT( "Column_Number_" &amp; E$1), 4,1, tabname) ), "####")</f>
        <v/>
      </c>
      <c r="F233" s="15"/>
      <c r="G233" s="22" t="str">
        <f ca="1">IFERROR(INDEX(Rank_Table[],MATCH($D233&amp;$A233,Table4[Join],0)),"")</f>
        <v/>
      </c>
      <c r="H233" s="11" t="str">
        <f ca="1">IF(AND(D233="Juvenile Audiobook",LEFT(B233,8)="J CD BIO"),RIGHT(B233,LEN(B233)-9),
IF(AND(D233="Juvenile Audiobook",LEFT(B233,8)="J CD FIC"),B233,
IF(D233="Juvenile Audiobook",RIGHT(B233,LEN(B233)-5),
IF(AND(D233="Teen Audiobook",LEFT(B233,11)="TEEN CD BIO"),RIGHT(B233,LEN(B233)-12),
IF(AND(D233="Teen Audiobook",LEFT(B233,11)="TEEN CD FIC"),B233,
IF(D233="Juvenile Audiobook",RIGHT(B233,LEN(B233)-8),
IF(D233="Juvenile Nonfiction",RIGHT(B233,LEN(B233)-2),
IF(D233="Teen Nonfiction",RIGHT(B233,LEN(B233)-5),
IF(AND(D233="Audiobook",
              NOT(OR(Contains($B233,"CD BIO"),Contains($B233,"CD FIC")))),RIGHT(B233,LEN(B233)-3),
IF(D233="Juvenile Biography",RIGHT(B233,LEN(B233)-2),
IF(D233="Teen Biography",RIGHT(B233,LEN(B233)-5),
IF(AND(D233="Audiobook",
              IFERROR(FIND("BIO",$B233)&gt;0,FALSE)),RIGHT(B233,LEN(B233)-3),
IF(D233="Juvenile Large Type","J "&amp;RIGHT(B233,LEN(B233)-11),
IF(D233="Teen Large Type","TEEN "&amp;RIGHT(B233,LEN(B233)-14),
IF(D233="Reference",RIGHT(B233,LEN(B233)-4),
IF(D233="DVD Educational",RIGHT(B233,LEN(B233)-7),
IF(D233="Juvenile DVD Educational",RIGHT(B233,LEN(B233)-9),
B233)))))))))))))))))</f>
        <v/>
      </c>
      <c r="N233" s="11" t="str">
        <f ca="1">IF(IFERROR(FIND("New",$A233)&gt;0,FALSE),"New ","") &amp; IF(IFERROR(FIND("In Lib",$A233)&gt;0,FALSE),"Reference ","") &amp;
IF(AND(D233="Audiobook",LEFT(B233,6)="CD BIO"),"Biography",
IF(AND(D233="Teen Audiobook",LEFT(B233,11)="TEEN CD BIO"),"Biography",
IF(AND(D233="Juvenile Audiobook",LEFT(B233,8)="J CD BIO"),"Biography",
IF(AND(D233="Audiobook",LEFT(B233,6)="CD FIC"),"Audiobook Fiction",
IF(AND(D233="Teen Audiobook",LEFT(B233,11)="TEEN CD FIC"),"Teen Audiobook",
IF(AND(D233="Juvenile Audiobook",LEFT(B233,8)="J CD FIC"),"Juvenile Audiobook",
IF(D233="Audiobook","Nonfiction",
IF(D233="Juvenile Audiobook","Nonfiction",
IF(D233="Teen Audiobook","Nonfiction",
IF(D233="Juvenile Nonfiction","Nonfiction",
IF(D233="Teen Nonfiction","Nonfiction",
IF(D233="Juvenile Biography","Biography",
IF(D233="Teen Biography","Biography",
IF(D233="ESL","Nonfiction",
IF(LEFT(B233,11)="INTL-VIE J ","International Juvenile",IF(LEFT(B233,11)="INTL-TAG J ","International Juvenile",IF(LEFT(B233,11)="INTL-RUS J ","International Juvenile",IF(LEFT(B233,11)="INTL-KOR J ","International Juvenile",IF(LEFT(B233,11)="INTL-JAP J ","International Juvenile",IF(LEFT(B233,11)="INTL-CHI J ","International Juvenile",IF(LEFT(B233,11)="INTL-SPA J ","International Juvenile",IF(LEFT(B233,14)="INTL-VIE TEEN ","International Teen",IF(LEFT(B233,14)="INTL-TAG TEEN ","International Teen",IF(LEFT(B233,14)="INTL-RUS TEEN ","International Teen",IF(LEFT(B233,14)="INTL-KOR TEEN ","International Teen",IF(LEFT(B233,14)="INTL-JAP TEEN ","International Teen",IF(LEFT(B233,14)="INTL-CHI TEEN ","International Teen",IF(LEFT(B233,14)="INTL-SPA TEEN ","International Teen",IF(LEFT(B233,11)="INTL-VIE E ","International Easy",IF(LEFT(B233,11)="INTL-TAG E ","International Easy",IF(LEFT(B233,11)="INTL-RUS E ","International Easy",IF(LEFT(B233,11)="INTL-JAP E ","International Easy",IF(LEFT(B233,11)="INTL-KOR E ","International Easy",IF(LEFT(B233,11)="INTL-CHI E ","International Easy",IF(LEFT(B233,11)="INTL-SPA E ","International Easy",
IF(D233="Teen Large Type","Teen Fiction",
IF(D233="Juvenile Large Type","Juvenile Fiction",
IF(LEFT(B233,6)="J CD O","Juvenile Compact Disc",
IF(AND(LEFT(B233,4)="TEEN",D233="Fiction"),"Teen Fiction",
IF(D233="DVD Educational","Nonfiction",
IF(D233="Juvenile DVD Educational","Nonfiction",
IF(D233="Reference","Nonfiction",
D233))))))))))))))))))))))))))))))))))))))))))</f>
        <v/>
      </c>
    </row>
    <row r="234" spans="1:14" ht="27" customHeight="1" x14ac:dyDescent="0.25">
      <c r="A234" s="10" t="str">
        <f ca="1">TEXT( INDIRECT( ADDRESS( ROW() + Row_Offset, INDIRECT( "Column_Number_" &amp; A$1), 4,1, tabname) ), "")</f>
        <v/>
      </c>
      <c r="B234" s="10" t="str">
        <f ca="1">TEXT(  IFERROR( VLOOKUP( $D234, CollName_Simplifier_Table[], 2, FALSE),"") &amp;
        INDIRECT( ADDRESS( ROW() + Row_Offset, INDIRECT( "Column_Number_" &amp; $B$1), 4,1, tabname) ), "")</f>
        <v/>
      </c>
      <c r="C234" s="10" t="str">
        <f ca="1">TEXT( INDIRECT( ADDRESS( ROW() + Row_Offset, INDIRECT( "Column_Number_" &amp; C$1), 4,1, tabname) ), "")</f>
        <v/>
      </c>
      <c r="D234" s="10" t="str">
        <f ca="1">TEXT( INDIRECT( ADDRESS( ROW() + Row_Offset, INDIRECT( "Column_Number_" &amp; D$1), 4,1, tabname) ), "")</f>
        <v/>
      </c>
      <c r="E234" s="10" t="str">
        <f ca="1">TEXT( INDIRECT( ADDRESS( ROW() + Row_Offset, INDIRECT( "Column_Number_" &amp; E$1), 4,1, tabname) ), "####")</f>
        <v/>
      </c>
      <c r="F234" s="15"/>
      <c r="G234" s="22" t="str">
        <f ca="1">IFERROR(INDEX(Rank_Table[],MATCH($D234&amp;$A234,Table4[Join],0)),"")</f>
        <v/>
      </c>
      <c r="H234" s="11" t="str">
        <f ca="1">IF(AND(D234="Juvenile Audiobook",LEFT(B234,8)="J CD BIO"),RIGHT(B234,LEN(B234)-9),
IF(AND(D234="Juvenile Audiobook",LEFT(B234,8)="J CD FIC"),B234,
IF(D234="Juvenile Audiobook",RIGHT(B234,LEN(B234)-5),
IF(AND(D234="Teen Audiobook",LEFT(B234,11)="TEEN CD BIO"),RIGHT(B234,LEN(B234)-12),
IF(AND(D234="Teen Audiobook",LEFT(B234,11)="TEEN CD FIC"),B234,
IF(D234="Juvenile Audiobook",RIGHT(B234,LEN(B234)-8),
IF(D234="Juvenile Nonfiction",RIGHT(B234,LEN(B234)-2),
IF(D234="Teen Nonfiction",RIGHT(B234,LEN(B234)-5),
IF(AND(D234="Audiobook",
              NOT(OR(Contains($B234,"CD BIO"),Contains($B234,"CD FIC")))),RIGHT(B234,LEN(B234)-3),
IF(D234="Juvenile Biography",RIGHT(B234,LEN(B234)-2),
IF(D234="Teen Biography",RIGHT(B234,LEN(B234)-5),
IF(AND(D234="Audiobook",
              IFERROR(FIND("BIO",$B234)&gt;0,FALSE)),RIGHT(B234,LEN(B234)-3),
IF(D234="Juvenile Large Type","J "&amp;RIGHT(B234,LEN(B234)-11),
IF(D234="Teen Large Type","TEEN "&amp;RIGHT(B234,LEN(B234)-14),
IF(D234="Reference",RIGHT(B234,LEN(B234)-4),
IF(D234="DVD Educational",RIGHT(B234,LEN(B234)-7),
IF(D234="Juvenile DVD Educational",RIGHT(B234,LEN(B234)-9),
B234)))))))))))))))))</f>
        <v/>
      </c>
      <c r="N234" s="11" t="str">
        <f ca="1">IF(IFERROR(FIND("New",$A234)&gt;0,FALSE),"New ","") &amp; IF(IFERROR(FIND("In Lib",$A234)&gt;0,FALSE),"Reference ","") &amp;
IF(AND(D234="Audiobook",LEFT(B234,6)="CD BIO"),"Biography",
IF(AND(D234="Teen Audiobook",LEFT(B234,11)="TEEN CD BIO"),"Biography",
IF(AND(D234="Juvenile Audiobook",LEFT(B234,8)="J CD BIO"),"Biography",
IF(AND(D234="Audiobook",LEFT(B234,6)="CD FIC"),"Audiobook Fiction",
IF(AND(D234="Teen Audiobook",LEFT(B234,11)="TEEN CD FIC"),"Teen Audiobook",
IF(AND(D234="Juvenile Audiobook",LEFT(B234,8)="J CD FIC"),"Juvenile Audiobook",
IF(D234="Audiobook","Nonfiction",
IF(D234="Juvenile Audiobook","Nonfiction",
IF(D234="Teen Audiobook","Nonfiction",
IF(D234="Juvenile Nonfiction","Nonfiction",
IF(D234="Teen Nonfiction","Nonfiction",
IF(D234="Juvenile Biography","Biography",
IF(D234="Teen Biography","Biography",
IF(D234="ESL","Nonfiction",
IF(LEFT(B234,11)="INTL-VIE J ","International Juvenile",IF(LEFT(B234,11)="INTL-TAG J ","International Juvenile",IF(LEFT(B234,11)="INTL-RUS J ","International Juvenile",IF(LEFT(B234,11)="INTL-KOR J ","International Juvenile",IF(LEFT(B234,11)="INTL-JAP J ","International Juvenile",IF(LEFT(B234,11)="INTL-CHI J ","International Juvenile",IF(LEFT(B234,11)="INTL-SPA J ","International Juvenile",IF(LEFT(B234,14)="INTL-VIE TEEN ","International Teen",IF(LEFT(B234,14)="INTL-TAG TEEN ","International Teen",IF(LEFT(B234,14)="INTL-RUS TEEN ","International Teen",IF(LEFT(B234,14)="INTL-KOR TEEN ","International Teen",IF(LEFT(B234,14)="INTL-JAP TEEN ","International Teen",IF(LEFT(B234,14)="INTL-CHI TEEN ","International Teen",IF(LEFT(B234,14)="INTL-SPA TEEN ","International Teen",IF(LEFT(B234,11)="INTL-VIE E ","International Easy",IF(LEFT(B234,11)="INTL-TAG E ","International Easy",IF(LEFT(B234,11)="INTL-RUS E ","International Easy",IF(LEFT(B234,11)="INTL-JAP E ","International Easy",IF(LEFT(B234,11)="INTL-KOR E ","International Easy",IF(LEFT(B234,11)="INTL-CHI E ","International Easy",IF(LEFT(B234,11)="INTL-SPA E ","International Easy",
IF(D234="Teen Large Type","Teen Fiction",
IF(D234="Juvenile Large Type","Juvenile Fiction",
IF(LEFT(B234,6)="J CD O","Juvenile Compact Disc",
IF(AND(LEFT(B234,4)="TEEN",D234="Fiction"),"Teen Fiction",
IF(D234="DVD Educational","Nonfiction",
IF(D234="Juvenile DVD Educational","Nonfiction",
IF(D234="Reference","Nonfiction",
D234))))))))))))))))))))))))))))))))))))))))))</f>
        <v/>
      </c>
    </row>
    <row r="235" spans="1:14" ht="27" customHeight="1" x14ac:dyDescent="0.25">
      <c r="A235" s="10" t="str">
        <f ca="1">TEXT( INDIRECT( ADDRESS( ROW() + Row_Offset, INDIRECT( "Column_Number_" &amp; A$1), 4,1, tabname) ), "")</f>
        <v/>
      </c>
      <c r="B235" s="10" t="str">
        <f ca="1">TEXT(  IFERROR( VLOOKUP( $D235, CollName_Simplifier_Table[], 2, FALSE),"") &amp;
        INDIRECT( ADDRESS( ROW() + Row_Offset, INDIRECT( "Column_Number_" &amp; $B$1), 4,1, tabname) ), "")</f>
        <v/>
      </c>
      <c r="C235" s="10" t="str">
        <f ca="1">TEXT( INDIRECT( ADDRESS( ROW() + Row_Offset, INDIRECT( "Column_Number_" &amp; C$1), 4,1, tabname) ), "")</f>
        <v/>
      </c>
      <c r="D235" s="10" t="str">
        <f ca="1">TEXT( INDIRECT( ADDRESS( ROW() + Row_Offset, INDIRECT( "Column_Number_" &amp; D$1), 4,1, tabname) ), "")</f>
        <v/>
      </c>
      <c r="E235" s="10" t="str">
        <f ca="1">TEXT( INDIRECT( ADDRESS( ROW() + Row_Offset, INDIRECT( "Column_Number_" &amp; E$1), 4,1, tabname) ), "####")</f>
        <v/>
      </c>
      <c r="F235" s="15"/>
      <c r="G235" s="22" t="str">
        <f ca="1">IFERROR(INDEX(Rank_Table[],MATCH($D235&amp;$A235,Table4[Join],0)),"")</f>
        <v/>
      </c>
      <c r="H235" s="11" t="str">
        <f ca="1">IF(AND(D235="Juvenile Audiobook",LEFT(B235,8)="J CD BIO"),RIGHT(B235,LEN(B235)-9),
IF(AND(D235="Juvenile Audiobook",LEFT(B235,8)="J CD FIC"),B235,
IF(D235="Juvenile Audiobook",RIGHT(B235,LEN(B235)-5),
IF(AND(D235="Teen Audiobook",LEFT(B235,11)="TEEN CD BIO"),RIGHT(B235,LEN(B235)-12),
IF(AND(D235="Teen Audiobook",LEFT(B235,11)="TEEN CD FIC"),B235,
IF(D235="Juvenile Audiobook",RIGHT(B235,LEN(B235)-8),
IF(D235="Juvenile Nonfiction",RIGHT(B235,LEN(B235)-2),
IF(D235="Teen Nonfiction",RIGHT(B235,LEN(B235)-5),
IF(AND(D235="Audiobook",
              NOT(OR(Contains($B235,"CD BIO"),Contains($B235,"CD FIC")))),RIGHT(B235,LEN(B235)-3),
IF(D235="Juvenile Biography",RIGHT(B235,LEN(B235)-2),
IF(D235="Teen Biography",RIGHT(B235,LEN(B235)-5),
IF(AND(D235="Audiobook",
              IFERROR(FIND("BIO",$B235)&gt;0,FALSE)),RIGHT(B235,LEN(B235)-3),
IF(D235="Juvenile Large Type","J "&amp;RIGHT(B235,LEN(B235)-11),
IF(D235="Teen Large Type","TEEN "&amp;RIGHT(B235,LEN(B235)-14),
IF(D235="Reference",RIGHT(B235,LEN(B235)-4),
IF(D235="DVD Educational",RIGHT(B235,LEN(B235)-7),
IF(D235="Juvenile DVD Educational",RIGHT(B235,LEN(B235)-9),
B235)))))))))))))))))</f>
        <v/>
      </c>
      <c r="N235" s="11" t="str">
        <f ca="1">IF(IFERROR(FIND("New",$A235)&gt;0,FALSE),"New ","") &amp; IF(IFERROR(FIND("In Lib",$A235)&gt;0,FALSE),"Reference ","") &amp;
IF(AND(D235="Audiobook",LEFT(B235,6)="CD BIO"),"Biography",
IF(AND(D235="Teen Audiobook",LEFT(B235,11)="TEEN CD BIO"),"Biography",
IF(AND(D235="Juvenile Audiobook",LEFT(B235,8)="J CD BIO"),"Biography",
IF(AND(D235="Audiobook",LEFT(B235,6)="CD FIC"),"Audiobook Fiction",
IF(AND(D235="Teen Audiobook",LEFT(B235,11)="TEEN CD FIC"),"Teen Audiobook",
IF(AND(D235="Juvenile Audiobook",LEFT(B235,8)="J CD FIC"),"Juvenile Audiobook",
IF(D235="Audiobook","Nonfiction",
IF(D235="Juvenile Audiobook","Nonfiction",
IF(D235="Teen Audiobook","Nonfiction",
IF(D235="Juvenile Nonfiction","Nonfiction",
IF(D235="Teen Nonfiction","Nonfiction",
IF(D235="Juvenile Biography","Biography",
IF(D235="Teen Biography","Biography",
IF(D235="ESL","Nonfiction",
IF(LEFT(B235,11)="INTL-VIE J ","International Juvenile",IF(LEFT(B235,11)="INTL-TAG J ","International Juvenile",IF(LEFT(B235,11)="INTL-RUS J ","International Juvenile",IF(LEFT(B235,11)="INTL-KOR J ","International Juvenile",IF(LEFT(B235,11)="INTL-JAP J ","International Juvenile",IF(LEFT(B235,11)="INTL-CHI J ","International Juvenile",IF(LEFT(B235,11)="INTL-SPA J ","International Juvenile",IF(LEFT(B235,14)="INTL-VIE TEEN ","International Teen",IF(LEFT(B235,14)="INTL-TAG TEEN ","International Teen",IF(LEFT(B235,14)="INTL-RUS TEEN ","International Teen",IF(LEFT(B235,14)="INTL-KOR TEEN ","International Teen",IF(LEFT(B235,14)="INTL-JAP TEEN ","International Teen",IF(LEFT(B235,14)="INTL-CHI TEEN ","International Teen",IF(LEFT(B235,14)="INTL-SPA TEEN ","International Teen",IF(LEFT(B235,11)="INTL-VIE E ","International Easy",IF(LEFT(B235,11)="INTL-TAG E ","International Easy",IF(LEFT(B235,11)="INTL-RUS E ","International Easy",IF(LEFT(B235,11)="INTL-JAP E ","International Easy",IF(LEFT(B235,11)="INTL-KOR E ","International Easy",IF(LEFT(B235,11)="INTL-CHI E ","International Easy",IF(LEFT(B235,11)="INTL-SPA E ","International Easy",
IF(D235="Teen Large Type","Teen Fiction",
IF(D235="Juvenile Large Type","Juvenile Fiction",
IF(LEFT(B235,6)="J CD O","Juvenile Compact Disc",
IF(AND(LEFT(B235,4)="TEEN",D235="Fiction"),"Teen Fiction",
IF(D235="DVD Educational","Nonfiction",
IF(D235="Juvenile DVD Educational","Nonfiction",
IF(D235="Reference","Nonfiction",
D235))))))))))))))))))))))))))))))))))))))))))</f>
        <v/>
      </c>
    </row>
    <row r="236" spans="1:14" ht="27" customHeight="1" x14ac:dyDescent="0.25">
      <c r="A236" s="10" t="str">
        <f ca="1">TEXT( INDIRECT( ADDRESS( ROW() + Row_Offset, INDIRECT( "Column_Number_" &amp; A$1), 4,1, tabname) ), "")</f>
        <v/>
      </c>
      <c r="B236" s="10" t="str">
        <f ca="1">TEXT(  IFERROR( VLOOKUP( $D236, CollName_Simplifier_Table[], 2, FALSE),"") &amp;
        INDIRECT( ADDRESS( ROW() + Row_Offset, INDIRECT( "Column_Number_" &amp; $B$1), 4,1, tabname) ), "")</f>
        <v/>
      </c>
      <c r="C236" s="10" t="str">
        <f ca="1">TEXT( INDIRECT( ADDRESS( ROW() + Row_Offset, INDIRECT( "Column_Number_" &amp; C$1), 4,1, tabname) ), "")</f>
        <v/>
      </c>
      <c r="D236" s="10" t="str">
        <f ca="1">TEXT( INDIRECT( ADDRESS( ROW() + Row_Offset, INDIRECT( "Column_Number_" &amp; D$1), 4,1, tabname) ), "")</f>
        <v/>
      </c>
      <c r="E236" s="10" t="str">
        <f ca="1">TEXT( INDIRECT( ADDRESS( ROW() + Row_Offset, INDIRECT( "Column_Number_" &amp; E$1), 4,1, tabname) ), "####")</f>
        <v/>
      </c>
      <c r="F236" s="15"/>
      <c r="G236" s="22" t="str">
        <f ca="1">IFERROR(INDEX(Rank_Table[],MATCH($D236&amp;$A236,Table4[Join],0)),"")</f>
        <v/>
      </c>
      <c r="H236" s="11" t="str">
        <f ca="1">IF(AND(D236="Juvenile Audiobook",LEFT(B236,8)="J CD BIO"),RIGHT(B236,LEN(B236)-9),
IF(AND(D236="Juvenile Audiobook",LEFT(B236,8)="J CD FIC"),B236,
IF(D236="Juvenile Audiobook",RIGHT(B236,LEN(B236)-5),
IF(AND(D236="Teen Audiobook",LEFT(B236,11)="TEEN CD BIO"),RIGHT(B236,LEN(B236)-12),
IF(AND(D236="Teen Audiobook",LEFT(B236,11)="TEEN CD FIC"),B236,
IF(D236="Juvenile Audiobook",RIGHT(B236,LEN(B236)-8),
IF(D236="Juvenile Nonfiction",RIGHT(B236,LEN(B236)-2),
IF(D236="Teen Nonfiction",RIGHT(B236,LEN(B236)-5),
IF(AND(D236="Audiobook",
              NOT(OR(Contains($B236,"CD BIO"),Contains($B236,"CD FIC")))),RIGHT(B236,LEN(B236)-3),
IF(D236="Juvenile Biography",RIGHT(B236,LEN(B236)-2),
IF(D236="Teen Biography",RIGHT(B236,LEN(B236)-5),
IF(AND(D236="Audiobook",
              IFERROR(FIND("BIO",$B236)&gt;0,FALSE)),RIGHT(B236,LEN(B236)-3),
IF(D236="Juvenile Large Type","J "&amp;RIGHT(B236,LEN(B236)-11),
IF(D236="Teen Large Type","TEEN "&amp;RIGHT(B236,LEN(B236)-14),
IF(D236="Reference",RIGHT(B236,LEN(B236)-4),
IF(D236="DVD Educational",RIGHT(B236,LEN(B236)-7),
IF(D236="Juvenile DVD Educational",RIGHT(B236,LEN(B236)-9),
B236)))))))))))))))))</f>
        <v/>
      </c>
      <c r="N236" s="11" t="str">
        <f ca="1">IF(IFERROR(FIND("New",$A236)&gt;0,FALSE),"New ","") &amp; IF(IFERROR(FIND("In Lib",$A236)&gt;0,FALSE),"Reference ","") &amp;
IF(AND(D236="Audiobook",LEFT(B236,6)="CD BIO"),"Biography",
IF(AND(D236="Teen Audiobook",LEFT(B236,11)="TEEN CD BIO"),"Biography",
IF(AND(D236="Juvenile Audiobook",LEFT(B236,8)="J CD BIO"),"Biography",
IF(AND(D236="Audiobook",LEFT(B236,6)="CD FIC"),"Audiobook Fiction",
IF(AND(D236="Teen Audiobook",LEFT(B236,11)="TEEN CD FIC"),"Teen Audiobook",
IF(AND(D236="Juvenile Audiobook",LEFT(B236,8)="J CD FIC"),"Juvenile Audiobook",
IF(D236="Audiobook","Nonfiction",
IF(D236="Juvenile Audiobook","Nonfiction",
IF(D236="Teen Audiobook","Nonfiction",
IF(D236="Juvenile Nonfiction","Nonfiction",
IF(D236="Teen Nonfiction","Nonfiction",
IF(D236="Juvenile Biography","Biography",
IF(D236="Teen Biography","Biography",
IF(D236="ESL","Nonfiction",
IF(LEFT(B236,11)="INTL-VIE J ","International Juvenile",IF(LEFT(B236,11)="INTL-TAG J ","International Juvenile",IF(LEFT(B236,11)="INTL-RUS J ","International Juvenile",IF(LEFT(B236,11)="INTL-KOR J ","International Juvenile",IF(LEFT(B236,11)="INTL-JAP J ","International Juvenile",IF(LEFT(B236,11)="INTL-CHI J ","International Juvenile",IF(LEFT(B236,11)="INTL-SPA J ","International Juvenile",IF(LEFT(B236,14)="INTL-VIE TEEN ","International Teen",IF(LEFT(B236,14)="INTL-TAG TEEN ","International Teen",IF(LEFT(B236,14)="INTL-RUS TEEN ","International Teen",IF(LEFT(B236,14)="INTL-KOR TEEN ","International Teen",IF(LEFT(B236,14)="INTL-JAP TEEN ","International Teen",IF(LEFT(B236,14)="INTL-CHI TEEN ","International Teen",IF(LEFT(B236,14)="INTL-SPA TEEN ","International Teen",IF(LEFT(B236,11)="INTL-VIE E ","International Easy",IF(LEFT(B236,11)="INTL-TAG E ","International Easy",IF(LEFT(B236,11)="INTL-RUS E ","International Easy",IF(LEFT(B236,11)="INTL-JAP E ","International Easy",IF(LEFT(B236,11)="INTL-KOR E ","International Easy",IF(LEFT(B236,11)="INTL-CHI E ","International Easy",IF(LEFT(B236,11)="INTL-SPA E ","International Easy",
IF(D236="Teen Large Type","Teen Fiction",
IF(D236="Juvenile Large Type","Juvenile Fiction",
IF(LEFT(B236,6)="J CD O","Juvenile Compact Disc",
IF(AND(LEFT(B236,4)="TEEN",D236="Fiction"),"Teen Fiction",
IF(D236="DVD Educational","Nonfiction",
IF(D236="Juvenile DVD Educational","Nonfiction",
IF(D236="Reference","Nonfiction",
D236))))))))))))))))))))))))))))))))))))))))))</f>
        <v/>
      </c>
    </row>
    <row r="237" spans="1:14" ht="27" customHeight="1" x14ac:dyDescent="0.25">
      <c r="A237" s="10" t="str">
        <f ca="1">TEXT( INDIRECT( ADDRESS( ROW() + Row_Offset, INDIRECT( "Column_Number_" &amp; A$1), 4,1, tabname) ), "")</f>
        <v/>
      </c>
      <c r="B237" s="10" t="str">
        <f ca="1">TEXT(  IFERROR( VLOOKUP( $D237, CollName_Simplifier_Table[], 2, FALSE),"") &amp;
        INDIRECT( ADDRESS( ROW() + Row_Offset, INDIRECT( "Column_Number_" &amp; $B$1), 4,1, tabname) ), "")</f>
        <v/>
      </c>
      <c r="C237" s="10" t="str">
        <f ca="1">TEXT( INDIRECT( ADDRESS( ROW() + Row_Offset, INDIRECT( "Column_Number_" &amp; C$1), 4,1, tabname) ), "")</f>
        <v/>
      </c>
      <c r="D237" s="10" t="str">
        <f ca="1">TEXT( INDIRECT( ADDRESS( ROW() + Row_Offset, INDIRECT( "Column_Number_" &amp; D$1), 4,1, tabname) ), "")</f>
        <v/>
      </c>
      <c r="E237" s="10" t="str">
        <f ca="1">TEXT( INDIRECT( ADDRESS( ROW() + Row_Offset, INDIRECT( "Column_Number_" &amp; E$1), 4,1, tabname) ), "####")</f>
        <v/>
      </c>
      <c r="F237" s="15"/>
      <c r="G237" s="22" t="str">
        <f ca="1">IFERROR(INDEX(Rank_Table[],MATCH($D237&amp;$A237,Table4[Join],0)),"")</f>
        <v/>
      </c>
      <c r="H237" s="11" t="str">
        <f ca="1">IF(AND(D237="Juvenile Audiobook",LEFT(B237,8)="J CD BIO"),RIGHT(B237,LEN(B237)-9),
IF(AND(D237="Juvenile Audiobook",LEFT(B237,8)="J CD FIC"),B237,
IF(D237="Juvenile Audiobook",RIGHT(B237,LEN(B237)-5),
IF(AND(D237="Teen Audiobook",LEFT(B237,11)="TEEN CD BIO"),RIGHT(B237,LEN(B237)-12),
IF(AND(D237="Teen Audiobook",LEFT(B237,11)="TEEN CD FIC"),B237,
IF(D237="Juvenile Audiobook",RIGHT(B237,LEN(B237)-8),
IF(D237="Juvenile Nonfiction",RIGHT(B237,LEN(B237)-2),
IF(D237="Teen Nonfiction",RIGHT(B237,LEN(B237)-5),
IF(AND(D237="Audiobook",
              NOT(OR(Contains($B237,"CD BIO"),Contains($B237,"CD FIC")))),RIGHT(B237,LEN(B237)-3),
IF(D237="Juvenile Biography",RIGHT(B237,LEN(B237)-2),
IF(D237="Teen Biography",RIGHT(B237,LEN(B237)-5),
IF(AND(D237="Audiobook",
              IFERROR(FIND("BIO",$B237)&gt;0,FALSE)),RIGHT(B237,LEN(B237)-3),
IF(D237="Juvenile Large Type","J "&amp;RIGHT(B237,LEN(B237)-11),
IF(D237="Teen Large Type","TEEN "&amp;RIGHT(B237,LEN(B237)-14),
IF(D237="Reference",RIGHT(B237,LEN(B237)-4),
IF(D237="DVD Educational",RIGHT(B237,LEN(B237)-7),
IF(D237="Juvenile DVD Educational",RIGHT(B237,LEN(B237)-9),
B237)))))))))))))))))</f>
        <v/>
      </c>
      <c r="N237" s="11" t="str">
        <f ca="1">IF(IFERROR(FIND("New",$A237)&gt;0,FALSE),"New ","") &amp; IF(IFERROR(FIND("In Lib",$A237)&gt;0,FALSE),"Reference ","") &amp;
IF(AND(D237="Audiobook",LEFT(B237,6)="CD BIO"),"Biography",
IF(AND(D237="Teen Audiobook",LEFT(B237,11)="TEEN CD BIO"),"Biography",
IF(AND(D237="Juvenile Audiobook",LEFT(B237,8)="J CD BIO"),"Biography",
IF(AND(D237="Audiobook",LEFT(B237,6)="CD FIC"),"Audiobook Fiction",
IF(AND(D237="Teen Audiobook",LEFT(B237,11)="TEEN CD FIC"),"Teen Audiobook",
IF(AND(D237="Juvenile Audiobook",LEFT(B237,8)="J CD FIC"),"Juvenile Audiobook",
IF(D237="Audiobook","Nonfiction",
IF(D237="Juvenile Audiobook","Nonfiction",
IF(D237="Teen Audiobook","Nonfiction",
IF(D237="Juvenile Nonfiction","Nonfiction",
IF(D237="Teen Nonfiction","Nonfiction",
IF(D237="Juvenile Biography","Biography",
IF(D237="Teen Biography","Biography",
IF(D237="ESL","Nonfiction",
IF(LEFT(B237,11)="INTL-VIE J ","International Juvenile",IF(LEFT(B237,11)="INTL-TAG J ","International Juvenile",IF(LEFT(B237,11)="INTL-RUS J ","International Juvenile",IF(LEFT(B237,11)="INTL-KOR J ","International Juvenile",IF(LEFT(B237,11)="INTL-JAP J ","International Juvenile",IF(LEFT(B237,11)="INTL-CHI J ","International Juvenile",IF(LEFT(B237,11)="INTL-SPA J ","International Juvenile",IF(LEFT(B237,14)="INTL-VIE TEEN ","International Teen",IF(LEFT(B237,14)="INTL-TAG TEEN ","International Teen",IF(LEFT(B237,14)="INTL-RUS TEEN ","International Teen",IF(LEFT(B237,14)="INTL-KOR TEEN ","International Teen",IF(LEFT(B237,14)="INTL-JAP TEEN ","International Teen",IF(LEFT(B237,14)="INTL-CHI TEEN ","International Teen",IF(LEFT(B237,14)="INTL-SPA TEEN ","International Teen",IF(LEFT(B237,11)="INTL-VIE E ","International Easy",IF(LEFT(B237,11)="INTL-TAG E ","International Easy",IF(LEFT(B237,11)="INTL-RUS E ","International Easy",IF(LEFT(B237,11)="INTL-JAP E ","International Easy",IF(LEFT(B237,11)="INTL-KOR E ","International Easy",IF(LEFT(B237,11)="INTL-CHI E ","International Easy",IF(LEFT(B237,11)="INTL-SPA E ","International Easy",
IF(D237="Teen Large Type","Teen Fiction",
IF(D237="Juvenile Large Type","Juvenile Fiction",
IF(LEFT(B237,6)="J CD O","Juvenile Compact Disc",
IF(AND(LEFT(B237,4)="TEEN",D237="Fiction"),"Teen Fiction",
IF(D237="DVD Educational","Nonfiction",
IF(D237="Juvenile DVD Educational","Nonfiction",
IF(D237="Reference","Nonfiction",
D237))))))))))))))))))))))))))))))))))))))))))</f>
        <v/>
      </c>
    </row>
    <row r="238" spans="1:14" ht="27" customHeight="1" x14ac:dyDescent="0.25">
      <c r="A238" s="10" t="str">
        <f ca="1">TEXT( INDIRECT( ADDRESS( ROW() + Row_Offset, INDIRECT( "Column_Number_" &amp; A$1), 4,1, tabname) ), "")</f>
        <v/>
      </c>
      <c r="B238" s="10" t="str">
        <f ca="1">TEXT(  IFERROR( VLOOKUP( $D238, CollName_Simplifier_Table[], 2, FALSE),"") &amp;
        INDIRECT( ADDRESS( ROW() + Row_Offset, INDIRECT( "Column_Number_" &amp; $B$1), 4,1, tabname) ), "")</f>
        <v/>
      </c>
      <c r="C238" s="10" t="str">
        <f ca="1">TEXT( INDIRECT( ADDRESS( ROW() + Row_Offset, INDIRECT( "Column_Number_" &amp; C$1), 4,1, tabname) ), "")</f>
        <v/>
      </c>
      <c r="D238" s="10" t="str">
        <f ca="1">TEXT( INDIRECT( ADDRESS( ROW() + Row_Offset, INDIRECT( "Column_Number_" &amp; D$1), 4,1, tabname) ), "")</f>
        <v/>
      </c>
      <c r="E238" s="10" t="str">
        <f ca="1">TEXT( INDIRECT( ADDRESS( ROW() + Row_Offset, INDIRECT( "Column_Number_" &amp; E$1), 4,1, tabname) ), "####")</f>
        <v/>
      </c>
      <c r="F238" s="15"/>
      <c r="G238" s="22" t="str">
        <f ca="1">IFERROR(INDEX(Rank_Table[],MATCH($D238&amp;$A238,Table4[Join],0)),"")</f>
        <v/>
      </c>
      <c r="H238" s="11" t="str">
        <f ca="1">IF(AND(D238="Juvenile Audiobook",LEFT(B238,8)="J CD BIO"),RIGHT(B238,LEN(B238)-9),
IF(AND(D238="Juvenile Audiobook",LEFT(B238,8)="J CD FIC"),B238,
IF(D238="Juvenile Audiobook",RIGHT(B238,LEN(B238)-5),
IF(AND(D238="Teen Audiobook",LEFT(B238,11)="TEEN CD BIO"),RIGHT(B238,LEN(B238)-12),
IF(AND(D238="Teen Audiobook",LEFT(B238,11)="TEEN CD FIC"),B238,
IF(D238="Juvenile Audiobook",RIGHT(B238,LEN(B238)-8),
IF(D238="Juvenile Nonfiction",RIGHT(B238,LEN(B238)-2),
IF(D238="Teen Nonfiction",RIGHT(B238,LEN(B238)-5),
IF(AND(D238="Audiobook",
              NOT(OR(Contains($B238,"CD BIO"),Contains($B238,"CD FIC")))),RIGHT(B238,LEN(B238)-3),
IF(D238="Juvenile Biography",RIGHT(B238,LEN(B238)-2),
IF(D238="Teen Biography",RIGHT(B238,LEN(B238)-5),
IF(AND(D238="Audiobook",
              IFERROR(FIND("BIO",$B238)&gt;0,FALSE)),RIGHT(B238,LEN(B238)-3),
IF(D238="Juvenile Large Type","J "&amp;RIGHT(B238,LEN(B238)-11),
IF(D238="Teen Large Type","TEEN "&amp;RIGHT(B238,LEN(B238)-14),
IF(D238="Reference",RIGHT(B238,LEN(B238)-4),
IF(D238="DVD Educational",RIGHT(B238,LEN(B238)-7),
IF(D238="Juvenile DVD Educational",RIGHT(B238,LEN(B238)-9),
B238)))))))))))))))))</f>
        <v/>
      </c>
      <c r="N238" s="11" t="str">
        <f ca="1">IF(IFERROR(FIND("New",$A238)&gt;0,FALSE),"New ","") &amp; IF(IFERROR(FIND("In Lib",$A238)&gt;0,FALSE),"Reference ","") &amp;
IF(AND(D238="Audiobook",LEFT(B238,6)="CD BIO"),"Biography",
IF(AND(D238="Teen Audiobook",LEFT(B238,11)="TEEN CD BIO"),"Biography",
IF(AND(D238="Juvenile Audiobook",LEFT(B238,8)="J CD BIO"),"Biography",
IF(AND(D238="Audiobook",LEFT(B238,6)="CD FIC"),"Audiobook Fiction",
IF(AND(D238="Teen Audiobook",LEFT(B238,11)="TEEN CD FIC"),"Teen Audiobook",
IF(AND(D238="Juvenile Audiobook",LEFT(B238,8)="J CD FIC"),"Juvenile Audiobook",
IF(D238="Audiobook","Nonfiction",
IF(D238="Juvenile Audiobook","Nonfiction",
IF(D238="Teen Audiobook","Nonfiction",
IF(D238="Juvenile Nonfiction","Nonfiction",
IF(D238="Teen Nonfiction","Nonfiction",
IF(D238="Juvenile Biography","Biography",
IF(D238="Teen Biography","Biography",
IF(D238="ESL","Nonfiction",
IF(LEFT(B238,11)="INTL-VIE J ","International Juvenile",IF(LEFT(B238,11)="INTL-TAG J ","International Juvenile",IF(LEFT(B238,11)="INTL-RUS J ","International Juvenile",IF(LEFT(B238,11)="INTL-KOR J ","International Juvenile",IF(LEFT(B238,11)="INTL-JAP J ","International Juvenile",IF(LEFT(B238,11)="INTL-CHI J ","International Juvenile",IF(LEFT(B238,11)="INTL-SPA J ","International Juvenile",IF(LEFT(B238,14)="INTL-VIE TEEN ","International Teen",IF(LEFT(B238,14)="INTL-TAG TEEN ","International Teen",IF(LEFT(B238,14)="INTL-RUS TEEN ","International Teen",IF(LEFT(B238,14)="INTL-KOR TEEN ","International Teen",IF(LEFT(B238,14)="INTL-JAP TEEN ","International Teen",IF(LEFT(B238,14)="INTL-CHI TEEN ","International Teen",IF(LEFT(B238,14)="INTL-SPA TEEN ","International Teen",IF(LEFT(B238,11)="INTL-VIE E ","International Easy",IF(LEFT(B238,11)="INTL-TAG E ","International Easy",IF(LEFT(B238,11)="INTL-RUS E ","International Easy",IF(LEFT(B238,11)="INTL-JAP E ","International Easy",IF(LEFT(B238,11)="INTL-KOR E ","International Easy",IF(LEFT(B238,11)="INTL-CHI E ","International Easy",IF(LEFT(B238,11)="INTL-SPA E ","International Easy",
IF(D238="Teen Large Type","Teen Fiction",
IF(D238="Juvenile Large Type","Juvenile Fiction",
IF(LEFT(B238,6)="J CD O","Juvenile Compact Disc",
IF(AND(LEFT(B238,4)="TEEN",D238="Fiction"),"Teen Fiction",
IF(D238="DVD Educational","Nonfiction",
IF(D238="Juvenile DVD Educational","Nonfiction",
IF(D238="Reference","Nonfiction",
D238))))))))))))))))))))))))))))))))))))))))))</f>
        <v/>
      </c>
    </row>
    <row r="239" spans="1:14" ht="27" customHeight="1" x14ac:dyDescent="0.25">
      <c r="A239" s="10" t="str">
        <f ca="1">TEXT( INDIRECT( ADDRESS( ROW() + Row_Offset, INDIRECT( "Column_Number_" &amp; A$1), 4,1, tabname) ), "")</f>
        <v/>
      </c>
      <c r="B239" s="10" t="str">
        <f ca="1">TEXT(  IFERROR( VLOOKUP( $D239, CollName_Simplifier_Table[], 2, FALSE),"") &amp;
        INDIRECT( ADDRESS( ROW() + Row_Offset, INDIRECT( "Column_Number_" &amp; $B$1), 4,1, tabname) ), "")</f>
        <v/>
      </c>
      <c r="C239" s="10" t="str">
        <f ca="1">TEXT( INDIRECT( ADDRESS( ROW() + Row_Offset, INDIRECT( "Column_Number_" &amp; C$1), 4,1, tabname) ), "")</f>
        <v/>
      </c>
      <c r="D239" s="10" t="str">
        <f ca="1">TEXT( INDIRECT( ADDRESS( ROW() + Row_Offset, INDIRECT( "Column_Number_" &amp; D$1), 4,1, tabname) ), "")</f>
        <v/>
      </c>
      <c r="E239" s="10" t="str">
        <f ca="1">TEXT( INDIRECT( ADDRESS( ROW() + Row_Offset, INDIRECT( "Column_Number_" &amp; E$1), 4,1, tabname) ), "####")</f>
        <v/>
      </c>
      <c r="F239" s="15"/>
      <c r="G239" s="22" t="str">
        <f ca="1">IFERROR(INDEX(Rank_Table[],MATCH($D239&amp;$A239,Table4[Join],0)),"")</f>
        <v/>
      </c>
      <c r="H239" s="11" t="str">
        <f ca="1">IF(AND(D239="Juvenile Audiobook",LEFT(B239,8)="J CD BIO"),RIGHT(B239,LEN(B239)-9),
IF(AND(D239="Juvenile Audiobook",LEFT(B239,8)="J CD FIC"),B239,
IF(D239="Juvenile Audiobook",RIGHT(B239,LEN(B239)-5),
IF(AND(D239="Teen Audiobook",LEFT(B239,11)="TEEN CD BIO"),RIGHT(B239,LEN(B239)-12),
IF(AND(D239="Teen Audiobook",LEFT(B239,11)="TEEN CD FIC"),B239,
IF(D239="Juvenile Audiobook",RIGHT(B239,LEN(B239)-8),
IF(D239="Juvenile Nonfiction",RIGHT(B239,LEN(B239)-2),
IF(D239="Teen Nonfiction",RIGHT(B239,LEN(B239)-5),
IF(AND(D239="Audiobook",
              NOT(OR(Contains($B239,"CD BIO"),Contains($B239,"CD FIC")))),RIGHT(B239,LEN(B239)-3),
IF(D239="Juvenile Biography",RIGHT(B239,LEN(B239)-2),
IF(D239="Teen Biography",RIGHT(B239,LEN(B239)-5),
IF(AND(D239="Audiobook",
              IFERROR(FIND("BIO",$B239)&gt;0,FALSE)),RIGHT(B239,LEN(B239)-3),
IF(D239="Juvenile Large Type","J "&amp;RIGHT(B239,LEN(B239)-11),
IF(D239="Teen Large Type","TEEN "&amp;RIGHT(B239,LEN(B239)-14),
IF(D239="Reference",RIGHT(B239,LEN(B239)-4),
IF(D239="DVD Educational",RIGHT(B239,LEN(B239)-7),
IF(D239="Juvenile DVD Educational",RIGHT(B239,LEN(B239)-9),
B239)))))))))))))))))</f>
        <v/>
      </c>
      <c r="N239" s="11" t="str">
        <f ca="1">IF(IFERROR(FIND("New",$A239)&gt;0,FALSE),"New ","") &amp; IF(IFERROR(FIND("In Lib",$A239)&gt;0,FALSE),"Reference ","") &amp;
IF(AND(D239="Audiobook",LEFT(B239,6)="CD BIO"),"Biography",
IF(AND(D239="Teen Audiobook",LEFT(B239,11)="TEEN CD BIO"),"Biography",
IF(AND(D239="Juvenile Audiobook",LEFT(B239,8)="J CD BIO"),"Biography",
IF(AND(D239="Audiobook",LEFT(B239,6)="CD FIC"),"Audiobook Fiction",
IF(AND(D239="Teen Audiobook",LEFT(B239,11)="TEEN CD FIC"),"Teen Audiobook",
IF(AND(D239="Juvenile Audiobook",LEFT(B239,8)="J CD FIC"),"Juvenile Audiobook",
IF(D239="Audiobook","Nonfiction",
IF(D239="Juvenile Audiobook","Nonfiction",
IF(D239="Teen Audiobook","Nonfiction",
IF(D239="Juvenile Nonfiction","Nonfiction",
IF(D239="Teen Nonfiction","Nonfiction",
IF(D239="Juvenile Biography","Biography",
IF(D239="Teen Biography","Biography",
IF(D239="ESL","Nonfiction",
IF(LEFT(B239,11)="INTL-VIE J ","International Juvenile",IF(LEFT(B239,11)="INTL-TAG J ","International Juvenile",IF(LEFT(B239,11)="INTL-RUS J ","International Juvenile",IF(LEFT(B239,11)="INTL-KOR J ","International Juvenile",IF(LEFT(B239,11)="INTL-JAP J ","International Juvenile",IF(LEFT(B239,11)="INTL-CHI J ","International Juvenile",IF(LEFT(B239,11)="INTL-SPA J ","International Juvenile",IF(LEFT(B239,14)="INTL-VIE TEEN ","International Teen",IF(LEFT(B239,14)="INTL-TAG TEEN ","International Teen",IF(LEFT(B239,14)="INTL-RUS TEEN ","International Teen",IF(LEFT(B239,14)="INTL-KOR TEEN ","International Teen",IF(LEFT(B239,14)="INTL-JAP TEEN ","International Teen",IF(LEFT(B239,14)="INTL-CHI TEEN ","International Teen",IF(LEFT(B239,14)="INTL-SPA TEEN ","International Teen",IF(LEFT(B239,11)="INTL-VIE E ","International Easy",IF(LEFT(B239,11)="INTL-TAG E ","International Easy",IF(LEFT(B239,11)="INTL-RUS E ","International Easy",IF(LEFT(B239,11)="INTL-JAP E ","International Easy",IF(LEFT(B239,11)="INTL-KOR E ","International Easy",IF(LEFT(B239,11)="INTL-CHI E ","International Easy",IF(LEFT(B239,11)="INTL-SPA E ","International Easy",
IF(D239="Teen Large Type","Teen Fiction",
IF(D239="Juvenile Large Type","Juvenile Fiction",
IF(LEFT(B239,6)="J CD O","Juvenile Compact Disc",
IF(AND(LEFT(B239,4)="TEEN",D239="Fiction"),"Teen Fiction",
IF(D239="DVD Educational","Nonfiction",
IF(D239="Juvenile DVD Educational","Nonfiction",
IF(D239="Reference","Nonfiction",
D239))))))))))))))))))))))))))))))))))))))))))</f>
        <v/>
      </c>
    </row>
    <row r="240" spans="1:14" ht="27" customHeight="1" x14ac:dyDescent="0.25">
      <c r="A240" s="10" t="str">
        <f ca="1">TEXT( INDIRECT( ADDRESS( ROW() + Row_Offset, INDIRECT( "Column_Number_" &amp; A$1), 4,1, tabname) ), "")</f>
        <v/>
      </c>
      <c r="B240" s="10" t="str">
        <f ca="1">TEXT(  IFERROR( VLOOKUP( $D240, CollName_Simplifier_Table[], 2, FALSE),"") &amp;
        INDIRECT( ADDRESS( ROW() + Row_Offset, INDIRECT( "Column_Number_" &amp; $B$1), 4,1, tabname) ), "")</f>
        <v/>
      </c>
      <c r="C240" s="10" t="str">
        <f ca="1">TEXT( INDIRECT( ADDRESS( ROW() + Row_Offset, INDIRECT( "Column_Number_" &amp; C$1), 4,1, tabname) ), "")</f>
        <v/>
      </c>
      <c r="D240" s="10" t="str">
        <f ca="1">TEXT( INDIRECT( ADDRESS( ROW() + Row_Offset, INDIRECT( "Column_Number_" &amp; D$1), 4,1, tabname) ), "")</f>
        <v/>
      </c>
      <c r="E240" s="10" t="str">
        <f ca="1">TEXT( INDIRECT( ADDRESS( ROW() + Row_Offset, INDIRECT( "Column_Number_" &amp; E$1), 4,1, tabname) ), "####")</f>
        <v/>
      </c>
      <c r="F240" s="15"/>
      <c r="G240" s="22" t="str">
        <f ca="1">IFERROR(INDEX(Rank_Table[],MATCH($D240&amp;$A240,Table4[Join],0)),"")</f>
        <v/>
      </c>
      <c r="H240" s="11" t="str">
        <f ca="1">IF(AND(D240="Juvenile Audiobook",LEFT(B240,8)="J CD BIO"),RIGHT(B240,LEN(B240)-9),
IF(AND(D240="Juvenile Audiobook",LEFT(B240,8)="J CD FIC"),B240,
IF(D240="Juvenile Audiobook",RIGHT(B240,LEN(B240)-5),
IF(AND(D240="Teen Audiobook",LEFT(B240,11)="TEEN CD BIO"),RIGHT(B240,LEN(B240)-12),
IF(AND(D240="Teen Audiobook",LEFT(B240,11)="TEEN CD FIC"),B240,
IF(D240="Juvenile Audiobook",RIGHT(B240,LEN(B240)-8),
IF(D240="Juvenile Nonfiction",RIGHT(B240,LEN(B240)-2),
IF(D240="Teen Nonfiction",RIGHT(B240,LEN(B240)-5),
IF(AND(D240="Audiobook",
              NOT(OR(Contains($B240,"CD BIO"),Contains($B240,"CD FIC")))),RIGHT(B240,LEN(B240)-3),
IF(D240="Juvenile Biography",RIGHT(B240,LEN(B240)-2),
IF(D240="Teen Biography",RIGHT(B240,LEN(B240)-5),
IF(AND(D240="Audiobook",
              IFERROR(FIND("BIO",$B240)&gt;0,FALSE)),RIGHT(B240,LEN(B240)-3),
IF(D240="Juvenile Large Type","J "&amp;RIGHT(B240,LEN(B240)-11),
IF(D240="Teen Large Type","TEEN "&amp;RIGHT(B240,LEN(B240)-14),
IF(D240="Reference",RIGHT(B240,LEN(B240)-4),
IF(D240="DVD Educational",RIGHT(B240,LEN(B240)-7),
IF(D240="Juvenile DVD Educational",RIGHT(B240,LEN(B240)-9),
B240)))))))))))))))))</f>
        <v/>
      </c>
      <c r="N240" s="11" t="str">
        <f ca="1">IF(IFERROR(FIND("New",$A240)&gt;0,FALSE),"New ","") &amp; IF(IFERROR(FIND("In Lib",$A240)&gt;0,FALSE),"Reference ","") &amp;
IF(AND(D240="Audiobook",LEFT(B240,6)="CD BIO"),"Biography",
IF(AND(D240="Teen Audiobook",LEFT(B240,11)="TEEN CD BIO"),"Biography",
IF(AND(D240="Juvenile Audiobook",LEFT(B240,8)="J CD BIO"),"Biography",
IF(AND(D240="Audiobook",LEFT(B240,6)="CD FIC"),"Audiobook Fiction",
IF(AND(D240="Teen Audiobook",LEFT(B240,11)="TEEN CD FIC"),"Teen Audiobook",
IF(AND(D240="Juvenile Audiobook",LEFT(B240,8)="J CD FIC"),"Juvenile Audiobook",
IF(D240="Audiobook","Nonfiction",
IF(D240="Juvenile Audiobook","Nonfiction",
IF(D240="Teen Audiobook","Nonfiction",
IF(D240="Juvenile Nonfiction","Nonfiction",
IF(D240="Teen Nonfiction","Nonfiction",
IF(D240="Juvenile Biography","Biography",
IF(D240="Teen Biography","Biography",
IF(D240="ESL","Nonfiction",
IF(LEFT(B240,11)="INTL-VIE J ","International Juvenile",IF(LEFT(B240,11)="INTL-TAG J ","International Juvenile",IF(LEFT(B240,11)="INTL-RUS J ","International Juvenile",IF(LEFT(B240,11)="INTL-KOR J ","International Juvenile",IF(LEFT(B240,11)="INTL-JAP J ","International Juvenile",IF(LEFT(B240,11)="INTL-CHI J ","International Juvenile",IF(LEFT(B240,11)="INTL-SPA J ","International Juvenile",IF(LEFT(B240,14)="INTL-VIE TEEN ","International Teen",IF(LEFT(B240,14)="INTL-TAG TEEN ","International Teen",IF(LEFT(B240,14)="INTL-RUS TEEN ","International Teen",IF(LEFT(B240,14)="INTL-KOR TEEN ","International Teen",IF(LEFT(B240,14)="INTL-JAP TEEN ","International Teen",IF(LEFT(B240,14)="INTL-CHI TEEN ","International Teen",IF(LEFT(B240,14)="INTL-SPA TEEN ","International Teen",IF(LEFT(B240,11)="INTL-VIE E ","International Easy",IF(LEFT(B240,11)="INTL-TAG E ","International Easy",IF(LEFT(B240,11)="INTL-RUS E ","International Easy",IF(LEFT(B240,11)="INTL-JAP E ","International Easy",IF(LEFT(B240,11)="INTL-KOR E ","International Easy",IF(LEFT(B240,11)="INTL-CHI E ","International Easy",IF(LEFT(B240,11)="INTL-SPA E ","International Easy",
IF(D240="Teen Large Type","Teen Fiction",
IF(D240="Juvenile Large Type","Juvenile Fiction",
IF(LEFT(B240,6)="J CD O","Juvenile Compact Disc",
IF(AND(LEFT(B240,4)="TEEN",D240="Fiction"),"Teen Fiction",
IF(D240="DVD Educational","Nonfiction",
IF(D240="Juvenile DVD Educational","Nonfiction",
IF(D240="Reference","Nonfiction",
D240))))))))))))))))))))))))))))))))))))))))))</f>
        <v/>
      </c>
    </row>
    <row r="241" spans="1:14" ht="27" customHeight="1" x14ac:dyDescent="0.25">
      <c r="A241" s="10" t="str">
        <f ca="1">TEXT( INDIRECT( ADDRESS( ROW() + Row_Offset, INDIRECT( "Column_Number_" &amp; A$1), 4,1, tabname) ), "")</f>
        <v/>
      </c>
      <c r="B241" s="10" t="str">
        <f ca="1">TEXT(  IFERROR( VLOOKUP( $D241, CollName_Simplifier_Table[], 2, FALSE),"") &amp;
        INDIRECT( ADDRESS( ROW() + Row_Offset, INDIRECT( "Column_Number_" &amp; $B$1), 4,1, tabname) ), "")</f>
        <v/>
      </c>
      <c r="C241" s="10" t="str">
        <f ca="1">TEXT( INDIRECT( ADDRESS( ROW() + Row_Offset, INDIRECT( "Column_Number_" &amp; C$1), 4,1, tabname) ), "")</f>
        <v/>
      </c>
      <c r="D241" s="10" t="str">
        <f ca="1">TEXT( INDIRECT( ADDRESS( ROW() + Row_Offset, INDIRECT( "Column_Number_" &amp; D$1), 4,1, tabname) ), "")</f>
        <v/>
      </c>
      <c r="E241" s="10" t="str">
        <f ca="1">TEXT( INDIRECT( ADDRESS( ROW() + Row_Offset, INDIRECT( "Column_Number_" &amp; E$1), 4,1, tabname) ), "####")</f>
        <v/>
      </c>
      <c r="F241" s="15"/>
      <c r="G241" s="22" t="str">
        <f ca="1">IFERROR(INDEX(Rank_Table[],MATCH($D241&amp;$A241,Table4[Join],0)),"")</f>
        <v/>
      </c>
      <c r="H241" s="11" t="str">
        <f ca="1">IF(AND(D241="Juvenile Audiobook",LEFT(B241,8)="J CD BIO"),RIGHT(B241,LEN(B241)-9),
IF(AND(D241="Juvenile Audiobook",LEFT(B241,8)="J CD FIC"),B241,
IF(D241="Juvenile Audiobook",RIGHT(B241,LEN(B241)-5),
IF(AND(D241="Teen Audiobook",LEFT(B241,11)="TEEN CD BIO"),RIGHT(B241,LEN(B241)-12),
IF(AND(D241="Teen Audiobook",LEFT(B241,11)="TEEN CD FIC"),B241,
IF(D241="Juvenile Audiobook",RIGHT(B241,LEN(B241)-8),
IF(D241="Juvenile Nonfiction",RIGHT(B241,LEN(B241)-2),
IF(D241="Teen Nonfiction",RIGHT(B241,LEN(B241)-5),
IF(AND(D241="Audiobook",
              NOT(OR(Contains($B241,"CD BIO"),Contains($B241,"CD FIC")))),RIGHT(B241,LEN(B241)-3),
IF(D241="Juvenile Biography",RIGHT(B241,LEN(B241)-2),
IF(D241="Teen Biography",RIGHT(B241,LEN(B241)-5),
IF(AND(D241="Audiobook",
              IFERROR(FIND("BIO",$B241)&gt;0,FALSE)),RIGHT(B241,LEN(B241)-3),
IF(D241="Juvenile Large Type","J "&amp;RIGHT(B241,LEN(B241)-11),
IF(D241="Teen Large Type","TEEN "&amp;RIGHT(B241,LEN(B241)-14),
IF(D241="Reference",RIGHT(B241,LEN(B241)-4),
IF(D241="DVD Educational",RIGHT(B241,LEN(B241)-7),
IF(D241="Juvenile DVD Educational",RIGHT(B241,LEN(B241)-9),
B241)))))))))))))))))</f>
        <v/>
      </c>
      <c r="N241" s="11" t="str">
        <f ca="1">IF(IFERROR(FIND("New",$A241)&gt;0,FALSE),"New ","") &amp; IF(IFERROR(FIND("In Lib",$A241)&gt;0,FALSE),"Reference ","") &amp;
IF(AND(D241="Audiobook",LEFT(B241,6)="CD BIO"),"Biography",
IF(AND(D241="Teen Audiobook",LEFT(B241,11)="TEEN CD BIO"),"Biography",
IF(AND(D241="Juvenile Audiobook",LEFT(B241,8)="J CD BIO"),"Biography",
IF(AND(D241="Audiobook",LEFT(B241,6)="CD FIC"),"Audiobook Fiction",
IF(AND(D241="Teen Audiobook",LEFT(B241,11)="TEEN CD FIC"),"Teen Audiobook",
IF(AND(D241="Juvenile Audiobook",LEFT(B241,8)="J CD FIC"),"Juvenile Audiobook",
IF(D241="Audiobook","Nonfiction",
IF(D241="Juvenile Audiobook","Nonfiction",
IF(D241="Teen Audiobook","Nonfiction",
IF(D241="Juvenile Nonfiction","Nonfiction",
IF(D241="Teen Nonfiction","Nonfiction",
IF(D241="Juvenile Biography","Biography",
IF(D241="Teen Biography","Biography",
IF(D241="ESL","Nonfiction",
IF(LEFT(B241,11)="INTL-VIE J ","International Juvenile",IF(LEFT(B241,11)="INTL-TAG J ","International Juvenile",IF(LEFT(B241,11)="INTL-RUS J ","International Juvenile",IF(LEFT(B241,11)="INTL-KOR J ","International Juvenile",IF(LEFT(B241,11)="INTL-JAP J ","International Juvenile",IF(LEFT(B241,11)="INTL-CHI J ","International Juvenile",IF(LEFT(B241,11)="INTL-SPA J ","International Juvenile",IF(LEFT(B241,14)="INTL-VIE TEEN ","International Teen",IF(LEFT(B241,14)="INTL-TAG TEEN ","International Teen",IF(LEFT(B241,14)="INTL-RUS TEEN ","International Teen",IF(LEFT(B241,14)="INTL-KOR TEEN ","International Teen",IF(LEFT(B241,14)="INTL-JAP TEEN ","International Teen",IF(LEFT(B241,14)="INTL-CHI TEEN ","International Teen",IF(LEFT(B241,14)="INTL-SPA TEEN ","International Teen",IF(LEFT(B241,11)="INTL-VIE E ","International Easy",IF(LEFT(B241,11)="INTL-TAG E ","International Easy",IF(LEFT(B241,11)="INTL-RUS E ","International Easy",IF(LEFT(B241,11)="INTL-JAP E ","International Easy",IF(LEFT(B241,11)="INTL-KOR E ","International Easy",IF(LEFT(B241,11)="INTL-CHI E ","International Easy",IF(LEFT(B241,11)="INTL-SPA E ","International Easy",
IF(D241="Teen Large Type","Teen Fiction",
IF(D241="Juvenile Large Type","Juvenile Fiction",
IF(LEFT(B241,6)="J CD O","Juvenile Compact Disc",
IF(AND(LEFT(B241,4)="TEEN",D241="Fiction"),"Teen Fiction",
IF(D241="DVD Educational","Nonfiction",
IF(D241="Juvenile DVD Educational","Nonfiction",
IF(D241="Reference","Nonfiction",
D241))))))))))))))))))))))))))))))))))))))))))</f>
        <v/>
      </c>
    </row>
    <row r="242" spans="1:14" ht="27" customHeight="1" x14ac:dyDescent="0.25">
      <c r="A242" s="10" t="str">
        <f ca="1">TEXT( INDIRECT( ADDRESS( ROW() + Row_Offset, INDIRECT( "Column_Number_" &amp; A$1), 4,1, tabname) ), "")</f>
        <v/>
      </c>
      <c r="B242" s="10" t="str">
        <f ca="1">TEXT(  IFERROR( VLOOKUP( $D242, CollName_Simplifier_Table[], 2, FALSE),"") &amp;
        INDIRECT( ADDRESS( ROW() + Row_Offset, INDIRECT( "Column_Number_" &amp; $B$1), 4,1, tabname) ), "")</f>
        <v/>
      </c>
      <c r="C242" s="10" t="str">
        <f ca="1">TEXT( INDIRECT( ADDRESS( ROW() + Row_Offset, INDIRECT( "Column_Number_" &amp; C$1), 4,1, tabname) ), "")</f>
        <v/>
      </c>
      <c r="D242" s="10" t="str">
        <f ca="1">TEXT( INDIRECT( ADDRESS( ROW() + Row_Offset, INDIRECT( "Column_Number_" &amp; D$1), 4,1, tabname) ), "")</f>
        <v/>
      </c>
      <c r="E242" s="10" t="str">
        <f ca="1">TEXT( INDIRECT( ADDRESS( ROW() + Row_Offset, INDIRECT( "Column_Number_" &amp; E$1), 4,1, tabname) ), "####")</f>
        <v/>
      </c>
      <c r="F242" s="15"/>
      <c r="G242" s="22" t="str">
        <f ca="1">IFERROR(INDEX(Rank_Table[],MATCH($D242&amp;$A242,Table4[Join],0)),"")</f>
        <v/>
      </c>
      <c r="H242" s="11" t="str">
        <f ca="1">IF(AND(D242="Juvenile Audiobook",LEFT(B242,8)="J CD BIO"),RIGHT(B242,LEN(B242)-9),
IF(AND(D242="Juvenile Audiobook",LEFT(B242,8)="J CD FIC"),B242,
IF(D242="Juvenile Audiobook",RIGHT(B242,LEN(B242)-5),
IF(AND(D242="Teen Audiobook",LEFT(B242,11)="TEEN CD BIO"),RIGHT(B242,LEN(B242)-12),
IF(AND(D242="Teen Audiobook",LEFT(B242,11)="TEEN CD FIC"),B242,
IF(D242="Juvenile Audiobook",RIGHT(B242,LEN(B242)-8),
IF(D242="Juvenile Nonfiction",RIGHT(B242,LEN(B242)-2),
IF(D242="Teen Nonfiction",RIGHT(B242,LEN(B242)-5),
IF(AND(D242="Audiobook",
              NOT(OR(Contains($B242,"CD BIO"),Contains($B242,"CD FIC")))),RIGHT(B242,LEN(B242)-3),
IF(D242="Juvenile Biography",RIGHT(B242,LEN(B242)-2),
IF(D242="Teen Biography",RIGHT(B242,LEN(B242)-5),
IF(AND(D242="Audiobook",
              IFERROR(FIND("BIO",$B242)&gt;0,FALSE)),RIGHT(B242,LEN(B242)-3),
IF(D242="Juvenile Large Type","J "&amp;RIGHT(B242,LEN(B242)-11),
IF(D242="Teen Large Type","TEEN "&amp;RIGHT(B242,LEN(B242)-14),
IF(D242="Reference",RIGHT(B242,LEN(B242)-4),
IF(D242="DVD Educational",RIGHT(B242,LEN(B242)-7),
IF(D242="Juvenile DVD Educational",RIGHT(B242,LEN(B242)-9),
B242)))))))))))))))))</f>
        <v/>
      </c>
      <c r="N242" s="11" t="str">
        <f ca="1">IF(IFERROR(FIND("New",$A242)&gt;0,FALSE),"New ","") &amp; IF(IFERROR(FIND("In Lib",$A242)&gt;0,FALSE),"Reference ","") &amp;
IF(AND(D242="Audiobook",LEFT(B242,6)="CD BIO"),"Biography",
IF(AND(D242="Teen Audiobook",LEFT(B242,11)="TEEN CD BIO"),"Biography",
IF(AND(D242="Juvenile Audiobook",LEFT(B242,8)="J CD BIO"),"Biography",
IF(AND(D242="Audiobook",LEFT(B242,6)="CD FIC"),"Audiobook Fiction",
IF(AND(D242="Teen Audiobook",LEFT(B242,11)="TEEN CD FIC"),"Teen Audiobook",
IF(AND(D242="Juvenile Audiobook",LEFT(B242,8)="J CD FIC"),"Juvenile Audiobook",
IF(D242="Audiobook","Nonfiction",
IF(D242="Juvenile Audiobook","Nonfiction",
IF(D242="Teen Audiobook","Nonfiction",
IF(D242="Juvenile Nonfiction","Nonfiction",
IF(D242="Teen Nonfiction","Nonfiction",
IF(D242="Juvenile Biography","Biography",
IF(D242="Teen Biography","Biography",
IF(D242="ESL","Nonfiction",
IF(LEFT(B242,11)="INTL-VIE J ","International Juvenile",IF(LEFT(B242,11)="INTL-TAG J ","International Juvenile",IF(LEFT(B242,11)="INTL-RUS J ","International Juvenile",IF(LEFT(B242,11)="INTL-KOR J ","International Juvenile",IF(LEFT(B242,11)="INTL-JAP J ","International Juvenile",IF(LEFT(B242,11)="INTL-CHI J ","International Juvenile",IF(LEFT(B242,11)="INTL-SPA J ","International Juvenile",IF(LEFT(B242,14)="INTL-VIE TEEN ","International Teen",IF(LEFT(B242,14)="INTL-TAG TEEN ","International Teen",IF(LEFT(B242,14)="INTL-RUS TEEN ","International Teen",IF(LEFT(B242,14)="INTL-KOR TEEN ","International Teen",IF(LEFT(B242,14)="INTL-JAP TEEN ","International Teen",IF(LEFT(B242,14)="INTL-CHI TEEN ","International Teen",IF(LEFT(B242,14)="INTL-SPA TEEN ","International Teen",IF(LEFT(B242,11)="INTL-VIE E ","International Easy",IF(LEFT(B242,11)="INTL-TAG E ","International Easy",IF(LEFT(B242,11)="INTL-RUS E ","International Easy",IF(LEFT(B242,11)="INTL-JAP E ","International Easy",IF(LEFT(B242,11)="INTL-KOR E ","International Easy",IF(LEFT(B242,11)="INTL-CHI E ","International Easy",IF(LEFT(B242,11)="INTL-SPA E ","International Easy",
IF(D242="Teen Large Type","Teen Fiction",
IF(D242="Juvenile Large Type","Juvenile Fiction",
IF(LEFT(B242,6)="J CD O","Juvenile Compact Disc",
IF(AND(LEFT(B242,4)="TEEN",D242="Fiction"),"Teen Fiction",
IF(D242="DVD Educational","Nonfiction",
IF(D242="Juvenile DVD Educational","Nonfiction",
IF(D242="Reference","Nonfiction",
D242))))))))))))))))))))))))))))))))))))))))))</f>
        <v/>
      </c>
    </row>
    <row r="243" spans="1:14" ht="27" customHeight="1" x14ac:dyDescent="0.25">
      <c r="A243" s="10" t="str">
        <f ca="1">TEXT( INDIRECT( ADDRESS( ROW() + Row_Offset, INDIRECT( "Column_Number_" &amp; A$1), 4,1, tabname) ), "")</f>
        <v/>
      </c>
      <c r="B243" s="10" t="str">
        <f ca="1">TEXT(  IFERROR( VLOOKUP( $D243, CollName_Simplifier_Table[], 2, FALSE),"") &amp;
        INDIRECT( ADDRESS( ROW() + Row_Offset, INDIRECT( "Column_Number_" &amp; $B$1), 4,1, tabname) ), "")</f>
        <v/>
      </c>
      <c r="C243" s="10" t="str">
        <f ca="1">TEXT( INDIRECT( ADDRESS( ROW() + Row_Offset, INDIRECT( "Column_Number_" &amp; C$1), 4,1, tabname) ), "")</f>
        <v/>
      </c>
      <c r="D243" s="10" t="str">
        <f ca="1">TEXT( INDIRECT( ADDRESS( ROW() + Row_Offset, INDIRECT( "Column_Number_" &amp; D$1), 4,1, tabname) ), "")</f>
        <v/>
      </c>
      <c r="E243" s="10" t="str">
        <f ca="1">TEXT( INDIRECT( ADDRESS( ROW() + Row_Offset, INDIRECT( "Column_Number_" &amp; E$1), 4,1, tabname) ), "####")</f>
        <v/>
      </c>
      <c r="F243" s="15"/>
      <c r="G243" s="22" t="str">
        <f ca="1">IFERROR(INDEX(Rank_Table[],MATCH($D243&amp;$A243,Table4[Join],0)),"")</f>
        <v/>
      </c>
      <c r="H243" s="11" t="str">
        <f ca="1">IF(AND(D243="Juvenile Audiobook",LEFT(B243,8)="J CD BIO"),RIGHT(B243,LEN(B243)-9),
IF(AND(D243="Juvenile Audiobook",LEFT(B243,8)="J CD FIC"),B243,
IF(D243="Juvenile Audiobook",RIGHT(B243,LEN(B243)-5),
IF(AND(D243="Teen Audiobook",LEFT(B243,11)="TEEN CD BIO"),RIGHT(B243,LEN(B243)-12),
IF(AND(D243="Teen Audiobook",LEFT(B243,11)="TEEN CD FIC"),B243,
IF(D243="Juvenile Audiobook",RIGHT(B243,LEN(B243)-8),
IF(D243="Juvenile Nonfiction",RIGHT(B243,LEN(B243)-2),
IF(D243="Teen Nonfiction",RIGHT(B243,LEN(B243)-5),
IF(AND(D243="Audiobook",
              NOT(OR(Contains($B243,"CD BIO"),Contains($B243,"CD FIC")))),RIGHT(B243,LEN(B243)-3),
IF(D243="Juvenile Biography",RIGHT(B243,LEN(B243)-2),
IF(D243="Teen Biography",RIGHT(B243,LEN(B243)-5),
IF(AND(D243="Audiobook",
              IFERROR(FIND("BIO",$B243)&gt;0,FALSE)),RIGHT(B243,LEN(B243)-3),
IF(D243="Juvenile Large Type","J "&amp;RIGHT(B243,LEN(B243)-11),
IF(D243="Teen Large Type","TEEN "&amp;RIGHT(B243,LEN(B243)-14),
IF(D243="Reference",RIGHT(B243,LEN(B243)-4),
IF(D243="DVD Educational",RIGHT(B243,LEN(B243)-7),
IF(D243="Juvenile DVD Educational",RIGHT(B243,LEN(B243)-9),
B243)))))))))))))))))</f>
        <v/>
      </c>
      <c r="N243" s="11" t="str">
        <f ca="1">IF(IFERROR(FIND("New",$A243)&gt;0,FALSE),"New ","") &amp; IF(IFERROR(FIND("In Lib",$A243)&gt;0,FALSE),"Reference ","") &amp;
IF(AND(D243="Audiobook",LEFT(B243,6)="CD BIO"),"Biography",
IF(AND(D243="Teen Audiobook",LEFT(B243,11)="TEEN CD BIO"),"Biography",
IF(AND(D243="Juvenile Audiobook",LEFT(B243,8)="J CD BIO"),"Biography",
IF(AND(D243="Audiobook",LEFT(B243,6)="CD FIC"),"Audiobook Fiction",
IF(AND(D243="Teen Audiobook",LEFT(B243,11)="TEEN CD FIC"),"Teen Audiobook",
IF(AND(D243="Juvenile Audiobook",LEFT(B243,8)="J CD FIC"),"Juvenile Audiobook",
IF(D243="Audiobook","Nonfiction",
IF(D243="Juvenile Audiobook","Nonfiction",
IF(D243="Teen Audiobook","Nonfiction",
IF(D243="Juvenile Nonfiction","Nonfiction",
IF(D243="Teen Nonfiction","Nonfiction",
IF(D243="Juvenile Biography","Biography",
IF(D243="Teen Biography","Biography",
IF(D243="ESL","Nonfiction",
IF(LEFT(B243,11)="INTL-VIE J ","International Juvenile",IF(LEFT(B243,11)="INTL-TAG J ","International Juvenile",IF(LEFT(B243,11)="INTL-RUS J ","International Juvenile",IF(LEFT(B243,11)="INTL-KOR J ","International Juvenile",IF(LEFT(B243,11)="INTL-JAP J ","International Juvenile",IF(LEFT(B243,11)="INTL-CHI J ","International Juvenile",IF(LEFT(B243,11)="INTL-SPA J ","International Juvenile",IF(LEFT(B243,14)="INTL-VIE TEEN ","International Teen",IF(LEFT(B243,14)="INTL-TAG TEEN ","International Teen",IF(LEFT(B243,14)="INTL-RUS TEEN ","International Teen",IF(LEFT(B243,14)="INTL-KOR TEEN ","International Teen",IF(LEFT(B243,14)="INTL-JAP TEEN ","International Teen",IF(LEFT(B243,14)="INTL-CHI TEEN ","International Teen",IF(LEFT(B243,14)="INTL-SPA TEEN ","International Teen",IF(LEFT(B243,11)="INTL-VIE E ","International Easy",IF(LEFT(B243,11)="INTL-TAG E ","International Easy",IF(LEFT(B243,11)="INTL-RUS E ","International Easy",IF(LEFT(B243,11)="INTL-JAP E ","International Easy",IF(LEFT(B243,11)="INTL-KOR E ","International Easy",IF(LEFT(B243,11)="INTL-CHI E ","International Easy",IF(LEFT(B243,11)="INTL-SPA E ","International Easy",
IF(D243="Teen Large Type","Teen Fiction",
IF(D243="Juvenile Large Type","Juvenile Fiction",
IF(LEFT(B243,6)="J CD O","Juvenile Compact Disc",
IF(AND(LEFT(B243,4)="TEEN",D243="Fiction"),"Teen Fiction",
IF(D243="DVD Educational","Nonfiction",
IF(D243="Juvenile DVD Educational","Nonfiction",
IF(D243="Reference","Nonfiction",
D243))))))))))))))))))))))))))))))))))))))))))</f>
        <v/>
      </c>
    </row>
    <row r="244" spans="1:14" ht="27" customHeight="1" x14ac:dyDescent="0.25">
      <c r="A244" s="10" t="str">
        <f ca="1">TEXT( INDIRECT( ADDRESS( ROW() + Row_Offset, INDIRECT( "Column_Number_" &amp; A$1), 4,1, tabname) ), "")</f>
        <v/>
      </c>
      <c r="B244" s="10" t="str">
        <f ca="1">TEXT(  IFERROR( VLOOKUP( $D244, CollName_Simplifier_Table[], 2, FALSE),"") &amp;
        INDIRECT( ADDRESS( ROW() + Row_Offset, INDIRECT( "Column_Number_" &amp; $B$1), 4,1, tabname) ), "")</f>
        <v/>
      </c>
      <c r="C244" s="10" t="str">
        <f ca="1">TEXT( INDIRECT( ADDRESS( ROW() + Row_Offset, INDIRECT( "Column_Number_" &amp; C$1), 4,1, tabname) ), "")</f>
        <v/>
      </c>
      <c r="D244" s="10" t="str">
        <f ca="1">TEXT( INDIRECT( ADDRESS( ROW() + Row_Offset, INDIRECT( "Column_Number_" &amp; D$1), 4,1, tabname) ), "")</f>
        <v/>
      </c>
      <c r="E244" s="10" t="str">
        <f ca="1">TEXT( INDIRECT( ADDRESS( ROW() + Row_Offset, INDIRECT( "Column_Number_" &amp; E$1), 4,1, tabname) ), "####")</f>
        <v/>
      </c>
      <c r="F244" s="15"/>
      <c r="G244" s="22" t="str">
        <f ca="1">IFERROR(INDEX(Rank_Table[],MATCH($D244&amp;$A244,Table4[Join],0)),"")</f>
        <v/>
      </c>
      <c r="H244" s="11" t="str">
        <f ca="1">IF(AND(D244="Juvenile Audiobook",LEFT(B244,8)="J CD BIO"),RIGHT(B244,LEN(B244)-9),
IF(AND(D244="Juvenile Audiobook",LEFT(B244,8)="J CD FIC"),B244,
IF(D244="Juvenile Audiobook",RIGHT(B244,LEN(B244)-5),
IF(AND(D244="Teen Audiobook",LEFT(B244,11)="TEEN CD BIO"),RIGHT(B244,LEN(B244)-12),
IF(AND(D244="Teen Audiobook",LEFT(B244,11)="TEEN CD FIC"),B244,
IF(D244="Juvenile Audiobook",RIGHT(B244,LEN(B244)-8),
IF(D244="Juvenile Nonfiction",RIGHT(B244,LEN(B244)-2),
IF(D244="Teen Nonfiction",RIGHT(B244,LEN(B244)-5),
IF(AND(D244="Audiobook",
              NOT(OR(Contains($B244,"CD BIO"),Contains($B244,"CD FIC")))),RIGHT(B244,LEN(B244)-3),
IF(D244="Juvenile Biography",RIGHT(B244,LEN(B244)-2),
IF(D244="Teen Biography",RIGHT(B244,LEN(B244)-5),
IF(AND(D244="Audiobook",
              IFERROR(FIND("BIO",$B244)&gt;0,FALSE)),RIGHT(B244,LEN(B244)-3),
IF(D244="Juvenile Large Type","J "&amp;RIGHT(B244,LEN(B244)-11),
IF(D244="Teen Large Type","TEEN "&amp;RIGHT(B244,LEN(B244)-14),
IF(D244="Reference",RIGHT(B244,LEN(B244)-4),
IF(D244="DVD Educational",RIGHT(B244,LEN(B244)-7),
IF(D244="Juvenile DVD Educational",RIGHT(B244,LEN(B244)-9),
B244)))))))))))))))))</f>
        <v/>
      </c>
      <c r="N244" s="11" t="str">
        <f ca="1">IF(IFERROR(FIND("New",$A244)&gt;0,FALSE),"New ","") &amp; IF(IFERROR(FIND("In Lib",$A244)&gt;0,FALSE),"Reference ","") &amp;
IF(AND(D244="Audiobook",LEFT(B244,6)="CD BIO"),"Biography",
IF(AND(D244="Teen Audiobook",LEFT(B244,11)="TEEN CD BIO"),"Biography",
IF(AND(D244="Juvenile Audiobook",LEFT(B244,8)="J CD BIO"),"Biography",
IF(AND(D244="Audiobook",LEFT(B244,6)="CD FIC"),"Audiobook Fiction",
IF(AND(D244="Teen Audiobook",LEFT(B244,11)="TEEN CD FIC"),"Teen Audiobook",
IF(AND(D244="Juvenile Audiobook",LEFT(B244,8)="J CD FIC"),"Juvenile Audiobook",
IF(D244="Audiobook","Nonfiction",
IF(D244="Juvenile Audiobook","Nonfiction",
IF(D244="Teen Audiobook","Nonfiction",
IF(D244="Juvenile Nonfiction","Nonfiction",
IF(D244="Teen Nonfiction","Nonfiction",
IF(D244="Juvenile Biography","Biography",
IF(D244="Teen Biography","Biography",
IF(D244="ESL","Nonfiction",
IF(LEFT(B244,11)="INTL-VIE J ","International Juvenile",IF(LEFT(B244,11)="INTL-TAG J ","International Juvenile",IF(LEFT(B244,11)="INTL-RUS J ","International Juvenile",IF(LEFT(B244,11)="INTL-KOR J ","International Juvenile",IF(LEFT(B244,11)="INTL-JAP J ","International Juvenile",IF(LEFT(B244,11)="INTL-CHI J ","International Juvenile",IF(LEFT(B244,11)="INTL-SPA J ","International Juvenile",IF(LEFT(B244,14)="INTL-VIE TEEN ","International Teen",IF(LEFT(B244,14)="INTL-TAG TEEN ","International Teen",IF(LEFT(B244,14)="INTL-RUS TEEN ","International Teen",IF(LEFT(B244,14)="INTL-KOR TEEN ","International Teen",IF(LEFT(B244,14)="INTL-JAP TEEN ","International Teen",IF(LEFT(B244,14)="INTL-CHI TEEN ","International Teen",IF(LEFT(B244,14)="INTL-SPA TEEN ","International Teen",IF(LEFT(B244,11)="INTL-VIE E ","International Easy",IF(LEFT(B244,11)="INTL-TAG E ","International Easy",IF(LEFT(B244,11)="INTL-RUS E ","International Easy",IF(LEFT(B244,11)="INTL-JAP E ","International Easy",IF(LEFT(B244,11)="INTL-KOR E ","International Easy",IF(LEFT(B244,11)="INTL-CHI E ","International Easy",IF(LEFT(B244,11)="INTL-SPA E ","International Easy",
IF(D244="Teen Large Type","Teen Fiction",
IF(D244="Juvenile Large Type","Juvenile Fiction",
IF(LEFT(B244,6)="J CD O","Juvenile Compact Disc",
IF(AND(LEFT(B244,4)="TEEN",D244="Fiction"),"Teen Fiction",
IF(D244="DVD Educational","Nonfiction",
IF(D244="Juvenile DVD Educational","Nonfiction",
IF(D244="Reference","Nonfiction",
D244))))))))))))))))))))))))))))))))))))))))))</f>
        <v/>
      </c>
    </row>
    <row r="245" spans="1:14" ht="27" customHeight="1" x14ac:dyDescent="0.25">
      <c r="A245" s="10" t="str">
        <f ca="1">TEXT( INDIRECT( ADDRESS( ROW() + Row_Offset, INDIRECT( "Column_Number_" &amp; A$1), 4,1, tabname) ), "")</f>
        <v/>
      </c>
      <c r="B245" s="10" t="str">
        <f ca="1">TEXT(  IFERROR( VLOOKUP( $D245, CollName_Simplifier_Table[], 2, FALSE),"") &amp;
        INDIRECT( ADDRESS( ROW() + Row_Offset, INDIRECT( "Column_Number_" &amp; $B$1), 4,1, tabname) ), "")</f>
        <v/>
      </c>
      <c r="C245" s="10" t="str">
        <f ca="1">TEXT( INDIRECT( ADDRESS( ROW() + Row_Offset, INDIRECT( "Column_Number_" &amp; C$1), 4,1, tabname) ), "")</f>
        <v/>
      </c>
      <c r="D245" s="10" t="str">
        <f ca="1">TEXT( INDIRECT( ADDRESS( ROW() + Row_Offset, INDIRECT( "Column_Number_" &amp; D$1), 4,1, tabname) ), "")</f>
        <v/>
      </c>
      <c r="E245" s="10" t="str">
        <f ca="1">TEXT( INDIRECT( ADDRESS( ROW() + Row_Offset, INDIRECT( "Column_Number_" &amp; E$1), 4,1, tabname) ), "####")</f>
        <v/>
      </c>
      <c r="F245" s="15"/>
      <c r="G245" s="22" t="str">
        <f ca="1">IFERROR(INDEX(Rank_Table[],MATCH($D245&amp;$A245,Table4[Join],0)),"")</f>
        <v/>
      </c>
      <c r="H245" s="11" t="str">
        <f ca="1">IF(AND(D245="Juvenile Audiobook",LEFT(B245,8)="J CD BIO"),RIGHT(B245,LEN(B245)-9),
IF(AND(D245="Juvenile Audiobook",LEFT(B245,8)="J CD FIC"),B245,
IF(D245="Juvenile Audiobook",RIGHT(B245,LEN(B245)-5),
IF(AND(D245="Teen Audiobook",LEFT(B245,11)="TEEN CD BIO"),RIGHT(B245,LEN(B245)-12),
IF(AND(D245="Teen Audiobook",LEFT(B245,11)="TEEN CD FIC"),B245,
IF(D245="Juvenile Audiobook",RIGHT(B245,LEN(B245)-8),
IF(D245="Juvenile Nonfiction",RIGHT(B245,LEN(B245)-2),
IF(D245="Teen Nonfiction",RIGHT(B245,LEN(B245)-5),
IF(AND(D245="Audiobook",
              NOT(OR(Contains($B245,"CD BIO"),Contains($B245,"CD FIC")))),RIGHT(B245,LEN(B245)-3),
IF(D245="Juvenile Biography",RIGHT(B245,LEN(B245)-2),
IF(D245="Teen Biography",RIGHT(B245,LEN(B245)-5),
IF(AND(D245="Audiobook",
              IFERROR(FIND("BIO",$B245)&gt;0,FALSE)),RIGHT(B245,LEN(B245)-3),
IF(D245="Juvenile Large Type","J "&amp;RIGHT(B245,LEN(B245)-11),
IF(D245="Teen Large Type","TEEN "&amp;RIGHT(B245,LEN(B245)-14),
IF(D245="Reference",RIGHT(B245,LEN(B245)-4),
IF(D245="DVD Educational",RIGHT(B245,LEN(B245)-7),
IF(D245="Juvenile DVD Educational",RIGHT(B245,LEN(B245)-9),
B245)))))))))))))))))</f>
        <v/>
      </c>
      <c r="N245" s="11" t="str">
        <f ca="1">IF(IFERROR(FIND("New",$A245)&gt;0,FALSE),"New ","") &amp; IF(IFERROR(FIND("In Lib",$A245)&gt;0,FALSE),"Reference ","") &amp;
IF(AND(D245="Audiobook",LEFT(B245,6)="CD BIO"),"Biography",
IF(AND(D245="Teen Audiobook",LEFT(B245,11)="TEEN CD BIO"),"Biography",
IF(AND(D245="Juvenile Audiobook",LEFT(B245,8)="J CD BIO"),"Biography",
IF(AND(D245="Audiobook",LEFT(B245,6)="CD FIC"),"Audiobook Fiction",
IF(AND(D245="Teen Audiobook",LEFT(B245,11)="TEEN CD FIC"),"Teen Audiobook",
IF(AND(D245="Juvenile Audiobook",LEFT(B245,8)="J CD FIC"),"Juvenile Audiobook",
IF(D245="Audiobook","Nonfiction",
IF(D245="Juvenile Audiobook","Nonfiction",
IF(D245="Teen Audiobook","Nonfiction",
IF(D245="Juvenile Nonfiction","Nonfiction",
IF(D245="Teen Nonfiction","Nonfiction",
IF(D245="Juvenile Biography","Biography",
IF(D245="Teen Biography","Biography",
IF(D245="ESL","Nonfiction",
IF(LEFT(B245,11)="INTL-VIE J ","International Juvenile",IF(LEFT(B245,11)="INTL-TAG J ","International Juvenile",IF(LEFT(B245,11)="INTL-RUS J ","International Juvenile",IF(LEFT(B245,11)="INTL-KOR J ","International Juvenile",IF(LEFT(B245,11)="INTL-JAP J ","International Juvenile",IF(LEFT(B245,11)="INTL-CHI J ","International Juvenile",IF(LEFT(B245,11)="INTL-SPA J ","International Juvenile",IF(LEFT(B245,14)="INTL-VIE TEEN ","International Teen",IF(LEFT(B245,14)="INTL-TAG TEEN ","International Teen",IF(LEFT(B245,14)="INTL-RUS TEEN ","International Teen",IF(LEFT(B245,14)="INTL-KOR TEEN ","International Teen",IF(LEFT(B245,14)="INTL-JAP TEEN ","International Teen",IF(LEFT(B245,14)="INTL-CHI TEEN ","International Teen",IF(LEFT(B245,14)="INTL-SPA TEEN ","International Teen",IF(LEFT(B245,11)="INTL-VIE E ","International Easy",IF(LEFT(B245,11)="INTL-TAG E ","International Easy",IF(LEFT(B245,11)="INTL-RUS E ","International Easy",IF(LEFT(B245,11)="INTL-JAP E ","International Easy",IF(LEFT(B245,11)="INTL-KOR E ","International Easy",IF(LEFT(B245,11)="INTL-CHI E ","International Easy",IF(LEFT(B245,11)="INTL-SPA E ","International Easy",
IF(D245="Teen Large Type","Teen Fiction",
IF(D245="Juvenile Large Type","Juvenile Fiction",
IF(LEFT(B245,6)="J CD O","Juvenile Compact Disc",
IF(AND(LEFT(B245,4)="TEEN",D245="Fiction"),"Teen Fiction",
IF(D245="DVD Educational","Nonfiction",
IF(D245="Juvenile DVD Educational","Nonfiction",
IF(D245="Reference","Nonfiction",
D245))))))))))))))))))))))))))))))))))))))))))</f>
        <v/>
      </c>
    </row>
    <row r="246" spans="1:14" ht="27" customHeight="1" x14ac:dyDescent="0.25">
      <c r="A246" s="10" t="str">
        <f ca="1">TEXT( INDIRECT( ADDRESS( ROW() + Row_Offset, INDIRECT( "Column_Number_" &amp; A$1), 4,1, tabname) ), "")</f>
        <v/>
      </c>
      <c r="B246" s="10" t="str">
        <f ca="1">TEXT(  IFERROR( VLOOKUP( $D246, CollName_Simplifier_Table[], 2, FALSE),"") &amp;
        INDIRECT( ADDRESS( ROW() + Row_Offset, INDIRECT( "Column_Number_" &amp; $B$1), 4,1, tabname) ), "")</f>
        <v/>
      </c>
      <c r="C246" s="10" t="str">
        <f ca="1">TEXT( INDIRECT( ADDRESS( ROW() + Row_Offset, INDIRECT( "Column_Number_" &amp; C$1), 4,1, tabname) ), "")</f>
        <v/>
      </c>
      <c r="D246" s="10" t="str">
        <f ca="1">TEXT( INDIRECT( ADDRESS( ROW() + Row_Offset, INDIRECT( "Column_Number_" &amp; D$1), 4,1, tabname) ), "")</f>
        <v/>
      </c>
      <c r="E246" s="10" t="str">
        <f ca="1">TEXT( INDIRECT( ADDRESS( ROW() + Row_Offset, INDIRECT( "Column_Number_" &amp; E$1), 4,1, tabname) ), "####")</f>
        <v/>
      </c>
      <c r="F246" s="15"/>
      <c r="G246" s="22" t="str">
        <f ca="1">IFERROR(INDEX(Rank_Table[],MATCH($D246&amp;$A246,Table4[Join],0)),"")</f>
        <v/>
      </c>
      <c r="H246" s="11" t="str">
        <f ca="1">IF(AND(D246="Juvenile Audiobook",LEFT(B246,8)="J CD BIO"),RIGHT(B246,LEN(B246)-9),
IF(AND(D246="Juvenile Audiobook",LEFT(B246,8)="J CD FIC"),B246,
IF(D246="Juvenile Audiobook",RIGHT(B246,LEN(B246)-5),
IF(AND(D246="Teen Audiobook",LEFT(B246,11)="TEEN CD BIO"),RIGHT(B246,LEN(B246)-12),
IF(AND(D246="Teen Audiobook",LEFT(B246,11)="TEEN CD FIC"),B246,
IF(D246="Juvenile Audiobook",RIGHT(B246,LEN(B246)-8),
IF(D246="Juvenile Nonfiction",RIGHT(B246,LEN(B246)-2),
IF(D246="Teen Nonfiction",RIGHT(B246,LEN(B246)-5),
IF(AND(D246="Audiobook",
              NOT(OR(Contains($B246,"CD BIO"),Contains($B246,"CD FIC")))),RIGHT(B246,LEN(B246)-3),
IF(D246="Juvenile Biography",RIGHT(B246,LEN(B246)-2),
IF(D246="Teen Biography",RIGHT(B246,LEN(B246)-5),
IF(AND(D246="Audiobook",
              IFERROR(FIND("BIO",$B246)&gt;0,FALSE)),RIGHT(B246,LEN(B246)-3),
IF(D246="Juvenile Large Type","J "&amp;RIGHT(B246,LEN(B246)-11),
IF(D246="Teen Large Type","TEEN "&amp;RIGHT(B246,LEN(B246)-14),
IF(D246="Reference",RIGHT(B246,LEN(B246)-4),
IF(D246="DVD Educational",RIGHT(B246,LEN(B246)-7),
IF(D246="Juvenile DVD Educational",RIGHT(B246,LEN(B246)-9),
B246)))))))))))))))))</f>
        <v/>
      </c>
      <c r="N246" s="11" t="str">
        <f ca="1">IF(IFERROR(FIND("New",$A246)&gt;0,FALSE),"New ","") &amp; IF(IFERROR(FIND("In Lib",$A246)&gt;0,FALSE),"Reference ","") &amp;
IF(AND(D246="Audiobook",LEFT(B246,6)="CD BIO"),"Biography",
IF(AND(D246="Teen Audiobook",LEFT(B246,11)="TEEN CD BIO"),"Biography",
IF(AND(D246="Juvenile Audiobook",LEFT(B246,8)="J CD BIO"),"Biography",
IF(AND(D246="Audiobook",LEFT(B246,6)="CD FIC"),"Audiobook Fiction",
IF(AND(D246="Teen Audiobook",LEFT(B246,11)="TEEN CD FIC"),"Teen Audiobook",
IF(AND(D246="Juvenile Audiobook",LEFT(B246,8)="J CD FIC"),"Juvenile Audiobook",
IF(D246="Audiobook","Nonfiction",
IF(D246="Juvenile Audiobook","Nonfiction",
IF(D246="Teen Audiobook","Nonfiction",
IF(D246="Juvenile Nonfiction","Nonfiction",
IF(D246="Teen Nonfiction","Nonfiction",
IF(D246="Juvenile Biography","Biography",
IF(D246="Teen Biography","Biography",
IF(D246="ESL","Nonfiction",
IF(LEFT(B246,11)="INTL-VIE J ","International Juvenile",IF(LEFT(B246,11)="INTL-TAG J ","International Juvenile",IF(LEFT(B246,11)="INTL-RUS J ","International Juvenile",IF(LEFT(B246,11)="INTL-KOR J ","International Juvenile",IF(LEFT(B246,11)="INTL-JAP J ","International Juvenile",IF(LEFT(B246,11)="INTL-CHI J ","International Juvenile",IF(LEFT(B246,11)="INTL-SPA J ","International Juvenile",IF(LEFT(B246,14)="INTL-VIE TEEN ","International Teen",IF(LEFT(B246,14)="INTL-TAG TEEN ","International Teen",IF(LEFT(B246,14)="INTL-RUS TEEN ","International Teen",IF(LEFT(B246,14)="INTL-KOR TEEN ","International Teen",IF(LEFT(B246,14)="INTL-JAP TEEN ","International Teen",IF(LEFT(B246,14)="INTL-CHI TEEN ","International Teen",IF(LEFT(B246,14)="INTL-SPA TEEN ","International Teen",IF(LEFT(B246,11)="INTL-VIE E ","International Easy",IF(LEFT(B246,11)="INTL-TAG E ","International Easy",IF(LEFT(B246,11)="INTL-RUS E ","International Easy",IF(LEFT(B246,11)="INTL-JAP E ","International Easy",IF(LEFT(B246,11)="INTL-KOR E ","International Easy",IF(LEFT(B246,11)="INTL-CHI E ","International Easy",IF(LEFT(B246,11)="INTL-SPA E ","International Easy",
IF(D246="Teen Large Type","Teen Fiction",
IF(D246="Juvenile Large Type","Juvenile Fiction",
IF(LEFT(B246,6)="J CD O","Juvenile Compact Disc",
IF(AND(LEFT(B246,4)="TEEN",D246="Fiction"),"Teen Fiction",
IF(D246="DVD Educational","Nonfiction",
IF(D246="Juvenile DVD Educational","Nonfiction",
IF(D246="Reference","Nonfiction",
D246))))))))))))))))))))))))))))))))))))))))))</f>
        <v/>
      </c>
    </row>
    <row r="247" spans="1:14" ht="27" customHeight="1" x14ac:dyDescent="0.25">
      <c r="A247" s="10" t="str">
        <f ca="1">TEXT( INDIRECT( ADDRESS( ROW() + Row_Offset, INDIRECT( "Column_Number_" &amp; A$1), 4,1, tabname) ), "")</f>
        <v/>
      </c>
      <c r="B247" s="10" t="str">
        <f ca="1">TEXT(  IFERROR( VLOOKUP( $D247, CollName_Simplifier_Table[], 2, FALSE),"") &amp;
        INDIRECT( ADDRESS( ROW() + Row_Offset, INDIRECT( "Column_Number_" &amp; $B$1), 4,1, tabname) ), "")</f>
        <v/>
      </c>
      <c r="C247" s="10" t="str">
        <f ca="1">TEXT( INDIRECT( ADDRESS( ROW() + Row_Offset, INDIRECT( "Column_Number_" &amp; C$1), 4,1, tabname) ), "")</f>
        <v/>
      </c>
      <c r="D247" s="10" t="str">
        <f ca="1">TEXT( INDIRECT( ADDRESS( ROW() + Row_Offset, INDIRECT( "Column_Number_" &amp; D$1), 4,1, tabname) ), "")</f>
        <v/>
      </c>
      <c r="E247" s="10" t="str">
        <f ca="1">TEXT( INDIRECT( ADDRESS( ROW() + Row_Offset, INDIRECT( "Column_Number_" &amp; E$1), 4,1, tabname) ), "####")</f>
        <v/>
      </c>
      <c r="F247" s="15"/>
      <c r="G247" s="22" t="str">
        <f ca="1">IFERROR(INDEX(Rank_Table[],MATCH($D247&amp;$A247,Table4[Join],0)),"")</f>
        <v/>
      </c>
      <c r="H247" s="11" t="str">
        <f ca="1">IF(AND(D247="Juvenile Audiobook",LEFT(B247,8)="J CD BIO"),RIGHT(B247,LEN(B247)-9),
IF(AND(D247="Juvenile Audiobook",LEFT(B247,8)="J CD FIC"),B247,
IF(D247="Juvenile Audiobook",RIGHT(B247,LEN(B247)-5),
IF(AND(D247="Teen Audiobook",LEFT(B247,11)="TEEN CD BIO"),RIGHT(B247,LEN(B247)-12),
IF(AND(D247="Teen Audiobook",LEFT(B247,11)="TEEN CD FIC"),B247,
IF(D247="Juvenile Audiobook",RIGHT(B247,LEN(B247)-8),
IF(D247="Juvenile Nonfiction",RIGHT(B247,LEN(B247)-2),
IF(D247="Teen Nonfiction",RIGHT(B247,LEN(B247)-5),
IF(AND(D247="Audiobook",
              NOT(OR(Contains($B247,"CD BIO"),Contains($B247,"CD FIC")))),RIGHT(B247,LEN(B247)-3),
IF(D247="Juvenile Biography",RIGHT(B247,LEN(B247)-2),
IF(D247="Teen Biography",RIGHT(B247,LEN(B247)-5),
IF(AND(D247="Audiobook",
              IFERROR(FIND("BIO",$B247)&gt;0,FALSE)),RIGHT(B247,LEN(B247)-3),
IF(D247="Juvenile Large Type","J "&amp;RIGHT(B247,LEN(B247)-11),
IF(D247="Teen Large Type","TEEN "&amp;RIGHT(B247,LEN(B247)-14),
IF(D247="Reference",RIGHT(B247,LEN(B247)-4),
IF(D247="DVD Educational",RIGHT(B247,LEN(B247)-7),
IF(D247="Juvenile DVD Educational",RIGHT(B247,LEN(B247)-9),
B247)))))))))))))))))</f>
        <v/>
      </c>
      <c r="N247" s="11" t="str">
        <f ca="1">IF(IFERROR(FIND("New",$A247)&gt;0,FALSE),"New ","") &amp; IF(IFERROR(FIND("In Lib",$A247)&gt;0,FALSE),"Reference ","") &amp;
IF(AND(D247="Audiobook",LEFT(B247,6)="CD BIO"),"Biography",
IF(AND(D247="Teen Audiobook",LEFT(B247,11)="TEEN CD BIO"),"Biography",
IF(AND(D247="Juvenile Audiobook",LEFT(B247,8)="J CD BIO"),"Biography",
IF(AND(D247="Audiobook",LEFT(B247,6)="CD FIC"),"Audiobook Fiction",
IF(AND(D247="Teen Audiobook",LEFT(B247,11)="TEEN CD FIC"),"Teen Audiobook",
IF(AND(D247="Juvenile Audiobook",LEFT(B247,8)="J CD FIC"),"Juvenile Audiobook",
IF(D247="Audiobook","Nonfiction",
IF(D247="Juvenile Audiobook","Nonfiction",
IF(D247="Teen Audiobook","Nonfiction",
IF(D247="Juvenile Nonfiction","Nonfiction",
IF(D247="Teen Nonfiction","Nonfiction",
IF(D247="Juvenile Biography","Biography",
IF(D247="Teen Biography","Biography",
IF(D247="ESL","Nonfiction",
IF(LEFT(B247,11)="INTL-VIE J ","International Juvenile",IF(LEFT(B247,11)="INTL-TAG J ","International Juvenile",IF(LEFT(B247,11)="INTL-RUS J ","International Juvenile",IF(LEFT(B247,11)="INTL-KOR J ","International Juvenile",IF(LEFT(B247,11)="INTL-JAP J ","International Juvenile",IF(LEFT(B247,11)="INTL-CHI J ","International Juvenile",IF(LEFT(B247,11)="INTL-SPA J ","International Juvenile",IF(LEFT(B247,14)="INTL-VIE TEEN ","International Teen",IF(LEFT(B247,14)="INTL-TAG TEEN ","International Teen",IF(LEFT(B247,14)="INTL-RUS TEEN ","International Teen",IF(LEFT(B247,14)="INTL-KOR TEEN ","International Teen",IF(LEFT(B247,14)="INTL-JAP TEEN ","International Teen",IF(LEFT(B247,14)="INTL-CHI TEEN ","International Teen",IF(LEFT(B247,14)="INTL-SPA TEEN ","International Teen",IF(LEFT(B247,11)="INTL-VIE E ","International Easy",IF(LEFT(B247,11)="INTL-TAG E ","International Easy",IF(LEFT(B247,11)="INTL-RUS E ","International Easy",IF(LEFT(B247,11)="INTL-JAP E ","International Easy",IF(LEFT(B247,11)="INTL-KOR E ","International Easy",IF(LEFT(B247,11)="INTL-CHI E ","International Easy",IF(LEFT(B247,11)="INTL-SPA E ","International Easy",
IF(D247="Teen Large Type","Teen Fiction",
IF(D247="Juvenile Large Type","Juvenile Fiction",
IF(LEFT(B247,6)="J CD O","Juvenile Compact Disc",
IF(AND(LEFT(B247,4)="TEEN",D247="Fiction"),"Teen Fiction",
IF(D247="DVD Educational","Nonfiction",
IF(D247="Juvenile DVD Educational","Nonfiction",
IF(D247="Reference","Nonfiction",
D247))))))))))))))))))))))))))))))))))))))))))</f>
        <v/>
      </c>
    </row>
    <row r="248" spans="1:14" ht="27" customHeight="1" x14ac:dyDescent="0.25">
      <c r="A248" s="10" t="str">
        <f ca="1">TEXT( INDIRECT( ADDRESS( ROW() + Row_Offset, INDIRECT( "Column_Number_" &amp; A$1), 4,1, tabname) ), "")</f>
        <v/>
      </c>
      <c r="B248" s="10" t="str">
        <f ca="1">TEXT(  IFERROR( VLOOKUP( $D248, CollName_Simplifier_Table[], 2, FALSE),"") &amp;
        INDIRECT( ADDRESS( ROW() + Row_Offset, INDIRECT( "Column_Number_" &amp; $B$1), 4,1, tabname) ), "")</f>
        <v/>
      </c>
      <c r="C248" s="10" t="str">
        <f ca="1">TEXT( INDIRECT( ADDRESS( ROW() + Row_Offset, INDIRECT( "Column_Number_" &amp; C$1), 4,1, tabname) ), "")</f>
        <v/>
      </c>
      <c r="D248" s="10" t="str">
        <f ca="1">TEXT( INDIRECT( ADDRESS( ROW() + Row_Offset, INDIRECT( "Column_Number_" &amp; D$1), 4,1, tabname) ), "")</f>
        <v/>
      </c>
      <c r="E248" s="10" t="str">
        <f ca="1">TEXT( INDIRECT( ADDRESS( ROW() + Row_Offset, INDIRECT( "Column_Number_" &amp; E$1), 4,1, tabname) ), "####")</f>
        <v/>
      </c>
      <c r="F248" s="15"/>
      <c r="G248" s="22" t="str">
        <f ca="1">IFERROR(INDEX(Rank_Table[],MATCH($D248&amp;$A248,Table4[Join],0)),"")</f>
        <v/>
      </c>
      <c r="H248" s="11" t="str">
        <f ca="1">IF(AND(D248="Juvenile Audiobook",LEFT(B248,8)="J CD BIO"),RIGHT(B248,LEN(B248)-9),
IF(AND(D248="Juvenile Audiobook",LEFT(B248,8)="J CD FIC"),B248,
IF(D248="Juvenile Audiobook",RIGHT(B248,LEN(B248)-5),
IF(AND(D248="Teen Audiobook",LEFT(B248,11)="TEEN CD BIO"),RIGHT(B248,LEN(B248)-12),
IF(AND(D248="Teen Audiobook",LEFT(B248,11)="TEEN CD FIC"),B248,
IF(D248="Juvenile Audiobook",RIGHT(B248,LEN(B248)-8),
IF(D248="Juvenile Nonfiction",RIGHT(B248,LEN(B248)-2),
IF(D248="Teen Nonfiction",RIGHT(B248,LEN(B248)-5),
IF(AND(D248="Audiobook",
              NOT(OR(Contains($B248,"CD BIO"),Contains($B248,"CD FIC")))),RIGHT(B248,LEN(B248)-3),
IF(D248="Juvenile Biography",RIGHT(B248,LEN(B248)-2),
IF(D248="Teen Biography",RIGHT(B248,LEN(B248)-5),
IF(AND(D248="Audiobook",
              IFERROR(FIND("BIO",$B248)&gt;0,FALSE)),RIGHT(B248,LEN(B248)-3),
IF(D248="Juvenile Large Type","J "&amp;RIGHT(B248,LEN(B248)-11),
IF(D248="Teen Large Type","TEEN "&amp;RIGHT(B248,LEN(B248)-14),
IF(D248="Reference",RIGHT(B248,LEN(B248)-4),
IF(D248="DVD Educational",RIGHT(B248,LEN(B248)-7),
IF(D248="Juvenile DVD Educational",RIGHT(B248,LEN(B248)-9),
B248)))))))))))))))))</f>
        <v/>
      </c>
      <c r="N248" s="11" t="str">
        <f ca="1">IF(IFERROR(FIND("New",$A248)&gt;0,FALSE),"New ","") &amp; IF(IFERROR(FIND("In Lib",$A248)&gt;0,FALSE),"Reference ","") &amp;
IF(AND(D248="Audiobook",LEFT(B248,6)="CD BIO"),"Biography",
IF(AND(D248="Teen Audiobook",LEFT(B248,11)="TEEN CD BIO"),"Biography",
IF(AND(D248="Juvenile Audiobook",LEFT(B248,8)="J CD BIO"),"Biography",
IF(AND(D248="Audiobook",LEFT(B248,6)="CD FIC"),"Audiobook Fiction",
IF(AND(D248="Teen Audiobook",LEFT(B248,11)="TEEN CD FIC"),"Teen Audiobook",
IF(AND(D248="Juvenile Audiobook",LEFT(B248,8)="J CD FIC"),"Juvenile Audiobook",
IF(D248="Audiobook","Nonfiction",
IF(D248="Juvenile Audiobook","Nonfiction",
IF(D248="Teen Audiobook","Nonfiction",
IF(D248="Juvenile Nonfiction","Nonfiction",
IF(D248="Teen Nonfiction","Nonfiction",
IF(D248="Juvenile Biography","Biography",
IF(D248="Teen Biography","Biography",
IF(D248="ESL","Nonfiction",
IF(LEFT(B248,11)="INTL-VIE J ","International Juvenile",IF(LEFT(B248,11)="INTL-TAG J ","International Juvenile",IF(LEFT(B248,11)="INTL-RUS J ","International Juvenile",IF(LEFT(B248,11)="INTL-KOR J ","International Juvenile",IF(LEFT(B248,11)="INTL-JAP J ","International Juvenile",IF(LEFT(B248,11)="INTL-CHI J ","International Juvenile",IF(LEFT(B248,11)="INTL-SPA J ","International Juvenile",IF(LEFT(B248,14)="INTL-VIE TEEN ","International Teen",IF(LEFT(B248,14)="INTL-TAG TEEN ","International Teen",IF(LEFT(B248,14)="INTL-RUS TEEN ","International Teen",IF(LEFT(B248,14)="INTL-KOR TEEN ","International Teen",IF(LEFT(B248,14)="INTL-JAP TEEN ","International Teen",IF(LEFT(B248,14)="INTL-CHI TEEN ","International Teen",IF(LEFT(B248,14)="INTL-SPA TEEN ","International Teen",IF(LEFT(B248,11)="INTL-VIE E ","International Easy",IF(LEFT(B248,11)="INTL-TAG E ","International Easy",IF(LEFT(B248,11)="INTL-RUS E ","International Easy",IF(LEFT(B248,11)="INTL-JAP E ","International Easy",IF(LEFT(B248,11)="INTL-KOR E ","International Easy",IF(LEFT(B248,11)="INTL-CHI E ","International Easy",IF(LEFT(B248,11)="INTL-SPA E ","International Easy",
IF(D248="Teen Large Type","Teen Fiction",
IF(D248="Juvenile Large Type","Juvenile Fiction",
IF(LEFT(B248,6)="J CD O","Juvenile Compact Disc",
IF(AND(LEFT(B248,4)="TEEN",D248="Fiction"),"Teen Fiction",
IF(D248="DVD Educational","Nonfiction",
IF(D248="Juvenile DVD Educational","Nonfiction",
IF(D248="Reference","Nonfiction",
D248))))))))))))))))))))))))))))))))))))))))))</f>
        <v/>
      </c>
    </row>
    <row r="249" spans="1:14" ht="27" customHeight="1" x14ac:dyDescent="0.25">
      <c r="A249" s="10" t="str">
        <f ca="1">TEXT( INDIRECT( ADDRESS( ROW() + Row_Offset, INDIRECT( "Column_Number_" &amp; A$1), 4,1, tabname) ), "")</f>
        <v/>
      </c>
      <c r="B249" s="10" t="str">
        <f ca="1">TEXT(  IFERROR( VLOOKUP( $D249, CollName_Simplifier_Table[], 2, FALSE),"") &amp;
        INDIRECT( ADDRESS( ROW() + Row_Offset, INDIRECT( "Column_Number_" &amp; $B$1), 4,1, tabname) ), "")</f>
        <v/>
      </c>
      <c r="C249" s="10" t="str">
        <f ca="1">TEXT( INDIRECT( ADDRESS( ROW() + Row_Offset, INDIRECT( "Column_Number_" &amp; C$1), 4,1, tabname) ), "")</f>
        <v/>
      </c>
      <c r="D249" s="10" t="str">
        <f ca="1">TEXT( INDIRECT( ADDRESS( ROW() + Row_Offset, INDIRECT( "Column_Number_" &amp; D$1), 4,1, tabname) ), "")</f>
        <v/>
      </c>
      <c r="E249" s="10" t="str">
        <f ca="1">TEXT( INDIRECT( ADDRESS( ROW() + Row_Offset, INDIRECT( "Column_Number_" &amp; E$1), 4,1, tabname) ), "####")</f>
        <v/>
      </c>
      <c r="F249" s="15"/>
      <c r="G249" s="22" t="str">
        <f ca="1">IFERROR(INDEX(Rank_Table[],MATCH($D249&amp;$A249,Table4[Join],0)),"")</f>
        <v/>
      </c>
      <c r="H249" s="11" t="str">
        <f ca="1">IF(AND(D249="Juvenile Audiobook",LEFT(B249,8)="J CD BIO"),RIGHT(B249,LEN(B249)-9),
IF(AND(D249="Juvenile Audiobook",LEFT(B249,8)="J CD FIC"),B249,
IF(D249="Juvenile Audiobook",RIGHT(B249,LEN(B249)-5),
IF(AND(D249="Teen Audiobook",LEFT(B249,11)="TEEN CD BIO"),RIGHT(B249,LEN(B249)-12),
IF(AND(D249="Teen Audiobook",LEFT(B249,11)="TEEN CD FIC"),B249,
IF(D249="Juvenile Audiobook",RIGHT(B249,LEN(B249)-8),
IF(D249="Juvenile Nonfiction",RIGHT(B249,LEN(B249)-2),
IF(D249="Teen Nonfiction",RIGHT(B249,LEN(B249)-5),
IF(AND(D249="Audiobook",
              NOT(OR(Contains($B249,"CD BIO"),Contains($B249,"CD FIC")))),RIGHT(B249,LEN(B249)-3),
IF(D249="Juvenile Biography",RIGHT(B249,LEN(B249)-2),
IF(D249="Teen Biography",RIGHT(B249,LEN(B249)-5),
IF(AND(D249="Audiobook",
              IFERROR(FIND("BIO",$B249)&gt;0,FALSE)),RIGHT(B249,LEN(B249)-3),
IF(D249="Juvenile Large Type","J "&amp;RIGHT(B249,LEN(B249)-11),
IF(D249="Teen Large Type","TEEN "&amp;RIGHT(B249,LEN(B249)-14),
IF(D249="Reference",RIGHT(B249,LEN(B249)-4),
IF(D249="DVD Educational",RIGHT(B249,LEN(B249)-7),
IF(D249="Juvenile DVD Educational",RIGHT(B249,LEN(B249)-9),
B249)))))))))))))))))</f>
        <v/>
      </c>
      <c r="N249" s="11" t="str">
        <f ca="1">IF(IFERROR(FIND("New",$A249)&gt;0,FALSE),"New ","") &amp; IF(IFERROR(FIND("In Lib",$A249)&gt;0,FALSE),"Reference ","") &amp;
IF(AND(D249="Audiobook",LEFT(B249,6)="CD BIO"),"Biography",
IF(AND(D249="Teen Audiobook",LEFT(B249,11)="TEEN CD BIO"),"Biography",
IF(AND(D249="Juvenile Audiobook",LEFT(B249,8)="J CD BIO"),"Biography",
IF(AND(D249="Audiobook",LEFT(B249,6)="CD FIC"),"Audiobook Fiction",
IF(AND(D249="Teen Audiobook",LEFT(B249,11)="TEEN CD FIC"),"Teen Audiobook",
IF(AND(D249="Juvenile Audiobook",LEFT(B249,8)="J CD FIC"),"Juvenile Audiobook",
IF(D249="Audiobook","Nonfiction",
IF(D249="Juvenile Audiobook","Nonfiction",
IF(D249="Teen Audiobook","Nonfiction",
IF(D249="Juvenile Nonfiction","Nonfiction",
IF(D249="Teen Nonfiction","Nonfiction",
IF(D249="Juvenile Biography","Biography",
IF(D249="Teen Biography","Biography",
IF(D249="ESL","Nonfiction",
IF(LEFT(B249,11)="INTL-VIE J ","International Juvenile",IF(LEFT(B249,11)="INTL-TAG J ","International Juvenile",IF(LEFT(B249,11)="INTL-RUS J ","International Juvenile",IF(LEFT(B249,11)="INTL-KOR J ","International Juvenile",IF(LEFT(B249,11)="INTL-JAP J ","International Juvenile",IF(LEFT(B249,11)="INTL-CHI J ","International Juvenile",IF(LEFT(B249,11)="INTL-SPA J ","International Juvenile",IF(LEFT(B249,14)="INTL-VIE TEEN ","International Teen",IF(LEFT(B249,14)="INTL-TAG TEEN ","International Teen",IF(LEFT(B249,14)="INTL-RUS TEEN ","International Teen",IF(LEFT(B249,14)="INTL-KOR TEEN ","International Teen",IF(LEFT(B249,14)="INTL-JAP TEEN ","International Teen",IF(LEFT(B249,14)="INTL-CHI TEEN ","International Teen",IF(LEFT(B249,14)="INTL-SPA TEEN ","International Teen",IF(LEFT(B249,11)="INTL-VIE E ","International Easy",IF(LEFT(B249,11)="INTL-TAG E ","International Easy",IF(LEFT(B249,11)="INTL-RUS E ","International Easy",IF(LEFT(B249,11)="INTL-JAP E ","International Easy",IF(LEFT(B249,11)="INTL-KOR E ","International Easy",IF(LEFT(B249,11)="INTL-CHI E ","International Easy",IF(LEFT(B249,11)="INTL-SPA E ","International Easy",
IF(D249="Teen Large Type","Teen Fiction",
IF(D249="Juvenile Large Type","Juvenile Fiction",
IF(LEFT(B249,6)="J CD O","Juvenile Compact Disc",
IF(AND(LEFT(B249,4)="TEEN",D249="Fiction"),"Teen Fiction",
IF(D249="DVD Educational","Nonfiction",
IF(D249="Juvenile DVD Educational","Nonfiction",
IF(D249="Reference","Nonfiction",
D249))))))))))))))))))))))))))))))))))))))))))</f>
        <v/>
      </c>
    </row>
    <row r="250" spans="1:14" ht="27" customHeight="1" x14ac:dyDescent="0.25">
      <c r="A250" s="10" t="str">
        <f ca="1">TEXT( INDIRECT( ADDRESS( ROW() + Row_Offset, INDIRECT( "Column_Number_" &amp; A$1), 4,1, tabname) ), "")</f>
        <v/>
      </c>
      <c r="B250" s="10" t="str">
        <f ca="1">TEXT(  IFERROR( VLOOKUP( $D250, CollName_Simplifier_Table[], 2, FALSE),"") &amp;
        INDIRECT( ADDRESS( ROW() + Row_Offset, INDIRECT( "Column_Number_" &amp; $B$1), 4,1, tabname) ), "")</f>
        <v/>
      </c>
      <c r="C250" s="10" t="str">
        <f ca="1">TEXT( INDIRECT( ADDRESS( ROW() + Row_Offset, INDIRECT( "Column_Number_" &amp; C$1), 4,1, tabname) ), "")</f>
        <v/>
      </c>
      <c r="D250" s="10" t="str">
        <f ca="1">TEXT( INDIRECT( ADDRESS( ROW() + Row_Offset, INDIRECT( "Column_Number_" &amp; D$1), 4,1, tabname) ), "")</f>
        <v/>
      </c>
      <c r="E250" s="10" t="str">
        <f ca="1">TEXT( INDIRECT( ADDRESS( ROW() + Row_Offset, INDIRECT( "Column_Number_" &amp; E$1), 4,1, tabname) ), "####")</f>
        <v/>
      </c>
      <c r="F250" s="15"/>
      <c r="G250" s="22" t="str">
        <f ca="1">IFERROR(INDEX(Rank_Table[],MATCH($D250&amp;$A250,Table4[Join],0)),"")</f>
        <v/>
      </c>
      <c r="H250" s="11" t="str">
        <f ca="1">IF(AND(D250="Juvenile Audiobook",LEFT(B250,8)="J CD BIO"),RIGHT(B250,LEN(B250)-9),
IF(AND(D250="Juvenile Audiobook",LEFT(B250,8)="J CD FIC"),B250,
IF(D250="Juvenile Audiobook",RIGHT(B250,LEN(B250)-5),
IF(AND(D250="Teen Audiobook",LEFT(B250,11)="TEEN CD BIO"),RIGHT(B250,LEN(B250)-12),
IF(AND(D250="Teen Audiobook",LEFT(B250,11)="TEEN CD FIC"),B250,
IF(D250="Juvenile Audiobook",RIGHT(B250,LEN(B250)-8),
IF(D250="Juvenile Nonfiction",RIGHT(B250,LEN(B250)-2),
IF(D250="Teen Nonfiction",RIGHT(B250,LEN(B250)-5),
IF(AND(D250="Audiobook",
              NOT(OR(Contains($B250,"CD BIO"),Contains($B250,"CD FIC")))),RIGHT(B250,LEN(B250)-3),
IF(D250="Juvenile Biography",RIGHT(B250,LEN(B250)-2),
IF(D250="Teen Biography",RIGHT(B250,LEN(B250)-5),
IF(AND(D250="Audiobook",
              IFERROR(FIND("BIO",$B250)&gt;0,FALSE)),RIGHT(B250,LEN(B250)-3),
IF(D250="Juvenile Large Type","J "&amp;RIGHT(B250,LEN(B250)-11),
IF(D250="Teen Large Type","TEEN "&amp;RIGHT(B250,LEN(B250)-14),
IF(D250="Reference",RIGHT(B250,LEN(B250)-4),
IF(D250="DVD Educational",RIGHT(B250,LEN(B250)-7),
IF(D250="Juvenile DVD Educational",RIGHT(B250,LEN(B250)-9),
B250)))))))))))))))))</f>
        <v/>
      </c>
      <c r="N250" s="11" t="str">
        <f ca="1">IF(IFERROR(FIND("New",$A250)&gt;0,FALSE),"New ","") &amp; IF(IFERROR(FIND("In Lib",$A250)&gt;0,FALSE),"Reference ","") &amp;
IF(AND(D250="Audiobook",LEFT(B250,6)="CD BIO"),"Biography",
IF(AND(D250="Teen Audiobook",LEFT(B250,11)="TEEN CD BIO"),"Biography",
IF(AND(D250="Juvenile Audiobook",LEFT(B250,8)="J CD BIO"),"Biography",
IF(AND(D250="Audiobook",LEFT(B250,6)="CD FIC"),"Audiobook Fiction",
IF(AND(D250="Teen Audiobook",LEFT(B250,11)="TEEN CD FIC"),"Teen Audiobook",
IF(AND(D250="Juvenile Audiobook",LEFT(B250,8)="J CD FIC"),"Juvenile Audiobook",
IF(D250="Audiobook","Nonfiction",
IF(D250="Juvenile Audiobook","Nonfiction",
IF(D250="Teen Audiobook","Nonfiction",
IF(D250="Juvenile Nonfiction","Nonfiction",
IF(D250="Teen Nonfiction","Nonfiction",
IF(D250="Juvenile Biography","Biography",
IF(D250="Teen Biography","Biography",
IF(D250="ESL","Nonfiction",
IF(LEFT(B250,11)="INTL-VIE J ","International Juvenile",IF(LEFT(B250,11)="INTL-TAG J ","International Juvenile",IF(LEFT(B250,11)="INTL-RUS J ","International Juvenile",IF(LEFT(B250,11)="INTL-KOR J ","International Juvenile",IF(LEFT(B250,11)="INTL-JAP J ","International Juvenile",IF(LEFT(B250,11)="INTL-CHI J ","International Juvenile",IF(LEFT(B250,11)="INTL-SPA J ","International Juvenile",IF(LEFT(B250,14)="INTL-VIE TEEN ","International Teen",IF(LEFT(B250,14)="INTL-TAG TEEN ","International Teen",IF(LEFT(B250,14)="INTL-RUS TEEN ","International Teen",IF(LEFT(B250,14)="INTL-KOR TEEN ","International Teen",IF(LEFT(B250,14)="INTL-JAP TEEN ","International Teen",IF(LEFT(B250,14)="INTL-CHI TEEN ","International Teen",IF(LEFT(B250,14)="INTL-SPA TEEN ","International Teen",IF(LEFT(B250,11)="INTL-VIE E ","International Easy",IF(LEFT(B250,11)="INTL-TAG E ","International Easy",IF(LEFT(B250,11)="INTL-RUS E ","International Easy",IF(LEFT(B250,11)="INTL-JAP E ","International Easy",IF(LEFT(B250,11)="INTL-KOR E ","International Easy",IF(LEFT(B250,11)="INTL-CHI E ","International Easy",IF(LEFT(B250,11)="INTL-SPA E ","International Easy",
IF(D250="Teen Large Type","Teen Fiction",
IF(D250="Juvenile Large Type","Juvenile Fiction",
IF(LEFT(B250,6)="J CD O","Juvenile Compact Disc",
IF(AND(LEFT(B250,4)="TEEN",D250="Fiction"),"Teen Fiction",
IF(D250="DVD Educational","Nonfiction",
IF(D250="Juvenile DVD Educational","Nonfiction",
IF(D250="Reference","Nonfiction",
D250))))))))))))))))))))))))))))))))))))))))))</f>
        <v/>
      </c>
    </row>
    <row r="251" spans="1:14" ht="27" customHeight="1" x14ac:dyDescent="0.25">
      <c r="A251" s="10" t="str">
        <f ca="1">TEXT( INDIRECT( ADDRESS( ROW() + Row_Offset, INDIRECT( "Column_Number_" &amp; A$1), 4,1, tabname) ), "")</f>
        <v/>
      </c>
      <c r="B251" s="10" t="str">
        <f ca="1">TEXT(  IFERROR( VLOOKUP( $D251, CollName_Simplifier_Table[], 2, FALSE),"") &amp;
        INDIRECT( ADDRESS( ROW() + Row_Offset, INDIRECT( "Column_Number_" &amp; $B$1), 4,1, tabname) ), "")</f>
        <v/>
      </c>
      <c r="C251" s="10" t="str">
        <f ca="1">TEXT( INDIRECT( ADDRESS( ROW() + Row_Offset, INDIRECT( "Column_Number_" &amp; C$1), 4,1, tabname) ), "")</f>
        <v/>
      </c>
      <c r="D251" s="10" t="str">
        <f ca="1">TEXT( INDIRECT( ADDRESS( ROW() + Row_Offset, INDIRECT( "Column_Number_" &amp; D$1), 4,1, tabname) ), "")</f>
        <v/>
      </c>
      <c r="E251" s="10" t="str">
        <f ca="1">TEXT( INDIRECT( ADDRESS( ROW() + Row_Offset, INDIRECT( "Column_Number_" &amp; E$1), 4,1, tabname) ), "####")</f>
        <v/>
      </c>
      <c r="F251" s="15"/>
      <c r="G251" s="22" t="str">
        <f ca="1">IFERROR(INDEX(Rank_Table[],MATCH($D251&amp;$A251,Table4[Join],0)),"")</f>
        <v/>
      </c>
      <c r="H251" s="11" t="str">
        <f ca="1">IF(AND(D251="Juvenile Audiobook",LEFT(B251,8)="J CD BIO"),RIGHT(B251,LEN(B251)-9),
IF(AND(D251="Juvenile Audiobook",LEFT(B251,8)="J CD FIC"),B251,
IF(D251="Juvenile Audiobook",RIGHT(B251,LEN(B251)-5),
IF(AND(D251="Teen Audiobook",LEFT(B251,11)="TEEN CD BIO"),RIGHT(B251,LEN(B251)-12),
IF(AND(D251="Teen Audiobook",LEFT(B251,11)="TEEN CD FIC"),B251,
IF(D251="Juvenile Audiobook",RIGHT(B251,LEN(B251)-8),
IF(D251="Juvenile Nonfiction",RIGHT(B251,LEN(B251)-2),
IF(D251="Teen Nonfiction",RIGHT(B251,LEN(B251)-5),
IF(AND(D251="Audiobook",
              NOT(OR(Contains($B251,"CD BIO"),Contains($B251,"CD FIC")))),RIGHT(B251,LEN(B251)-3),
IF(D251="Juvenile Biography",RIGHT(B251,LEN(B251)-2),
IF(D251="Teen Biography",RIGHT(B251,LEN(B251)-5),
IF(AND(D251="Audiobook",
              IFERROR(FIND("BIO",$B251)&gt;0,FALSE)),RIGHT(B251,LEN(B251)-3),
IF(D251="Juvenile Large Type","J "&amp;RIGHT(B251,LEN(B251)-11),
IF(D251="Teen Large Type","TEEN "&amp;RIGHT(B251,LEN(B251)-14),
IF(D251="Reference",RIGHT(B251,LEN(B251)-4),
IF(D251="DVD Educational",RIGHT(B251,LEN(B251)-7),
IF(D251="Juvenile DVD Educational",RIGHT(B251,LEN(B251)-9),
B251)))))))))))))))))</f>
        <v/>
      </c>
      <c r="N251" s="11" t="str">
        <f ca="1">IF(IFERROR(FIND("New",$A251)&gt;0,FALSE),"New ","") &amp; IF(IFERROR(FIND("In Lib",$A251)&gt;0,FALSE),"Reference ","") &amp;
IF(AND(D251="Audiobook",LEFT(B251,6)="CD BIO"),"Biography",
IF(AND(D251="Teen Audiobook",LEFT(B251,11)="TEEN CD BIO"),"Biography",
IF(AND(D251="Juvenile Audiobook",LEFT(B251,8)="J CD BIO"),"Biography",
IF(AND(D251="Audiobook",LEFT(B251,6)="CD FIC"),"Audiobook Fiction",
IF(AND(D251="Teen Audiobook",LEFT(B251,11)="TEEN CD FIC"),"Teen Audiobook",
IF(AND(D251="Juvenile Audiobook",LEFT(B251,8)="J CD FIC"),"Juvenile Audiobook",
IF(D251="Audiobook","Nonfiction",
IF(D251="Juvenile Audiobook","Nonfiction",
IF(D251="Teen Audiobook","Nonfiction",
IF(D251="Juvenile Nonfiction","Nonfiction",
IF(D251="Teen Nonfiction","Nonfiction",
IF(D251="Juvenile Biography","Biography",
IF(D251="Teen Biography","Biography",
IF(D251="ESL","Nonfiction",
IF(LEFT(B251,11)="INTL-VIE J ","International Juvenile",IF(LEFT(B251,11)="INTL-TAG J ","International Juvenile",IF(LEFT(B251,11)="INTL-RUS J ","International Juvenile",IF(LEFT(B251,11)="INTL-KOR J ","International Juvenile",IF(LEFT(B251,11)="INTL-JAP J ","International Juvenile",IF(LEFT(B251,11)="INTL-CHI J ","International Juvenile",IF(LEFT(B251,11)="INTL-SPA J ","International Juvenile",IF(LEFT(B251,14)="INTL-VIE TEEN ","International Teen",IF(LEFT(B251,14)="INTL-TAG TEEN ","International Teen",IF(LEFT(B251,14)="INTL-RUS TEEN ","International Teen",IF(LEFT(B251,14)="INTL-KOR TEEN ","International Teen",IF(LEFT(B251,14)="INTL-JAP TEEN ","International Teen",IF(LEFT(B251,14)="INTL-CHI TEEN ","International Teen",IF(LEFT(B251,14)="INTL-SPA TEEN ","International Teen",IF(LEFT(B251,11)="INTL-VIE E ","International Easy",IF(LEFT(B251,11)="INTL-TAG E ","International Easy",IF(LEFT(B251,11)="INTL-RUS E ","International Easy",IF(LEFT(B251,11)="INTL-JAP E ","International Easy",IF(LEFT(B251,11)="INTL-KOR E ","International Easy",IF(LEFT(B251,11)="INTL-CHI E ","International Easy",IF(LEFT(B251,11)="INTL-SPA E ","International Easy",
IF(D251="Teen Large Type","Teen Fiction",
IF(D251="Juvenile Large Type","Juvenile Fiction",
IF(LEFT(B251,6)="J CD O","Juvenile Compact Disc",
IF(AND(LEFT(B251,4)="TEEN",D251="Fiction"),"Teen Fiction",
IF(D251="DVD Educational","Nonfiction",
IF(D251="Juvenile DVD Educational","Nonfiction",
IF(D251="Reference","Nonfiction",
D251))))))))))))))))))))))))))))))))))))))))))</f>
        <v/>
      </c>
    </row>
    <row r="252" spans="1:14" ht="27" customHeight="1" x14ac:dyDescent="0.25">
      <c r="A252" s="10" t="str">
        <f ca="1">TEXT( INDIRECT( ADDRESS( ROW() + Row_Offset, INDIRECT( "Column_Number_" &amp; A$1), 4,1, tabname) ), "")</f>
        <v/>
      </c>
      <c r="B252" s="10" t="str">
        <f ca="1">TEXT(  IFERROR( VLOOKUP( $D252, CollName_Simplifier_Table[], 2, FALSE),"") &amp;
        INDIRECT( ADDRESS( ROW() + Row_Offset, INDIRECT( "Column_Number_" &amp; $B$1), 4,1, tabname) ), "")</f>
        <v/>
      </c>
      <c r="C252" s="10" t="str">
        <f ca="1">TEXT( INDIRECT( ADDRESS( ROW() + Row_Offset, INDIRECT( "Column_Number_" &amp; C$1), 4,1, tabname) ), "")</f>
        <v/>
      </c>
      <c r="D252" s="10" t="str">
        <f ca="1">TEXT( INDIRECT( ADDRESS( ROW() + Row_Offset, INDIRECT( "Column_Number_" &amp; D$1), 4,1, tabname) ), "")</f>
        <v/>
      </c>
      <c r="E252" s="10" t="str">
        <f ca="1">TEXT( INDIRECT( ADDRESS( ROW() + Row_Offset, INDIRECT( "Column_Number_" &amp; E$1), 4,1, tabname) ), "####")</f>
        <v/>
      </c>
      <c r="F252" s="15"/>
      <c r="G252" s="22" t="str">
        <f ca="1">IFERROR(INDEX(Rank_Table[],MATCH($D252&amp;$A252,Table4[Join],0)),"")</f>
        <v/>
      </c>
      <c r="H252" s="11" t="str">
        <f ca="1">IF(AND(D252="Juvenile Audiobook",LEFT(B252,8)="J CD BIO"),RIGHT(B252,LEN(B252)-9),
IF(AND(D252="Juvenile Audiobook",LEFT(B252,8)="J CD FIC"),B252,
IF(D252="Juvenile Audiobook",RIGHT(B252,LEN(B252)-5),
IF(AND(D252="Teen Audiobook",LEFT(B252,11)="TEEN CD BIO"),RIGHT(B252,LEN(B252)-12),
IF(AND(D252="Teen Audiobook",LEFT(B252,11)="TEEN CD FIC"),B252,
IF(D252="Juvenile Audiobook",RIGHT(B252,LEN(B252)-8),
IF(D252="Juvenile Nonfiction",RIGHT(B252,LEN(B252)-2),
IF(D252="Teen Nonfiction",RIGHT(B252,LEN(B252)-5),
IF(AND(D252="Audiobook",
              NOT(OR(Contains($B252,"CD BIO"),Contains($B252,"CD FIC")))),RIGHT(B252,LEN(B252)-3),
IF(D252="Juvenile Biography",RIGHT(B252,LEN(B252)-2),
IF(D252="Teen Biography",RIGHT(B252,LEN(B252)-5),
IF(AND(D252="Audiobook",
              IFERROR(FIND("BIO",$B252)&gt;0,FALSE)),RIGHT(B252,LEN(B252)-3),
IF(D252="Juvenile Large Type","J "&amp;RIGHT(B252,LEN(B252)-11),
IF(D252="Teen Large Type","TEEN "&amp;RIGHT(B252,LEN(B252)-14),
IF(D252="Reference",RIGHT(B252,LEN(B252)-4),
IF(D252="DVD Educational",RIGHT(B252,LEN(B252)-7),
IF(D252="Juvenile DVD Educational",RIGHT(B252,LEN(B252)-9),
B252)))))))))))))))))</f>
        <v/>
      </c>
      <c r="N252" s="11" t="str">
        <f ca="1">IF(IFERROR(FIND("New",$A252)&gt;0,FALSE),"New ","") &amp; IF(IFERROR(FIND("In Lib",$A252)&gt;0,FALSE),"Reference ","") &amp;
IF(AND(D252="Audiobook",LEFT(B252,6)="CD BIO"),"Biography",
IF(AND(D252="Teen Audiobook",LEFT(B252,11)="TEEN CD BIO"),"Biography",
IF(AND(D252="Juvenile Audiobook",LEFT(B252,8)="J CD BIO"),"Biography",
IF(AND(D252="Audiobook",LEFT(B252,6)="CD FIC"),"Audiobook Fiction",
IF(AND(D252="Teen Audiobook",LEFT(B252,11)="TEEN CD FIC"),"Teen Audiobook",
IF(AND(D252="Juvenile Audiobook",LEFT(B252,8)="J CD FIC"),"Juvenile Audiobook",
IF(D252="Audiobook","Nonfiction",
IF(D252="Juvenile Audiobook","Nonfiction",
IF(D252="Teen Audiobook","Nonfiction",
IF(D252="Juvenile Nonfiction","Nonfiction",
IF(D252="Teen Nonfiction","Nonfiction",
IF(D252="Juvenile Biography","Biography",
IF(D252="Teen Biography","Biography",
IF(D252="ESL","Nonfiction",
IF(LEFT(B252,11)="INTL-VIE J ","International Juvenile",IF(LEFT(B252,11)="INTL-TAG J ","International Juvenile",IF(LEFT(B252,11)="INTL-RUS J ","International Juvenile",IF(LEFT(B252,11)="INTL-KOR J ","International Juvenile",IF(LEFT(B252,11)="INTL-JAP J ","International Juvenile",IF(LEFT(B252,11)="INTL-CHI J ","International Juvenile",IF(LEFT(B252,11)="INTL-SPA J ","International Juvenile",IF(LEFT(B252,14)="INTL-VIE TEEN ","International Teen",IF(LEFT(B252,14)="INTL-TAG TEEN ","International Teen",IF(LEFT(B252,14)="INTL-RUS TEEN ","International Teen",IF(LEFT(B252,14)="INTL-KOR TEEN ","International Teen",IF(LEFT(B252,14)="INTL-JAP TEEN ","International Teen",IF(LEFT(B252,14)="INTL-CHI TEEN ","International Teen",IF(LEFT(B252,14)="INTL-SPA TEEN ","International Teen",IF(LEFT(B252,11)="INTL-VIE E ","International Easy",IF(LEFT(B252,11)="INTL-TAG E ","International Easy",IF(LEFT(B252,11)="INTL-RUS E ","International Easy",IF(LEFT(B252,11)="INTL-JAP E ","International Easy",IF(LEFT(B252,11)="INTL-KOR E ","International Easy",IF(LEFT(B252,11)="INTL-CHI E ","International Easy",IF(LEFT(B252,11)="INTL-SPA E ","International Easy",
IF(D252="Teen Large Type","Teen Fiction",
IF(D252="Juvenile Large Type","Juvenile Fiction",
IF(LEFT(B252,6)="J CD O","Juvenile Compact Disc",
IF(AND(LEFT(B252,4)="TEEN",D252="Fiction"),"Teen Fiction",
IF(D252="DVD Educational","Nonfiction",
IF(D252="Juvenile DVD Educational","Nonfiction",
IF(D252="Reference","Nonfiction",
D252))))))))))))))))))))))))))))))))))))))))))</f>
        <v/>
      </c>
    </row>
    <row r="253" spans="1:14" ht="27" customHeight="1" x14ac:dyDescent="0.25">
      <c r="A253" s="10" t="str">
        <f ca="1">TEXT( INDIRECT( ADDRESS( ROW() + Row_Offset, INDIRECT( "Column_Number_" &amp; A$1), 4,1, tabname) ), "")</f>
        <v/>
      </c>
      <c r="B253" s="10" t="str">
        <f ca="1">TEXT(  IFERROR( VLOOKUP( $D253, CollName_Simplifier_Table[], 2, FALSE),"") &amp;
        INDIRECT( ADDRESS( ROW() + Row_Offset, INDIRECT( "Column_Number_" &amp; $B$1), 4,1, tabname) ), "")</f>
        <v/>
      </c>
      <c r="C253" s="10" t="str">
        <f ca="1">TEXT( INDIRECT( ADDRESS( ROW() + Row_Offset, INDIRECT( "Column_Number_" &amp; C$1), 4,1, tabname) ), "")</f>
        <v/>
      </c>
      <c r="D253" s="10" t="str">
        <f ca="1">TEXT( INDIRECT( ADDRESS( ROW() + Row_Offset, INDIRECT( "Column_Number_" &amp; D$1), 4,1, tabname) ), "")</f>
        <v/>
      </c>
      <c r="E253" s="10" t="str">
        <f ca="1">TEXT( INDIRECT( ADDRESS( ROW() + Row_Offset, INDIRECT( "Column_Number_" &amp; E$1), 4,1, tabname) ), "####")</f>
        <v/>
      </c>
      <c r="F253" s="15"/>
      <c r="G253" s="22" t="str">
        <f ca="1">IFERROR(INDEX(Rank_Table[],MATCH($D253&amp;$A253,Table4[Join],0)),"")</f>
        <v/>
      </c>
      <c r="H253" s="11" t="str">
        <f ca="1">IF(AND(D253="Juvenile Audiobook",LEFT(B253,8)="J CD BIO"),RIGHT(B253,LEN(B253)-9),
IF(AND(D253="Juvenile Audiobook",LEFT(B253,8)="J CD FIC"),B253,
IF(D253="Juvenile Audiobook",RIGHT(B253,LEN(B253)-5),
IF(AND(D253="Teen Audiobook",LEFT(B253,11)="TEEN CD BIO"),RIGHT(B253,LEN(B253)-12),
IF(AND(D253="Teen Audiobook",LEFT(B253,11)="TEEN CD FIC"),B253,
IF(D253="Juvenile Audiobook",RIGHT(B253,LEN(B253)-8),
IF(D253="Juvenile Nonfiction",RIGHT(B253,LEN(B253)-2),
IF(D253="Teen Nonfiction",RIGHT(B253,LEN(B253)-5),
IF(AND(D253="Audiobook",
              NOT(OR(Contains($B253,"CD BIO"),Contains($B253,"CD FIC")))),RIGHT(B253,LEN(B253)-3),
IF(D253="Juvenile Biography",RIGHT(B253,LEN(B253)-2),
IF(D253="Teen Biography",RIGHT(B253,LEN(B253)-5),
IF(AND(D253="Audiobook",
              IFERROR(FIND("BIO",$B253)&gt;0,FALSE)),RIGHT(B253,LEN(B253)-3),
IF(D253="Juvenile Large Type","J "&amp;RIGHT(B253,LEN(B253)-11),
IF(D253="Teen Large Type","TEEN "&amp;RIGHT(B253,LEN(B253)-14),
IF(D253="Reference",RIGHT(B253,LEN(B253)-4),
IF(D253="DVD Educational",RIGHT(B253,LEN(B253)-7),
IF(D253="Juvenile DVD Educational",RIGHT(B253,LEN(B253)-9),
B253)))))))))))))))))</f>
        <v/>
      </c>
      <c r="N253" s="11" t="str">
        <f ca="1">IF(IFERROR(FIND("New",$A253)&gt;0,FALSE),"New ","") &amp; IF(IFERROR(FIND("In Lib",$A253)&gt;0,FALSE),"Reference ","") &amp;
IF(AND(D253="Audiobook",LEFT(B253,6)="CD BIO"),"Biography",
IF(AND(D253="Teen Audiobook",LEFT(B253,11)="TEEN CD BIO"),"Biography",
IF(AND(D253="Juvenile Audiobook",LEFT(B253,8)="J CD BIO"),"Biography",
IF(AND(D253="Audiobook",LEFT(B253,6)="CD FIC"),"Audiobook Fiction",
IF(AND(D253="Teen Audiobook",LEFT(B253,11)="TEEN CD FIC"),"Teen Audiobook",
IF(AND(D253="Juvenile Audiobook",LEFT(B253,8)="J CD FIC"),"Juvenile Audiobook",
IF(D253="Audiobook","Nonfiction",
IF(D253="Juvenile Audiobook","Nonfiction",
IF(D253="Teen Audiobook","Nonfiction",
IF(D253="Juvenile Nonfiction","Nonfiction",
IF(D253="Teen Nonfiction","Nonfiction",
IF(D253="Juvenile Biography","Biography",
IF(D253="Teen Biography","Biography",
IF(D253="ESL","Nonfiction",
IF(LEFT(B253,11)="INTL-VIE J ","International Juvenile",IF(LEFT(B253,11)="INTL-TAG J ","International Juvenile",IF(LEFT(B253,11)="INTL-RUS J ","International Juvenile",IF(LEFT(B253,11)="INTL-KOR J ","International Juvenile",IF(LEFT(B253,11)="INTL-JAP J ","International Juvenile",IF(LEFT(B253,11)="INTL-CHI J ","International Juvenile",IF(LEFT(B253,11)="INTL-SPA J ","International Juvenile",IF(LEFT(B253,14)="INTL-VIE TEEN ","International Teen",IF(LEFT(B253,14)="INTL-TAG TEEN ","International Teen",IF(LEFT(B253,14)="INTL-RUS TEEN ","International Teen",IF(LEFT(B253,14)="INTL-KOR TEEN ","International Teen",IF(LEFT(B253,14)="INTL-JAP TEEN ","International Teen",IF(LEFT(B253,14)="INTL-CHI TEEN ","International Teen",IF(LEFT(B253,14)="INTL-SPA TEEN ","International Teen",IF(LEFT(B253,11)="INTL-VIE E ","International Easy",IF(LEFT(B253,11)="INTL-TAG E ","International Easy",IF(LEFT(B253,11)="INTL-RUS E ","International Easy",IF(LEFT(B253,11)="INTL-JAP E ","International Easy",IF(LEFT(B253,11)="INTL-KOR E ","International Easy",IF(LEFT(B253,11)="INTL-CHI E ","International Easy",IF(LEFT(B253,11)="INTL-SPA E ","International Easy",
IF(D253="Teen Large Type","Teen Fiction",
IF(D253="Juvenile Large Type","Juvenile Fiction",
IF(LEFT(B253,6)="J CD O","Juvenile Compact Disc",
IF(AND(LEFT(B253,4)="TEEN",D253="Fiction"),"Teen Fiction",
IF(D253="DVD Educational","Nonfiction",
IF(D253="Juvenile DVD Educational","Nonfiction",
IF(D253="Reference","Nonfiction",
D253))))))))))))))))))))))))))))))))))))))))))</f>
        <v/>
      </c>
    </row>
    <row r="254" spans="1:14" ht="27" customHeight="1" x14ac:dyDescent="0.25">
      <c r="A254" s="10" t="str">
        <f ca="1">TEXT( INDIRECT( ADDRESS( ROW() + Row_Offset, INDIRECT( "Column_Number_" &amp; A$1), 4,1, tabname) ), "")</f>
        <v/>
      </c>
      <c r="B254" s="10" t="str">
        <f ca="1">TEXT(  IFERROR( VLOOKUP( $D254, CollName_Simplifier_Table[], 2, FALSE),"") &amp;
        INDIRECT( ADDRESS( ROW() + Row_Offset, INDIRECT( "Column_Number_" &amp; $B$1), 4,1, tabname) ), "")</f>
        <v/>
      </c>
      <c r="C254" s="10" t="str">
        <f ca="1">TEXT( INDIRECT( ADDRESS( ROW() + Row_Offset, INDIRECT( "Column_Number_" &amp; C$1), 4,1, tabname) ), "")</f>
        <v/>
      </c>
      <c r="D254" s="10" t="str">
        <f ca="1">TEXT( INDIRECT( ADDRESS( ROW() + Row_Offset, INDIRECT( "Column_Number_" &amp; D$1), 4,1, tabname) ), "")</f>
        <v/>
      </c>
      <c r="E254" s="10" t="str">
        <f ca="1">TEXT( INDIRECT( ADDRESS( ROW() + Row_Offset, INDIRECT( "Column_Number_" &amp; E$1), 4,1, tabname) ), "####")</f>
        <v/>
      </c>
      <c r="F254" s="15"/>
      <c r="G254" s="22" t="str">
        <f ca="1">IFERROR(INDEX(Rank_Table[],MATCH($D254&amp;$A254,Table4[Join],0)),"")</f>
        <v/>
      </c>
      <c r="H254" s="11" t="str">
        <f ca="1">IF(AND(D254="Juvenile Audiobook",LEFT(B254,8)="J CD BIO"),RIGHT(B254,LEN(B254)-9),
IF(AND(D254="Juvenile Audiobook",LEFT(B254,8)="J CD FIC"),B254,
IF(D254="Juvenile Audiobook",RIGHT(B254,LEN(B254)-5),
IF(AND(D254="Teen Audiobook",LEFT(B254,11)="TEEN CD BIO"),RIGHT(B254,LEN(B254)-12),
IF(AND(D254="Teen Audiobook",LEFT(B254,11)="TEEN CD FIC"),B254,
IF(D254="Juvenile Audiobook",RIGHT(B254,LEN(B254)-8),
IF(D254="Juvenile Nonfiction",RIGHT(B254,LEN(B254)-2),
IF(D254="Teen Nonfiction",RIGHT(B254,LEN(B254)-5),
IF(AND(D254="Audiobook",
              NOT(OR(Contains($B254,"CD BIO"),Contains($B254,"CD FIC")))),RIGHT(B254,LEN(B254)-3),
IF(D254="Juvenile Biography",RIGHT(B254,LEN(B254)-2),
IF(D254="Teen Biography",RIGHT(B254,LEN(B254)-5),
IF(AND(D254="Audiobook",
              IFERROR(FIND("BIO",$B254)&gt;0,FALSE)),RIGHT(B254,LEN(B254)-3),
IF(D254="Juvenile Large Type","J "&amp;RIGHT(B254,LEN(B254)-11),
IF(D254="Teen Large Type","TEEN "&amp;RIGHT(B254,LEN(B254)-14),
IF(D254="Reference",RIGHT(B254,LEN(B254)-4),
IF(D254="DVD Educational",RIGHT(B254,LEN(B254)-7),
IF(D254="Juvenile DVD Educational",RIGHT(B254,LEN(B254)-9),
B254)))))))))))))))))</f>
        <v/>
      </c>
      <c r="N254" s="11" t="str">
        <f ca="1">IF(IFERROR(FIND("New",$A254)&gt;0,FALSE),"New ","") &amp; IF(IFERROR(FIND("In Lib",$A254)&gt;0,FALSE),"Reference ","") &amp;
IF(AND(D254="Audiobook",LEFT(B254,6)="CD BIO"),"Biography",
IF(AND(D254="Teen Audiobook",LEFT(B254,11)="TEEN CD BIO"),"Biography",
IF(AND(D254="Juvenile Audiobook",LEFT(B254,8)="J CD BIO"),"Biography",
IF(AND(D254="Audiobook",LEFT(B254,6)="CD FIC"),"Audiobook Fiction",
IF(AND(D254="Teen Audiobook",LEFT(B254,11)="TEEN CD FIC"),"Teen Audiobook",
IF(AND(D254="Juvenile Audiobook",LEFT(B254,8)="J CD FIC"),"Juvenile Audiobook",
IF(D254="Audiobook","Nonfiction",
IF(D254="Juvenile Audiobook","Nonfiction",
IF(D254="Teen Audiobook","Nonfiction",
IF(D254="Juvenile Nonfiction","Nonfiction",
IF(D254="Teen Nonfiction","Nonfiction",
IF(D254="Juvenile Biography","Biography",
IF(D254="Teen Biography","Biography",
IF(D254="ESL","Nonfiction",
IF(LEFT(B254,11)="INTL-VIE J ","International Juvenile",IF(LEFT(B254,11)="INTL-TAG J ","International Juvenile",IF(LEFT(B254,11)="INTL-RUS J ","International Juvenile",IF(LEFT(B254,11)="INTL-KOR J ","International Juvenile",IF(LEFT(B254,11)="INTL-JAP J ","International Juvenile",IF(LEFT(B254,11)="INTL-CHI J ","International Juvenile",IF(LEFT(B254,11)="INTL-SPA J ","International Juvenile",IF(LEFT(B254,14)="INTL-VIE TEEN ","International Teen",IF(LEFT(B254,14)="INTL-TAG TEEN ","International Teen",IF(LEFT(B254,14)="INTL-RUS TEEN ","International Teen",IF(LEFT(B254,14)="INTL-KOR TEEN ","International Teen",IF(LEFT(B254,14)="INTL-JAP TEEN ","International Teen",IF(LEFT(B254,14)="INTL-CHI TEEN ","International Teen",IF(LEFT(B254,14)="INTL-SPA TEEN ","International Teen",IF(LEFT(B254,11)="INTL-VIE E ","International Easy",IF(LEFT(B254,11)="INTL-TAG E ","International Easy",IF(LEFT(B254,11)="INTL-RUS E ","International Easy",IF(LEFT(B254,11)="INTL-JAP E ","International Easy",IF(LEFT(B254,11)="INTL-KOR E ","International Easy",IF(LEFT(B254,11)="INTL-CHI E ","International Easy",IF(LEFT(B254,11)="INTL-SPA E ","International Easy",
IF(D254="Teen Large Type","Teen Fiction",
IF(D254="Juvenile Large Type","Juvenile Fiction",
IF(LEFT(B254,6)="J CD O","Juvenile Compact Disc",
IF(AND(LEFT(B254,4)="TEEN",D254="Fiction"),"Teen Fiction",
IF(D254="DVD Educational","Nonfiction",
IF(D254="Juvenile DVD Educational","Nonfiction",
IF(D254="Reference","Nonfiction",
D254))))))))))))))))))))))))))))))))))))))))))</f>
        <v/>
      </c>
    </row>
    <row r="255" spans="1:14" ht="27" customHeight="1" x14ac:dyDescent="0.25">
      <c r="A255" s="10" t="str">
        <f ca="1">TEXT( INDIRECT( ADDRESS( ROW() + Row_Offset, INDIRECT( "Column_Number_" &amp; A$1), 4,1, tabname) ), "")</f>
        <v/>
      </c>
      <c r="B255" s="10" t="str">
        <f ca="1">TEXT(  IFERROR( VLOOKUP( $D255, CollName_Simplifier_Table[], 2, FALSE),"") &amp;
        INDIRECT( ADDRESS( ROW() + Row_Offset, INDIRECT( "Column_Number_" &amp; $B$1), 4,1, tabname) ), "")</f>
        <v/>
      </c>
      <c r="C255" s="10" t="str">
        <f ca="1">TEXT( INDIRECT( ADDRESS( ROW() + Row_Offset, INDIRECT( "Column_Number_" &amp; C$1), 4,1, tabname) ), "")</f>
        <v/>
      </c>
      <c r="D255" s="10" t="str">
        <f ca="1">TEXT( INDIRECT( ADDRESS( ROW() + Row_Offset, INDIRECT( "Column_Number_" &amp; D$1), 4,1, tabname) ), "")</f>
        <v/>
      </c>
      <c r="E255" s="10" t="str">
        <f ca="1">TEXT( INDIRECT( ADDRESS( ROW() + Row_Offset, INDIRECT( "Column_Number_" &amp; E$1), 4,1, tabname) ), "####")</f>
        <v/>
      </c>
      <c r="F255" s="15"/>
      <c r="G255" s="22" t="str">
        <f ca="1">IFERROR(INDEX(Rank_Table[],MATCH($D255&amp;$A255,Table4[Join],0)),"")</f>
        <v/>
      </c>
      <c r="H255" s="11" t="str">
        <f ca="1">IF(AND(D255="Juvenile Audiobook",LEFT(B255,8)="J CD BIO"),RIGHT(B255,LEN(B255)-9),
IF(AND(D255="Juvenile Audiobook",LEFT(B255,8)="J CD FIC"),B255,
IF(D255="Juvenile Audiobook",RIGHT(B255,LEN(B255)-5),
IF(AND(D255="Teen Audiobook",LEFT(B255,11)="TEEN CD BIO"),RIGHT(B255,LEN(B255)-12),
IF(AND(D255="Teen Audiobook",LEFT(B255,11)="TEEN CD FIC"),B255,
IF(D255="Juvenile Audiobook",RIGHT(B255,LEN(B255)-8),
IF(D255="Juvenile Nonfiction",RIGHT(B255,LEN(B255)-2),
IF(D255="Teen Nonfiction",RIGHT(B255,LEN(B255)-5),
IF(AND(D255="Audiobook",
              NOT(OR(Contains($B255,"CD BIO"),Contains($B255,"CD FIC")))),RIGHT(B255,LEN(B255)-3),
IF(D255="Juvenile Biography",RIGHT(B255,LEN(B255)-2),
IF(D255="Teen Biography",RIGHT(B255,LEN(B255)-5),
IF(AND(D255="Audiobook",
              IFERROR(FIND("BIO",$B255)&gt;0,FALSE)),RIGHT(B255,LEN(B255)-3),
IF(D255="Juvenile Large Type","J "&amp;RIGHT(B255,LEN(B255)-11),
IF(D255="Teen Large Type","TEEN "&amp;RIGHT(B255,LEN(B255)-14),
IF(D255="Reference",RIGHT(B255,LEN(B255)-4),
IF(D255="DVD Educational",RIGHT(B255,LEN(B255)-7),
IF(D255="Juvenile DVD Educational",RIGHT(B255,LEN(B255)-9),
B255)))))))))))))))))</f>
        <v/>
      </c>
      <c r="N255" s="11" t="str">
        <f ca="1">IF(IFERROR(FIND("New",$A255)&gt;0,FALSE),"New ","") &amp; IF(IFERROR(FIND("In Lib",$A255)&gt;0,FALSE),"Reference ","") &amp;
IF(AND(D255="Audiobook",LEFT(B255,6)="CD BIO"),"Biography",
IF(AND(D255="Teen Audiobook",LEFT(B255,11)="TEEN CD BIO"),"Biography",
IF(AND(D255="Juvenile Audiobook",LEFT(B255,8)="J CD BIO"),"Biography",
IF(AND(D255="Audiobook",LEFT(B255,6)="CD FIC"),"Audiobook Fiction",
IF(AND(D255="Teen Audiobook",LEFT(B255,11)="TEEN CD FIC"),"Teen Audiobook",
IF(AND(D255="Juvenile Audiobook",LEFT(B255,8)="J CD FIC"),"Juvenile Audiobook",
IF(D255="Audiobook","Nonfiction",
IF(D255="Juvenile Audiobook","Nonfiction",
IF(D255="Teen Audiobook","Nonfiction",
IF(D255="Juvenile Nonfiction","Nonfiction",
IF(D255="Teen Nonfiction","Nonfiction",
IF(D255="Juvenile Biography","Biography",
IF(D255="Teen Biography","Biography",
IF(D255="ESL","Nonfiction",
IF(LEFT(B255,11)="INTL-VIE J ","International Juvenile",IF(LEFT(B255,11)="INTL-TAG J ","International Juvenile",IF(LEFT(B255,11)="INTL-RUS J ","International Juvenile",IF(LEFT(B255,11)="INTL-KOR J ","International Juvenile",IF(LEFT(B255,11)="INTL-JAP J ","International Juvenile",IF(LEFT(B255,11)="INTL-CHI J ","International Juvenile",IF(LEFT(B255,11)="INTL-SPA J ","International Juvenile",IF(LEFT(B255,14)="INTL-VIE TEEN ","International Teen",IF(LEFT(B255,14)="INTL-TAG TEEN ","International Teen",IF(LEFT(B255,14)="INTL-RUS TEEN ","International Teen",IF(LEFT(B255,14)="INTL-KOR TEEN ","International Teen",IF(LEFT(B255,14)="INTL-JAP TEEN ","International Teen",IF(LEFT(B255,14)="INTL-CHI TEEN ","International Teen",IF(LEFT(B255,14)="INTL-SPA TEEN ","International Teen",IF(LEFT(B255,11)="INTL-VIE E ","International Easy",IF(LEFT(B255,11)="INTL-TAG E ","International Easy",IF(LEFT(B255,11)="INTL-RUS E ","International Easy",IF(LEFT(B255,11)="INTL-JAP E ","International Easy",IF(LEFT(B255,11)="INTL-KOR E ","International Easy",IF(LEFT(B255,11)="INTL-CHI E ","International Easy",IF(LEFT(B255,11)="INTL-SPA E ","International Easy",
IF(D255="Teen Large Type","Teen Fiction",
IF(D255="Juvenile Large Type","Juvenile Fiction",
IF(LEFT(B255,6)="J CD O","Juvenile Compact Disc",
IF(AND(LEFT(B255,4)="TEEN",D255="Fiction"),"Teen Fiction",
IF(D255="DVD Educational","Nonfiction",
IF(D255="Juvenile DVD Educational","Nonfiction",
IF(D255="Reference","Nonfiction",
D255))))))))))))))))))))))))))))))))))))))))))</f>
        <v/>
      </c>
    </row>
    <row r="256" spans="1:14" ht="27" customHeight="1" x14ac:dyDescent="0.25">
      <c r="A256" s="10" t="str">
        <f ca="1">TEXT( INDIRECT( ADDRESS( ROW() + Row_Offset, INDIRECT( "Column_Number_" &amp; A$1), 4,1, tabname) ), "")</f>
        <v/>
      </c>
      <c r="B256" s="10" t="str">
        <f ca="1">TEXT(  IFERROR( VLOOKUP( $D256, CollName_Simplifier_Table[], 2, FALSE),"") &amp;
        INDIRECT( ADDRESS( ROW() + Row_Offset, INDIRECT( "Column_Number_" &amp; $B$1), 4,1, tabname) ), "")</f>
        <v/>
      </c>
      <c r="C256" s="10" t="str">
        <f ca="1">TEXT( INDIRECT( ADDRESS( ROW() + Row_Offset, INDIRECT( "Column_Number_" &amp; C$1), 4,1, tabname) ), "")</f>
        <v/>
      </c>
      <c r="D256" s="10" t="str">
        <f ca="1">TEXT( INDIRECT( ADDRESS( ROW() + Row_Offset, INDIRECT( "Column_Number_" &amp; D$1), 4,1, tabname) ), "")</f>
        <v/>
      </c>
      <c r="E256" s="10" t="str">
        <f ca="1">TEXT( INDIRECT( ADDRESS( ROW() + Row_Offset, INDIRECT( "Column_Number_" &amp; E$1), 4,1, tabname) ), "####")</f>
        <v/>
      </c>
      <c r="F256" s="15"/>
      <c r="G256" s="22" t="str">
        <f ca="1">IFERROR(INDEX(Rank_Table[],MATCH($D256&amp;$A256,Table4[Join],0)),"")</f>
        <v/>
      </c>
      <c r="H256" s="11" t="str">
        <f ca="1">IF(AND(D256="Juvenile Audiobook",LEFT(B256,8)="J CD BIO"),RIGHT(B256,LEN(B256)-9),
IF(AND(D256="Juvenile Audiobook",LEFT(B256,8)="J CD FIC"),B256,
IF(D256="Juvenile Audiobook",RIGHT(B256,LEN(B256)-5),
IF(AND(D256="Teen Audiobook",LEFT(B256,11)="TEEN CD BIO"),RIGHT(B256,LEN(B256)-12),
IF(AND(D256="Teen Audiobook",LEFT(B256,11)="TEEN CD FIC"),B256,
IF(D256="Juvenile Audiobook",RIGHT(B256,LEN(B256)-8),
IF(D256="Juvenile Nonfiction",RIGHT(B256,LEN(B256)-2),
IF(D256="Teen Nonfiction",RIGHT(B256,LEN(B256)-5),
IF(AND(D256="Audiobook",
              NOT(OR(Contains($B256,"CD BIO"),Contains($B256,"CD FIC")))),RIGHT(B256,LEN(B256)-3),
IF(D256="Juvenile Biography",RIGHT(B256,LEN(B256)-2),
IF(D256="Teen Biography",RIGHT(B256,LEN(B256)-5),
IF(AND(D256="Audiobook",
              IFERROR(FIND("BIO",$B256)&gt;0,FALSE)),RIGHT(B256,LEN(B256)-3),
IF(D256="Juvenile Large Type","J "&amp;RIGHT(B256,LEN(B256)-11),
IF(D256="Teen Large Type","TEEN "&amp;RIGHT(B256,LEN(B256)-14),
IF(D256="Reference",RIGHT(B256,LEN(B256)-4),
IF(D256="DVD Educational",RIGHT(B256,LEN(B256)-7),
IF(D256="Juvenile DVD Educational",RIGHT(B256,LEN(B256)-9),
B256)))))))))))))))))</f>
        <v/>
      </c>
      <c r="N256" s="11" t="str">
        <f ca="1">IF(IFERROR(FIND("New",$A256)&gt;0,FALSE),"New ","") &amp; IF(IFERROR(FIND("In Lib",$A256)&gt;0,FALSE),"Reference ","") &amp;
IF(AND(D256="Audiobook",LEFT(B256,6)="CD BIO"),"Biography",
IF(AND(D256="Teen Audiobook",LEFT(B256,11)="TEEN CD BIO"),"Biography",
IF(AND(D256="Juvenile Audiobook",LEFT(B256,8)="J CD BIO"),"Biography",
IF(AND(D256="Audiobook",LEFT(B256,6)="CD FIC"),"Audiobook Fiction",
IF(AND(D256="Teen Audiobook",LEFT(B256,11)="TEEN CD FIC"),"Teen Audiobook",
IF(AND(D256="Juvenile Audiobook",LEFT(B256,8)="J CD FIC"),"Juvenile Audiobook",
IF(D256="Audiobook","Nonfiction",
IF(D256="Juvenile Audiobook","Nonfiction",
IF(D256="Teen Audiobook","Nonfiction",
IF(D256="Juvenile Nonfiction","Nonfiction",
IF(D256="Teen Nonfiction","Nonfiction",
IF(D256="Juvenile Biography","Biography",
IF(D256="Teen Biography","Biography",
IF(D256="ESL","Nonfiction",
IF(LEFT(B256,11)="INTL-VIE J ","International Juvenile",IF(LEFT(B256,11)="INTL-TAG J ","International Juvenile",IF(LEFT(B256,11)="INTL-RUS J ","International Juvenile",IF(LEFT(B256,11)="INTL-KOR J ","International Juvenile",IF(LEFT(B256,11)="INTL-JAP J ","International Juvenile",IF(LEFT(B256,11)="INTL-CHI J ","International Juvenile",IF(LEFT(B256,11)="INTL-SPA J ","International Juvenile",IF(LEFT(B256,14)="INTL-VIE TEEN ","International Teen",IF(LEFT(B256,14)="INTL-TAG TEEN ","International Teen",IF(LEFT(B256,14)="INTL-RUS TEEN ","International Teen",IF(LEFT(B256,14)="INTL-KOR TEEN ","International Teen",IF(LEFT(B256,14)="INTL-JAP TEEN ","International Teen",IF(LEFT(B256,14)="INTL-CHI TEEN ","International Teen",IF(LEFT(B256,14)="INTL-SPA TEEN ","International Teen",IF(LEFT(B256,11)="INTL-VIE E ","International Easy",IF(LEFT(B256,11)="INTL-TAG E ","International Easy",IF(LEFT(B256,11)="INTL-RUS E ","International Easy",IF(LEFT(B256,11)="INTL-JAP E ","International Easy",IF(LEFT(B256,11)="INTL-KOR E ","International Easy",IF(LEFT(B256,11)="INTL-CHI E ","International Easy",IF(LEFT(B256,11)="INTL-SPA E ","International Easy",
IF(D256="Teen Large Type","Teen Fiction",
IF(D256="Juvenile Large Type","Juvenile Fiction",
IF(LEFT(B256,6)="J CD O","Juvenile Compact Disc",
IF(AND(LEFT(B256,4)="TEEN",D256="Fiction"),"Teen Fiction",
IF(D256="DVD Educational","Nonfiction",
IF(D256="Juvenile DVD Educational","Nonfiction",
IF(D256="Reference","Nonfiction",
D256))))))))))))))))))))))))))))))))))))))))))</f>
        <v/>
      </c>
    </row>
    <row r="257" spans="1:14" ht="27" customHeight="1" x14ac:dyDescent="0.25">
      <c r="A257" s="10" t="str">
        <f ca="1">TEXT( INDIRECT( ADDRESS( ROW() + Row_Offset, INDIRECT( "Column_Number_" &amp; A$1), 4,1, tabname) ), "")</f>
        <v/>
      </c>
      <c r="B257" s="10" t="str">
        <f ca="1">TEXT(  IFERROR( VLOOKUP( $D257, CollName_Simplifier_Table[], 2, FALSE),"") &amp;
        INDIRECT( ADDRESS( ROW() + Row_Offset, INDIRECT( "Column_Number_" &amp; $B$1), 4,1, tabname) ), "")</f>
        <v/>
      </c>
      <c r="C257" s="10" t="str">
        <f ca="1">TEXT( INDIRECT( ADDRESS( ROW() + Row_Offset, INDIRECT( "Column_Number_" &amp; C$1), 4,1, tabname) ), "")</f>
        <v/>
      </c>
      <c r="D257" s="10" t="str">
        <f ca="1">TEXT( INDIRECT( ADDRESS( ROW() + Row_Offset, INDIRECT( "Column_Number_" &amp; D$1), 4,1, tabname) ), "")</f>
        <v/>
      </c>
      <c r="E257" s="10" t="str">
        <f ca="1">TEXT( INDIRECT( ADDRESS( ROW() + Row_Offset, INDIRECT( "Column_Number_" &amp; E$1), 4,1, tabname) ), "####")</f>
        <v/>
      </c>
      <c r="F257" s="15"/>
      <c r="G257" s="22" t="str">
        <f ca="1">IFERROR(INDEX(Rank_Table[],MATCH($D257&amp;$A257,Table4[Join],0)),"")</f>
        <v/>
      </c>
      <c r="H257" s="11" t="str">
        <f ca="1">IF(AND(D257="Juvenile Audiobook",LEFT(B257,8)="J CD BIO"),RIGHT(B257,LEN(B257)-9),
IF(AND(D257="Juvenile Audiobook",LEFT(B257,8)="J CD FIC"),B257,
IF(D257="Juvenile Audiobook",RIGHT(B257,LEN(B257)-5),
IF(AND(D257="Teen Audiobook",LEFT(B257,11)="TEEN CD BIO"),RIGHT(B257,LEN(B257)-12),
IF(AND(D257="Teen Audiobook",LEFT(B257,11)="TEEN CD FIC"),B257,
IF(D257="Juvenile Audiobook",RIGHT(B257,LEN(B257)-8),
IF(D257="Juvenile Nonfiction",RIGHT(B257,LEN(B257)-2),
IF(D257="Teen Nonfiction",RIGHT(B257,LEN(B257)-5),
IF(AND(D257="Audiobook",
              NOT(OR(Contains($B257,"CD BIO"),Contains($B257,"CD FIC")))),RIGHT(B257,LEN(B257)-3),
IF(D257="Juvenile Biography",RIGHT(B257,LEN(B257)-2),
IF(D257="Teen Biography",RIGHT(B257,LEN(B257)-5),
IF(AND(D257="Audiobook",
              IFERROR(FIND("BIO",$B257)&gt;0,FALSE)),RIGHT(B257,LEN(B257)-3),
IF(D257="Juvenile Large Type","J "&amp;RIGHT(B257,LEN(B257)-11),
IF(D257="Teen Large Type","TEEN "&amp;RIGHT(B257,LEN(B257)-14),
IF(D257="Reference",RIGHT(B257,LEN(B257)-4),
IF(D257="DVD Educational",RIGHT(B257,LEN(B257)-7),
IF(D257="Juvenile DVD Educational",RIGHT(B257,LEN(B257)-9),
B257)))))))))))))))))</f>
        <v/>
      </c>
      <c r="N257" s="11" t="str">
        <f ca="1">IF(IFERROR(FIND("New",$A257)&gt;0,FALSE),"New ","") &amp; IF(IFERROR(FIND("In Lib",$A257)&gt;0,FALSE),"Reference ","") &amp;
IF(AND(D257="Audiobook",LEFT(B257,6)="CD BIO"),"Biography",
IF(AND(D257="Teen Audiobook",LEFT(B257,11)="TEEN CD BIO"),"Biography",
IF(AND(D257="Juvenile Audiobook",LEFT(B257,8)="J CD BIO"),"Biography",
IF(AND(D257="Audiobook",LEFT(B257,6)="CD FIC"),"Audiobook Fiction",
IF(AND(D257="Teen Audiobook",LEFT(B257,11)="TEEN CD FIC"),"Teen Audiobook",
IF(AND(D257="Juvenile Audiobook",LEFT(B257,8)="J CD FIC"),"Juvenile Audiobook",
IF(D257="Audiobook","Nonfiction",
IF(D257="Juvenile Audiobook","Nonfiction",
IF(D257="Teen Audiobook","Nonfiction",
IF(D257="Juvenile Nonfiction","Nonfiction",
IF(D257="Teen Nonfiction","Nonfiction",
IF(D257="Juvenile Biography","Biography",
IF(D257="Teen Biography","Biography",
IF(D257="ESL","Nonfiction",
IF(LEFT(B257,11)="INTL-VIE J ","International Juvenile",IF(LEFT(B257,11)="INTL-TAG J ","International Juvenile",IF(LEFT(B257,11)="INTL-RUS J ","International Juvenile",IF(LEFT(B257,11)="INTL-KOR J ","International Juvenile",IF(LEFT(B257,11)="INTL-JAP J ","International Juvenile",IF(LEFT(B257,11)="INTL-CHI J ","International Juvenile",IF(LEFT(B257,11)="INTL-SPA J ","International Juvenile",IF(LEFT(B257,14)="INTL-VIE TEEN ","International Teen",IF(LEFT(B257,14)="INTL-TAG TEEN ","International Teen",IF(LEFT(B257,14)="INTL-RUS TEEN ","International Teen",IF(LEFT(B257,14)="INTL-KOR TEEN ","International Teen",IF(LEFT(B257,14)="INTL-JAP TEEN ","International Teen",IF(LEFT(B257,14)="INTL-CHI TEEN ","International Teen",IF(LEFT(B257,14)="INTL-SPA TEEN ","International Teen",IF(LEFT(B257,11)="INTL-VIE E ","International Easy",IF(LEFT(B257,11)="INTL-TAG E ","International Easy",IF(LEFT(B257,11)="INTL-RUS E ","International Easy",IF(LEFT(B257,11)="INTL-JAP E ","International Easy",IF(LEFT(B257,11)="INTL-KOR E ","International Easy",IF(LEFT(B257,11)="INTL-CHI E ","International Easy",IF(LEFT(B257,11)="INTL-SPA E ","International Easy",
IF(D257="Teen Large Type","Teen Fiction",
IF(D257="Juvenile Large Type","Juvenile Fiction",
IF(LEFT(B257,6)="J CD O","Juvenile Compact Disc",
IF(AND(LEFT(B257,4)="TEEN",D257="Fiction"),"Teen Fiction",
IF(D257="DVD Educational","Nonfiction",
IF(D257="Juvenile DVD Educational","Nonfiction",
IF(D257="Reference","Nonfiction",
D257))))))))))))))))))))))))))))))))))))))))))</f>
        <v/>
      </c>
    </row>
    <row r="258" spans="1:14" ht="27" customHeight="1" x14ac:dyDescent="0.25">
      <c r="A258" s="10" t="str">
        <f ca="1">TEXT( INDIRECT( ADDRESS( ROW() + Row_Offset, INDIRECT( "Column_Number_" &amp; A$1), 4,1, tabname) ), "")</f>
        <v/>
      </c>
      <c r="B258" s="10" t="str">
        <f ca="1">TEXT(  IFERROR( VLOOKUP( $D258, CollName_Simplifier_Table[], 2, FALSE),"") &amp;
        INDIRECT( ADDRESS( ROW() + Row_Offset, INDIRECT( "Column_Number_" &amp; $B$1), 4,1, tabname) ), "")</f>
        <v/>
      </c>
      <c r="C258" s="10" t="str">
        <f ca="1">TEXT( INDIRECT( ADDRESS( ROW() + Row_Offset, INDIRECT( "Column_Number_" &amp; C$1), 4,1, tabname) ), "")</f>
        <v/>
      </c>
      <c r="D258" s="10" t="str">
        <f ca="1">TEXT( INDIRECT( ADDRESS( ROW() + Row_Offset, INDIRECT( "Column_Number_" &amp; D$1), 4,1, tabname) ), "")</f>
        <v/>
      </c>
      <c r="E258" s="10" t="str">
        <f ca="1">TEXT( INDIRECT( ADDRESS( ROW() + Row_Offset, INDIRECT( "Column_Number_" &amp; E$1), 4,1, tabname) ), "####")</f>
        <v/>
      </c>
      <c r="F258" s="15"/>
      <c r="G258" s="22" t="str">
        <f ca="1">IFERROR(INDEX(Rank_Table[],MATCH($D258&amp;$A258,Table4[Join],0)),"")</f>
        <v/>
      </c>
      <c r="H258" s="11" t="str">
        <f ca="1">IF(AND(D258="Juvenile Audiobook",LEFT(B258,8)="J CD BIO"),RIGHT(B258,LEN(B258)-9),
IF(AND(D258="Juvenile Audiobook",LEFT(B258,8)="J CD FIC"),B258,
IF(D258="Juvenile Audiobook",RIGHT(B258,LEN(B258)-5),
IF(AND(D258="Teen Audiobook",LEFT(B258,11)="TEEN CD BIO"),RIGHT(B258,LEN(B258)-12),
IF(AND(D258="Teen Audiobook",LEFT(B258,11)="TEEN CD FIC"),B258,
IF(D258="Juvenile Audiobook",RIGHT(B258,LEN(B258)-8),
IF(D258="Juvenile Nonfiction",RIGHT(B258,LEN(B258)-2),
IF(D258="Teen Nonfiction",RIGHT(B258,LEN(B258)-5),
IF(AND(D258="Audiobook",
              NOT(OR(Contains($B258,"CD BIO"),Contains($B258,"CD FIC")))),RIGHT(B258,LEN(B258)-3),
IF(D258="Juvenile Biography",RIGHT(B258,LEN(B258)-2),
IF(D258="Teen Biography",RIGHT(B258,LEN(B258)-5),
IF(AND(D258="Audiobook",
              IFERROR(FIND("BIO",$B258)&gt;0,FALSE)),RIGHT(B258,LEN(B258)-3),
IF(D258="Juvenile Large Type","J "&amp;RIGHT(B258,LEN(B258)-11),
IF(D258="Teen Large Type","TEEN "&amp;RIGHT(B258,LEN(B258)-14),
IF(D258="Reference",RIGHT(B258,LEN(B258)-4),
IF(D258="DVD Educational",RIGHT(B258,LEN(B258)-7),
IF(D258="Juvenile DVD Educational",RIGHT(B258,LEN(B258)-9),
B258)))))))))))))))))</f>
        <v/>
      </c>
      <c r="N258" s="11" t="str">
        <f ca="1">IF(IFERROR(FIND("New",$A258)&gt;0,FALSE),"New ","") &amp; IF(IFERROR(FIND("In Lib",$A258)&gt;0,FALSE),"Reference ","") &amp;
IF(AND(D258="Audiobook",LEFT(B258,6)="CD BIO"),"Biography",
IF(AND(D258="Teen Audiobook",LEFT(B258,11)="TEEN CD BIO"),"Biography",
IF(AND(D258="Juvenile Audiobook",LEFT(B258,8)="J CD BIO"),"Biography",
IF(AND(D258="Audiobook",LEFT(B258,6)="CD FIC"),"Audiobook Fiction",
IF(AND(D258="Teen Audiobook",LEFT(B258,11)="TEEN CD FIC"),"Teen Audiobook",
IF(AND(D258="Juvenile Audiobook",LEFT(B258,8)="J CD FIC"),"Juvenile Audiobook",
IF(D258="Audiobook","Nonfiction",
IF(D258="Juvenile Audiobook","Nonfiction",
IF(D258="Teen Audiobook","Nonfiction",
IF(D258="Juvenile Nonfiction","Nonfiction",
IF(D258="Teen Nonfiction","Nonfiction",
IF(D258="Juvenile Biography","Biography",
IF(D258="Teen Biography","Biography",
IF(D258="ESL","Nonfiction",
IF(LEFT(B258,11)="INTL-VIE J ","International Juvenile",IF(LEFT(B258,11)="INTL-TAG J ","International Juvenile",IF(LEFT(B258,11)="INTL-RUS J ","International Juvenile",IF(LEFT(B258,11)="INTL-KOR J ","International Juvenile",IF(LEFT(B258,11)="INTL-JAP J ","International Juvenile",IF(LEFT(B258,11)="INTL-CHI J ","International Juvenile",IF(LEFT(B258,11)="INTL-SPA J ","International Juvenile",IF(LEFT(B258,14)="INTL-VIE TEEN ","International Teen",IF(LEFT(B258,14)="INTL-TAG TEEN ","International Teen",IF(LEFT(B258,14)="INTL-RUS TEEN ","International Teen",IF(LEFT(B258,14)="INTL-KOR TEEN ","International Teen",IF(LEFT(B258,14)="INTL-JAP TEEN ","International Teen",IF(LEFT(B258,14)="INTL-CHI TEEN ","International Teen",IF(LEFT(B258,14)="INTL-SPA TEEN ","International Teen",IF(LEFT(B258,11)="INTL-VIE E ","International Easy",IF(LEFT(B258,11)="INTL-TAG E ","International Easy",IF(LEFT(B258,11)="INTL-RUS E ","International Easy",IF(LEFT(B258,11)="INTL-JAP E ","International Easy",IF(LEFT(B258,11)="INTL-KOR E ","International Easy",IF(LEFT(B258,11)="INTL-CHI E ","International Easy",IF(LEFT(B258,11)="INTL-SPA E ","International Easy",
IF(D258="Teen Large Type","Teen Fiction",
IF(D258="Juvenile Large Type","Juvenile Fiction",
IF(LEFT(B258,6)="J CD O","Juvenile Compact Disc",
IF(AND(LEFT(B258,4)="TEEN",D258="Fiction"),"Teen Fiction",
IF(D258="DVD Educational","Nonfiction",
IF(D258="Juvenile DVD Educational","Nonfiction",
IF(D258="Reference","Nonfiction",
D258))))))))))))))))))))))))))))))))))))))))))</f>
        <v/>
      </c>
    </row>
    <row r="259" spans="1:14" ht="27" customHeight="1" x14ac:dyDescent="0.25">
      <c r="A259" s="10" t="str">
        <f ca="1">TEXT( INDIRECT( ADDRESS( ROW() + Row_Offset, INDIRECT( "Column_Number_" &amp; A$1), 4,1, tabname) ), "")</f>
        <v/>
      </c>
      <c r="B259" s="10" t="str">
        <f ca="1">TEXT(  IFERROR( VLOOKUP( $D259, CollName_Simplifier_Table[], 2, FALSE),"") &amp;
        INDIRECT( ADDRESS( ROW() + Row_Offset, INDIRECT( "Column_Number_" &amp; $B$1), 4,1, tabname) ), "")</f>
        <v/>
      </c>
      <c r="C259" s="10" t="str">
        <f ca="1">TEXT( INDIRECT( ADDRESS( ROW() + Row_Offset, INDIRECT( "Column_Number_" &amp; C$1), 4,1, tabname) ), "")</f>
        <v/>
      </c>
      <c r="D259" s="10" t="str">
        <f ca="1">TEXT( INDIRECT( ADDRESS( ROW() + Row_Offset, INDIRECT( "Column_Number_" &amp; D$1), 4,1, tabname) ), "")</f>
        <v/>
      </c>
      <c r="E259" s="10" t="str">
        <f ca="1">TEXT( INDIRECT( ADDRESS( ROW() + Row_Offset, INDIRECT( "Column_Number_" &amp; E$1), 4,1, tabname) ), "####")</f>
        <v/>
      </c>
      <c r="F259" s="15"/>
      <c r="G259" s="22" t="str">
        <f ca="1">IFERROR(INDEX(Rank_Table[],MATCH($D259&amp;$A259,Table4[Join],0)),"")</f>
        <v/>
      </c>
      <c r="H259" s="11" t="str">
        <f ca="1">IF(AND(D259="Juvenile Audiobook",LEFT(B259,8)="J CD BIO"),RIGHT(B259,LEN(B259)-9),
IF(AND(D259="Juvenile Audiobook",LEFT(B259,8)="J CD FIC"),B259,
IF(D259="Juvenile Audiobook",RIGHT(B259,LEN(B259)-5),
IF(AND(D259="Teen Audiobook",LEFT(B259,11)="TEEN CD BIO"),RIGHT(B259,LEN(B259)-12),
IF(AND(D259="Teen Audiobook",LEFT(B259,11)="TEEN CD FIC"),B259,
IF(D259="Juvenile Audiobook",RIGHT(B259,LEN(B259)-8),
IF(D259="Juvenile Nonfiction",RIGHT(B259,LEN(B259)-2),
IF(D259="Teen Nonfiction",RIGHT(B259,LEN(B259)-5),
IF(AND(D259="Audiobook",
              NOT(OR(Contains($B259,"CD BIO"),Contains($B259,"CD FIC")))),RIGHT(B259,LEN(B259)-3),
IF(D259="Juvenile Biography",RIGHT(B259,LEN(B259)-2),
IF(D259="Teen Biography",RIGHT(B259,LEN(B259)-5),
IF(AND(D259="Audiobook",
              IFERROR(FIND("BIO",$B259)&gt;0,FALSE)),RIGHT(B259,LEN(B259)-3),
IF(D259="Juvenile Large Type","J "&amp;RIGHT(B259,LEN(B259)-11),
IF(D259="Teen Large Type","TEEN "&amp;RIGHT(B259,LEN(B259)-14),
IF(D259="Reference",RIGHT(B259,LEN(B259)-4),
IF(D259="DVD Educational",RIGHT(B259,LEN(B259)-7),
IF(D259="Juvenile DVD Educational",RIGHT(B259,LEN(B259)-9),
B259)))))))))))))))))</f>
        <v/>
      </c>
      <c r="N259" s="11" t="str">
        <f ca="1">IF(IFERROR(FIND("New",$A259)&gt;0,FALSE),"New ","") &amp; IF(IFERROR(FIND("In Lib",$A259)&gt;0,FALSE),"Reference ","") &amp;
IF(AND(D259="Audiobook",LEFT(B259,6)="CD BIO"),"Biography",
IF(AND(D259="Teen Audiobook",LEFT(B259,11)="TEEN CD BIO"),"Biography",
IF(AND(D259="Juvenile Audiobook",LEFT(B259,8)="J CD BIO"),"Biography",
IF(AND(D259="Audiobook",LEFT(B259,6)="CD FIC"),"Audiobook Fiction",
IF(AND(D259="Teen Audiobook",LEFT(B259,11)="TEEN CD FIC"),"Teen Audiobook",
IF(AND(D259="Juvenile Audiobook",LEFT(B259,8)="J CD FIC"),"Juvenile Audiobook",
IF(D259="Audiobook","Nonfiction",
IF(D259="Juvenile Audiobook","Nonfiction",
IF(D259="Teen Audiobook","Nonfiction",
IF(D259="Juvenile Nonfiction","Nonfiction",
IF(D259="Teen Nonfiction","Nonfiction",
IF(D259="Juvenile Biography","Biography",
IF(D259="Teen Biography","Biography",
IF(D259="ESL","Nonfiction",
IF(LEFT(B259,11)="INTL-VIE J ","International Juvenile",IF(LEFT(B259,11)="INTL-TAG J ","International Juvenile",IF(LEFT(B259,11)="INTL-RUS J ","International Juvenile",IF(LEFT(B259,11)="INTL-KOR J ","International Juvenile",IF(LEFT(B259,11)="INTL-JAP J ","International Juvenile",IF(LEFT(B259,11)="INTL-CHI J ","International Juvenile",IF(LEFT(B259,11)="INTL-SPA J ","International Juvenile",IF(LEFT(B259,14)="INTL-VIE TEEN ","International Teen",IF(LEFT(B259,14)="INTL-TAG TEEN ","International Teen",IF(LEFT(B259,14)="INTL-RUS TEEN ","International Teen",IF(LEFT(B259,14)="INTL-KOR TEEN ","International Teen",IF(LEFT(B259,14)="INTL-JAP TEEN ","International Teen",IF(LEFT(B259,14)="INTL-CHI TEEN ","International Teen",IF(LEFT(B259,14)="INTL-SPA TEEN ","International Teen",IF(LEFT(B259,11)="INTL-VIE E ","International Easy",IF(LEFT(B259,11)="INTL-TAG E ","International Easy",IF(LEFT(B259,11)="INTL-RUS E ","International Easy",IF(LEFT(B259,11)="INTL-JAP E ","International Easy",IF(LEFT(B259,11)="INTL-KOR E ","International Easy",IF(LEFT(B259,11)="INTL-CHI E ","International Easy",IF(LEFT(B259,11)="INTL-SPA E ","International Easy",
IF(D259="Teen Large Type","Teen Fiction",
IF(D259="Juvenile Large Type","Juvenile Fiction",
IF(LEFT(B259,6)="J CD O","Juvenile Compact Disc",
IF(AND(LEFT(B259,4)="TEEN",D259="Fiction"),"Teen Fiction",
IF(D259="DVD Educational","Nonfiction",
IF(D259="Juvenile DVD Educational","Nonfiction",
IF(D259="Reference","Nonfiction",
D259))))))))))))))))))))))))))))))))))))))))))</f>
        <v/>
      </c>
    </row>
    <row r="260" spans="1:14" ht="27" customHeight="1" x14ac:dyDescent="0.25">
      <c r="A260" s="10" t="str">
        <f ca="1">TEXT( INDIRECT( ADDRESS( ROW() + Row_Offset, INDIRECT( "Column_Number_" &amp; A$1), 4,1, tabname) ), "")</f>
        <v/>
      </c>
      <c r="B260" s="10" t="str">
        <f ca="1">TEXT(  IFERROR( VLOOKUP( $D260, CollName_Simplifier_Table[], 2, FALSE),"") &amp;
        INDIRECT( ADDRESS( ROW() + Row_Offset, INDIRECT( "Column_Number_" &amp; $B$1), 4,1, tabname) ), "")</f>
        <v/>
      </c>
      <c r="C260" s="10" t="str">
        <f ca="1">TEXT( INDIRECT( ADDRESS( ROW() + Row_Offset, INDIRECT( "Column_Number_" &amp; C$1), 4,1, tabname) ), "")</f>
        <v/>
      </c>
      <c r="D260" s="10" t="str">
        <f ca="1">TEXT( INDIRECT( ADDRESS( ROW() + Row_Offset, INDIRECT( "Column_Number_" &amp; D$1), 4,1, tabname) ), "")</f>
        <v/>
      </c>
      <c r="E260" s="10" t="str">
        <f ca="1">TEXT( INDIRECT( ADDRESS( ROW() + Row_Offset, INDIRECT( "Column_Number_" &amp; E$1), 4,1, tabname) ), "####")</f>
        <v/>
      </c>
      <c r="F260" s="15"/>
      <c r="G260" s="22" t="str">
        <f ca="1">IFERROR(INDEX(Rank_Table[],MATCH($D260&amp;$A260,Table4[Join],0)),"")</f>
        <v/>
      </c>
      <c r="H260" s="11" t="str">
        <f ca="1">IF(AND(D260="Juvenile Audiobook",LEFT(B260,8)="J CD BIO"),RIGHT(B260,LEN(B260)-9),
IF(AND(D260="Juvenile Audiobook",LEFT(B260,8)="J CD FIC"),B260,
IF(D260="Juvenile Audiobook",RIGHT(B260,LEN(B260)-5),
IF(AND(D260="Teen Audiobook",LEFT(B260,11)="TEEN CD BIO"),RIGHT(B260,LEN(B260)-12),
IF(AND(D260="Teen Audiobook",LEFT(B260,11)="TEEN CD FIC"),B260,
IF(D260="Juvenile Audiobook",RIGHT(B260,LEN(B260)-8),
IF(D260="Juvenile Nonfiction",RIGHT(B260,LEN(B260)-2),
IF(D260="Teen Nonfiction",RIGHT(B260,LEN(B260)-5),
IF(AND(D260="Audiobook",
              NOT(OR(Contains($B260,"CD BIO"),Contains($B260,"CD FIC")))),RIGHT(B260,LEN(B260)-3),
IF(D260="Juvenile Biography",RIGHT(B260,LEN(B260)-2),
IF(D260="Teen Biography",RIGHT(B260,LEN(B260)-5),
IF(AND(D260="Audiobook",
              IFERROR(FIND("BIO",$B260)&gt;0,FALSE)),RIGHT(B260,LEN(B260)-3),
IF(D260="Juvenile Large Type","J "&amp;RIGHT(B260,LEN(B260)-11),
IF(D260="Teen Large Type","TEEN "&amp;RIGHT(B260,LEN(B260)-14),
IF(D260="Reference",RIGHT(B260,LEN(B260)-4),
IF(D260="DVD Educational",RIGHT(B260,LEN(B260)-7),
IF(D260="Juvenile DVD Educational",RIGHT(B260,LEN(B260)-9),
B260)))))))))))))))))</f>
        <v/>
      </c>
      <c r="N260" s="11" t="str">
        <f ca="1">IF(IFERROR(FIND("New",$A260)&gt;0,FALSE),"New ","") &amp; IF(IFERROR(FIND("In Lib",$A260)&gt;0,FALSE),"Reference ","") &amp;
IF(AND(D260="Audiobook",LEFT(B260,6)="CD BIO"),"Biography",
IF(AND(D260="Teen Audiobook",LEFT(B260,11)="TEEN CD BIO"),"Biography",
IF(AND(D260="Juvenile Audiobook",LEFT(B260,8)="J CD BIO"),"Biography",
IF(AND(D260="Audiobook",LEFT(B260,6)="CD FIC"),"Audiobook Fiction",
IF(AND(D260="Teen Audiobook",LEFT(B260,11)="TEEN CD FIC"),"Teen Audiobook",
IF(AND(D260="Juvenile Audiobook",LEFT(B260,8)="J CD FIC"),"Juvenile Audiobook",
IF(D260="Audiobook","Nonfiction",
IF(D260="Juvenile Audiobook","Nonfiction",
IF(D260="Teen Audiobook","Nonfiction",
IF(D260="Juvenile Nonfiction","Nonfiction",
IF(D260="Teen Nonfiction","Nonfiction",
IF(D260="Juvenile Biography","Biography",
IF(D260="Teen Biography","Biography",
IF(D260="ESL","Nonfiction",
IF(LEFT(B260,11)="INTL-VIE J ","International Juvenile",IF(LEFT(B260,11)="INTL-TAG J ","International Juvenile",IF(LEFT(B260,11)="INTL-RUS J ","International Juvenile",IF(LEFT(B260,11)="INTL-KOR J ","International Juvenile",IF(LEFT(B260,11)="INTL-JAP J ","International Juvenile",IF(LEFT(B260,11)="INTL-CHI J ","International Juvenile",IF(LEFT(B260,11)="INTL-SPA J ","International Juvenile",IF(LEFT(B260,14)="INTL-VIE TEEN ","International Teen",IF(LEFT(B260,14)="INTL-TAG TEEN ","International Teen",IF(LEFT(B260,14)="INTL-RUS TEEN ","International Teen",IF(LEFT(B260,14)="INTL-KOR TEEN ","International Teen",IF(LEFT(B260,14)="INTL-JAP TEEN ","International Teen",IF(LEFT(B260,14)="INTL-CHI TEEN ","International Teen",IF(LEFT(B260,14)="INTL-SPA TEEN ","International Teen",IF(LEFT(B260,11)="INTL-VIE E ","International Easy",IF(LEFT(B260,11)="INTL-TAG E ","International Easy",IF(LEFT(B260,11)="INTL-RUS E ","International Easy",IF(LEFT(B260,11)="INTL-JAP E ","International Easy",IF(LEFT(B260,11)="INTL-KOR E ","International Easy",IF(LEFT(B260,11)="INTL-CHI E ","International Easy",IF(LEFT(B260,11)="INTL-SPA E ","International Easy",
IF(D260="Teen Large Type","Teen Fiction",
IF(D260="Juvenile Large Type","Juvenile Fiction",
IF(LEFT(B260,6)="J CD O","Juvenile Compact Disc",
IF(AND(LEFT(B260,4)="TEEN",D260="Fiction"),"Teen Fiction",
IF(D260="DVD Educational","Nonfiction",
IF(D260="Juvenile DVD Educational","Nonfiction",
IF(D260="Reference","Nonfiction",
D260))))))))))))))))))))))))))))))))))))))))))</f>
        <v/>
      </c>
    </row>
    <row r="261" spans="1:14" ht="27" customHeight="1" x14ac:dyDescent="0.25">
      <c r="A261" s="10" t="str">
        <f ca="1">TEXT( INDIRECT( ADDRESS( ROW() + Row_Offset, INDIRECT( "Column_Number_" &amp; A$1), 4,1, tabname) ), "")</f>
        <v/>
      </c>
      <c r="B261" s="10" t="str">
        <f ca="1">TEXT(  IFERROR( VLOOKUP( $D261, CollName_Simplifier_Table[], 2, FALSE),"") &amp;
        INDIRECT( ADDRESS( ROW() + Row_Offset, INDIRECT( "Column_Number_" &amp; $B$1), 4,1, tabname) ), "")</f>
        <v/>
      </c>
      <c r="C261" s="10" t="str">
        <f ca="1">TEXT( INDIRECT( ADDRESS( ROW() + Row_Offset, INDIRECT( "Column_Number_" &amp; C$1), 4,1, tabname) ), "")</f>
        <v/>
      </c>
      <c r="D261" s="10" t="str">
        <f ca="1">TEXT( INDIRECT( ADDRESS( ROW() + Row_Offset, INDIRECT( "Column_Number_" &amp; D$1), 4,1, tabname) ), "")</f>
        <v/>
      </c>
      <c r="E261" s="10" t="str">
        <f ca="1">TEXT( INDIRECT( ADDRESS( ROW() + Row_Offset, INDIRECT( "Column_Number_" &amp; E$1), 4,1, tabname) ), "####")</f>
        <v/>
      </c>
      <c r="F261" s="15"/>
      <c r="G261" s="22" t="str">
        <f ca="1">IFERROR(INDEX(Rank_Table[],MATCH($D261&amp;$A261,Table4[Join],0)),"")</f>
        <v/>
      </c>
      <c r="H261" s="11" t="str">
        <f ca="1">IF(AND(D261="Juvenile Audiobook",LEFT(B261,8)="J CD BIO"),RIGHT(B261,LEN(B261)-9),
IF(AND(D261="Juvenile Audiobook",LEFT(B261,8)="J CD FIC"),B261,
IF(D261="Juvenile Audiobook",RIGHT(B261,LEN(B261)-5),
IF(AND(D261="Teen Audiobook",LEFT(B261,11)="TEEN CD BIO"),RIGHT(B261,LEN(B261)-12),
IF(AND(D261="Teen Audiobook",LEFT(B261,11)="TEEN CD FIC"),B261,
IF(D261="Juvenile Audiobook",RIGHT(B261,LEN(B261)-8),
IF(D261="Juvenile Nonfiction",RIGHT(B261,LEN(B261)-2),
IF(D261="Teen Nonfiction",RIGHT(B261,LEN(B261)-5),
IF(AND(D261="Audiobook",
              NOT(OR(Contains($B261,"CD BIO"),Contains($B261,"CD FIC")))),RIGHT(B261,LEN(B261)-3),
IF(D261="Juvenile Biography",RIGHT(B261,LEN(B261)-2),
IF(D261="Teen Biography",RIGHT(B261,LEN(B261)-5),
IF(AND(D261="Audiobook",
              IFERROR(FIND("BIO",$B261)&gt;0,FALSE)),RIGHT(B261,LEN(B261)-3),
IF(D261="Juvenile Large Type","J "&amp;RIGHT(B261,LEN(B261)-11),
IF(D261="Teen Large Type","TEEN "&amp;RIGHT(B261,LEN(B261)-14),
IF(D261="Reference",RIGHT(B261,LEN(B261)-4),
IF(D261="DVD Educational",RIGHT(B261,LEN(B261)-7),
IF(D261="Juvenile DVD Educational",RIGHT(B261,LEN(B261)-9),
B261)))))))))))))))))</f>
        <v/>
      </c>
      <c r="N261" s="11" t="str">
        <f ca="1">IF(IFERROR(FIND("New",$A261)&gt;0,FALSE),"New ","") &amp; IF(IFERROR(FIND("In Lib",$A261)&gt;0,FALSE),"Reference ","") &amp;
IF(AND(D261="Audiobook",LEFT(B261,6)="CD BIO"),"Biography",
IF(AND(D261="Teen Audiobook",LEFT(B261,11)="TEEN CD BIO"),"Biography",
IF(AND(D261="Juvenile Audiobook",LEFT(B261,8)="J CD BIO"),"Biography",
IF(AND(D261="Audiobook",LEFT(B261,6)="CD FIC"),"Audiobook Fiction",
IF(AND(D261="Teen Audiobook",LEFT(B261,11)="TEEN CD FIC"),"Teen Audiobook",
IF(AND(D261="Juvenile Audiobook",LEFT(B261,8)="J CD FIC"),"Juvenile Audiobook",
IF(D261="Audiobook","Nonfiction",
IF(D261="Juvenile Audiobook","Nonfiction",
IF(D261="Teen Audiobook","Nonfiction",
IF(D261="Juvenile Nonfiction","Nonfiction",
IF(D261="Teen Nonfiction","Nonfiction",
IF(D261="Juvenile Biography","Biography",
IF(D261="Teen Biography","Biography",
IF(D261="ESL","Nonfiction",
IF(LEFT(B261,11)="INTL-VIE J ","International Juvenile",IF(LEFT(B261,11)="INTL-TAG J ","International Juvenile",IF(LEFT(B261,11)="INTL-RUS J ","International Juvenile",IF(LEFT(B261,11)="INTL-KOR J ","International Juvenile",IF(LEFT(B261,11)="INTL-JAP J ","International Juvenile",IF(LEFT(B261,11)="INTL-CHI J ","International Juvenile",IF(LEFT(B261,11)="INTL-SPA J ","International Juvenile",IF(LEFT(B261,14)="INTL-VIE TEEN ","International Teen",IF(LEFT(B261,14)="INTL-TAG TEEN ","International Teen",IF(LEFT(B261,14)="INTL-RUS TEEN ","International Teen",IF(LEFT(B261,14)="INTL-KOR TEEN ","International Teen",IF(LEFT(B261,14)="INTL-JAP TEEN ","International Teen",IF(LEFT(B261,14)="INTL-CHI TEEN ","International Teen",IF(LEFT(B261,14)="INTL-SPA TEEN ","International Teen",IF(LEFT(B261,11)="INTL-VIE E ","International Easy",IF(LEFT(B261,11)="INTL-TAG E ","International Easy",IF(LEFT(B261,11)="INTL-RUS E ","International Easy",IF(LEFT(B261,11)="INTL-JAP E ","International Easy",IF(LEFT(B261,11)="INTL-KOR E ","International Easy",IF(LEFT(B261,11)="INTL-CHI E ","International Easy",IF(LEFT(B261,11)="INTL-SPA E ","International Easy",
IF(D261="Teen Large Type","Teen Fiction",
IF(D261="Juvenile Large Type","Juvenile Fiction",
IF(LEFT(B261,6)="J CD O","Juvenile Compact Disc",
IF(AND(LEFT(B261,4)="TEEN",D261="Fiction"),"Teen Fiction",
IF(D261="DVD Educational","Nonfiction",
IF(D261="Juvenile DVD Educational","Nonfiction",
IF(D261="Reference","Nonfiction",
D261))))))))))))))))))))))))))))))))))))))))))</f>
        <v/>
      </c>
    </row>
    <row r="262" spans="1:14" ht="27" customHeight="1" x14ac:dyDescent="0.25">
      <c r="A262" s="10" t="str">
        <f ca="1">TEXT( INDIRECT( ADDRESS( ROW() + Row_Offset, INDIRECT( "Column_Number_" &amp; A$1), 4,1, tabname) ), "")</f>
        <v/>
      </c>
      <c r="B262" s="10" t="str">
        <f ca="1">TEXT(  IFERROR( VLOOKUP( $D262, CollName_Simplifier_Table[], 2, FALSE),"") &amp;
        INDIRECT( ADDRESS( ROW() + Row_Offset, INDIRECT( "Column_Number_" &amp; $B$1), 4,1, tabname) ), "")</f>
        <v/>
      </c>
      <c r="C262" s="10" t="str">
        <f ca="1">TEXT( INDIRECT( ADDRESS( ROW() + Row_Offset, INDIRECT( "Column_Number_" &amp; C$1), 4,1, tabname) ), "")</f>
        <v/>
      </c>
      <c r="D262" s="10" t="str">
        <f ca="1">TEXT( INDIRECT( ADDRESS( ROW() + Row_Offset, INDIRECT( "Column_Number_" &amp; D$1), 4,1, tabname) ), "")</f>
        <v/>
      </c>
      <c r="E262" s="10" t="str">
        <f ca="1">TEXT( INDIRECT( ADDRESS( ROW() + Row_Offset, INDIRECT( "Column_Number_" &amp; E$1), 4,1, tabname) ), "####")</f>
        <v/>
      </c>
      <c r="F262" s="15"/>
      <c r="G262" s="22" t="str">
        <f ca="1">IFERROR(INDEX(Rank_Table[],MATCH($D262&amp;$A262,Table4[Join],0)),"")</f>
        <v/>
      </c>
      <c r="H262" s="11" t="str">
        <f ca="1">IF(AND(D262="Juvenile Audiobook",LEFT(B262,8)="J CD BIO"),RIGHT(B262,LEN(B262)-9),
IF(AND(D262="Juvenile Audiobook",LEFT(B262,8)="J CD FIC"),B262,
IF(D262="Juvenile Audiobook",RIGHT(B262,LEN(B262)-5),
IF(AND(D262="Teen Audiobook",LEFT(B262,11)="TEEN CD BIO"),RIGHT(B262,LEN(B262)-12),
IF(AND(D262="Teen Audiobook",LEFT(B262,11)="TEEN CD FIC"),B262,
IF(D262="Juvenile Audiobook",RIGHT(B262,LEN(B262)-8),
IF(D262="Juvenile Nonfiction",RIGHT(B262,LEN(B262)-2),
IF(D262="Teen Nonfiction",RIGHT(B262,LEN(B262)-5),
IF(AND(D262="Audiobook",
              NOT(OR(Contains($B262,"CD BIO"),Contains($B262,"CD FIC")))),RIGHT(B262,LEN(B262)-3),
IF(D262="Juvenile Biography",RIGHT(B262,LEN(B262)-2),
IF(D262="Teen Biography",RIGHT(B262,LEN(B262)-5),
IF(AND(D262="Audiobook",
              IFERROR(FIND("BIO",$B262)&gt;0,FALSE)),RIGHT(B262,LEN(B262)-3),
IF(D262="Juvenile Large Type","J "&amp;RIGHT(B262,LEN(B262)-11),
IF(D262="Teen Large Type","TEEN "&amp;RIGHT(B262,LEN(B262)-14),
IF(D262="Reference",RIGHT(B262,LEN(B262)-4),
IF(D262="DVD Educational",RIGHT(B262,LEN(B262)-7),
IF(D262="Juvenile DVD Educational",RIGHT(B262,LEN(B262)-9),
B262)))))))))))))))))</f>
        <v/>
      </c>
      <c r="N262" s="11" t="str">
        <f ca="1">IF(IFERROR(FIND("New",$A262)&gt;0,FALSE),"New ","") &amp; IF(IFERROR(FIND("In Lib",$A262)&gt;0,FALSE),"Reference ","") &amp;
IF(AND(D262="Audiobook",LEFT(B262,6)="CD BIO"),"Biography",
IF(AND(D262="Teen Audiobook",LEFT(B262,11)="TEEN CD BIO"),"Biography",
IF(AND(D262="Juvenile Audiobook",LEFT(B262,8)="J CD BIO"),"Biography",
IF(AND(D262="Audiobook",LEFT(B262,6)="CD FIC"),"Audiobook Fiction",
IF(AND(D262="Teen Audiobook",LEFT(B262,11)="TEEN CD FIC"),"Teen Audiobook",
IF(AND(D262="Juvenile Audiobook",LEFT(B262,8)="J CD FIC"),"Juvenile Audiobook",
IF(D262="Audiobook","Nonfiction",
IF(D262="Juvenile Audiobook","Nonfiction",
IF(D262="Teen Audiobook","Nonfiction",
IF(D262="Juvenile Nonfiction","Nonfiction",
IF(D262="Teen Nonfiction","Nonfiction",
IF(D262="Juvenile Biography","Biography",
IF(D262="Teen Biography","Biography",
IF(D262="ESL","Nonfiction",
IF(LEFT(B262,11)="INTL-VIE J ","International Juvenile",IF(LEFT(B262,11)="INTL-TAG J ","International Juvenile",IF(LEFT(B262,11)="INTL-RUS J ","International Juvenile",IF(LEFT(B262,11)="INTL-KOR J ","International Juvenile",IF(LEFT(B262,11)="INTL-JAP J ","International Juvenile",IF(LEFT(B262,11)="INTL-CHI J ","International Juvenile",IF(LEFT(B262,11)="INTL-SPA J ","International Juvenile",IF(LEFT(B262,14)="INTL-VIE TEEN ","International Teen",IF(LEFT(B262,14)="INTL-TAG TEEN ","International Teen",IF(LEFT(B262,14)="INTL-RUS TEEN ","International Teen",IF(LEFT(B262,14)="INTL-KOR TEEN ","International Teen",IF(LEFT(B262,14)="INTL-JAP TEEN ","International Teen",IF(LEFT(B262,14)="INTL-CHI TEEN ","International Teen",IF(LEFT(B262,14)="INTL-SPA TEEN ","International Teen",IF(LEFT(B262,11)="INTL-VIE E ","International Easy",IF(LEFT(B262,11)="INTL-TAG E ","International Easy",IF(LEFT(B262,11)="INTL-RUS E ","International Easy",IF(LEFT(B262,11)="INTL-JAP E ","International Easy",IF(LEFT(B262,11)="INTL-KOR E ","International Easy",IF(LEFT(B262,11)="INTL-CHI E ","International Easy",IF(LEFT(B262,11)="INTL-SPA E ","International Easy",
IF(D262="Teen Large Type","Teen Fiction",
IF(D262="Juvenile Large Type","Juvenile Fiction",
IF(LEFT(B262,6)="J CD O","Juvenile Compact Disc",
IF(AND(LEFT(B262,4)="TEEN",D262="Fiction"),"Teen Fiction",
IF(D262="DVD Educational","Nonfiction",
IF(D262="Juvenile DVD Educational","Nonfiction",
IF(D262="Reference","Nonfiction",
D262))))))))))))))))))))))))))))))))))))))))))</f>
        <v/>
      </c>
    </row>
    <row r="263" spans="1:14" ht="27" customHeight="1" x14ac:dyDescent="0.25">
      <c r="A263" s="10" t="str">
        <f ca="1">TEXT( INDIRECT( ADDRESS( ROW() + Row_Offset, INDIRECT( "Column_Number_" &amp; A$1), 4,1, tabname) ), "")</f>
        <v/>
      </c>
      <c r="B263" s="10" t="str">
        <f ca="1">TEXT(  IFERROR( VLOOKUP( $D263, CollName_Simplifier_Table[], 2, FALSE),"") &amp;
        INDIRECT( ADDRESS( ROW() + Row_Offset, INDIRECT( "Column_Number_" &amp; $B$1), 4,1, tabname) ), "")</f>
        <v/>
      </c>
      <c r="C263" s="10" t="str">
        <f ca="1">TEXT( INDIRECT( ADDRESS( ROW() + Row_Offset, INDIRECT( "Column_Number_" &amp; C$1), 4,1, tabname) ), "")</f>
        <v/>
      </c>
      <c r="D263" s="10" t="str">
        <f ca="1">TEXT( INDIRECT( ADDRESS( ROW() + Row_Offset, INDIRECT( "Column_Number_" &amp; D$1), 4,1, tabname) ), "")</f>
        <v/>
      </c>
      <c r="E263" s="10" t="str">
        <f ca="1">TEXT( INDIRECT( ADDRESS( ROW() + Row_Offset, INDIRECT( "Column_Number_" &amp; E$1), 4,1, tabname) ), "####")</f>
        <v/>
      </c>
      <c r="F263" s="15"/>
      <c r="G263" s="22" t="str">
        <f ca="1">IFERROR(INDEX(Rank_Table[],MATCH($D263&amp;$A263,Table4[Join],0)),"")</f>
        <v/>
      </c>
      <c r="H263" s="11" t="str">
        <f ca="1">IF(AND(D263="Juvenile Audiobook",LEFT(B263,8)="J CD BIO"),RIGHT(B263,LEN(B263)-9),
IF(AND(D263="Juvenile Audiobook",LEFT(B263,8)="J CD FIC"),B263,
IF(D263="Juvenile Audiobook",RIGHT(B263,LEN(B263)-5),
IF(AND(D263="Teen Audiobook",LEFT(B263,11)="TEEN CD BIO"),RIGHT(B263,LEN(B263)-12),
IF(AND(D263="Teen Audiobook",LEFT(B263,11)="TEEN CD FIC"),B263,
IF(D263="Juvenile Audiobook",RIGHT(B263,LEN(B263)-8),
IF(D263="Juvenile Nonfiction",RIGHT(B263,LEN(B263)-2),
IF(D263="Teen Nonfiction",RIGHT(B263,LEN(B263)-5),
IF(AND(D263="Audiobook",
              NOT(OR(Contains($B263,"CD BIO"),Contains($B263,"CD FIC")))),RIGHT(B263,LEN(B263)-3),
IF(D263="Juvenile Biography",RIGHT(B263,LEN(B263)-2),
IF(D263="Teen Biography",RIGHT(B263,LEN(B263)-5),
IF(AND(D263="Audiobook",
              IFERROR(FIND("BIO",$B263)&gt;0,FALSE)),RIGHT(B263,LEN(B263)-3),
IF(D263="Juvenile Large Type","J "&amp;RIGHT(B263,LEN(B263)-11),
IF(D263="Teen Large Type","TEEN "&amp;RIGHT(B263,LEN(B263)-14),
IF(D263="Reference",RIGHT(B263,LEN(B263)-4),
IF(D263="DVD Educational",RIGHT(B263,LEN(B263)-7),
IF(D263="Juvenile DVD Educational",RIGHT(B263,LEN(B263)-9),
B263)))))))))))))))))</f>
        <v/>
      </c>
      <c r="N263" s="11" t="str">
        <f ca="1">IF(IFERROR(FIND("New",$A263)&gt;0,FALSE),"New ","") &amp; IF(IFERROR(FIND("In Lib",$A263)&gt;0,FALSE),"Reference ","") &amp;
IF(AND(D263="Audiobook",LEFT(B263,6)="CD BIO"),"Biography",
IF(AND(D263="Teen Audiobook",LEFT(B263,11)="TEEN CD BIO"),"Biography",
IF(AND(D263="Juvenile Audiobook",LEFT(B263,8)="J CD BIO"),"Biography",
IF(AND(D263="Audiobook",LEFT(B263,6)="CD FIC"),"Audiobook Fiction",
IF(AND(D263="Teen Audiobook",LEFT(B263,11)="TEEN CD FIC"),"Teen Audiobook",
IF(AND(D263="Juvenile Audiobook",LEFT(B263,8)="J CD FIC"),"Juvenile Audiobook",
IF(D263="Audiobook","Nonfiction",
IF(D263="Juvenile Audiobook","Nonfiction",
IF(D263="Teen Audiobook","Nonfiction",
IF(D263="Juvenile Nonfiction","Nonfiction",
IF(D263="Teen Nonfiction","Nonfiction",
IF(D263="Juvenile Biography","Biography",
IF(D263="Teen Biography","Biography",
IF(D263="ESL","Nonfiction",
IF(LEFT(B263,11)="INTL-VIE J ","International Juvenile",IF(LEFT(B263,11)="INTL-TAG J ","International Juvenile",IF(LEFT(B263,11)="INTL-RUS J ","International Juvenile",IF(LEFT(B263,11)="INTL-KOR J ","International Juvenile",IF(LEFT(B263,11)="INTL-JAP J ","International Juvenile",IF(LEFT(B263,11)="INTL-CHI J ","International Juvenile",IF(LEFT(B263,11)="INTL-SPA J ","International Juvenile",IF(LEFT(B263,14)="INTL-VIE TEEN ","International Teen",IF(LEFT(B263,14)="INTL-TAG TEEN ","International Teen",IF(LEFT(B263,14)="INTL-RUS TEEN ","International Teen",IF(LEFT(B263,14)="INTL-KOR TEEN ","International Teen",IF(LEFT(B263,14)="INTL-JAP TEEN ","International Teen",IF(LEFT(B263,14)="INTL-CHI TEEN ","International Teen",IF(LEFT(B263,14)="INTL-SPA TEEN ","International Teen",IF(LEFT(B263,11)="INTL-VIE E ","International Easy",IF(LEFT(B263,11)="INTL-TAG E ","International Easy",IF(LEFT(B263,11)="INTL-RUS E ","International Easy",IF(LEFT(B263,11)="INTL-JAP E ","International Easy",IF(LEFT(B263,11)="INTL-KOR E ","International Easy",IF(LEFT(B263,11)="INTL-CHI E ","International Easy",IF(LEFT(B263,11)="INTL-SPA E ","International Easy",
IF(D263="Teen Large Type","Teen Fiction",
IF(D263="Juvenile Large Type","Juvenile Fiction",
IF(LEFT(B263,6)="J CD O","Juvenile Compact Disc",
IF(AND(LEFT(B263,4)="TEEN",D263="Fiction"),"Teen Fiction",
IF(D263="DVD Educational","Nonfiction",
IF(D263="Juvenile DVD Educational","Nonfiction",
IF(D263="Reference","Nonfiction",
D263))))))))))))))))))))))))))))))))))))))))))</f>
        <v/>
      </c>
    </row>
    <row r="264" spans="1:14" ht="27" customHeight="1" x14ac:dyDescent="0.25">
      <c r="A264" s="10" t="str">
        <f ca="1">TEXT( INDIRECT( ADDRESS( ROW() + Row_Offset, INDIRECT( "Column_Number_" &amp; A$1), 4,1, tabname) ), "")</f>
        <v/>
      </c>
      <c r="B264" s="10" t="str">
        <f ca="1">TEXT(  IFERROR( VLOOKUP( $D264, CollName_Simplifier_Table[], 2, FALSE),"") &amp;
        INDIRECT( ADDRESS( ROW() + Row_Offset, INDIRECT( "Column_Number_" &amp; $B$1), 4,1, tabname) ), "")</f>
        <v/>
      </c>
      <c r="C264" s="10" t="str">
        <f ca="1">TEXT( INDIRECT( ADDRESS( ROW() + Row_Offset, INDIRECT( "Column_Number_" &amp; C$1), 4,1, tabname) ), "")</f>
        <v/>
      </c>
      <c r="D264" s="10" t="str">
        <f ca="1">TEXT( INDIRECT( ADDRESS( ROW() + Row_Offset, INDIRECT( "Column_Number_" &amp; D$1), 4,1, tabname) ), "")</f>
        <v/>
      </c>
      <c r="E264" s="10" t="str">
        <f ca="1">TEXT( INDIRECT( ADDRESS( ROW() + Row_Offset, INDIRECT( "Column_Number_" &amp; E$1), 4,1, tabname) ), "####")</f>
        <v/>
      </c>
      <c r="F264" s="15"/>
      <c r="G264" s="22" t="str">
        <f ca="1">IFERROR(INDEX(Rank_Table[],MATCH($D264&amp;$A264,Table4[Join],0)),"")</f>
        <v/>
      </c>
      <c r="H264" s="11" t="str">
        <f ca="1">IF(AND(D264="Juvenile Audiobook",LEFT(B264,8)="J CD BIO"),RIGHT(B264,LEN(B264)-9),
IF(AND(D264="Juvenile Audiobook",LEFT(B264,8)="J CD FIC"),B264,
IF(D264="Juvenile Audiobook",RIGHT(B264,LEN(B264)-5),
IF(AND(D264="Teen Audiobook",LEFT(B264,11)="TEEN CD BIO"),RIGHT(B264,LEN(B264)-12),
IF(AND(D264="Teen Audiobook",LEFT(B264,11)="TEEN CD FIC"),B264,
IF(D264="Juvenile Audiobook",RIGHT(B264,LEN(B264)-8),
IF(D264="Juvenile Nonfiction",RIGHT(B264,LEN(B264)-2),
IF(D264="Teen Nonfiction",RIGHT(B264,LEN(B264)-5),
IF(AND(D264="Audiobook",
              NOT(OR(Contains($B264,"CD BIO"),Contains($B264,"CD FIC")))),RIGHT(B264,LEN(B264)-3),
IF(D264="Juvenile Biography",RIGHT(B264,LEN(B264)-2),
IF(D264="Teen Biography",RIGHT(B264,LEN(B264)-5),
IF(AND(D264="Audiobook",
              IFERROR(FIND("BIO",$B264)&gt;0,FALSE)),RIGHT(B264,LEN(B264)-3),
IF(D264="Juvenile Large Type","J "&amp;RIGHT(B264,LEN(B264)-11),
IF(D264="Teen Large Type","TEEN "&amp;RIGHT(B264,LEN(B264)-14),
IF(D264="Reference",RIGHT(B264,LEN(B264)-4),
IF(D264="DVD Educational",RIGHT(B264,LEN(B264)-7),
IF(D264="Juvenile DVD Educational",RIGHT(B264,LEN(B264)-9),
B264)))))))))))))))))</f>
        <v/>
      </c>
      <c r="N264" s="11" t="str">
        <f ca="1">IF(IFERROR(FIND("New",$A264)&gt;0,FALSE),"New ","") &amp; IF(IFERROR(FIND("In Lib",$A264)&gt;0,FALSE),"Reference ","") &amp;
IF(AND(D264="Audiobook",LEFT(B264,6)="CD BIO"),"Biography",
IF(AND(D264="Teen Audiobook",LEFT(B264,11)="TEEN CD BIO"),"Biography",
IF(AND(D264="Juvenile Audiobook",LEFT(B264,8)="J CD BIO"),"Biography",
IF(AND(D264="Audiobook",LEFT(B264,6)="CD FIC"),"Audiobook Fiction",
IF(AND(D264="Teen Audiobook",LEFT(B264,11)="TEEN CD FIC"),"Teen Audiobook",
IF(AND(D264="Juvenile Audiobook",LEFT(B264,8)="J CD FIC"),"Juvenile Audiobook",
IF(D264="Audiobook","Nonfiction",
IF(D264="Juvenile Audiobook","Nonfiction",
IF(D264="Teen Audiobook","Nonfiction",
IF(D264="Juvenile Nonfiction","Nonfiction",
IF(D264="Teen Nonfiction","Nonfiction",
IF(D264="Juvenile Biography","Biography",
IF(D264="Teen Biography","Biography",
IF(D264="ESL","Nonfiction",
IF(LEFT(B264,11)="INTL-VIE J ","International Juvenile",IF(LEFT(B264,11)="INTL-TAG J ","International Juvenile",IF(LEFT(B264,11)="INTL-RUS J ","International Juvenile",IF(LEFT(B264,11)="INTL-KOR J ","International Juvenile",IF(LEFT(B264,11)="INTL-JAP J ","International Juvenile",IF(LEFT(B264,11)="INTL-CHI J ","International Juvenile",IF(LEFT(B264,11)="INTL-SPA J ","International Juvenile",IF(LEFT(B264,14)="INTL-VIE TEEN ","International Teen",IF(LEFT(B264,14)="INTL-TAG TEEN ","International Teen",IF(LEFT(B264,14)="INTL-RUS TEEN ","International Teen",IF(LEFT(B264,14)="INTL-KOR TEEN ","International Teen",IF(LEFT(B264,14)="INTL-JAP TEEN ","International Teen",IF(LEFT(B264,14)="INTL-CHI TEEN ","International Teen",IF(LEFT(B264,14)="INTL-SPA TEEN ","International Teen",IF(LEFT(B264,11)="INTL-VIE E ","International Easy",IF(LEFT(B264,11)="INTL-TAG E ","International Easy",IF(LEFT(B264,11)="INTL-RUS E ","International Easy",IF(LEFT(B264,11)="INTL-JAP E ","International Easy",IF(LEFT(B264,11)="INTL-KOR E ","International Easy",IF(LEFT(B264,11)="INTL-CHI E ","International Easy",IF(LEFT(B264,11)="INTL-SPA E ","International Easy",
IF(D264="Teen Large Type","Teen Fiction",
IF(D264="Juvenile Large Type","Juvenile Fiction",
IF(LEFT(B264,6)="J CD O","Juvenile Compact Disc",
IF(AND(LEFT(B264,4)="TEEN",D264="Fiction"),"Teen Fiction",
IF(D264="DVD Educational","Nonfiction",
IF(D264="Juvenile DVD Educational","Nonfiction",
IF(D264="Reference","Nonfiction",
D264))))))))))))))))))))))))))))))))))))))))))</f>
        <v/>
      </c>
    </row>
    <row r="265" spans="1:14" ht="27" customHeight="1" x14ac:dyDescent="0.25">
      <c r="A265" s="10" t="str">
        <f ca="1">TEXT( INDIRECT( ADDRESS( ROW() + Row_Offset, INDIRECT( "Column_Number_" &amp; A$1), 4,1, tabname) ), "")</f>
        <v/>
      </c>
      <c r="B265" s="10" t="str">
        <f ca="1">TEXT(  IFERROR( VLOOKUP( $D265, CollName_Simplifier_Table[], 2, FALSE),"") &amp;
        INDIRECT( ADDRESS( ROW() + Row_Offset, INDIRECT( "Column_Number_" &amp; $B$1), 4,1, tabname) ), "")</f>
        <v/>
      </c>
      <c r="C265" s="10" t="str">
        <f ca="1">TEXT( INDIRECT( ADDRESS( ROW() + Row_Offset, INDIRECT( "Column_Number_" &amp; C$1), 4,1, tabname) ), "")</f>
        <v/>
      </c>
      <c r="D265" s="10" t="str">
        <f ca="1">TEXT( INDIRECT( ADDRESS( ROW() + Row_Offset, INDIRECT( "Column_Number_" &amp; D$1), 4,1, tabname) ), "")</f>
        <v/>
      </c>
      <c r="E265" s="10" t="str">
        <f ca="1">TEXT( INDIRECT( ADDRESS( ROW() + Row_Offset, INDIRECT( "Column_Number_" &amp; E$1), 4,1, tabname) ), "####")</f>
        <v/>
      </c>
      <c r="F265" s="15"/>
      <c r="G265" s="22" t="str">
        <f ca="1">IFERROR(INDEX(Rank_Table[],MATCH($D265&amp;$A265,Table4[Join],0)),"")</f>
        <v/>
      </c>
      <c r="H265" s="11" t="str">
        <f ca="1">IF(AND(D265="Juvenile Audiobook",LEFT(B265,8)="J CD BIO"),RIGHT(B265,LEN(B265)-9),
IF(AND(D265="Juvenile Audiobook",LEFT(B265,8)="J CD FIC"),B265,
IF(D265="Juvenile Audiobook",RIGHT(B265,LEN(B265)-5),
IF(AND(D265="Teen Audiobook",LEFT(B265,11)="TEEN CD BIO"),RIGHT(B265,LEN(B265)-12),
IF(AND(D265="Teen Audiobook",LEFT(B265,11)="TEEN CD FIC"),B265,
IF(D265="Juvenile Audiobook",RIGHT(B265,LEN(B265)-8),
IF(D265="Juvenile Nonfiction",RIGHT(B265,LEN(B265)-2),
IF(D265="Teen Nonfiction",RIGHT(B265,LEN(B265)-5),
IF(AND(D265="Audiobook",
              NOT(OR(Contains($B265,"CD BIO"),Contains($B265,"CD FIC")))),RIGHT(B265,LEN(B265)-3),
IF(D265="Juvenile Biography",RIGHT(B265,LEN(B265)-2),
IF(D265="Teen Biography",RIGHT(B265,LEN(B265)-5),
IF(AND(D265="Audiobook",
              IFERROR(FIND("BIO",$B265)&gt;0,FALSE)),RIGHT(B265,LEN(B265)-3),
IF(D265="Juvenile Large Type","J "&amp;RIGHT(B265,LEN(B265)-11),
IF(D265="Teen Large Type","TEEN "&amp;RIGHT(B265,LEN(B265)-14),
IF(D265="Reference",RIGHT(B265,LEN(B265)-4),
IF(D265="DVD Educational",RIGHT(B265,LEN(B265)-7),
IF(D265="Juvenile DVD Educational",RIGHT(B265,LEN(B265)-9),
B265)))))))))))))))))</f>
        <v/>
      </c>
      <c r="N265" s="11" t="str">
        <f ca="1">IF(IFERROR(FIND("New",$A265)&gt;0,FALSE),"New ","") &amp; IF(IFERROR(FIND("In Lib",$A265)&gt;0,FALSE),"Reference ","") &amp;
IF(AND(D265="Audiobook",LEFT(B265,6)="CD BIO"),"Biography",
IF(AND(D265="Teen Audiobook",LEFT(B265,11)="TEEN CD BIO"),"Biography",
IF(AND(D265="Juvenile Audiobook",LEFT(B265,8)="J CD BIO"),"Biography",
IF(AND(D265="Audiobook",LEFT(B265,6)="CD FIC"),"Audiobook Fiction",
IF(AND(D265="Teen Audiobook",LEFT(B265,11)="TEEN CD FIC"),"Teen Audiobook",
IF(AND(D265="Juvenile Audiobook",LEFT(B265,8)="J CD FIC"),"Juvenile Audiobook",
IF(D265="Audiobook","Nonfiction",
IF(D265="Juvenile Audiobook","Nonfiction",
IF(D265="Teen Audiobook","Nonfiction",
IF(D265="Juvenile Nonfiction","Nonfiction",
IF(D265="Teen Nonfiction","Nonfiction",
IF(D265="Juvenile Biography","Biography",
IF(D265="Teen Biography","Biography",
IF(D265="ESL","Nonfiction",
IF(LEFT(B265,11)="INTL-VIE J ","International Juvenile",IF(LEFT(B265,11)="INTL-TAG J ","International Juvenile",IF(LEFT(B265,11)="INTL-RUS J ","International Juvenile",IF(LEFT(B265,11)="INTL-KOR J ","International Juvenile",IF(LEFT(B265,11)="INTL-JAP J ","International Juvenile",IF(LEFT(B265,11)="INTL-CHI J ","International Juvenile",IF(LEFT(B265,11)="INTL-SPA J ","International Juvenile",IF(LEFT(B265,14)="INTL-VIE TEEN ","International Teen",IF(LEFT(B265,14)="INTL-TAG TEEN ","International Teen",IF(LEFT(B265,14)="INTL-RUS TEEN ","International Teen",IF(LEFT(B265,14)="INTL-KOR TEEN ","International Teen",IF(LEFT(B265,14)="INTL-JAP TEEN ","International Teen",IF(LEFT(B265,14)="INTL-CHI TEEN ","International Teen",IF(LEFT(B265,14)="INTL-SPA TEEN ","International Teen",IF(LEFT(B265,11)="INTL-VIE E ","International Easy",IF(LEFT(B265,11)="INTL-TAG E ","International Easy",IF(LEFT(B265,11)="INTL-RUS E ","International Easy",IF(LEFT(B265,11)="INTL-JAP E ","International Easy",IF(LEFT(B265,11)="INTL-KOR E ","International Easy",IF(LEFT(B265,11)="INTL-CHI E ","International Easy",IF(LEFT(B265,11)="INTL-SPA E ","International Easy",
IF(D265="Teen Large Type","Teen Fiction",
IF(D265="Juvenile Large Type","Juvenile Fiction",
IF(LEFT(B265,6)="J CD O","Juvenile Compact Disc",
IF(AND(LEFT(B265,4)="TEEN",D265="Fiction"),"Teen Fiction",
IF(D265="DVD Educational","Nonfiction",
IF(D265="Juvenile DVD Educational","Nonfiction",
IF(D265="Reference","Nonfiction",
D265))))))))))))))))))))))))))))))))))))))))))</f>
        <v/>
      </c>
    </row>
    <row r="266" spans="1:14" ht="27" customHeight="1" x14ac:dyDescent="0.25">
      <c r="A266" s="10" t="str">
        <f ca="1">TEXT( INDIRECT( ADDRESS( ROW() + Row_Offset, INDIRECT( "Column_Number_" &amp; A$1), 4,1, tabname) ), "")</f>
        <v/>
      </c>
      <c r="B266" s="10" t="str">
        <f ca="1">TEXT(  IFERROR( VLOOKUP( $D266, CollName_Simplifier_Table[], 2, FALSE),"") &amp;
        INDIRECT( ADDRESS( ROW() + Row_Offset, INDIRECT( "Column_Number_" &amp; $B$1), 4,1, tabname) ), "")</f>
        <v/>
      </c>
      <c r="C266" s="10" t="str">
        <f ca="1">TEXT( INDIRECT( ADDRESS( ROW() + Row_Offset, INDIRECT( "Column_Number_" &amp; C$1), 4,1, tabname) ), "")</f>
        <v/>
      </c>
      <c r="D266" s="10" t="str">
        <f ca="1">TEXT( INDIRECT( ADDRESS( ROW() + Row_Offset, INDIRECT( "Column_Number_" &amp; D$1), 4,1, tabname) ), "")</f>
        <v/>
      </c>
      <c r="E266" s="10" t="str">
        <f ca="1">TEXT( INDIRECT( ADDRESS( ROW() + Row_Offset, INDIRECT( "Column_Number_" &amp; E$1), 4,1, tabname) ), "####")</f>
        <v/>
      </c>
      <c r="F266" s="15"/>
      <c r="G266" s="22" t="str">
        <f ca="1">IFERROR(INDEX(Rank_Table[],MATCH($D266&amp;$A266,Table4[Join],0)),"")</f>
        <v/>
      </c>
      <c r="H266" s="11" t="str">
        <f ca="1">IF(AND(D266="Juvenile Audiobook",LEFT(B266,8)="J CD BIO"),RIGHT(B266,LEN(B266)-9),
IF(AND(D266="Juvenile Audiobook",LEFT(B266,8)="J CD FIC"),B266,
IF(D266="Juvenile Audiobook",RIGHT(B266,LEN(B266)-5),
IF(AND(D266="Teen Audiobook",LEFT(B266,11)="TEEN CD BIO"),RIGHT(B266,LEN(B266)-12),
IF(AND(D266="Teen Audiobook",LEFT(B266,11)="TEEN CD FIC"),B266,
IF(D266="Juvenile Audiobook",RIGHT(B266,LEN(B266)-8),
IF(D266="Juvenile Nonfiction",RIGHT(B266,LEN(B266)-2),
IF(D266="Teen Nonfiction",RIGHT(B266,LEN(B266)-5),
IF(AND(D266="Audiobook",
              NOT(OR(Contains($B266,"CD BIO"),Contains($B266,"CD FIC")))),RIGHT(B266,LEN(B266)-3),
IF(D266="Juvenile Biography",RIGHT(B266,LEN(B266)-2),
IF(D266="Teen Biography",RIGHT(B266,LEN(B266)-5),
IF(AND(D266="Audiobook",
              IFERROR(FIND("BIO",$B266)&gt;0,FALSE)),RIGHT(B266,LEN(B266)-3),
IF(D266="Juvenile Large Type","J "&amp;RIGHT(B266,LEN(B266)-11),
IF(D266="Teen Large Type","TEEN "&amp;RIGHT(B266,LEN(B266)-14),
IF(D266="Reference",RIGHT(B266,LEN(B266)-4),
IF(D266="DVD Educational",RIGHT(B266,LEN(B266)-7),
IF(D266="Juvenile DVD Educational",RIGHT(B266,LEN(B266)-9),
B266)))))))))))))))))</f>
        <v/>
      </c>
      <c r="N266" s="11" t="str">
        <f ca="1">IF(IFERROR(FIND("New",$A266)&gt;0,FALSE),"New ","") &amp; IF(IFERROR(FIND("In Lib",$A266)&gt;0,FALSE),"Reference ","") &amp;
IF(AND(D266="Audiobook",LEFT(B266,6)="CD BIO"),"Biography",
IF(AND(D266="Teen Audiobook",LEFT(B266,11)="TEEN CD BIO"),"Biography",
IF(AND(D266="Juvenile Audiobook",LEFT(B266,8)="J CD BIO"),"Biography",
IF(AND(D266="Audiobook",LEFT(B266,6)="CD FIC"),"Audiobook Fiction",
IF(AND(D266="Teen Audiobook",LEFT(B266,11)="TEEN CD FIC"),"Teen Audiobook",
IF(AND(D266="Juvenile Audiobook",LEFT(B266,8)="J CD FIC"),"Juvenile Audiobook",
IF(D266="Audiobook","Nonfiction",
IF(D266="Juvenile Audiobook","Nonfiction",
IF(D266="Teen Audiobook","Nonfiction",
IF(D266="Juvenile Nonfiction","Nonfiction",
IF(D266="Teen Nonfiction","Nonfiction",
IF(D266="Juvenile Biography","Biography",
IF(D266="Teen Biography","Biography",
IF(D266="ESL","Nonfiction",
IF(LEFT(B266,11)="INTL-VIE J ","International Juvenile",IF(LEFT(B266,11)="INTL-TAG J ","International Juvenile",IF(LEFT(B266,11)="INTL-RUS J ","International Juvenile",IF(LEFT(B266,11)="INTL-KOR J ","International Juvenile",IF(LEFT(B266,11)="INTL-JAP J ","International Juvenile",IF(LEFT(B266,11)="INTL-CHI J ","International Juvenile",IF(LEFT(B266,11)="INTL-SPA J ","International Juvenile",IF(LEFT(B266,14)="INTL-VIE TEEN ","International Teen",IF(LEFT(B266,14)="INTL-TAG TEEN ","International Teen",IF(LEFT(B266,14)="INTL-RUS TEEN ","International Teen",IF(LEFT(B266,14)="INTL-KOR TEEN ","International Teen",IF(LEFT(B266,14)="INTL-JAP TEEN ","International Teen",IF(LEFT(B266,14)="INTL-CHI TEEN ","International Teen",IF(LEFT(B266,14)="INTL-SPA TEEN ","International Teen",IF(LEFT(B266,11)="INTL-VIE E ","International Easy",IF(LEFT(B266,11)="INTL-TAG E ","International Easy",IF(LEFT(B266,11)="INTL-RUS E ","International Easy",IF(LEFT(B266,11)="INTL-JAP E ","International Easy",IF(LEFT(B266,11)="INTL-KOR E ","International Easy",IF(LEFT(B266,11)="INTL-CHI E ","International Easy",IF(LEFT(B266,11)="INTL-SPA E ","International Easy",
IF(D266="Teen Large Type","Teen Fiction",
IF(D266="Juvenile Large Type","Juvenile Fiction",
IF(LEFT(B266,6)="J CD O","Juvenile Compact Disc",
IF(AND(LEFT(B266,4)="TEEN",D266="Fiction"),"Teen Fiction",
IF(D266="DVD Educational","Nonfiction",
IF(D266="Juvenile DVD Educational","Nonfiction",
IF(D266="Reference","Nonfiction",
D266))))))))))))))))))))))))))))))))))))))))))</f>
        <v/>
      </c>
    </row>
    <row r="267" spans="1:14" ht="27" customHeight="1" x14ac:dyDescent="0.25">
      <c r="A267" s="10" t="str">
        <f ca="1">TEXT( INDIRECT( ADDRESS( ROW() + Row_Offset, INDIRECT( "Column_Number_" &amp; A$1), 4,1, tabname) ), "")</f>
        <v/>
      </c>
      <c r="B267" s="10" t="str">
        <f ca="1">TEXT(  IFERROR( VLOOKUP( $D267, CollName_Simplifier_Table[], 2, FALSE),"") &amp;
        INDIRECT( ADDRESS( ROW() + Row_Offset, INDIRECT( "Column_Number_" &amp; $B$1), 4,1, tabname) ), "")</f>
        <v/>
      </c>
      <c r="C267" s="10" t="str">
        <f ca="1">TEXT( INDIRECT( ADDRESS( ROW() + Row_Offset, INDIRECT( "Column_Number_" &amp; C$1), 4,1, tabname) ), "")</f>
        <v/>
      </c>
      <c r="D267" s="10" t="str">
        <f ca="1">TEXT( INDIRECT( ADDRESS( ROW() + Row_Offset, INDIRECT( "Column_Number_" &amp; D$1), 4,1, tabname) ), "")</f>
        <v/>
      </c>
      <c r="E267" s="10" t="str">
        <f ca="1">TEXT( INDIRECT( ADDRESS( ROW() + Row_Offset, INDIRECT( "Column_Number_" &amp; E$1), 4,1, tabname) ), "####")</f>
        <v/>
      </c>
      <c r="F267" s="15"/>
      <c r="G267" s="22" t="str">
        <f ca="1">IFERROR(INDEX(Rank_Table[],MATCH($D267&amp;$A267,Table4[Join],0)),"")</f>
        <v/>
      </c>
      <c r="H267" s="11" t="str">
        <f ca="1">IF(AND(D267="Juvenile Audiobook",LEFT(B267,8)="J CD BIO"),RIGHT(B267,LEN(B267)-9),
IF(AND(D267="Juvenile Audiobook",LEFT(B267,8)="J CD FIC"),B267,
IF(D267="Juvenile Audiobook",RIGHT(B267,LEN(B267)-5),
IF(AND(D267="Teen Audiobook",LEFT(B267,11)="TEEN CD BIO"),RIGHT(B267,LEN(B267)-12),
IF(AND(D267="Teen Audiobook",LEFT(B267,11)="TEEN CD FIC"),B267,
IF(D267="Juvenile Audiobook",RIGHT(B267,LEN(B267)-8),
IF(D267="Juvenile Nonfiction",RIGHT(B267,LEN(B267)-2),
IF(D267="Teen Nonfiction",RIGHT(B267,LEN(B267)-5),
IF(AND(D267="Audiobook",
              NOT(OR(Contains($B267,"CD BIO"),Contains($B267,"CD FIC")))),RIGHT(B267,LEN(B267)-3),
IF(D267="Juvenile Biography",RIGHT(B267,LEN(B267)-2),
IF(D267="Teen Biography",RIGHT(B267,LEN(B267)-5),
IF(AND(D267="Audiobook",
              IFERROR(FIND("BIO",$B267)&gt;0,FALSE)),RIGHT(B267,LEN(B267)-3),
IF(D267="Juvenile Large Type","J "&amp;RIGHT(B267,LEN(B267)-11),
IF(D267="Teen Large Type","TEEN "&amp;RIGHT(B267,LEN(B267)-14),
IF(D267="Reference",RIGHT(B267,LEN(B267)-4),
IF(D267="DVD Educational",RIGHT(B267,LEN(B267)-7),
IF(D267="Juvenile DVD Educational",RIGHT(B267,LEN(B267)-9),
B267)))))))))))))))))</f>
        <v/>
      </c>
      <c r="N267" s="11" t="str">
        <f ca="1">IF(IFERROR(FIND("New",$A267)&gt;0,FALSE),"New ","") &amp; IF(IFERROR(FIND("In Lib",$A267)&gt;0,FALSE),"Reference ","") &amp;
IF(AND(D267="Audiobook",LEFT(B267,6)="CD BIO"),"Biography",
IF(AND(D267="Teen Audiobook",LEFT(B267,11)="TEEN CD BIO"),"Biography",
IF(AND(D267="Juvenile Audiobook",LEFT(B267,8)="J CD BIO"),"Biography",
IF(AND(D267="Audiobook",LEFT(B267,6)="CD FIC"),"Audiobook Fiction",
IF(AND(D267="Teen Audiobook",LEFT(B267,11)="TEEN CD FIC"),"Teen Audiobook",
IF(AND(D267="Juvenile Audiobook",LEFT(B267,8)="J CD FIC"),"Juvenile Audiobook",
IF(D267="Audiobook","Nonfiction",
IF(D267="Juvenile Audiobook","Nonfiction",
IF(D267="Teen Audiobook","Nonfiction",
IF(D267="Juvenile Nonfiction","Nonfiction",
IF(D267="Teen Nonfiction","Nonfiction",
IF(D267="Juvenile Biography","Biography",
IF(D267="Teen Biography","Biography",
IF(D267="ESL","Nonfiction",
IF(LEFT(B267,11)="INTL-VIE J ","International Juvenile",IF(LEFT(B267,11)="INTL-TAG J ","International Juvenile",IF(LEFT(B267,11)="INTL-RUS J ","International Juvenile",IF(LEFT(B267,11)="INTL-KOR J ","International Juvenile",IF(LEFT(B267,11)="INTL-JAP J ","International Juvenile",IF(LEFT(B267,11)="INTL-CHI J ","International Juvenile",IF(LEFT(B267,11)="INTL-SPA J ","International Juvenile",IF(LEFT(B267,14)="INTL-VIE TEEN ","International Teen",IF(LEFT(B267,14)="INTL-TAG TEEN ","International Teen",IF(LEFT(B267,14)="INTL-RUS TEEN ","International Teen",IF(LEFT(B267,14)="INTL-KOR TEEN ","International Teen",IF(LEFT(B267,14)="INTL-JAP TEEN ","International Teen",IF(LEFT(B267,14)="INTL-CHI TEEN ","International Teen",IF(LEFT(B267,14)="INTL-SPA TEEN ","International Teen",IF(LEFT(B267,11)="INTL-VIE E ","International Easy",IF(LEFT(B267,11)="INTL-TAG E ","International Easy",IF(LEFT(B267,11)="INTL-RUS E ","International Easy",IF(LEFT(B267,11)="INTL-JAP E ","International Easy",IF(LEFT(B267,11)="INTL-KOR E ","International Easy",IF(LEFT(B267,11)="INTL-CHI E ","International Easy",IF(LEFT(B267,11)="INTL-SPA E ","International Easy",
IF(D267="Teen Large Type","Teen Fiction",
IF(D267="Juvenile Large Type","Juvenile Fiction",
IF(LEFT(B267,6)="J CD O","Juvenile Compact Disc",
IF(AND(LEFT(B267,4)="TEEN",D267="Fiction"),"Teen Fiction",
IF(D267="DVD Educational","Nonfiction",
IF(D267="Juvenile DVD Educational","Nonfiction",
IF(D267="Reference","Nonfiction",
D267))))))))))))))))))))))))))))))))))))))))))</f>
        <v/>
      </c>
    </row>
    <row r="268" spans="1:14" ht="27" customHeight="1" x14ac:dyDescent="0.25">
      <c r="A268" s="10" t="str">
        <f ca="1">TEXT( INDIRECT( ADDRESS( ROW() + Row_Offset, INDIRECT( "Column_Number_" &amp; A$1), 4,1, tabname) ), "")</f>
        <v/>
      </c>
      <c r="B268" s="10" t="str">
        <f ca="1">TEXT(  IFERROR( VLOOKUP( $D268, CollName_Simplifier_Table[], 2, FALSE),"") &amp;
        INDIRECT( ADDRESS( ROW() + Row_Offset, INDIRECT( "Column_Number_" &amp; $B$1), 4,1, tabname) ), "")</f>
        <v/>
      </c>
      <c r="C268" s="10" t="str">
        <f ca="1">TEXT( INDIRECT( ADDRESS( ROW() + Row_Offset, INDIRECT( "Column_Number_" &amp; C$1), 4,1, tabname) ), "")</f>
        <v/>
      </c>
      <c r="D268" s="10" t="str">
        <f ca="1">TEXT( INDIRECT( ADDRESS( ROW() + Row_Offset, INDIRECT( "Column_Number_" &amp; D$1), 4,1, tabname) ), "")</f>
        <v/>
      </c>
      <c r="E268" s="10" t="str">
        <f ca="1">TEXT( INDIRECT( ADDRESS( ROW() + Row_Offset, INDIRECT( "Column_Number_" &amp; E$1), 4,1, tabname) ), "####")</f>
        <v/>
      </c>
      <c r="F268" s="15"/>
      <c r="G268" s="22" t="str">
        <f ca="1">IFERROR(INDEX(Rank_Table[],MATCH($D268&amp;$A268,Table4[Join],0)),"")</f>
        <v/>
      </c>
      <c r="H268" s="11" t="str">
        <f ca="1">IF(AND(D268="Juvenile Audiobook",LEFT(B268,8)="J CD BIO"),RIGHT(B268,LEN(B268)-9),
IF(AND(D268="Juvenile Audiobook",LEFT(B268,8)="J CD FIC"),B268,
IF(D268="Juvenile Audiobook",RIGHT(B268,LEN(B268)-5),
IF(AND(D268="Teen Audiobook",LEFT(B268,11)="TEEN CD BIO"),RIGHT(B268,LEN(B268)-12),
IF(AND(D268="Teen Audiobook",LEFT(B268,11)="TEEN CD FIC"),B268,
IF(D268="Juvenile Audiobook",RIGHT(B268,LEN(B268)-8),
IF(D268="Juvenile Nonfiction",RIGHT(B268,LEN(B268)-2),
IF(D268="Teen Nonfiction",RIGHT(B268,LEN(B268)-5),
IF(AND(D268="Audiobook",
              NOT(OR(Contains($B268,"CD BIO"),Contains($B268,"CD FIC")))),RIGHT(B268,LEN(B268)-3),
IF(D268="Juvenile Biography",RIGHT(B268,LEN(B268)-2),
IF(D268="Teen Biography",RIGHT(B268,LEN(B268)-5),
IF(AND(D268="Audiobook",
              IFERROR(FIND("BIO",$B268)&gt;0,FALSE)),RIGHT(B268,LEN(B268)-3),
IF(D268="Juvenile Large Type","J "&amp;RIGHT(B268,LEN(B268)-11),
IF(D268="Teen Large Type","TEEN "&amp;RIGHT(B268,LEN(B268)-14),
IF(D268="Reference",RIGHT(B268,LEN(B268)-4),
IF(D268="DVD Educational",RIGHT(B268,LEN(B268)-7),
IF(D268="Juvenile DVD Educational",RIGHT(B268,LEN(B268)-9),
B268)))))))))))))))))</f>
        <v/>
      </c>
      <c r="N268" s="11" t="str">
        <f ca="1">IF(IFERROR(FIND("New",$A268)&gt;0,FALSE),"New ","") &amp; IF(IFERROR(FIND("In Lib",$A268)&gt;0,FALSE),"Reference ","") &amp;
IF(AND(D268="Audiobook",LEFT(B268,6)="CD BIO"),"Biography",
IF(AND(D268="Teen Audiobook",LEFT(B268,11)="TEEN CD BIO"),"Biography",
IF(AND(D268="Juvenile Audiobook",LEFT(B268,8)="J CD BIO"),"Biography",
IF(AND(D268="Audiobook",LEFT(B268,6)="CD FIC"),"Audiobook Fiction",
IF(AND(D268="Teen Audiobook",LEFT(B268,11)="TEEN CD FIC"),"Teen Audiobook",
IF(AND(D268="Juvenile Audiobook",LEFT(B268,8)="J CD FIC"),"Juvenile Audiobook",
IF(D268="Audiobook","Nonfiction",
IF(D268="Juvenile Audiobook","Nonfiction",
IF(D268="Teen Audiobook","Nonfiction",
IF(D268="Juvenile Nonfiction","Nonfiction",
IF(D268="Teen Nonfiction","Nonfiction",
IF(D268="Juvenile Biography","Biography",
IF(D268="Teen Biography","Biography",
IF(D268="ESL","Nonfiction",
IF(LEFT(B268,11)="INTL-VIE J ","International Juvenile",IF(LEFT(B268,11)="INTL-TAG J ","International Juvenile",IF(LEFT(B268,11)="INTL-RUS J ","International Juvenile",IF(LEFT(B268,11)="INTL-KOR J ","International Juvenile",IF(LEFT(B268,11)="INTL-JAP J ","International Juvenile",IF(LEFT(B268,11)="INTL-CHI J ","International Juvenile",IF(LEFT(B268,11)="INTL-SPA J ","International Juvenile",IF(LEFT(B268,14)="INTL-VIE TEEN ","International Teen",IF(LEFT(B268,14)="INTL-TAG TEEN ","International Teen",IF(LEFT(B268,14)="INTL-RUS TEEN ","International Teen",IF(LEFT(B268,14)="INTL-KOR TEEN ","International Teen",IF(LEFT(B268,14)="INTL-JAP TEEN ","International Teen",IF(LEFT(B268,14)="INTL-CHI TEEN ","International Teen",IF(LEFT(B268,14)="INTL-SPA TEEN ","International Teen",IF(LEFT(B268,11)="INTL-VIE E ","International Easy",IF(LEFT(B268,11)="INTL-TAG E ","International Easy",IF(LEFT(B268,11)="INTL-RUS E ","International Easy",IF(LEFT(B268,11)="INTL-JAP E ","International Easy",IF(LEFT(B268,11)="INTL-KOR E ","International Easy",IF(LEFT(B268,11)="INTL-CHI E ","International Easy",IF(LEFT(B268,11)="INTL-SPA E ","International Easy",
IF(D268="Teen Large Type","Teen Fiction",
IF(D268="Juvenile Large Type","Juvenile Fiction",
IF(LEFT(B268,6)="J CD O","Juvenile Compact Disc",
IF(AND(LEFT(B268,4)="TEEN",D268="Fiction"),"Teen Fiction",
IF(D268="DVD Educational","Nonfiction",
IF(D268="Juvenile DVD Educational","Nonfiction",
IF(D268="Reference","Nonfiction",
D268))))))))))))))))))))))))))))))))))))))))))</f>
        <v/>
      </c>
    </row>
    <row r="269" spans="1:14" ht="27" customHeight="1" x14ac:dyDescent="0.25">
      <c r="A269" s="10" t="str">
        <f ca="1">TEXT( INDIRECT( ADDRESS( ROW() + Row_Offset, INDIRECT( "Column_Number_" &amp; A$1), 4,1, tabname) ), "")</f>
        <v/>
      </c>
      <c r="B269" s="10" t="str">
        <f ca="1">TEXT(  IFERROR( VLOOKUP( $D269, CollName_Simplifier_Table[], 2, FALSE),"") &amp;
        INDIRECT( ADDRESS( ROW() + Row_Offset, INDIRECT( "Column_Number_" &amp; $B$1), 4,1, tabname) ), "")</f>
        <v/>
      </c>
      <c r="C269" s="10" t="str">
        <f ca="1">TEXT( INDIRECT( ADDRESS( ROW() + Row_Offset, INDIRECT( "Column_Number_" &amp; C$1), 4,1, tabname) ), "")</f>
        <v/>
      </c>
      <c r="D269" s="10" t="str">
        <f ca="1">TEXT( INDIRECT( ADDRESS( ROW() + Row_Offset, INDIRECT( "Column_Number_" &amp; D$1), 4,1, tabname) ), "")</f>
        <v/>
      </c>
      <c r="E269" s="10" t="str">
        <f ca="1">TEXT( INDIRECT( ADDRESS( ROW() + Row_Offset, INDIRECT( "Column_Number_" &amp; E$1), 4,1, tabname) ), "####")</f>
        <v/>
      </c>
      <c r="F269" s="15"/>
      <c r="G269" s="22" t="str">
        <f ca="1">IFERROR(INDEX(Rank_Table[],MATCH($D269&amp;$A269,Table4[Join],0)),"")</f>
        <v/>
      </c>
      <c r="H269" s="11" t="str">
        <f ca="1">IF(AND(D269="Juvenile Audiobook",LEFT(B269,8)="J CD BIO"),RIGHT(B269,LEN(B269)-9),
IF(AND(D269="Juvenile Audiobook",LEFT(B269,8)="J CD FIC"),B269,
IF(D269="Juvenile Audiobook",RIGHT(B269,LEN(B269)-5),
IF(AND(D269="Teen Audiobook",LEFT(B269,11)="TEEN CD BIO"),RIGHT(B269,LEN(B269)-12),
IF(AND(D269="Teen Audiobook",LEFT(B269,11)="TEEN CD FIC"),B269,
IF(D269="Juvenile Audiobook",RIGHT(B269,LEN(B269)-8),
IF(D269="Juvenile Nonfiction",RIGHT(B269,LEN(B269)-2),
IF(D269="Teen Nonfiction",RIGHT(B269,LEN(B269)-5),
IF(AND(D269="Audiobook",
              NOT(OR(Contains($B269,"CD BIO"),Contains($B269,"CD FIC")))),RIGHT(B269,LEN(B269)-3),
IF(D269="Juvenile Biography",RIGHT(B269,LEN(B269)-2),
IF(D269="Teen Biography",RIGHT(B269,LEN(B269)-5),
IF(AND(D269="Audiobook",
              IFERROR(FIND("BIO",$B269)&gt;0,FALSE)),RIGHT(B269,LEN(B269)-3),
IF(D269="Juvenile Large Type","J "&amp;RIGHT(B269,LEN(B269)-11),
IF(D269="Teen Large Type","TEEN "&amp;RIGHT(B269,LEN(B269)-14),
IF(D269="Reference",RIGHT(B269,LEN(B269)-4),
IF(D269="DVD Educational",RIGHT(B269,LEN(B269)-7),
IF(D269="Juvenile DVD Educational",RIGHT(B269,LEN(B269)-9),
B269)))))))))))))))))</f>
        <v/>
      </c>
      <c r="N269" s="11" t="str">
        <f ca="1">IF(IFERROR(FIND("New",$A269)&gt;0,FALSE),"New ","") &amp; IF(IFERROR(FIND("In Lib",$A269)&gt;0,FALSE),"Reference ","") &amp;
IF(AND(D269="Audiobook",LEFT(B269,6)="CD BIO"),"Biography",
IF(AND(D269="Teen Audiobook",LEFT(B269,11)="TEEN CD BIO"),"Biography",
IF(AND(D269="Juvenile Audiobook",LEFT(B269,8)="J CD BIO"),"Biography",
IF(AND(D269="Audiobook",LEFT(B269,6)="CD FIC"),"Audiobook Fiction",
IF(AND(D269="Teen Audiobook",LEFT(B269,11)="TEEN CD FIC"),"Teen Audiobook",
IF(AND(D269="Juvenile Audiobook",LEFT(B269,8)="J CD FIC"),"Juvenile Audiobook",
IF(D269="Audiobook","Nonfiction",
IF(D269="Juvenile Audiobook","Nonfiction",
IF(D269="Teen Audiobook","Nonfiction",
IF(D269="Juvenile Nonfiction","Nonfiction",
IF(D269="Teen Nonfiction","Nonfiction",
IF(D269="Juvenile Biography","Biography",
IF(D269="Teen Biography","Biography",
IF(D269="ESL","Nonfiction",
IF(LEFT(B269,11)="INTL-VIE J ","International Juvenile",IF(LEFT(B269,11)="INTL-TAG J ","International Juvenile",IF(LEFT(B269,11)="INTL-RUS J ","International Juvenile",IF(LEFT(B269,11)="INTL-KOR J ","International Juvenile",IF(LEFT(B269,11)="INTL-JAP J ","International Juvenile",IF(LEFT(B269,11)="INTL-CHI J ","International Juvenile",IF(LEFT(B269,11)="INTL-SPA J ","International Juvenile",IF(LEFT(B269,14)="INTL-VIE TEEN ","International Teen",IF(LEFT(B269,14)="INTL-TAG TEEN ","International Teen",IF(LEFT(B269,14)="INTL-RUS TEEN ","International Teen",IF(LEFT(B269,14)="INTL-KOR TEEN ","International Teen",IF(LEFT(B269,14)="INTL-JAP TEEN ","International Teen",IF(LEFT(B269,14)="INTL-CHI TEEN ","International Teen",IF(LEFT(B269,14)="INTL-SPA TEEN ","International Teen",IF(LEFT(B269,11)="INTL-VIE E ","International Easy",IF(LEFT(B269,11)="INTL-TAG E ","International Easy",IF(LEFT(B269,11)="INTL-RUS E ","International Easy",IF(LEFT(B269,11)="INTL-JAP E ","International Easy",IF(LEFT(B269,11)="INTL-KOR E ","International Easy",IF(LEFT(B269,11)="INTL-CHI E ","International Easy",IF(LEFT(B269,11)="INTL-SPA E ","International Easy",
IF(D269="Teen Large Type","Teen Fiction",
IF(D269="Juvenile Large Type","Juvenile Fiction",
IF(LEFT(B269,6)="J CD O","Juvenile Compact Disc",
IF(AND(LEFT(B269,4)="TEEN",D269="Fiction"),"Teen Fiction",
IF(D269="DVD Educational","Nonfiction",
IF(D269="Juvenile DVD Educational","Nonfiction",
IF(D269="Reference","Nonfiction",
D269))))))))))))))))))))))))))))))))))))))))))</f>
        <v/>
      </c>
    </row>
    <row r="270" spans="1:14" ht="27" customHeight="1" x14ac:dyDescent="0.25">
      <c r="A270" s="10" t="str">
        <f ca="1">TEXT( INDIRECT( ADDRESS( ROW() + Row_Offset, INDIRECT( "Column_Number_" &amp; A$1), 4,1, tabname) ), "")</f>
        <v/>
      </c>
      <c r="B270" s="10" t="str">
        <f ca="1">TEXT(  IFERROR( VLOOKUP( $D270, CollName_Simplifier_Table[], 2, FALSE),"") &amp;
        INDIRECT( ADDRESS( ROW() + Row_Offset, INDIRECT( "Column_Number_" &amp; $B$1), 4,1, tabname) ), "")</f>
        <v/>
      </c>
      <c r="C270" s="10" t="str">
        <f ca="1">TEXT( INDIRECT( ADDRESS( ROW() + Row_Offset, INDIRECT( "Column_Number_" &amp; C$1), 4,1, tabname) ), "")</f>
        <v/>
      </c>
      <c r="D270" s="10" t="str">
        <f ca="1">TEXT( INDIRECT( ADDRESS( ROW() + Row_Offset, INDIRECT( "Column_Number_" &amp; D$1), 4,1, tabname) ), "")</f>
        <v/>
      </c>
      <c r="E270" s="10" t="str">
        <f ca="1">TEXT( INDIRECT( ADDRESS( ROW() + Row_Offset, INDIRECT( "Column_Number_" &amp; E$1), 4,1, tabname) ), "####")</f>
        <v/>
      </c>
      <c r="F270" s="15"/>
      <c r="G270" s="22" t="str">
        <f ca="1">IFERROR(INDEX(Rank_Table[],MATCH($D270&amp;$A270,Table4[Join],0)),"")</f>
        <v/>
      </c>
      <c r="H270" s="11" t="str">
        <f ca="1">IF(AND(D270="Juvenile Audiobook",LEFT(B270,8)="J CD BIO"),RIGHT(B270,LEN(B270)-9),
IF(AND(D270="Juvenile Audiobook",LEFT(B270,8)="J CD FIC"),B270,
IF(D270="Juvenile Audiobook",RIGHT(B270,LEN(B270)-5),
IF(AND(D270="Teen Audiobook",LEFT(B270,11)="TEEN CD BIO"),RIGHT(B270,LEN(B270)-12),
IF(AND(D270="Teen Audiobook",LEFT(B270,11)="TEEN CD FIC"),B270,
IF(D270="Juvenile Audiobook",RIGHT(B270,LEN(B270)-8),
IF(D270="Juvenile Nonfiction",RIGHT(B270,LEN(B270)-2),
IF(D270="Teen Nonfiction",RIGHT(B270,LEN(B270)-5),
IF(AND(D270="Audiobook",
              NOT(OR(Contains($B270,"CD BIO"),Contains($B270,"CD FIC")))),RIGHT(B270,LEN(B270)-3),
IF(D270="Juvenile Biography",RIGHT(B270,LEN(B270)-2),
IF(D270="Teen Biography",RIGHT(B270,LEN(B270)-5),
IF(AND(D270="Audiobook",
              IFERROR(FIND("BIO",$B270)&gt;0,FALSE)),RIGHT(B270,LEN(B270)-3),
IF(D270="Juvenile Large Type","J "&amp;RIGHT(B270,LEN(B270)-11),
IF(D270="Teen Large Type","TEEN "&amp;RIGHT(B270,LEN(B270)-14),
IF(D270="Reference",RIGHT(B270,LEN(B270)-4),
IF(D270="DVD Educational",RIGHT(B270,LEN(B270)-7),
IF(D270="Juvenile DVD Educational",RIGHT(B270,LEN(B270)-9),
B270)))))))))))))))))</f>
        <v/>
      </c>
      <c r="N270" s="11" t="str">
        <f ca="1">IF(IFERROR(FIND("New",$A270)&gt;0,FALSE),"New ","") &amp; IF(IFERROR(FIND("In Lib",$A270)&gt;0,FALSE),"Reference ","") &amp;
IF(AND(D270="Audiobook",LEFT(B270,6)="CD BIO"),"Biography",
IF(AND(D270="Teen Audiobook",LEFT(B270,11)="TEEN CD BIO"),"Biography",
IF(AND(D270="Juvenile Audiobook",LEFT(B270,8)="J CD BIO"),"Biography",
IF(AND(D270="Audiobook",LEFT(B270,6)="CD FIC"),"Audiobook Fiction",
IF(AND(D270="Teen Audiobook",LEFT(B270,11)="TEEN CD FIC"),"Teen Audiobook",
IF(AND(D270="Juvenile Audiobook",LEFT(B270,8)="J CD FIC"),"Juvenile Audiobook",
IF(D270="Audiobook","Nonfiction",
IF(D270="Juvenile Audiobook","Nonfiction",
IF(D270="Teen Audiobook","Nonfiction",
IF(D270="Juvenile Nonfiction","Nonfiction",
IF(D270="Teen Nonfiction","Nonfiction",
IF(D270="Juvenile Biography","Biography",
IF(D270="Teen Biography","Biography",
IF(D270="ESL","Nonfiction",
IF(LEFT(B270,11)="INTL-VIE J ","International Juvenile",IF(LEFT(B270,11)="INTL-TAG J ","International Juvenile",IF(LEFT(B270,11)="INTL-RUS J ","International Juvenile",IF(LEFT(B270,11)="INTL-KOR J ","International Juvenile",IF(LEFT(B270,11)="INTL-JAP J ","International Juvenile",IF(LEFT(B270,11)="INTL-CHI J ","International Juvenile",IF(LEFT(B270,11)="INTL-SPA J ","International Juvenile",IF(LEFT(B270,14)="INTL-VIE TEEN ","International Teen",IF(LEFT(B270,14)="INTL-TAG TEEN ","International Teen",IF(LEFT(B270,14)="INTL-RUS TEEN ","International Teen",IF(LEFT(B270,14)="INTL-KOR TEEN ","International Teen",IF(LEFT(B270,14)="INTL-JAP TEEN ","International Teen",IF(LEFT(B270,14)="INTL-CHI TEEN ","International Teen",IF(LEFT(B270,14)="INTL-SPA TEEN ","International Teen",IF(LEFT(B270,11)="INTL-VIE E ","International Easy",IF(LEFT(B270,11)="INTL-TAG E ","International Easy",IF(LEFT(B270,11)="INTL-RUS E ","International Easy",IF(LEFT(B270,11)="INTL-JAP E ","International Easy",IF(LEFT(B270,11)="INTL-KOR E ","International Easy",IF(LEFT(B270,11)="INTL-CHI E ","International Easy",IF(LEFT(B270,11)="INTL-SPA E ","International Easy",
IF(D270="Teen Large Type","Teen Fiction",
IF(D270="Juvenile Large Type","Juvenile Fiction",
IF(LEFT(B270,6)="J CD O","Juvenile Compact Disc",
IF(AND(LEFT(B270,4)="TEEN",D270="Fiction"),"Teen Fiction",
IF(D270="DVD Educational","Nonfiction",
IF(D270="Juvenile DVD Educational","Nonfiction",
IF(D270="Reference","Nonfiction",
D270))))))))))))))))))))))))))))))))))))))))))</f>
        <v/>
      </c>
    </row>
    <row r="271" spans="1:14" ht="27" customHeight="1" x14ac:dyDescent="0.25">
      <c r="A271" s="10" t="str">
        <f ca="1">TEXT( INDIRECT( ADDRESS( ROW() + Row_Offset, INDIRECT( "Column_Number_" &amp; A$1), 4,1, tabname) ), "")</f>
        <v/>
      </c>
      <c r="B271" s="10" t="str">
        <f ca="1">TEXT(  IFERROR( VLOOKUP( $D271, CollName_Simplifier_Table[], 2, FALSE),"") &amp;
        INDIRECT( ADDRESS( ROW() + Row_Offset, INDIRECT( "Column_Number_" &amp; $B$1), 4,1, tabname) ), "")</f>
        <v/>
      </c>
      <c r="C271" s="10" t="str">
        <f ca="1">TEXT( INDIRECT( ADDRESS( ROW() + Row_Offset, INDIRECT( "Column_Number_" &amp; C$1), 4,1, tabname) ), "")</f>
        <v/>
      </c>
      <c r="D271" s="10" t="str">
        <f ca="1">TEXT( INDIRECT( ADDRESS( ROW() + Row_Offset, INDIRECT( "Column_Number_" &amp; D$1), 4,1, tabname) ), "")</f>
        <v/>
      </c>
      <c r="E271" s="10" t="str">
        <f ca="1">TEXT( INDIRECT( ADDRESS( ROW() + Row_Offset, INDIRECT( "Column_Number_" &amp; E$1), 4,1, tabname) ), "####")</f>
        <v/>
      </c>
      <c r="F271" s="15"/>
      <c r="G271" s="22" t="str">
        <f ca="1">IFERROR(INDEX(Rank_Table[],MATCH($D271&amp;$A271,Table4[Join],0)),"")</f>
        <v/>
      </c>
      <c r="H271" s="11" t="str">
        <f ca="1">IF(AND(D271="Juvenile Audiobook",LEFT(B271,8)="J CD BIO"),RIGHT(B271,LEN(B271)-9),
IF(AND(D271="Juvenile Audiobook",LEFT(B271,8)="J CD FIC"),B271,
IF(D271="Juvenile Audiobook",RIGHT(B271,LEN(B271)-5),
IF(AND(D271="Teen Audiobook",LEFT(B271,11)="TEEN CD BIO"),RIGHT(B271,LEN(B271)-12),
IF(AND(D271="Teen Audiobook",LEFT(B271,11)="TEEN CD FIC"),B271,
IF(D271="Juvenile Audiobook",RIGHT(B271,LEN(B271)-8),
IF(D271="Juvenile Nonfiction",RIGHT(B271,LEN(B271)-2),
IF(D271="Teen Nonfiction",RIGHT(B271,LEN(B271)-5),
IF(AND(D271="Audiobook",
              NOT(OR(Contains($B271,"CD BIO"),Contains($B271,"CD FIC")))),RIGHT(B271,LEN(B271)-3),
IF(D271="Juvenile Biography",RIGHT(B271,LEN(B271)-2),
IF(D271="Teen Biography",RIGHT(B271,LEN(B271)-5),
IF(AND(D271="Audiobook",
              IFERROR(FIND("BIO",$B271)&gt;0,FALSE)),RIGHT(B271,LEN(B271)-3),
IF(D271="Juvenile Large Type","J "&amp;RIGHT(B271,LEN(B271)-11),
IF(D271="Teen Large Type","TEEN "&amp;RIGHT(B271,LEN(B271)-14),
IF(D271="Reference",RIGHT(B271,LEN(B271)-4),
IF(D271="DVD Educational",RIGHT(B271,LEN(B271)-7),
IF(D271="Juvenile DVD Educational",RIGHT(B271,LEN(B271)-9),
B271)))))))))))))))))</f>
        <v/>
      </c>
      <c r="N271" s="11" t="str">
        <f ca="1">IF(IFERROR(FIND("New",$A271)&gt;0,FALSE),"New ","") &amp; IF(IFERROR(FIND("In Lib",$A271)&gt;0,FALSE),"Reference ","") &amp;
IF(AND(D271="Audiobook",LEFT(B271,6)="CD BIO"),"Biography",
IF(AND(D271="Teen Audiobook",LEFT(B271,11)="TEEN CD BIO"),"Biography",
IF(AND(D271="Juvenile Audiobook",LEFT(B271,8)="J CD BIO"),"Biography",
IF(AND(D271="Audiobook",LEFT(B271,6)="CD FIC"),"Audiobook Fiction",
IF(AND(D271="Teen Audiobook",LEFT(B271,11)="TEEN CD FIC"),"Teen Audiobook",
IF(AND(D271="Juvenile Audiobook",LEFT(B271,8)="J CD FIC"),"Juvenile Audiobook",
IF(D271="Audiobook","Nonfiction",
IF(D271="Juvenile Audiobook","Nonfiction",
IF(D271="Teen Audiobook","Nonfiction",
IF(D271="Juvenile Nonfiction","Nonfiction",
IF(D271="Teen Nonfiction","Nonfiction",
IF(D271="Juvenile Biography","Biography",
IF(D271="Teen Biography","Biography",
IF(D271="ESL","Nonfiction",
IF(LEFT(B271,11)="INTL-VIE J ","International Juvenile",IF(LEFT(B271,11)="INTL-TAG J ","International Juvenile",IF(LEFT(B271,11)="INTL-RUS J ","International Juvenile",IF(LEFT(B271,11)="INTL-KOR J ","International Juvenile",IF(LEFT(B271,11)="INTL-JAP J ","International Juvenile",IF(LEFT(B271,11)="INTL-CHI J ","International Juvenile",IF(LEFT(B271,11)="INTL-SPA J ","International Juvenile",IF(LEFT(B271,14)="INTL-VIE TEEN ","International Teen",IF(LEFT(B271,14)="INTL-TAG TEEN ","International Teen",IF(LEFT(B271,14)="INTL-RUS TEEN ","International Teen",IF(LEFT(B271,14)="INTL-KOR TEEN ","International Teen",IF(LEFT(B271,14)="INTL-JAP TEEN ","International Teen",IF(LEFT(B271,14)="INTL-CHI TEEN ","International Teen",IF(LEFT(B271,14)="INTL-SPA TEEN ","International Teen",IF(LEFT(B271,11)="INTL-VIE E ","International Easy",IF(LEFT(B271,11)="INTL-TAG E ","International Easy",IF(LEFT(B271,11)="INTL-RUS E ","International Easy",IF(LEFT(B271,11)="INTL-JAP E ","International Easy",IF(LEFT(B271,11)="INTL-KOR E ","International Easy",IF(LEFT(B271,11)="INTL-CHI E ","International Easy",IF(LEFT(B271,11)="INTL-SPA E ","International Easy",
IF(D271="Teen Large Type","Teen Fiction",
IF(D271="Juvenile Large Type","Juvenile Fiction",
IF(LEFT(B271,6)="J CD O","Juvenile Compact Disc",
IF(AND(LEFT(B271,4)="TEEN",D271="Fiction"),"Teen Fiction",
IF(D271="DVD Educational","Nonfiction",
IF(D271="Juvenile DVD Educational","Nonfiction",
IF(D271="Reference","Nonfiction",
D271))))))))))))))))))))))))))))))))))))))))))</f>
        <v/>
      </c>
    </row>
    <row r="272" spans="1:14" ht="27" customHeight="1" x14ac:dyDescent="0.25">
      <c r="A272" s="10" t="str">
        <f ca="1">TEXT( INDIRECT( ADDRESS( ROW() + Row_Offset, INDIRECT( "Column_Number_" &amp; A$1), 4,1, tabname) ), "")</f>
        <v/>
      </c>
      <c r="B272" s="10" t="str">
        <f ca="1">TEXT(  IFERROR( VLOOKUP( $D272, CollName_Simplifier_Table[], 2, FALSE),"") &amp;
        INDIRECT( ADDRESS( ROW() + Row_Offset, INDIRECT( "Column_Number_" &amp; $B$1), 4,1, tabname) ), "")</f>
        <v/>
      </c>
      <c r="C272" s="10" t="str">
        <f ca="1">TEXT( INDIRECT( ADDRESS( ROW() + Row_Offset, INDIRECT( "Column_Number_" &amp; C$1), 4,1, tabname) ), "")</f>
        <v/>
      </c>
      <c r="D272" s="10" t="str">
        <f ca="1">TEXT( INDIRECT( ADDRESS( ROW() + Row_Offset, INDIRECT( "Column_Number_" &amp; D$1), 4,1, tabname) ), "")</f>
        <v/>
      </c>
      <c r="E272" s="10" t="str">
        <f ca="1">TEXT( INDIRECT( ADDRESS( ROW() + Row_Offset, INDIRECT( "Column_Number_" &amp; E$1), 4,1, tabname) ), "####")</f>
        <v/>
      </c>
      <c r="F272" s="15"/>
      <c r="G272" s="22" t="str">
        <f ca="1">IFERROR(INDEX(Rank_Table[],MATCH($D272&amp;$A272,Table4[Join],0)),"")</f>
        <v/>
      </c>
      <c r="H272" s="11" t="str">
        <f ca="1">IF(AND(D272="Juvenile Audiobook",LEFT(B272,8)="J CD BIO"),RIGHT(B272,LEN(B272)-9),
IF(AND(D272="Juvenile Audiobook",LEFT(B272,8)="J CD FIC"),B272,
IF(D272="Juvenile Audiobook",RIGHT(B272,LEN(B272)-5),
IF(AND(D272="Teen Audiobook",LEFT(B272,11)="TEEN CD BIO"),RIGHT(B272,LEN(B272)-12),
IF(AND(D272="Teen Audiobook",LEFT(B272,11)="TEEN CD FIC"),B272,
IF(D272="Juvenile Audiobook",RIGHT(B272,LEN(B272)-8),
IF(D272="Juvenile Nonfiction",RIGHT(B272,LEN(B272)-2),
IF(D272="Teen Nonfiction",RIGHT(B272,LEN(B272)-5),
IF(AND(D272="Audiobook",
              NOT(OR(Contains($B272,"CD BIO"),Contains($B272,"CD FIC")))),RIGHT(B272,LEN(B272)-3),
IF(D272="Juvenile Biography",RIGHT(B272,LEN(B272)-2),
IF(D272="Teen Biography",RIGHT(B272,LEN(B272)-5),
IF(AND(D272="Audiobook",
              IFERROR(FIND("BIO",$B272)&gt;0,FALSE)),RIGHT(B272,LEN(B272)-3),
IF(D272="Juvenile Large Type","J "&amp;RIGHT(B272,LEN(B272)-11),
IF(D272="Teen Large Type","TEEN "&amp;RIGHT(B272,LEN(B272)-14),
IF(D272="Reference",RIGHT(B272,LEN(B272)-4),
IF(D272="DVD Educational",RIGHT(B272,LEN(B272)-7),
IF(D272="Juvenile DVD Educational",RIGHT(B272,LEN(B272)-9),
B272)))))))))))))))))</f>
        <v/>
      </c>
      <c r="N272" s="11" t="str">
        <f ca="1">IF(IFERROR(FIND("New",$A272)&gt;0,FALSE),"New ","") &amp; IF(IFERROR(FIND("In Lib",$A272)&gt;0,FALSE),"Reference ","") &amp;
IF(AND(D272="Audiobook",LEFT(B272,6)="CD BIO"),"Biography",
IF(AND(D272="Teen Audiobook",LEFT(B272,11)="TEEN CD BIO"),"Biography",
IF(AND(D272="Juvenile Audiobook",LEFT(B272,8)="J CD BIO"),"Biography",
IF(AND(D272="Audiobook",LEFT(B272,6)="CD FIC"),"Audiobook Fiction",
IF(AND(D272="Teen Audiobook",LEFT(B272,11)="TEEN CD FIC"),"Teen Audiobook",
IF(AND(D272="Juvenile Audiobook",LEFT(B272,8)="J CD FIC"),"Juvenile Audiobook",
IF(D272="Audiobook","Nonfiction",
IF(D272="Juvenile Audiobook","Nonfiction",
IF(D272="Teen Audiobook","Nonfiction",
IF(D272="Juvenile Nonfiction","Nonfiction",
IF(D272="Teen Nonfiction","Nonfiction",
IF(D272="Juvenile Biography","Biography",
IF(D272="Teen Biography","Biography",
IF(D272="ESL","Nonfiction",
IF(LEFT(B272,11)="INTL-VIE J ","International Juvenile",IF(LEFT(B272,11)="INTL-TAG J ","International Juvenile",IF(LEFT(B272,11)="INTL-RUS J ","International Juvenile",IF(LEFT(B272,11)="INTL-KOR J ","International Juvenile",IF(LEFT(B272,11)="INTL-JAP J ","International Juvenile",IF(LEFT(B272,11)="INTL-CHI J ","International Juvenile",IF(LEFT(B272,11)="INTL-SPA J ","International Juvenile",IF(LEFT(B272,14)="INTL-VIE TEEN ","International Teen",IF(LEFT(B272,14)="INTL-TAG TEEN ","International Teen",IF(LEFT(B272,14)="INTL-RUS TEEN ","International Teen",IF(LEFT(B272,14)="INTL-KOR TEEN ","International Teen",IF(LEFT(B272,14)="INTL-JAP TEEN ","International Teen",IF(LEFT(B272,14)="INTL-CHI TEEN ","International Teen",IF(LEFT(B272,14)="INTL-SPA TEEN ","International Teen",IF(LEFT(B272,11)="INTL-VIE E ","International Easy",IF(LEFT(B272,11)="INTL-TAG E ","International Easy",IF(LEFT(B272,11)="INTL-RUS E ","International Easy",IF(LEFT(B272,11)="INTL-JAP E ","International Easy",IF(LEFT(B272,11)="INTL-KOR E ","International Easy",IF(LEFT(B272,11)="INTL-CHI E ","International Easy",IF(LEFT(B272,11)="INTL-SPA E ","International Easy",
IF(D272="Teen Large Type","Teen Fiction",
IF(D272="Juvenile Large Type","Juvenile Fiction",
IF(LEFT(B272,6)="J CD O","Juvenile Compact Disc",
IF(AND(LEFT(B272,4)="TEEN",D272="Fiction"),"Teen Fiction",
IF(D272="DVD Educational","Nonfiction",
IF(D272="Juvenile DVD Educational","Nonfiction",
IF(D272="Reference","Nonfiction",
D272))))))))))))))))))))))))))))))))))))))))))</f>
        <v/>
      </c>
    </row>
    <row r="273" spans="1:14" ht="27" customHeight="1" x14ac:dyDescent="0.25">
      <c r="A273" s="10" t="str">
        <f ca="1">TEXT( INDIRECT( ADDRESS( ROW() + Row_Offset, INDIRECT( "Column_Number_" &amp; A$1), 4,1, tabname) ), "")</f>
        <v/>
      </c>
      <c r="B273" s="10" t="str">
        <f ca="1">TEXT(  IFERROR( VLOOKUP( $D273, CollName_Simplifier_Table[], 2, FALSE),"") &amp;
        INDIRECT( ADDRESS( ROW() + Row_Offset, INDIRECT( "Column_Number_" &amp; $B$1), 4,1, tabname) ), "")</f>
        <v/>
      </c>
      <c r="C273" s="10" t="str">
        <f ca="1">TEXT( INDIRECT( ADDRESS( ROW() + Row_Offset, INDIRECT( "Column_Number_" &amp; C$1), 4,1, tabname) ), "")</f>
        <v/>
      </c>
      <c r="D273" s="10" t="str">
        <f ca="1">TEXT( INDIRECT( ADDRESS( ROW() + Row_Offset, INDIRECT( "Column_Number_" &amp; D$1), 4,1, tabname) ), "")</f>
        <v/>
      </c>
      <c r="E273" s="10" t="str">
        <f ca="1">TEXT( INDIRECT( ADDRESS( ROW() + Row_Offset, INDIRECT( "Column_Number_" &amp; E$1), 4,1, tabname) ), "####")</f>
        <v/>
      </c>
      <c r="F273" s="15"/>
      <c r="G273" s="22" t="str">
        <f ca="1">IFERROR(INDEX(Rank_Table[],MATCH($D273&amp;$A273,Table4[Join],0)),"")</f>
        <v/>
      </c>
      <c r="H273" s="11" t="str">
        <f ca="1">IF(AND(D273="Juvenile Audiobook",LEFT(B273,8)="J CD BIO"),RIGHT(B273,LEN(B273)-9),
IF(AND(D273="Juvenile Audiobook",LEFT(B273,8)="J CD FIC"),B273,
IF(D273="Juvenile Audiobook",RIGHT(B273,LEN(B273)-5),
IF(AND(D273="Teen Audiobook",LEFT(B273,11)="TEEN CD BIO"),RIGHT(B273,LEN(B273)-12),
IF(AND(D273="Teen Audiobook",LEFT(B273,11)="TEEN CD FIC"),B273,
IF(D273="Juvenile Audiobook",RIGHT(B273,LEN(B273)-8),
IF(D273="Juvenile Nonfiction",RIGHT(B273,LEN(B273)-2),
IF(D273="Teen Nonfiction",RIGHT(B273,LEN(B273)-5),
IF(AND(D273="Audiobook",
              NOT(OR(Contains($B273,"CD BIO"),Contains($B273,"CD FIC")))),RIGHT(B273,LEN(B273)-3),
IF(D273="Juvenile Biography",RIGHT(B273,LEN(B273)-2),
IF(D273="Teen Biography",RIGHT(B273,LEN(B273)-5),
IF(AND(D273="Audiobook",
              IFERROR(FIND("BIO",$B273)&gt;0,FALSE)),RIGHT(B273,LEN(B273)-3),
IF(D273="Juvenile Large Type","J "&amp;RIGHT(B273,LEN(B273)-11),
IF(D273="Teen Large Type","TEEN "&amp;RIGHT(B273,LEN(B273)-14),
IF(D273="Reference",RIGHT(B273,LEN(B273)-4),
IF(D273="DVD Educational",RIGHT(B273,LEN(B273)-7),
IF(D273="Juvenile DVD Educational",RIGHT(B273,LEN(B273)-9),
B273)))))))))))))))))</f>
        <v/>
      </c>
      <c r="N273" s="11" t="str">
        <f ca="1">IF(IFERROR(FIND("New",$A273)&gt;0,FALSE),"New ","") &amp; IF(IFERROR(FIND("In Lib",$A273)&gt;0,FALSE),"Reference ","") &amp;
IF(AND(D273="Audiobook",LEFT(B273,6)="CD BIO"),"Biography",
IF(AND(D273="Teen Audiobook",LEFT(B273,11)="TEEN CD BIO"),"Biography",
IF(AND(D273="Juvenile Audiobook",LEFT(B273,8)="J CD BIO"),"Biography",
IF(AND(D273="Audiobook",LEFT(B273,6)="CD FIC"),"Audiobook Fiction",
IF(AND(D273="Teen Audiobook",LEFT(B273,11)="TEEN CD FIC"),"Teen Audiobook",
IF(AND(D273="Juvenile Audiobook",LEFT(B273,8)="J CD FIC"),"Juvenile Audiobook",
IF(D273="Audiobook","Nonfiction",
IF(D273="Juvenile Audiobook","Nonfiction",
IF(D273="Teen Audiobook","Nonfiction",
IF(D273="Juvenile Nonfiction","Nonfiction",
IF(D273="Teen Nonfiction","Nonfiction",
IF(D273="Juvenile Biography","Biography",
IF(D273="Teen Biography","Biography",
IF(D273="ESL","Nonfiction",
IF(LEFT(B273,11)="INTL-VIE J ","International Juvenile",IF(LEFT(B273,11)="INTL-TAG J ","International Juvenile",IF(LEFT(B273,11)="INTL-RUS J ","International Juvenile",IF(LEFT(B273,11)="INTL-KOR J ","International Juvenile",IF(LEFT(B273,11)="INTL-JAP J ","International Juvenile",IF(LEFT(B273,11)="INTL-CHI J ","International Juvenile",IF(LEFT(B273,11)="INTL-SPA J ","International Juvenile",IF(LEFT(B273,14)="INTL-VIE TEEN ","International Teen",IF(LEFT(B273,14)="INTL-TAG TEEN ","International Teen",IF(LEFT(B273,14)="INTL-RUS TEEN ","International Teen",IF(LEFT(B273,14)="INTL-KOR TEEN ","International Teen",IF(LEFT(B273,14)="INTL-JAP TEEN ","International Teen",IF(LEFT(B273,14)="INTL-CHI TEEN ","International Teen",IF(LEFT(B273,14)="INTL-SPA TEEN ","International Teen",IF(LEFT(B273,11)="INTL-VIE E ","International Easy",IF(LEFT(B273,11)="INTL-TAG E ","International Easy",IF(LEFT(B273,11)="INTL-RUS E ","International Easy",IF(LEFT(B273,11)="INTL-JAP E ","International Easy",IF(LEFT(B273,11)="INTL-KOR E ","International Easy",IF(LEFT(B273,11)="INTL-CHI E ","International Easy",IF(LEFT(B273,11)="INTL-SPA E ","International Easy",
IF(D273="Teen Large Type","Teen Fiction",
IF(D273="Juvenile Large Type","Juvenile Fiction",
IF(LEFT(B273,6)="J CD O","Juvenile Compact Disc",
IF(AND(LEFT(B273,4)="TEEN",D273="Fiction"),"Teen Fiction",
IF(D273="DVD Educational","Nonfiction",
IF(D273="Juvenile DVD Educational","Nonfiction",
IF(D273="Reference","Nonfiction",
D273))))))))))))))))))))))))))))))))))))))))))</f>
        <v/>
      </c>
    </row>
    <row r="274" spans="1:14" ht="27" customHeight="1" x14ac:dyDescent="0.25">
      <c r="A274" s="10" t="str">
        <f ca="1">TEXT( INDIRECT( ADDRESS( ROW() + Row_Offset, INDIRECT( "Column_Number_" &amp; A$1), 4,1, tabname) ), "")</f>
        <v/>
      </c>
      <c r="B274" s="10" t="str">
        <f ca="1">TEXT(  IFERROR( VLOOKUP( $D274, CollName_Simplifier_Table[], 2, FALSE),"") &amp;
        INDIRECT( ADDRESS( ROW() + Row_Offset, INDIRECT( "Column_Number_" &amp; $B$1), 4,1, tabname) ), "")</f>
        <v/>
      </c>
      <c r="C274" s="10" t="str">
        <f ca="1">TEXT( INDIRECT( ADDRESS( ROW() + Row_Offset, INDIRECT( "Column_Number_" &amp; C$1), 4,1, tabname) ), "")</f>
        <v/>
      </c>
      <c r="D274" s="10" t="str">
        <f ca="1">TEXT( INDIRECT( ADDRESS( ROW() + Row_Offset, INDIRECT( "Column_Number_" &amp; D$1), 4,1, tabname) ), "")</f>
        <v/>
      </c>
      <c r="E274" s="10" t="str">
        <f ca="1">TEXT( INDIRECT( ADDRESS( ROW() + Row_Offset, INDIRECT( "Column_Number_" &amp; E$1), 4,1, tabname) ), "####")</f>
        <v/>
      </c>
      <c r="F274" s="15"/>
      <c r="G274" s="22" t="str">
        <f ca="1">IFERROR(INDEX(Rank_Table[],MATCH($D274&amp;$A274,Table4[Join],0)),"")</f>
        <v/>
      </c>
      <c r="H274" s="11" t="str">
        <f ca="1">IF(AND(D274="Juvenile Audiobook",LEFT(B274,8)="J CD BIO"),RIGHT(B274,LEN(B274)-9),
IF(AND(D274="Juvenile Audiobook",LEFT(B274,8)="J CD FIC"),B274,
IF(D274="Juvenile Audiobook",RIGHT(B274,LEN(B274)-5),
IF(AND(D274="Teen Audiobook",LEFT(B274,11)="TEEN CD BIO"),RIGHT(B274,LEN(B274)-12),
IF(AND(D274="Teen Audiobook",LEFT(B274,11)="TEEN CD FIC"),B274,
IF(D274="Juvenile Audiobook",RIGHT(B274,LEN(B274)-8),
IF(D274="Juvenile Nonfiction",RIGHT(B274,LEN(B274)-2),
IF(D274="Teen Nonfiction",RIGHT(B274,LEN(B274)-5),
IF(AND(D274="Audiobook",
              NOT(OR(Contains($B274,"CD BIO"),Contains($B274,"CD FIC")))),RIGHT(B274,LEN(B274)-3),
IF(D274="Juvenile Biography",RIGHT(B274,LEN(B274)-2),
IF(D274="Teen Biography",RIGHT(B274,LEN(B274)-5),
IF(AND(D274="Audiobook",
              IFERROR(FIND("BIO",$B274)&gt;0,FALSE)),RIGHT(B274,LEN(B274)-3),
IF(D274="Juvenile Large Type","J "&amp;RIGHT(B274,LEN(B274)-11),
IF(D274="Teen Large Type","TEEN "&amp;RIGHT(B274,LEN(B274)-14),
IF(D274="Reference",RIGHT(B274,LEN(B274)-4),
IF(D274="DVD Educational",RIGHT(B274,LEN(B274)-7),
IF(D274="Juvenile DVD Educational",RIGHT(B274,LEN(B274)-9),
B274)))))))))))))))))</f>
        <v/>
      </c>
      <c r="N274" s="11" t="str">
        <f ca="1">IF(IFERROR(FIND("New",$A274)&gt;0,FALSE),"New ","") &amp; IF(IFERROR(FIND("In Lib",$A274)&gt;0,FALSE),"Reference ","") &amp;
IF(AND(D274="Audiobook",LEFT(B274,6)="CD BIO"),"Biography",
IF(AND(D274="Teen Audiobook",LEFT(B274,11)="TEEN CD BIO"),"Biography",
IF(AND(D274="Juvenile Audiobook",LEFT(B274,8)="J CD BIO"),"Biography",
IF(AND(D274="Audiobook",LEFT(B274,6)="CD FIC"),"Audiobook Fiction",
IF(AND(D274="Teen Audiobook",LEFT(B274,11)="TEEN CD FIC"),"Teen Audiobook",
IF(AND(D274="Juvenile Audiobook",LEFT(B274,8)="J CD FIC"),"Juvenile Audiobook",
IF(D274="Audiobook","Nonfiction",
IF(D274="Juvenile Audiobook","Nonfiction",
IF(D274="Teen Audiobook","Nonfiction",
IF(D274="Juvenile Nonfiction","Nonfiction",
IF(D274="Teen Nonfiction","Nonfiction",
IF(D274="Juvenile Biography","Biography",
IF(D274="Teen Biography","Biography",
IF(D274="ESL","Nonfiction",
IF(LEFT(B274,11)="INTL-VIE J ","International Juvenile",IF(LEFT(B274,11)="INTL-TAG J ","International Juvenile",IF(LEFT(B274,11)="INTL-RUS J ","International Juvenile",IF(LEFT(B274,11)="INTL-KOR J ","International Juvenile",IF(LEFT(B274,11)="INTL-JAP J ","International Juvenile",IF(LEFT(B274,11)="INTL-CHI J ","International Juvenile",IF(LEFT(B274,11)="INTL-SPA J ","International Juvenile",IF(LEFT(B274,14)="INTL-VIE TEEN ","International Teen",IF(LEFT(B274,14)="INTL-TAG TEEN ","International Teen",IF(LEFT(B274,14)="INTL-RUS TEEN ","International Teen",IF(LEFT(B274,14)="INTL-KOR TEEN ","International Teen",IF(LEFT(B274,14)="INTL-JAP TEEN ","International Teen",IF(LEFT(B274,14)="INTL-CHI TEEN ","International Teen",IF(LEFT(B274,14)="INTL-SPA TEEN ","International Teen",IF(LEFT(B274,11)="INTL-VIE E ","International Easy",IF(LEFT(B274,11)="INTL-TAG E ","International Easy",IF(LEFT(B274,11)="INTL-RUS E ","International Easy",IF(LEFT(B274,11)="INTL-JAP E ","International Easy",IF(LEFT(B274,11)="INTL-KOR E ","International Easy",IF(LEFT(B274,11)="INTL-CHI E ","International Easy",IF(LEFT(B274,11)="INTL-SPA E ","International Easy",
IF(D274="Teen Large Type","Teen Fiction",
IF(D274="Juvenile Large Type","Juvenile Fiction",
IF(LEFT(B274,6)="J CD O","Juvenile Compact Disc",
IF(AND(LEFT(B274,4)="TEEN",D274="Fiction"),"Teen Fiction",
IF(D274="DVD Educational","Nonfiction",
IF(D274="Juvenile DVD Educational","Nonfiction",
IF(D274="Reference","Nonfiction",
D274))))))))))))))))))))))))))))))))))))))))))</f>
        <v/>
      </c>
    </row>
    <row r="275" spans="1:14" ht="27" customHeight="1" x14ac:dyDescent="0.25">
      <c r="A275" s="10" t="str">
        <f ca="1">TEXT( INDIRECT( ADDRESS( ROW() + Row_Offset, INDIRECT( "Column_Number_" &amp; A$1), 4,1, tabname) ), "")</f>
        <v/>
      </c>
      <c r="B275" s="10" t="str">
        <f ca="1">TEXT(  IFERROR( VLOOKUP( $D275, CollName_Simplifier_Table[], 2, FALSE),"") &amp;
        INDIRECT( ADDRESS( ROW() + Row_Offset, INDIRECT( "Column_Number_" &amp; $B$1), 4,1, tabname) ), "")</f>
        <v/>
      </c>
      <c r="C275" s="10" t="str">
        <f ca="1">TEXT( INDIRECT( ADDRESS( ROW() + Row_Offset, INDIRECT( "Column_Number_" &amp; C$1), 4,1, tabname) ), "")</f>
        <v/>
      </c>
      <c r="D275" s="10" t="str">
        <f ca="1">TEXT( INDIRECT( ADDRESS( ROW() + Row_Offset, INDIRECT( "Column_Number_" &amp; D$1), 4,1, tabname) ), "")</f>
        <v/>
      </c>
      <c r="E275" s="10" t="str">
        <f ca="1">TEXT( INDIRECT( ADDRESS( ROW() + Row_Offset, INDIRECT( "Column_Number_" &amp; E$1), 4,1, tabname) ), "####")</f>
        <v/>
      </c>
      <c r="F275" s="15"/>
      <c r="G275" s="22" t="str">
        <f ca="1">IFERROR(INDEX(Rank_Table[],MATCH($D275&amp;$A275,Table4[Join],0)),"")</f>
        <v/>
      </c>
      <c r="H275" s="11" t="str">
        <f ca="1">IF(AND(D275="Juvenile Audiobook",LEFT(B275,8)="J CD BIO"),RIGHT(B275,LEN(B275)-9),
IF(AND(D275="Juvenile Audiobook",LEFT(B275,8)="J CD FIC"),B275,
IF(D275="Juvenile Audiobook",RIGHT(B275,LEN(B275)-5),
IF(AND(D275="Teen Audiobook",LEFT(B275,11)="TEEN CD BIO"),RIGHT(B275,LEN(B275)-12),
IF(AND(D275="Teen Audiobook",LEFT(B275,11)="TEEN CD FIC"),B275,
IF(D275="Juvenile Audiobook",RIGHT(B275,LEN(B275)-8),
IF(D275="Juvenile Nonfiction",RIGHT(B275,LEN(B275)-2),
IF(D275="Teen Nonfiction",RIGHT(B275,LEN(B275)-5),
IF(AND(D275="Audiobook",
              NOT(OR(Contains($B275,"CD BIO"),Contains($B275,"CD FIC")))),RIGHT(B275,LEN(B275)-3),
IF(D275="Juvenile Biography",RIGHT(B275,LEN(B275)-2),
IF(D275="Teen Biography",RIGHT(B275,LEN(B275)-5),
IF(AND(D275="Audiobook",
              IFERROR(FIND("BIO",$B275)&gt;0,FALSE)),RIGHT(B275,LEN(B275)-3),
IF(D275="Juvenile Large Type","J "&amp;RIGHT(B275,LEN(B275)-11),
IF(D275="Teen Large Type","TEEN "&amp;RIGHT(B275,LEN(B275)-14),
IF(D275="Reference",RIGHT(B275,LEN(B275)-4),
IF(D275="DVD Educational",RIGHT(B275,LEN(B275)-7),
IF(D275="Juvenile DVD Educational",RIGHT(B275,LEN(B275)-9),
B275)))))))))))))))))</f>
        <v/>
      </c>
      <c r="N275" s="11" t="str">
        <f ca="1">IF(IFERROR(FIND("New",$A275)&gt;0,FALSE),"New ","") &amp; IF(IFERROR(FIND("In Lib",$A275)&gt;0,FALSE),"Reference ","") &amp;
IF(AND(D275="Audiobook",LEFT(B275,6)="CD BIO"),"Biography",
IF(AND(D275="Teen Audiobook",LEFT(B275,11)="TEEN CD BIO"),"Biography",
IF(AND(D275="Juvenile Audiobook",LEFT(B275,8)="J CD BIO"),"Biography",
IF(AND(D275="Audiobook",LEFT(B275,6)="CD FIC"),"Audiobook Fiction",
IF(AND(D275="Teen Audiobook",LEFT(B275,11)="TEEN CD FIC"),"Teen Audiobook",
IF(AND(D275="Juvenile Audiobook",LEFT(B275,8)="J CD FIC"),"Juvenile Audiobook",
IF(D275="Audiobook","Nonfiction",
IF(D275="Juvenile Audiobook","Nonfiction",
IF(D275="Teen Audiobook","Nonfiction",
IF(D275="Juvenile Nonfiction","Nonfiction",
IF(D275="Teen Nonfiction","Nonfiction",
IF(D275="Juvenile Biography","Biography",
IF(D275="Teen Biography","Biography",
IF(D275="ESL","Nonfiction",
IF(LEFT(B275,11)="INTL-VIE J ","International Juvenile",IF(LEFT(B275,11)="INTL-TAG J ","International Juvenile",IF(LEFT(B275,11)="INTL-RUS J ","International Juvenile",IF(LEFT(B275,11)="INTL-KOR J ","International Juvenile",IF(LEFT(B275,11)="INTL-JAP J ","International Juvenile",IF(LEFT(B275,11)="INTL-CHI J ","International Juvenile",IF(LEFT(B275,11)="INTL-SPA J ","International Juvenile",IF(LEFT(B275,14)="INTL-VIE TEEN ","International Teen",IF(LEFT(B275,14)="INTL-TAG TEEN ","International Teen",IF(LEFT(B275,14)="INTL-RUS TEEN ","International Teen",IF(LEFT(B275,14)="INTL-KOR TEEN ","International Teen",IF(LEFT(B275,14)="INTL-JAP TEEN ","International Teen",IF(LEFT(B275,14)="INTL-CHI TEEN ","International Teen",IF(LEFT(B275,14)="INTL-SPA TEEN ","International Teen",IF(LEFT(B275,11)="INTL-VIE E ","International Easy",IF(LEFT(B275,11)="INTL-TAG E ","International Easy",IF(LEFT(B275,11)="INTL-RUS E ","International Easy",IF(LEFT(B275,11)="INTL-JAP E ","International Easy",IF(LEFT(B275,11)="INTL-KOR E ","International Easy",IF(LEFT(B275,11)="INTL-CHI E ","International Easy",IF(LEFT(B275,11)="INTL-SPA E ","International Easy",
IF(D275="Teen Large Type","Teen Fiction",
IF(D275="Juvenile Large Type","Juvenile Fiction",
IF(LEFT(B275,6)="J CD O","Juvenile Compact Disc",
IF(AND(LEFT(B275,4)="TEEN",D275="Fiction"),"Teen Fiction",
IF(D275="DVD Educational","Nonfiction",
IF(D275="Juvenile DVD Educational","Nonfiction",
IF(D275="Reference","Nonfiction",
D275))))))))))))))))))))))))))))))))))))))))))</f>
        <v/>
      </c>
    </row>
    <row r="276" spans="1:14" ht="27" customHeight="1" x14ac:dyDescent="0.25">
      <c r="A276" s="10" t="str">
        <f ca="1">TEXT( INDIRECT( ADDRESS( ROW() + Row_Offset, INDIRECT( "Column_Number_" &amp; A$1), 4,1, tabname) ), "")</f>
        <v/>
      </c>
      <c r="B276" s="10" t="str">
        <f ca="1">TEXT(  IFERROR( VLOOKUP( $D276, CollName_Simplifier_Table[], 2, FALSE),"") &amp;
        INDIRECT( ADDRESS( ROW() + Row_Offset, INDIRECT( "Column_Number_" &amp; $B$1), 4,1, tabname) ), "")</f>
        <v/>
      </c>
      <c r="C276" s="10" t="str">
        <f ca="1">TEXT( INDIRECT( ADDRESS( ROW() + Row_Offset, INDIRECT( "Column_Number_" &amp; C$1), 4,1, tabname) ), "")</f>
        <v/>
      </c>
      <c r="D276" s="10" t="str">
        <f ca="1">TEXT( INDIRECT( ADDRESS( ROW() + Row_Offset, INDIRECT( "Column_Number_" &amp; D$1), 4,1, tabname) ), "")</f>
        <v/>
      </c>
      <c r="E276" s="10" t="str">
        <f ca="1">TEXT( INDIRECT( ADDRESS( ROW() + Row_Offset, INDIRECT( "Column_Number_" &amp; E$1), 4,1, tabname) ), "####")</f>
        <v/>
      </c>
      <c r="F276" s="15"/>
      <c r="G276" s="22" t="str">
        <f ca="1">IFERROR(INDEX(Rank_Table[],MATCH($D276&amp;$A276,Table4[Join],0)),"")</f>
        <v/>
      </c>
      <c r="H276" s="11" t="str">
        <f ca="1">IF(AND(D276="Juvenile Audiobook",LEFT(B276,8)="J CD BIO"),RIGHT(B276,LEN(B276)-9),
IF(AND(D276="Juvenile Audiobook",LEFT(B276,8)="J CD FIC"),B276,
IF(D276="Juvenile Audiobook",RIGHT(B276,LEN(B276)-5),
IF(AND(D276="Teen Audiobook",LEFT(B276,11)="TEEN CD BIO"),RIGHT(B276,LEN(B276)-12),
IF(AND(D276="Teen Audiobook",LEFT(B276,11)="TEEN CD FIC"),B276,
IF(D276="Juvenile Audiobook",RIGHT(B276,LEN(B276)-8),
IF(D276="Juvenile Nonfiction",RIGHT(B276,LEN(B276)-2),
IF(D276="Teen Nonfiction",RIGHT(B276,LEN(B276)-5),
IF(AND(D276="Audiobook",
              NOT(OR(Contains($B276,"CD BIO"),Contains($B276,"CD FIC")))),RIGHT(B276,LEN(B276)-3),
IF(D276="Juvenile Biography",RIGHT(B276,LEN(B276)-2),
IF(D276="Teen Biography",RIGHT(B276,LEN(B276)-5),
IF(AND(D276="Audiobook",
              IFERROR(FIND("BIO",$B276)&gt;0,FALSE)),RIGHT(B276,LEN(B276)-3),
IF(D276="Juvenile Large Type","J "&amp;RIGHT(B276,LEN(B276)-11),
IF(D276="Teen Large Type","TEEN "&amp;RIGHT(B276,LEN(B276)-14),
IF(D276="Reference",RIGHT(B276,LEN(B276)-4),
IF(D276="DVD Educational",RIGHT(B276,LEN(B276)-7),
IF(D276="Juvenile DVD Educational",RIGHT(B276,LEN(B276)-9),
B276)))))))))))))))))</f>
        <v/>
      </c>
      <c r="N276" s="11" t="str">
        <f ca="1">IF(IFERROR(FIND("New",$A276)&gt;0,FALSE),"New ","") &amp; IF(IFERROR(FIND("In Lib",$A276)&gt;0,FALSE),"Reference ","") &amp;
IF(AND(D276="Audiobook",LEFT(B276,6)="CD BIO"),"Biography",
IF(AND(D276="Teen Audiobook",LEFT(B276,11)="TEEN CD BIO"),"Biography",
IF(AND(D276="Juvenile Audiobook",LEFT(B276,8)="J CD BIO"),"Biography",
IF(AND(D276="Audiobook",LEFT(B276,6)="CD FIC"),"Audiobook Fiction",
IF(AND(D276="Teen Audiobook",LEFT(B276,11)="TEEN CD FIC"),"Teen Audiobook",
IF(AND(D276="Juvenile Audiobook",LEFT(B276,8)="J CD FIC"),"Juvenile Audiobook",
IF(D276="Audiobook","Nonfiction",
IF(D276="Juvenile Audiobook","Nonfiction",
IF(D276="Teen Audiobook","Nonfiction",
IF(D276="Juvenile Nonfiction","Nonfiction",
IF(D276="Teen Nonfiction","Nonfiction",
IF(D276="Juvenile Biography","Biography",
IF(D276="Teen Biography","Biography",
IF(D276="ESL","Nonfiction",
IF(LEFT(B276,11)="INTL-VIE J ","International Juvenile",IF(LEFT(B276,11)="INTL-TAG J ","International Juvenile",IF(LEFT(B276,11)="INTL-RUS J ","International Juvenile",IF(LEFT(B276,11)="INTL-KOR J ","International Juvenile",IF(LEFT(B276,11)="INTL-JAP J ","International Juvenile",IF(LEFT(B276,11)="INTL-CHI J ","International Juvenile",IF(LEFT(B276,11)="INTL-SPA J ","International Juvenile",IF(LEFT(B276,14)="INTL-VIE TEEN ","International Teen",IF(LEFT(B276,14)="INTL-TAG TEEN ","International Teen",IF(LEFT(B276,14)="INTL-RUS TEEN ","International Teen",IF(LEFT(B276,14)="INTL-KOR TEEN ","International Teen",IF(LEFT(B276,14)="INTL-JAP TEEN ","International Teen",IF(LEFT(B276,14)="INTL-CHI TEEN ","International Teen",IF(LEFT(B276,14)="INTL-SPA TEEN ","International Teen",IF(LEFT(B276,11)="INTL-VIE E ","International Easy",IF(LEFT(B276,11)="INTL-TAG E ","International Easy",IF(LEFT(B276,11)="INTL-RUS E ","International Easy",IF(LEFT(B276,11)="INTL-JAP E ","International Easy",IF(LEFT(B276,11)="INTL-KOR E ","International Easy",IF(LEFT(B276,11)="INTL-CHI E ","International Easy",IF(LEFT(B276,11)="INTL-SPA E ","International Easy",
IF(D276="Teen Large Type","Teen Fiction",
IF(D276="Juvenile Large Type","Juvenile Fiction",
IF(LEFT(B276,6)="J CD O","Juvenile Compact Disc",
IF(AND(LEFT(B276,4)="TEEN",D276="Fiction"),"Teen Fiction",
IF(D276="DVD Educational","Nonfiction",
IF(D276="Juvenile DVD Educational","Nonfiction",
IF(D276="Reference","Nonfiction",
D276))))))))))))))))))))))))))))))))))))))))))</f>
        <v/>
      </c>
    </row>
    <row r="277" spans="1:14" ht="27" customHeight="1" x14ac:dyDescent="0.25">
      <c r="A277" s="10" t="str">
        <f ca="1">TEXT( INDIRECT( ADDRESS( ROW() + Row_Offset, INDIRECT( "Column_Number_" &amp; A$1), 4,1, tabname) ), "")</f>
        <v/>
      </c>
      <c r="B277" s="10" t="str">
        <f ca="1">TEXT(  IFERROR( VLOOKUP( $D277, CollName_Simplifier_Table[], 2, FALSE),"") &amp;
        INDIRECT( ADDRESS( ROW() + Row_Offset, INDIRECT( "Column_Number_" &amp; $B$1), 4,1, tabname) ), "")</f>
        <v/>
      </c>
      <c r="C277" s="10" t="str">
        <f ca="1">TEXT( INDIRECT( ADDRESS( ROW() + Row_Offset, INDIRECT( "Column_Number_" &amp; C$1), 4,1, tabname) ), "")</f>
        <v/>
      </c>
      <c r="D277" s="10" t="str">
        <f ca="1">TEXT( INDIRECT( ADDRESS( ROW() + Row_Offset, INDIRECT( "Column_Number_" &amp; D$1), 4,1, tabname) ), "")</f>
        <v/>
      </c>
      <c r="E277" s="10" t="str">
        <f ca="1">TEXT( INDIRECT( ADDRESS( ROW() + Row_Offset, INDIRECT( "Column_Number_" &amp; E$1), 4,1, tabname) ), "####")</f>
        <v/>
      </c>
      <c r="F277" s="15"/>
      <c r="G277" s="22" t="str">
        <f ca="1">IFERROR(INDEX(Rank_Table[],MATCH($D277&amp;$A277,Table4[Join],0)),"")</f>
        <v/>
      </c>
      <c r="H277" s="11" t="str">
        <f ca="1">IF(AND(D277="Juvenile Audiobook",LEFT(B277,8)="J CD BIO"),RIGHT(B277,LEN(B277)-9),
IF(AND(D277="Juvenile Audiobook",LEFT(B277,8)="J CD FIC"),B277,
IF(D277="Juvenile Audiobook",RIGHT(B277,LEN(B277)-5),
IF(AND(D277="Teen Audiobook",LEFT(B277,11)="TEEN CD BIO"),RIGHT(B277,LEN(B277)-12),
IF(AND(D277="Teen Audiobook",LEFT(B277,11)="TEEN CD FIC"),B277,
IF(D277="Juvenile Audiobook",RIGHT(B277,LEN(B277)-8),
IF(D277="Juvenile Nonfiction",RIGHT(B277,LEN(B277)-2),
IF(D277="Teen Nonfiction",RIGHT(B277,LEN(B277)-5),
IF(AND(D277="Audiobook",
              NOT(OR(Contains($B277,"CD BIO"),Contains($B277,"CD FIC")))),RIGHT(B277,LEN(B277)-3),
IF(D277="Juvenile Biography",RIGHT(B277,LEN(B277)-2),
IF(D277="Teen Biography",RIGHT(B277,LEN(B277)-5),
IF(AND(D277="Audiobook",
              IFERROR(FIND("BIO",$B277)&gt;0,FALSE)),RIGHT(B277,LEN(B277)-3),
IF(D277="Juvenile Large Type","J "&amp;RIGHT(B277,LEN(B277)-11),
IF(D277="Teen Large Type","TEEN "&amp;RIGHT(B277,LEN(B277)-14),
IF(D277="Reference",RIGHT(B277,LEN(B277)-4),
IF(D277="DVD Educational",RIGHT(B277,LEN(B277)-7),
IF(D277="Juvenile DVD Educational",RIGHT(B277,LEN(B277)-9),
B277)))))))))))))))))</f>
        <v/>
      </c>
      <c r="N277" s="11" t="str">
        <f ca="1">IF(IFERROR(FIND("New",$A277)&gt;0,FALSE),"New ","") &amp; IF(IFERROR(FIND("In Lib",$A277)&gt;0,FALSE),"Reference ","") &amp;
IF(AND(D277="Audiobook",LEFT(B277,6)="CD BIO"),"Biography",
IF(AND(D277="Teen Audiobook",LEFT(B277,11)="TEEN CD BIO"),"Biography",
IF(AND(D277="Juvenile Audiobook",LEFT(B277,8)="J CD BIO"),"Biography",
IF(AND(D277="Audiobook",LEFT(B277,6)="CD FIC"),"Audiobook Fiction",
IF(AND(D277="Teen Audiobook",LEFT(B277,11)="TEEN CD FIC"),"Teen Audiobook",
IF(AND(D277="Juvenile Audiobook",LEFT(B277,8)="J CD FIC"),"Juvenile Audiobook",
IF(D277="Audiobook","Nonfiction",
IF(D277="Juvenile Audiobook","Nonfiction",
IF(D277="Teen Audiobook","Nonfiction",
IF(D277="Juvenile Nonfiction","Nonfiction",
IF(D277="Teen Nonfiction","Nonfiction",
IF(D277="Juvenile Biography","Biography",
IF(D277="Teen Biography","Biography",
IF(D277="ESL","Nonfiction",
IF(LEFT(B277,11)="INTL-VIE J ","International Juvenile",IF(LEFT(B277,11)="INTL-TAG J ","International Juvenile",IF(LEFT(B277,11)="INTL-RUS J ","International Juvenile",IF(LEFT(B277,11)="INTL-KOR J ","International Juvenile",IF(LEFT(B277,11)="INTL-JAP J ","International Juvenile",IF(LEFT(B277,11)="INTL-CHI J ","International Juvenile",IF(LEFT(B277,11)="INTL-SPA J ","International Juvenile",IF(LEFT(B277,14)="INTL-VIE TEEN ","International Teen",IF(LEFT(B277,14)="INTL-TAG TEEN ","International Teen",IF(LEFT(B277,14)="INTL-RUS TEEN ","International Teen",IF(LEFT(B277,14)="INTL-KOR TEEN ","International Teen",IF(LEFT(B277,14)="INTL-JAP TEEN ","International Teen",IF(LEFT(B277,14)="INTL-CHI TEEN ","International Teen",IF(LEFT(B277,14)="INTL-SPA TEEN ","International Teen",IF(LEFT(B277,11)="INTL-VIE E ","International Easy",IF(LEFT(B277,11)="INTL-TAG E ","International Easy",IF(LEFT(B277,11)="INTL-RUS E ","International Easy",IF(LEFT(B277,11)="INTL-JAP E ","International Easy",IF(LEFT(B277,11)="INTL-KOR E ","International Easy",IF(LEFT(B277,11)="INTL-CHI E ","International Easy",IF(LEFT(B277,11)="INTL-SPA E ","International Easy",
IF(D277="Teen Large Type","Teen Fiction",
IF(D277="Juvenile Large Type","Juvenile Fiction",
IF(LEFT(B277,6)="J CD O","Juvenile Compact Disc",
IF(AND(LEFT(B277,4)="TEEN",D277="Fiction"),"Teen Fiction",
IF(D277="DVD Educational","Nonfiction",
IF(D277="Juvenile DVD Educational","Nonfiction",
IF(D277="Reference","Nonfiction",
D277))))))))))))))))))))))))))))))))))))))))))</f>
        <v/>
      </c>
    </row>
    <row r="278" spans="1:14" ht="27" customHeight="1" x14ac:dyDescent="0.25">
      <c r="A278" s="10" t="str">
        <f ca="1">TEXT( INDIRECT( ADDRESS( ROW() + Row_Offset, INDIRECT( "Column_Number_" &amp; A$1), 4,1, tabname) ), "")</f>
        <v/>
      </c>
      <c r="B278" s="10" t="str">
        <f ca="1">TEXT(  IFERROR( VLOOKUP( $D278, CollName_Simplifier_Table[], 2, FALSE),"") &amp;
        INDIRECT( ADDRESS( ROW() + Row_Offset, INDIRECT( "Column_Number_" &amp; $B$1), 4,1, tabname) ), "")</f>
        <v/>
      </c>
      <c r="C278" s="10" t="str">
        <f ca="1">TEXT( INDIRECT( ADDRESS( ROW() + Row_Offset, INDIRECT( "Column_Number_" &amp; C$1), 4,1, tabname) ), "")</f>
        <v/>
      </c>
      <c r="D278" s="10" t="str">
        <f ca="1">TEXT( INDIRECT( ADDRESS( ROW() + Row_Offset, INDIRECT( "Column_Number_" &amp; D$1), 4,1, tabname) ), "")</f>
        <v/>
      </c>
      <c r="E278" s="10" t="str">
        <f ca="1">TEXT( INDIRECT( ADDRESS( ROW() + Row_Offset, INDIRECT( "Column_Number_" &amp; E$1), 4,1, tabname) ), "####")</f>
        <v/>
      </c>
      <c r="F278" s="15"/>
      <c r="G278" s="22" t="str">
        <f ca="1">IFERROR(INDEX(Rank_Table[],MATCH($D278&amp;$A278,Table4[Join],0)),"")</f>
        <v/>
      </c>
      <c r="H278" s="11" t="str">
        <f ca="1">IF(AND(D278="Juvenile Audiobook",LEFT(B278,8)="J CD BIO"),RIGHT(B278,LEN(B278)-9),
IF(AND(D278="Juvenile Audiobook",LEFT(B278,8)="J CD FIC"),B278,
IF(D278="Juvenile Audiobook",RIGHT(B278,LEN(B278)-5),
IF(AND(D278="Teen Audiobook",LEFT(B278,11)="TEEN CD BIO"),RIGHT(B278,LEN(B278)-12),
IF(AND(D278="Teen Audiobook",LEFT(B278,11)="TEEN CD FIC"),B278,
IF(D278="Juvenile Audiobook",RIGHT(B278,LEN(B278)-8),
IF(D278="Juvenile Nonfiction",RIGHT(B278,LEN(B278)-2),
IF(D278="Teen Nonfiction",RIGHT(B278,LEN(B278)-5),
IF(AND(D278="Audiobook",
              NOT(OR(Contains($B278,"CD BIO"),Contains($B278,"CD FIC")))),RIGHT(B278,LEN(B278)-3),
IF(D278="Juvenile Biography",RIGHT(B278,LEN(B278)-2),
IF(D278="Teen Biography",RIGHT(B278,LEN(B278)-5),
IF(AND(D278="Audiobook",
              IFERROR(FIND("BIO",$B278)&gt;0,FALSE)),RIGHT(B278,LEN(B278)-3),
IF(D278="Juvenile Large Type","J "&amp;RIGHT(B278,LEN(B278)-11),
IF(D278="Teen Large Type","TEEN "&amp;RIGHT(B278,LEN(B278)-14),
IF(D278="Reference",RIGHT(B278,LEN(B278)-4),
IF(D278="DVD Educational",RIGHT(B278,LEN(B278)-7),
IF(D278="Juvenile DVD Educational",RIGHT(B278,LEN(B278)-9),
B278)))))))))))))))))</f>
        <v/>
      </c>
      <c r="N278" s="11" t="str">
        <f ca="1">IF(IFERROR(FIND("New",$A278)&gt;0,FALSE),"New ","") &amp; IF(IFERROR(FIND("In Lib",$A278)&gt;0,FALSE),"Reference ","") &amp;
IF(AND(D278="Audiobook",LEFT(B278,6)="CD BIO"),"Biography",
IF(AND(D278="Teen Audiobook",LEFT(B278,11)="TEEN CD BIO"),"Biography",
IF(AND(D278="Juvenile Audiobook",LEFT(B278,8)="J CD BIO"),"Biography",
IF(AND(D278="Audiobook",LEFT(B278,6)="CD FIC"),"Audiobook Fiction",
IF(AND(D278="Teen Audiobook",LEFT(B278,11)="TEEN CD FIC"),"Teen Audiobook",
IF(AND(D278="Juvenile Audiobook",LEFT(B278,8)="J CD FIC"),"Juvenile Audiobook",
IF(D278="Audiobook","Nonfiction",
IF(D278="Juvenile Audiobook","Nonfiction",
IF(D278="Teen Audiobook","Nonfiction",
IF(D278="Juvenile Nonfiction","Nonfiction",
IF(D278="Teen Nonfiction","Nonfiction",
IF(D278="Juvenile Biography","Biography",
IF(D278="Teen Biography","Biography",
IF(D278="ESL","Nonfiction",
IF(LEFT(B278,11)="INTL-VIE J ","International Juvenile",IF(LEFT(B278,11)="INTL-TAG J ","International Juvenile",IF(LEFT(B278,11)="INTL-RUS J ","International Juvenile",IF(LEFT(B278,11)="INTL-KOR J ","International Juvenile",IF(LEFT(B278,11)="INTL-JAP J ","International Juvenile",IF(LEFT(B278,11)="INTL-CHI J ","International Juvenile",IF(LEFT(B278,11)="INTL-SPA J ","International Juvenile",IF(LEFT(B278,14)="INTL-VIE TEEN ","International Teen",IF(LEFT(B278,14)="INTL-TAG TEEN ","International Teen",IF(LEFT(B278,14)="INTL-RUS TEEN ","International Teen",IF(LEFT(B278,14)="INTL-KOR TEEN ","International Teen",IF(LEFT(B278,14)="INTL-JAP TEEN ","International Teen",IF(LEFT(B278,14)="INTL-CHI TEEN ","International Teen",IF(LEFT(B278,14)="INTL-SPA TEEN ","International Teen",IF(LEFT(B278,11)="INTL-VIE E ","International Easy",IF(LEFT(B278,11)="INTL-TAG E ","International Easy",IF(LEFT(B278,11)="INTL-RUS E ","International Easy",IF(LEFT(B278,11)="INTL-JAP E ","International Easy",IF(LEFT(B278,11)="INTL-KOR E ","International Easy",IF(LEFT(B278,11)="INTL-CHI E ","International Easy",IF(LEFT(B278,11)="INTL-SPA E ","International Easy",
IF(D278="Teen Large Type","Teen Fiction",
IF(D278="Juvenile Large Type","Juvenile Fiction",
IF(LEFT(B278,6)="J CD O","Juvenile Compact Disc",
IF(AND(LEFT(B278,4)="TEEN",D278="Fiction"),"Teen Fiction",
IF(D278="DVD Educational","Nonfiction",
IF(D278="Juvenile DVD Educational","Nonfiction",
IF(D278="Reference","Nonfiction",
D278))))))))))))))))))))))))))))))))))))))))))</f>
        <v/>
      </c>
    </row>
    <row r="279" spans="1:14" ht="27" customHeight="1" x14ac:dyDescent="0.25">
      <c r="A279" s="10" t="str">
        <f ca="1">TEXT( INDIRECT( ADDRESS( ROW() + Row_Offset, INDIRECT( "Column_Number_" &amp; A$1), 4,1, tabname) ), "")</f>
        <v/>
      </c>
      <c r="B279" s="10" t="str">
        <f ca="1">TEXT(  IFERROR( VLOOKUP( $D279, CollName_Simplifier_Table[], 2, FALSE),"") &amp;
        INDIRECT( ADDRESS( ROW() + Row_Offset, INDIRECT( "Column_Number_" &amp; $B$1), 4,1, tabname) ), "")</f>
        <v/>
      </c>
      <c r="C279" s="10" t="str">
        <f ca="1">TEXT( INDIRECT( ADDRESS( ROW() + Row_Offset, INDIRECT( "Column_Number_" &amp; C$1), 4,1, tabname) ), "")</f>
        <v/>
      </c>
      <c r="D279" s="10" t="str">
        <f ca="1">TEXT( INDIRECT( ADDRESS( ROW() + Row_Offset, INDIRECT( "Column_Number_" &amp; D$1), 4,1, tabname) ), "")</f>
        <v/>
      </c>
      <c r="E279" s="10" t="str">
        <f ca="1">TEXT( INDIRECT( ADDRESS( ROW() + Row_Offset, INDIRECT( "Column_Number_" &amp; E$1), 4,1, tabname) ), "####")</f>
        <v/>
      </c>
      <c r="F279" s="15"/>
      <c r="G279" s="22" t="str">
        <f ca="1">IFERROR(INDEX(Rank_Table[],MATCH($D279&amp;$A279,Table4[Join],0)),"")</f>
        <v/>
      </c>
      <c r="H279" s="11" t="str">
        <f ca="1">IF(AND(D279="Juvenile Audiobook",LEFT(B279,8)="J CD BIO"),RIGHT(B279,LEN(B279)-9),
IF(AND(D279="Juvenile Audiobook",LEFT(B279,8)="J CD FIC"),B279,
IF(D279="Juvenile Audiobook",RIGHT(B279,LEN(B279)-5),
IF(AND(D279="Teen Audiobook",LEFT(B279,11)="TEEN CD BIO"),RIGHT(B279,LEN(B279)-12),
IF(AND(D279="Teen Audiobook",LEFT(B279,11)="TEEN CD FIC"),B279,
IF(D279="Juvenile Audiobook",RIGHT(B279,LEN(B279)-8),
IF(D279="Juvenile Nonfiction",RIGHT(B279,LEN(B279)-2),
IF(D279="Teen Nonfiction",RIGHT(B279,LEN(B279)-5),
IF(AND(D279="Audiobook",
              NOT(OR(Contains($B279,"CD BIO"),Contains($B279,"CD FIC")))),RIGHT(B279,LEN(B279)-3),
IF(D279="Juvenile Biography",RIGHT(B279,LEN(B279)-2),
IF(D279="Teen Biography",RIGHT(B279,LEN(B279)-5),
IF(AND(D279="Audiobook",
              IFERROR(FIND("BIO",$B279)&gt;0,FALSE)),RIGHT(B279,LEN(B279)-3),
IF(D279="Juvenile Large Type","J "&amp;RIGHT(B279,LEN(B279)-11),
IF(D279="Teen Large Type","TEEN "&amp;RIGHT(B279,LEN(B279)-14),
IF(D279="Reference",RIGHT(B279,LEN(B279)-4),
IF(D279="DVD Educational",RIGHT(B279,LEN(B279)-7),
IF(D279="Juvenile DVD Educational",RIGHT(B279,LEN(B279)-9),
B279)))))))))))))))))</f>
        <v/>
      </c>
      <c r="N279" s="11" t="str">
        <f ca="1">IF(IFERROR(FIND("New",$A279)&gt;0,FALSE),"New ","") &amp; IF(IFERROR(FIND("In Lib",$A279)&gt;0,FALSE),"Reference ","") &amp;
IF(AND(D279="Audiobook",LEFT(B279,6)="CD BIO"),"Biography",
IF(AND(D279="Teen Audiobook",LEFT(B279,11)="TEEN CD BIO"),"Biography",
IF(AND(D279="Juvenile Audiobook",LEFT(B279,8)="J CD BIO"),"Biography",
IF(AND(D279="Audiobook",LEFT(B279,6)="CD FIC"),"Audiobook Fiction",
IF(AND(D279="Teen Audiobook",LEFT(B279,11)="TEEN CD FIC"),"Teen Audiobook",
IF(AND(D279="Juvenile Audiobook",LEFT(B279,8)="J CD FIC"),"Juvenile Audiobook",
IF(D279="Audiobook","Nonfiction",
IF(D279="Juvenile Audiobook","Nonfiction",
IF(D279="Teen Audiobook","Nonfiction",
IF(D279="Juvenile Nonfiction","Nonfiction",
IF(D279="Teen Nonfiction","Nonfiction",
IF(D279="Juvenile Biography","Biography",
IF(D279="Teen Biography","Biography",
IF(D279="ESL","Nonfiction",
IF(LEFT(B279,11)="INTL-VIE J ","International Juvenile",IF(LEFT(B279,11)="INTL-TAG J ","International Juvenile",IF(LEFT(B279,11)="INTL-RUS J ","International Juvenile",IF(LEFT(B279,11)="INTL-KOR J ","International Juvenile",IF(LEFT(B279,11)="INTL-JAP J ","International Juvenile",IF(LEFT(B279,11)="INTL-CHI J ","International Juvenile",IF(LEFT(B279,11)="INTL-SPA J ","International Juvenile",IF(LEFT(B279,14)="INTL-VIE TEEN ","International Teen",IF(LEFT(B279,14)="INTL-TAG TEEN ","International Teen",IF(LEFT(B279,14)="INTL-RUS TEEN ","International Teen",IF(LEFT(B279,14)="INTL-KOR TEEN ","International Teen",IF(LEFT(B279,14)="INTL-JAP TEEN ","International Teen",IF(LEFT(B279,14)="INTL-CHI TEEN ","International Teen",IF(LEFT(B279,14)="INTL-SPA TEEN ","International Teen",IF(LEFT(B279,11)="INTL-VIE E ","International Easy",IF(LEFT(B279,11)="INTL-TAG E ","International Easy",IF(LEFT(B279,11)="INTL-RUS E ","International Easy",IF(LEFT(B279,11)="INTL-JAP E ","International Easy",IF(LEFT(B279,11)="INTL-KOR E ","International Easy",IF(LEFT(B279,11)="INTL-CHI E ","International Easy",IF(LEFT(B279,11)="INTL-SPA E ","International Easy",
IF(D279="Teen Large Type","Teen Fiction",
IF(D279="Juvenile Large Type","Juvenile Fiction",
IF(LEFT(B279,6)="J CD O","Juvenile Compact Disc",
IF(AND(LEFT(B279,4)="TEEN",D279="Fiction"),"Teen Fiction",
IF(D279="DVD Educational","Nonfiction",
IF(D279="Juvenile DVD Educational","Nonfiction",
IF(D279="Reference","Nonfiction",
D279))))))))))))))))))))))))))))))))))))))))))</f>
        <v/>
      </c>
    </row>
    <row r="280" spans="1:14" ht="27" customHeight="1" x14ac:dyDescent="0.25">
      <c r="A280" s="10" t="str">
        <f ca="1">TEXT( INDIRECT( ADDRESS( ROW() + Row_Offset, INDIRECT( "Column_Number_" &amp; A$1), 4,1, tabname) ), "")</f>
        <v/>
      </c>
      <c r="B280" s="10" t="str">
        <f ca="1">TEXT(  IFERROR( VLOOKUP( $D280, CollName_Simplifier_Table[], 2, FALSE),"") &amp;
        INDIRECT( ADDRESS( ROW() + Row_Offset, INDIRECT( "Column_Number_" &amp; $B$1), 4,1, tabname) ), "")</f>
        <v/>
      </c>
      <c r="C280" s="10" t="str">
        <f ca="1">TEXT( INDIRECT( ADDRESS( ROW() + Row_Offset, INDIRECT( "Column_Number_" &amp; C$1), 4,1, tabname) ), "")</f>
        <v/>
      </c>
      <c r="D280" s="10" t="str">
        <f ca="1">TEXT( INDIRECT( ADDRESS( ROW() + Row_Offset, INDIRECT( "Column_Number_" &amp; D$1), 4,1, tabname) ), "")</f>
        <v/>
      </c>
      <c r="E280" s="10" t="str">
        <f ca="1">TEXT( INDIRECT( ADDRESS( ROW() + Row_Offset, INDIRECT( "Column_Number_" &amp; E$1), 4,1, tabname) ), "####")</f>
        <v/>
      </c>
      <c r="F280" s="15"/>
      <c r="G280" s="22" t="str">
        <f ca="1">IFERROR(INDEX(Rank_Table[],MATCH($D280&amp;$A280,Table4[Join],0)),"")</f>
        <v/>
      </c>
      <c r="H280" s="11" t="str">
        <f ca="1">IF(AND(D280="Juvenile Audiobook",LEFT(B280,8)="J CD BIO"),RIGHT(B280,LEN(B280)-9),
IF(AND(D280="Juvenile Audiobook",LEFT(B280,8)="J CD FIC"),B280,
IF(D280="Juvenile Audiobook",RIGHT(B280,LEN(B280)-5),
IF(AND(D280="Teen Audiobook",LEFT(B280,11)="TEEN CD BIO"),RIGHT(B280,LEN(B280)-12),
IF(AND(D280="Teen Audiobook",LEFT(B280,11)="TEEN CD FIC"),B280,
IF(D280="Juvenile Audiobook",RIGHT(B280,LEN(B280)-8),
IF(D280="Juvenile Nonfiction",RIGHT(B280,LEN(B280)-2),
IF(D280="Teen Nonfiction",RIGHT(B280,LEN(B280)-5),
IF(AND(D280="Audiobook",
              NOT(OR(Contains($B280,"CD BIO"),Contains($B280,"CD FIC")))),RIGHT(B280,LEN(B280)-3),
IF(D280="Juvenile Biography",RIGHT(B280,LEN(B280)-2),
IF(D280="Teen Biography",RIGHT(B280,LEN(B280)-5),
IF(AND(D280="Audiobook",
              IFERROR(FIND("BIO",$B280)&gt;0,FALSE)),RIGHT(B280,LEN(B280)-3),
IF(D280="Juvenile Large Type","J "&amp;RIGHT(B280,LEN(B280)-11),
IF(D280="Teen Large Type","TEEN "&amp;RIGHT(B280,LEN(B280)-14),
IF(D280="Reference",RIGHT(B280,LEN(B280)-4),
IF(D280="DVD Educational",RIGHT(B280,LEN(B280)-7),
IF(D280="Juvenile DVD Educational",RIGHT(B280,LEN(B280)-9),
B280)))))))))))))))))</f>
        <v/>
      </c>
      <c r="N280" s="11" t="str">
        <f ca="1">IF(IFERROR(FIND("New",$A280)&gt;0,FALSE),"New ","") &amp; IF(IFERROR(FIND("In Lib",$A280)&gt;0,FALSE),"Reference ","") &amp;
IF(AND(D280="Audiobook",LEFT(B280,6)="CD BIO"),"Biography",
IF(AND(D280="Teen Audiobook",LEFT(B280,11)="TEEN CD BIO"),"Biography",
IF(AND(D280="Juvenile Audiobook",LEFT(B280,8)="J CD BIO"),"Biography",
IF(AND(D280="Audiobook",LEFT(B280,6)="CD FIC"),"Audiobook Fiction",
IF(AND(D280="Teen Audiobook",LEFT(B280,11)="TEEN CD FIC"),"Teen Audiobook",
IF(AND(D280="Juvenile Audiobook",LEFT(B280,8)="J CD FIC"),"Juvenile Audiobook",
IF(D280="Audiobook","Nonfiction",
IF(D280="Juvenile Audiobook","Nonfiction",
IF(D280="Teen Audiobook","Nonfiction",
IF(D280="Juvenile Nonfiction","Nonfiction",
IF(D280="Teen Nonfiction","Nonfiction",
IF(D280="Juvenile Biography","Biography",
IF(D280="Teen Biography","Biography",
IF(D280="ESL","Nonfiction",
IF(LEFT(B280,11)="INTL-VIE J ","International Juvenile",IF(LEFT(B280,11)="INTL-TAG J ","International Juvenile",IF(LEFT(B280,11)="INTL-RUS J ","International Juvenile",IF(LEFT(B280,11)="INTL-KOR J ","International Juvenile",IF(LEFT(B280,11)="INTL-JAP J ","International Juvenile",IF(LEFT(B280,11)="INTL-CHI J ","International Juvenile",IF(LEFT(B280,11)="INTL-SPA J ","International Juvenile",IF(LEFT(B280,14)="INTL-VIE TEEN ","International Teen",IF(LEFT(B280,14)="INTL-TAG TEEN ","International Teen",IF(LEFT(B280,14)="INTL-RUS TEEN ","International Teen",IF(LEFT(B280,14)="INTL-KOR TEEN ","International Teen",IF(LEFT(B280,14)="INTL-JAP TEEN ","International Teen",IF(LEFT(B280,14)="INTL-CHI TEEN ","International Teen",IF(LEFT(B280,14)="INTL-SPA TEEN ","International Teen",IF(LEFT(B280,11)="INTL-VIE E ","International Easy",IF(LEFT(B280,11)="INTL-TAG E ","International Easy",IF(LEFT(B280,11)="INTL-RUS E ","International Easy",IF(LEFT(B280,11)="INTL-JAP E ","International Easy",IF(LEFT(B280,11)="INTL-KOR E ","International Easy",IF(LEFT(B280,11)="INTL-CHI E ","International Easy",IF(LEFT(B280,11)="INTL-SPA E ","International Easy",
IF(D280="Teen Large Type","Teen Fiction",
IF(D280="Juvenile Large Type","Juvenile Fiction",
IF(LEFT(B280,6)="J CD O","Juvenile Compact Disc",
IF(AND(LEFT(B280,4)="TEEN",D280="Fiction"),"Teen Fiction",
IF(D280="DVD Educational","Nonfiction",
IF(D280="Juvenile DVD Educational","Nonfiction",
IF(D280="Reference","Nonfiction",
D280))))))))))))))))))))))))))))))))))))))))))</f>
        <v/>
      </c>
    </row>
    <row r="281" spans="1:14" ht="27" customHeight="1" x14ac:dyDescent="0.25">
      <c r="A281" s="10" t="str">
        <f ca="1">TEXT( INDIRECT( ADDRESS( ROW() + Row_Offset, INDIRECT( "Column_Number_" &amp; A$1), 4,1, tabname) ), "")</f>
        <v/>
      </c>
      <c r="B281" s="10" t="str">
        <f ca="1">TEXT(  IFERROR( VLOOKUP( $D281, CollName_Simplifier_Table[], 2, FALSE),"") &amp;
        INDIRECT( ADDRESS( ROW() + Row_Offset, INDIRECT( "Column_Number_" &amp; $B$1), 4,1, tabname) ), "")</f>
        <v/>
      </c>
      <c r="C281" s="10" t="str">
        <f ca="1">TEXT( INDIRECT( ADDRESS( ROW() + Row_Offset, INDIRECT( "Column_Number_" &amp; C$1), 4,1, tabname) ), "")</f>
        <v/>
      </c>
      <c r="D281" s="10" t="str">
        <f ca="1">TEXT( INDIRECT( ADDRESS( ROW() + Row_Offset, INDIRECT( "Column_Number_" &amp; D$1), 4,1, tabname) ), "")</f>
        <v/>
      </c>
      <c r="E281" s="10" t="str">
        <f ca="1">TEXT( INDIRECT( ADDRESS( ROW() + Row_Offset, INDIRECT( "Column_Number_" &amp; E$1), 4,1, tabname) ), "####")</f>
        <v/>
      </c>
      <c r="F281" s="15"/>
      <c r="G281" s="22" t="str">
        <f ca="1">IFERROR(INDEX(Rank_Table[],MATCH($D281&amp;$A281,Table4[Join],0)),"")</f>
        <v/>
      </c>
      <c r="H281" s="11" t="str">
        <f ca="1">IF(AND(D281="Juvenile Audiobook",LEFT(B281,8)="J CD BIO"),RIGHT(B281,LEN(B281)-9),
IF(AND(D281="Juvenile Audiobook",LEFT(B281,8)="J CD FIC"),B281,
IF(D281="Juvenile Audiobook",RIGHT(B281,LEN(B281)-5),
IF(AND(D281="Teen Audiobook",LEFT(B281,11)="TEEN CD BIO"),RIGHT(B281,LEN(B281)-12),
IF(AND(D281="Teen Audiobook",LEFT(B281,11)="TEEN CD FIC"),B281,
IF(D281="Juvenile Audiobook",RIGHT(B281,LEN(B281)-8),
IF(D281="Juvenile Nonfiction",RIGHT(B281,LEN(B281)-2),
IF(D281="Teen Nonfiction",RIGHT(B281,LEN(B281)-5),
IF(AND(D281="Audiobook",
              NOT(OR(Contains($B281,"CD BIO"),Contains($B281,"CD FIC")))),RIGHT(B281,LEN(B281)-3),
IF(D281="Juvenile Biography",RIGHT(B281,LEN(B281)-2),
IF(D281="Teen Biography",RIGHT(B281,LEN(B281)-5),
IF(AND(D281="Audiobook",
              IFERROR(FIND("BIO",$B281)&gt;0,FALSE)),RIGHT(B281,LEN(B281)-3),
IF(D281="Juvenile Large Type","J "&amp;RIGHT(B281,LEN(B281)-11),
IF(D281="Teen Large Type","TEEN "&amp;RIGHT(B281,LEN(B281)-14),
IF(D281="Reference",RIGHT(B281,LEN(B281)-4),
IF(D281="DVD Educational",RIGHT(B281,LEN(B281)-7),
IF(D281="Juvenile DVD Educational",RIGHT(B281,LEN(B281)-9),
B281)))))))))))))))))</f>
        <v/>
      </c>
      <c r="N281" s="11" t="str">
        <f ca="1">IF(IFERROR(FIND("New",$A281)&gt;0,FALSE),"New ","") &amp; IF(IFERROR(FIND("In Lib",$A281)&gt;0,FALSE),"Reference ","") &amp;
IF(AND(D281="Audiobook",LEFT(B281,6)="CD BIO"),"Biography",
IF(AND(D281="Teen Audiobook",LEFT(B281,11)="TEEN CD BIO"),"Biography",
IF(AND(D281="Juvenile Audiobook",LEFT(B281,8)="J CD BIO"),"Biography",
IF(AND(D281="Audiobook",LEFT(B281,6)="CD FIC"),"Audiobook Fiction",
IF(AND(D281="Teen Audiobook",LEFT(B281,11)="TEEN CD FIC"),"Teen Audiobook",
IF(AND(D281="Juvenile Audiobook",LEFT(B281,8)="J CD FIC"),"Juvenile Audiobook",
IF(D281="Audiobook","Nonfiction",
IF(D281="Juvenile Audiobook","Nonfiction",
IF(D281="Teen Audiobook","Nonfiction",
IF(D281="Juvenile Nonfiction","Nonfiction",
IF(D281="Teen Nonfiction","Nonfiction",
IF(D281="Juvenile Biography","Biography",
IF(D281="Teen Biography","Biography",
IF(D281="ESL","Nonfiction",
IF(LEFT(B281,11)="INTL-VIE J ","International Juvenile",IF(LEFT(B281,11)="INTL-TAG J ","International Juvenile",IF(LEFT(B281,11)="INTL-RUS J ","International Juvenile",IF(LEFT(B281,11)="INTL-KOR J ","International Juvenile",IF(LEFT(B281,11)="INTL-JAP J ","International Juvenile",IF(LEFT(B281,11)="INTL-CHI J ","International Juvenile",IF(LEFT(B281,11)="INTL-SPA J ","International Juvenile",IF(LEFT(B281,14)="INTL-VIE TEEN ","International Teen",IF(LEFT(B281,14)="INTL-TAG TEEN ","International Teen",IF(LEFT(B281,14)="INTL-RUS TEEN ","International Teen",IF(LEFT(B281,14)="INTL-KOR TEEN ","International Teen",IF(LEFT(B281,14)="INTL-JAP TEEN ","International Teen",IF(LEFT(B281,14)="INTL-CHI TEEN ","International Teen",IF(LEFT(B281,14)="INTL-SPA TEEN ","International Teen",IF(LEFT(B281,11)="INTL-VIE E ","International Easy",IF(LEFT(B281,11)="INTL-TAG E ","International Easy",IF(LEFT(B281,11)="INTL-RUS E ","International Easy",IF(LEFT(B281,11)="INTL-JAP E ","International Easy",IF(LEFT(B281,11)="INTL-KOR E ","International Easy",IF(LEFT(B281,11)="INTL-CHI E ","International Easy",IF(LEFT(B281,11)="INTL-SPA E ","International Easy",
IF(D281="Teen Large Type","Teen Fiction",
IF(D281="Juvenile Large Type","Juvenile Fiction",
IF(LEFT(B281,6)="J CD O","Juvenile Compact Disc",
IF(AND(LEFT(B281,4)="TEEN",D281="Fiction"),"Teen Fiction",
IF(D281="DVD Educational","Nonfiction",
IF(D281="Juvenile DVD Educational","Nonfiction",
IF(D281="Reference","Nonfiction",
D281))))))))))))))))))))))))))))))))))))))))))</f>
        <v/>
      </c>
    </row>
    <row r="282" spans="1:14" ht="27" customHeight="1" x14ac:dyDescent="0.25">
      <c r="A282" s="10" t="str">
        <f ca="1">TEXT( INDIRECT( ADDRESS( ROW() + Row_Offset, INDIRECT( "Column_Number_" &amp; A$1), 4,1, tabname) ), "")</f>
        <v/>
      </c>
      <c r="B282" s="10" t="str">
        <f ca="1">TEXT(  IFERROR( VLOOKUP( $D282, CollName_Simplifier_Table[], 2, FALSE),"") &amp;
        INDIRECT( ADDRESS( ROW() + Row_Offset, INDIRECT( "Column_Number_" &amp; $B$1), 4,1, tabname) ), "")</f>
        <v/>
      </c>
      <c r="C282" s="10" t="str">
        <f ca="1">TEXT( INDIRECT( ADDRESS( ROW() + Row_Offset, INDIRECT( "Column_Number_" &amp; C$1), 4,1, tabname) ), "")</f>
        <v/>
      </c>
      <c r="D282" s="10" t="str">
        <f ca="1">TEXT( INDIRECT( ADDRESS( ROW() + Row_Offset, INDIRECT( "Column_Number_" &amp; D$1), 4,1, tabname) ), "")</f>
        <v/>
      </c>
      <c r="E282" s="10" t="str">
        <f ca="1">TEXT( INDIRECT( ADDRESS( ROW() + Row_Offset, INDIRECT( "Column_Number_" &amp; E$1), 4,1, tabname) ), "####")</f>
        <v/>
      </c>
      <c r="F282" s="15"/>
      <c r="G282" s="22" t="str">
        <f ca="1">IFERROR(INDEX(Rank_Table[],MATCH($D282&amp;$A282,Table4[Join],0)),"")</f>
        <v/>
      </c>
      <c r="H282" s="11" t="str">
        <f ca="1">IF(AND(D282="Juvenile Audiobook",LEFT(B282,8)="J CD BIO"),RIGHT(B282,LEN(B282)-9),
IF(AND(D282="Juvenile Audiobook",LEFT(B282,8)="J CD FIC"),B282,
IF(D282="Juvenile Audiobook",RIGHT(B282,LEN(B282)-5),
IF(AND(D282="Teen Audiobook",LEFT(B282,11)="TEEN CD BIO"),RIGHT(B282,LEN(B282)-12),
IF(AND(D282="Teen Audiobook",LEFT(B282,11)="TEEN CD FIC"),B282,
IF(D282="Juvenile Audiobook",RIGHT(B282,LEN(B282)-8),
IF(D282="Juvenile Nonfiction",RIGHT(B282,LEN(B282)-2),
IF(D282="Teen Nonfiction",RIGHT(B282,LEN(B282)-5),
IF(AND(D282="Audiobook",
              NOT(OR(Contains($B282,"CD BIO"),Contains($B282,"CD FIC")))),RIGHT(B282,LEN(B282)-3),
IF(D282="Juvenile Biography",RIGHT(B282,LEN(B282)-2),
IF(D282="Teen Biography",RIGHT(B282,LEN(B282)-5),
IF(AND(D282="Audiobook",
              IFERROR(FIND("BIO",$B282)&gt;0,FALSE)),RIGHT(B282,LEN(B282)-3),
IF(D282="Juvenile Large Type","J "&amp;RIGHT(B282,LEN(B282)-11),
IF(D282="Teen Large Type","TEEN "&amp;RIGHT(B282,LEN(B282)-14),
IF(D282="Reference",RIGHT(B282,LEN(B282)-4),
IF(D282="DVD Educational",RIGHT(B282,LEN(B282)-7),
IF(D282="Juvenile DVD Educational",RIGHT(B282,LEN(B282)-9),
B282)))))))))))))))))</f>
        <v/>
      </c>
      <c r="N282" s="11" t="str">
        <f ca="1">IF(IFERROR(FIND("New",$A282)&gt;0,FALSE),"New ","") &amp; IF(IFERROR(FIND("In Lib",$A282)&gt;0,FALSE),"Reference ","") &amp;
IF(AND(D282="Audiobook",LEFT(B282,6)="CD BIO"),"Biography",
IF(AND(D282="Teen Audiobook",LEFT(B282,11)="TEEN CD BIO"),"Biography",
IF(AND(D282="Juvenile Audiobook",LEFT(B282,8)="J CD BIO"),"Biography",
IF(AND(D282="Audiobook",LEFT(B282,6)="CD FIC"),"Audiobook Fiction",
IF(AND(D282="Teen Audiobook",LEFT(B282,11)="TEEN CD FIC"),"Teen Audiobook",
IF(AND(D282="Juvenile Audiobook",LEFT(B282,8)="J CD FIC"),"Juvenile Audiobook",
IF(D282="Audiobook","Nonfiction",
IF(D282="Juvenile Audiobook","Nonfiction",
IF(D282="Teen Audiobook","Nonfiction",
IF(D282="Juvenile Nonfiction","Nonfiction",
IF(D282="Teen Nonfiction","Nonfiction",
IF(D282="Juvenile Biography","Biography",
IF(D282="Teen Biography","Biography",
IF(D282="ESL","Nonfiction",
IF(LEFT(B282,11)="INTL-VIE J ","International Juvenile",IF(LEFT(B282,11)="INTL-TAG J ","International Juvenile",IF(LEFT(B282,11)="INTL-RUS J ","International Juvenile",IF(LEFT(B282,11)="INTL-KOR J ","International Juvenile",IF(LEFT(B282,11)="INTL-JAP J ","International Juvenile",IF(LEFT(B282,11)="INTL-CHI J ","International Juvenile",IF(LEFT(B282,11)="INTL-SPA J ","International Juvenile",IF(LEFT(B282,14)="INTL-VIE TEEN ","International Teen",IF(LEFT(B282,14)="INTL-TAG TEEN ","International Teen",IF(LEFT(B282,14)="INTL-RUS TEEN ","International Teen",IF(LEFT(B282,14)="INTL-KOR TEEN ","International Teen",IF(LEFT(B282,14)="INTL-JAP TEEN ","International Teen",IF(LEFT(B282,14)="INTL-CHI TEEN ","International Teen",IF(LEFT(B282,14)="INTL-SPA TEEN ","International Teen",IF(LEFT(B282,11)="INTL-VIE E ","International Easy",IF(LEFT(B282,11)="INTL-TAG E ","International Easy",IF(LEFT(B282,11)="INTL-RUS E ","International Easy",IF(LEFT(B282,11)="INTL-JAP E ","International Easy",IF(LEFT(B282,11)="INTL-KOR E ","International Easy",IF(LEFT(B282,11)="INTL-CHI E ","International Easy",IF(LEFT(B282,11)="INTL-SPA E ","International Easy",
IF(D282="Teen Large Type","Teen Fiction",
IF(D282="Juvenile Large Type","Juvenile Fiction",
IF(LEFT(B282,6)="J CD O","Juvenile Compact Disc",
IF(AND(LEFT(B282,4)="TEEN",D282="Fiction"),"Teen Fiction",
IF(D282="DVD Educational","Nonfiction",
IF(D282="Juvenile DVD Educational","Nonfiction",
IF(D282="Reference","Nonfiction",
D282))))))))))))))))))))))))))))))))))))))))))</f>
        <v/>
      </c>
    </row>
    <row r="283" spans="1:14" ht="27" customHeight="1" x14ac:dyDescent="0.25">
      <c r="A283" s="10" t="str">
        <f ca="1">TEXT( INDIRECT( ADDRESS( ROW() + Row_Offset, INDIRECT( "Column_Number_" &amp; A$1), 4,1, tabname) ), "")</f>
        <v/>
      </c>
      <c r="B283" s="10" t="str">
        <f ca="1">TEXT(  IFERROR( VLOOKUP( $D283, CollName_Simplifier_Table[], 2, FALSE),"") &amp;
        INDIRECT( ADDRESS( ROW() + Row_Offset, INDIRECT( "Column_Number_" &amp; $B$1), 4,1, tabname) ), "")</f>
        <v/>
      </c>
      <c r="C283" s="10" t="str">
        <f ca="1">TEXT( INDIRECT( ADDRESS( ROW() + Row_Offset, INDIRECT( "Column_Number_" &amp; C$1), 4,1, tabname) ), "")</f>
        <v/>
      </c>
      <c r="D283" s="10" t="str">
        <f ca="1">TEXT( INDIRECT( ADDRESS( ROW() + Row_Offset, INDIRECT( "Column_Number_" &amp; D$1), 4,1, tabname) ), "")</f>
        <v/>
      </c>
      <c r="E283" s="10" t="str">
        <f ca="1">TEXT( INDIRECT( ADDRESS( ROW() + Row_Offset, INDIRECT( "Column_Number_" &amp; E$1), 4,1, tabname) ), "####")</f>
        <v/>
      </c>
      <c r="F283" s="15"/>
      <c r="G283" s="22" t="str">
        <f ca="1">IFERROR(INDEX(Rank_Table[],MATCH($D283&amp;$A283,Table4[Join],0)),"")</f>
        <v/>
      </c>
      <c r="H283" s="11" t="str">
        <f ca="1">IF(AND(D283="Juvenile Audiobook",LEFT(B283,8)="J CD BIO"),RIGHT(B283,LEN(B283)-9),
IF(AND(D283="Juvenile Audiobook",LEFT(B283,8)="J CD FIC"),B283,
IF(D283="Juvenile Audiobook",RIGHT(B283,LEN(B283)-5),
IF(AND(D283="Teen Audiobook",LEFT(B283,11)="TEEN CD BIO"),RIGHT(B283,LEN(B283)-12),
IF(AND(D283="Teen Audiobook",LEFT(B283,11)="TEEN CD FIC"),B283,
IF(D283="Juvenile Audiobook",RIGHT(B283,LEN(B283)-8),
IF(D283="Juvenile Nonfiction",RIGHT(B283,LEN(B283)-2),
IF(D283="Teen Nonfiction",RIGHT(B283,LEN(B283)-5),
IF(AND(D283="Audiobook",
              NOT(OR(Contains($B283,"CD BIO"),Contains($B283,"CD FIC")))),RIGHT(B283,LEN(B283)-3),
IF(D283="Juvenile Biography",RIGHT(B283,LEN(B283)-2),
IF(D283="Teen Biography",RIGHT(B283,LEN(B283)-5),
IF(AND(D283="Audiobook",
              IFERROR(FIND("BIO",$B283)&gt;0,FALSE)),RIGHT(B283,LEN(B283)-3),
IF(D283="Juvenile Large Type","J "&amp;RIGHT(B283,LEN(B283)-11),
IF(D283="Teen Large Type","TEEN "&amp;RIGHT(B283,LEN(B283)-14),
IF(D283="Reference",RIGHT(B283,LEN(B283)-4),
IF(D283="DVD Educational",RIGHT(B283,LEN(B283)-7),
IF(D283="Juvenile DVD Educational",RIGHT(B283,LEN(B283)-9),
B283)))))))))))))))))</f>
        <v/>
      </c>
      <c r="N283" s="11" t="str">
        <f ca="1">IF(IFERROR(FIND("New",$A283)&gt;0,FALSE),"New ","") &amp; IF(IFERROR(FIND("In Lib",$A283)&gt;0,FALSE),"Reference ","") &amp;
IF(AND(D283="Audiobook",LEFT(B283,6)="CD BIO"),"Biography",
IF(AND(D283="Teen Audiobook",LEFT(B283,11)="TEEN CD BIO"),"Biography",
IF(AND(D283="Juvenile Audiobook",LEFT(B283,8)="J CD BIO"),"Biography",
IF(AND(D283="Audiobook",LEFT(B283,6)="CD FIC"),"Audiobook Fiction",
IF(AND(D283="Teen Audiobook",LEFT(B283,11)="TEEN CD FIC"),"Teen Audiobook",
IF(AND(D283="Juvenile Audiobook",LEFT(B283,8)="J CD FIC"),"Juvenile Audiobook",
IF(D283="Audiobook","Nonfiction",
IF(D283="Juvenile Audiobook","Nonfiction",
IF(D283="Teen Audiobook","Nonfiction",
IF(D283="Juvenile Nonfiction","Nonfiction",
IF(D283="Teen Nonfiction","Nonfiction",
IF(D283="Juvenile Biography","Biography",
IF(D283="Teen Biography","Biography",
IF(D283="ESL","Nonfiction",
IF(LEFT(B283,11)="INTL-VIE J ","International Juvenile",IF(LEFT(B283,11)="INTL-TAG J ","International Juvenile",IF(LEFT(B283,11)="INTL-RUS J ","International Juvenile",IF(LEFT(B283,11)="INTL-KOR J ","International Juvenile",IF(LEFT(B283,11)="INTL-JAP J ","International Juvenile",IF(LEFT(B283,11)="INTL-CHI J ","International Juvenile",IF(LEFT(B283,11)="INTL-SPA J ","International Juvenile",IF(LEFT(B283,14)="INTL-VIE TEEN ","International Teen",IF(LEFT(B283,14)="INTL-TAG TEEN ","International Teen",IF(LEFT(B283,14)="INTL-RUS TEEN ","International Teen",IF(LEFT(B283,14)="INTL-KOR TEEN ","International Teen",IF(LEFT(B283,14)="INTL-JAP TEEN ","International Teen",IF(LEFT(B283,14)="INTL-CHI TEEN ","International Teen",IF(LEFT(B283,14)="INTL-SPA TEEN ","International Teen",IF(LEFT(B283,11)="INTL-VIE E ","International Easy",IF(LEFT(B283,11)="INTL-TAG E ","International Easy",IF(LEFT(B283,11)="INTL-RUS E ","International Easy",IF(LEFT(B283,11)="INTL-JAP E ","International Easy",IF(LEFT(B283,11)="INTL-KOR E ","International Easy",IF(LEFT(B283,11)="INTL-CHI E ","International Easy",IF(LEFT(B283,11)="INTL-SPA E ","International Easy",
IF(D283="Teen Large Type","Teen Fiction",
IF(D283="Juvenile Large Type","Juvenile Fiction",
IF(LEFT(B283,6)="J CD O","Juvenile Compact Disc",
IF(AND(LEFT(B283,4)="TEEN",D283="Fiction"),"Teen Fiction",
IF(D283="DVD Educational","Nonfiction",
IF(D283="Juvenile DVD Educational","Nonfiction",
IF(D283="Reference","Nonfiction",
D283))))))))))))))))))))))))))))))))))))))))))</f>
        <v/>
      </c>
    </row>
    <row r="284" spans="1:14" ht="27" customHeight="1" x14ac:dyDescent="0.25">
      <c r="A284" s="10" t="str">
        <f ca="1">TEXT( INDIRECT( ADDRESS( ROW() + Row_Offset, INDIRECT( "Column_Number_" &amp; A$1), 4,1, tabname) ), "")</f>
        <v/>
      </c>
      <c r="B284" s="10" t="str">
        <f ca="1">TEXT(  IFERROR( VLOOKUP( $D284, CollName_Simplifier_Table[], 2, FALSE),"") &amp;
        INDIRECT( ADDRESS( ROW() + Row_Offset, INDIRECT( "Column_Number_" &amp; $B$1), 4,1, tabname) ), "")</f>
        <v/>
      </c>
      <c r="C284" s="10" t="str">
        <f ca="1">TEXT( INDIRECT( ADDRESS( ROW() + Row_Offset, INDIRECT( "Column_Number_" &amp; C$1), 4,1, tabname) ), "")</f>
        <v/>
      </c>
      <c r="D284" s="10" t="str">
        <f ca="1">TEXT( INDIRECT( ADDRESS( ROW() + Row_Offset, INDIRECT( "Column_Number_" &amp; D$1), 4,1, tabname) ), "")</f>
        <v/>
      </c>
      <c r="E284" s="10" t="str">
        <f ca="1">TEXT( INDIRECT( ADDRESS( ROW() + Row_Offset, INDIRECT( "Column_Number_" &amp; E$1), 4,1, tabname) ), "####")</f>
        <v/>
      </c>
      <c r="F284" s="15"/>
      <c r="G284" s="22" t="str">
        <f ca="1">IFERROR(INDEX(Rank_Table[],MATCH($D284&amp;$A284,Table4[Join],0)),"")</f>
        <v/>
      </c>
      <c r="H284" s="11" t="str">
        <f ca="1">IF(AND(D284="Juvenile Audiobook",LEFT(B284,8)="J CD BIO"),RIGHT(B284,LEN(B284)-9),
IF(AND(D284="Juvenile Audiobook",LEFT(B284,8)="J CD FIC"),B284,
IF(D284="Juvenile Audiobook",RIGHT(B284,LEN(B284)-5),
IF(AND(D284="Teen Audiobook",LEFT(B284,11)="TEEN CD BIO"),RIGHT(B284,LEN(B284)-12),
IF(AND(D284="Teen Audiobook",LEFT(B284,11)="TEEN CD FIC"),B284,
IF(D284="Juvenile Audiobook",RIGHT(B284,LEN(B284)-8),
IF(D284="Juvenile Nonfiction",RIGHT(B284,LEN(B284)-2),
IF(D284="Teen Nonfiction",RIGHT(B284,LEN(B284)-5),
IF(AND(D284="Audiobook",
              NOT(OR(Contains($B284,"CD BIO"),Contains($B284,"CD FIC")))),RIGHT(B284,LEN(B284)-3),
IF(D284="Juvenile Biography",RIGHT(B284,LEN(B284)-2),
IF(D284="Teen Biography",RIGHT(B284,LEN(B284)-5),
IF(AND(D284="Audiobook",
              IFERROR(FIND("BIO",$B284)&gt;0,FALSE)),RIGHT(B284,LEN(B284)-3),
IF(D284="Juvenile Large Type","J "&amp;RIGHT(B284,LEN(B284)-11),
IF(D284="Teen Large Type","TEEN "&amp;RIGHT(B284,LEN(B284)-14),
IF(D284="Reference",RIGHT(B284,LEN(B284)-4),
IF(D284="DVD Educational",RIGHT(B284,LEN(B284)-7),
IF(D284="Juvenile DVD Educational",RIGHT(B284,LEN(B284)-9),
B284)))))))))))))))))</f>
        <v/>
      </c>
      <c r="N284" s="11" t="str">
        <f ca="1">IF(IFERROR(FIND("New",$A284)&gt;0,FALSE),"New ","") &amp; IF(IFERROR(FIND("In Lib",$A284)&gt;0,FALSE),"Reference ","") &amp;
IF(AND(D284="Audiobook",LEFT(B284,6)="CD BIO"),"Biography",
IF(AND(D284="Teen Audiobook",LEFT(B284,11)="TEEN CD BIO"),"Biography",
IF(AND(D284="Juvenile Audiobook",LEFT(B284,8)="J CD BIO"),"Biography",
IF(AND(D284="Audiobook",LEFT(B284,6)="CD FIC"),"Audiobook Fiction",
IF(AND(D284="Teen Audiobook",LEFT(B284,11)="TEEN CD FIC"),"Teen Audiobook",
IF(AND(D284="Juvenile Audiobook",LEFT(B284,8)="J CD FIC"),"Juvenile Audiobook",
IF(D284="Audiobook","Nonfiction",
IF(D284="Juvenile Audiobook","Nonfiction",
IF(D284="Teen Audiobook","Nonfiction",
IF(D284="Juvenile Nonfiction","Nonfiction",
IF(D284="Teen Nonfiction","Nonfiction",
IF(D284="Juvenile Biography","Biography",
IF(D284="Teen Biography","Biography",
IF(D284="ESL","Nonfiction",
IF(LEFT(B284,11)="INTL-VIE J ","International Juvenile",IF(LEFT(B284,11)="INTL-TAG J ","International Juvenile",IF(LEFT(B284,11)="INTL-RUS J ","International Juvenile",IF(LEFT(B284,11)="INTL-KOR J ","International Juvenile",IF(LEFT(B284,11)="INTL-JAP J ","International Juvenile",IF(LEFT(B284,11)="INTL-CHI J ","International Juvenile",IF(LEFT(B284,11)="INTL-SPA J ","International Juvenile",IF(LEFT(B284,14)="INTL-VIE TEEN ","International Teen",IF(LEFT(B284,14)="INTL-TAG TEEN ","International Teen",IF(LEFT(B284,14)="INTL-RUS TEEN ","International Teen",IF(LEFT(B284,14)="INTL-KOR TEEN ","International Teen",IF(LEFT(B284,14)="INTL-JAP TEEN ","International Teen",IF(LEFT(B284,14)="INTL-CHI TEEN ","International Teen",IF(LEFT(B284,14)="INTL-SPA TEEN ","International Teen",IF(LEFT(B284,11)="INTL-VIE E ","International Easy",IF(LEFT(B284,11)="INTL-TAG E ","International Easy",IF(LEFT(B284,11)="INTL-RUS E ","International Easy",IF(LEFT(B284,11)="INTL-JAP E ","International Easy",IF(LEFT(B284,11)="INTL-KOR E ","International Easy",IF(LEFT(B284,11)="INTL-CHI E ","International Easy",IF(LEFT(B284,11)="INTL-SPA E ","International Easy",
IF(D284="Teen Large Type","Teen Fiction",
IF(D284="Juvenile Large Type","Juvenile Fiction",
IF(LEFT(B284,6)="J CD O","Juvenile Compact Disc",
IF(AND(LEFT(B284,4)="TEEN",D284="Fiction"),"Teen Fiction",
IF(D284="DVD Educational","Nonfiction",
IF(D284="Juvenile DVD Educational","Nonfiction",
IF(D284="Reference","Nonfiction",
D284))))))))))))))))))))))))))))))))))))))))))</f>
        <v/>
      </c>
    </row>
    <row r="285" spans="1:14" ht="27" customHeight="1" x14ac:dyDescent="0.25">
      <c r="A285" s="10" t="str">
        <f ca="1">TEXT( INDIRECT( ADDRESS( ROW() + Row_Offset, INDIRECT( "Column_Number_" &amp; A$1), 4,1, tabname) ), "")</f>
        <v/>
      </c>
      <c r="B285" s="10" t="str">
        <f ca="1">TEXT(  IFERROR( VLOOKUP( $D285, CollName_Simplifier_Table[], 2, FALSE),"") &amp;
        INDIRECT( ADDRESS( ROW() + Row_Offset, INDIRECT( "Column_Number_" &amp; $B$1), 4,1, tabname) ), "")</f>
        <v/>
      </c>
      <c r="C285" s="10" t="str">
        <f ca="1">TEXT( INDIRECT( ADDRESS( ROW() + Row_Offset, INDIRECT( "Column_Number_" &amp; C$1), 4,1, tabname) ), "")</f>
        <v/>
      </c>
      <c r="D285" s="10" t="str">
        <f ca="1">TEXT( INDIRECT( ADDRESS( ROW() + Row_Offset, INDIRECT( "Column_Number_" &amp; D$1), 4,1, tabname) ), "")</f>
        <v/>
      </c>
      <c r="E285" s="10" t="str">
        <f ca="1">TEXT( INDIRECT( ADDRESS( ROW() + Row_Offset, INDIRECT( "Column_Number_" &amp; E$1), 4,1, tabname) ), "####")</f>
        <v/>
      </c>
      <c r="F285" s="15"/>
      <c r="G285" s="22" t="str">
        <f ca="1">IFERROR(INDEX(Rank_Table[],MATCH($D285&amp;$A285,Table4[Join],0)),"")</f>
        <v/>
      </c>
      <c r="H285" s="11" t="str">
        <f ca="1">IF(AND(D285="Juvenile Audiobook",LEFT(B285,8)="J CD BIO"),RIGHT(B285,LEN(B285)-9),
IF(AND(D285="Juvenile Audiobook",LEFT(B285,8)="J CD FIC"),B285,
IF(D285="Juvenile Audiobook",RIGHT(B285,LEN(B285)-5),
IF(AND(D285="Teen Audiobook",LEFT(B285,11)="TEEN CD BIO"),RIGHT(B285,LEN(B285)-12),
IF(AND(D285="Teen Audiobook",LEFT(B285,11)="TEEN CD FIC"),B285,
IF(D285="Juvenile Audiobook",RIGHT(B285,LEN(B285)-8),
IF(D285="Juvenile Nonfiction",RIGHT(B285,LEN(B285)-2),
IF(D285="Teen Nonfiction",RIGHT(B285,LEN(B285)-5),
IF(AND(D285="Audiobook",
              NOT(OR(Contains($B285,"CD BIO"),Contains($B285,"CD FIC")))),RIGHT(B285,LEN(B285)-3),
IF(D285="Juvenile Biography",RIGHT(B285,LEN(B285)-2),
IF(D285="Teen Biography",RIGHT(B285,LEN(B285)-5),
IF(AND(D285="Audiobook",
              IFERROR(FIND("BIO",$B285)&gt;0,FALSE)),RIGHT(B285,LEN(B285)-3),
IF(D285="Juvenile Large Type","J "&amp;RIGHT(B285,LEN(B285)-11),
IF(D285="Teen Large Type","TEEN "&amp;RIGHT(B285,LEN(B285)-14),
IF(D285="Reference",RIGHT(B285,LEN(B285)-4),
IF(D285="DVD Educational",RIGHT(B285,LEN(B285)-7),
IF(D285="Juvenile DVD Educational",RIGHT(B285,LEN(B285)-9),
B285)))))))))))))))))</f>
        <v/>
      </c>
      <c r="N285" s="11" t="str">
        <f ca="1">IF(IFERROR(FIND("New",$A285)&gt;0,FALSE),"New ","") &amp; IF(IFERROR(FIND("In Lib",$A285)&gt;0,FALSE),"Reference ","") &amp;
IF(AND(D285="Audiobook",LEFT(B285,6)="CD BIO"),"Biography",
IF(AND(D285="Teen Audiobook",LEFT(B285,11)="TEEN CD BIO"),"Biography",
IF(AND(D285="Juvenile Audiobook",LEFT(B285,8)="J CD BIO"),"Biography",
IF(AND(D285="Audiobook",LEFT(B285,6)="CD FIC"),"Audiobook Fiction",
IF(AND(D285="Teen Audiobook",LEFT(B285,11)="TEEN CD FIC"),"Teen Audiobook",
IF(AND(D285="Juvenile Audiobook",LEFT(B285,8)="J CD FIC"),"Juvenile Audiobook",
IF(D285="Audiobook","Nonfiction",
IF(D285="Juvenile Audiobook","Nonfiction",
IF(D285="Teen Audiobook","Nonfiction",
IF(D285="Juvenile Nonfiction","Nonfiction",
IF(D285="Teen Nonfiction","Nonfiction",
IF(D285="Juvenile Biography","Biography",
IF(D285="Teen Biography","Biography",
IF(D285="ESL","Nonfiction",
IF(LEFT(B285,11)="INTL-VIE J ","International Juvenile",IF(LEFT(B285,11)="INTL-TAG J ","International Juvenile",IF(LEFT(B285,11)="INTL-RUS J ","International Juvenile",IF(LEFT(B285,11)="INTL-KOR J ","International Juvenile",IF(LEFT(B285,11)="INTL-JAP J ","International Juvenile",IF(LEFT(B285,11)="INTL-CHI J ","International Juvenile",IF(LEFT(B285,11)="INTL-SPA J ","International Juvenile",IF(LEFT(B285,14)="INTL-VIE TEEN ","International Teen",IF(LEFT(B285,14)="INTL-TAG TEEN ","International Teen",IF(LEFT(B285,14)="INTL-RUS TEEN ","International Teen",IF(LEFT(B285,14)="INTL-KOR TEEN ","International Teen",IF(LEFT(B285,14)="INTL-JAP TEEN ","International Teen",IF(LEFT(B285,14)="INTL-CHI TEEN ","International Teen",IF(LEFT(B285,14)="INTL-SPA TEEN ","International Teen",IF(LEFT(B285,11)="INTL-VIE E ","International Easy",IF(LEFT(B285,11)="INTL-TAG E ","International Easy",IF(LEFT(B285,11)="INTL-RUS E ","International Easy",IF(LEFT(B285,11)="INTL-JAP E ","International Easy",IF(LEFT(B285,11)="INTL-KOR E ","International Easy",IF(LEFT(B285,11)="INTL-CHI E ","International Easy",IF(LEFT(B285,11)="INTL-SPA E ","International Easy",
IF(D285="Teen Large Type","Teen Fiction",
IF(D285="Juvenile Large Type","Juvenile Fiction",
IF(LEFT(B285,6)="J CD O","Juvenile Compact Disc",
IF(AND(LEFT(B285,4)="TEEN",D285="Fiction"),"Teen Fiction",
IF(D285="DVD Educational","Nonfiction",
IF(D285="Juvenile DVD Educational","Nonfiction",
IF(D285="Reference","Nonfiction",
D285))))))))))))))))))))))))))))))))))))))))))</f>
        <v/>
      </c>
    </row>
    <row r="286" spans="1:14" ht="27" customHeight="1" x14ac:dyDescent="0.25">
      <c r="A286" s="10" t="str">
        <f ca="1">TEXT( INDIRECT( ADDRESS( ROW() + Row_Offset, INDIRECT( "Column_Number_" &amp; A$1), 4,1, tabname) ), "")</f>
        <v/>
      </c>
      <c r="B286" s="10" t="str">
        <f ca="1">TEXT(  IFERROR( VLOOKUP( $D286, CollName_Simplifier_Table[], 2, FALSE),"") &amp;
        INDIRECT( ADDRESS( ROW() + Row_Offset, INDIRECT( "Column_Number_" &amp; $B$1), 4,1, tabname) ), "")</f>
        <v/>
      </c>
      <c r="C286" s="10" t="str">
        <f ca="1">TEXT( INDIRECT( ADDRESS( ROW() + Row_Offset, INDIRECT( "Column_Number_" &amp; C$1), 4,1, tabname) ), "")</f>
        <v/>
      </c>
      <c r="D286" s="10" t="str">
        <f ca="1">TEXT( INDIRECT( ADDRESS( ROW() + Row_Offset, INDIRECT( "Column_Number_" &amp; D$1), 4,1, tabname) ), "")</f>
        <v/>
      </c>
      <c r="E286" s="10" t="str">
        <f ca="1">TEXT( INDIRECT( ADDRESS( ROW() + Row_Offset, INDIRECT( "Column_Number_" &amp; E$1), 4,1, tabname) ), "####")</f>
        <v/>
      </c>
      <c r="F286" s="15"/>
      <c r="G286" s="22" t="str">
        <f ca="1">IFERROR(INDEX(Rank_Table[],MATCH($D286&amp;$A286,Table4[Join],0)),"")</f>
        <v/>
      </c>
      <c r="H286" s="11" t="str">
        <f ca="1">IF(AND(D286="Juvenile Audiobook",LEFT(B286,8)="J CD BIO"),RIGHT(B286,LEN(B286)-9),
IF(AND(D286="Juvenile Audiobook",LEFT(B286,8)="J CD FIC"),B286,
IF(D286="Juvenile Audiobook",RIGHT(B286,LEN(B286)-5),
IF(AND(D286="Teen Audiobook",LEFT(B286,11)="TEEN CD BIO"),RIGHT(B286,LEN(B286)-12),
IF(AND(D286="Teen Audiobook",LEFT(B286,11)="TEEN CD FIC"),B286,
IF(D286="Juvenile Audiobook",RIGHT(B286,LEN(B286)-8),
IF(D286="Juvenile Nonfiction",RIGHT(B286,LEN(B286)-2),
IF(D286="Teen Nonfiction",RIGHT(B286,LEN(B286)-5),
IF(AND(D286="Audiobook",
              NOT(OR(Contains($B286,"CD BIO"),Contains($B286,"CD FIC")))),RIGHT(B286,LEN(B286)-3),
IF(D286="Juvenile Biography",RIGHT(B286,LEN(B286)-2),
IF(D286="Teen Biography",RIGHT(B286,LEN(B286)-5),
IF(AND(D286="Audiobook",
              IFERROR(FIND("BIO",$B286)&gt;0,FALSE)),RIGHT(B286,LEN(B286)-3),
IF(D286="Juvenile Large Type","J "&amp;RIGHT(B286,LEN(B286)-11),
IF(D286="Teen Large Type","TEEN "&amp;RIGHT(B286,LEN(B286)-14),
IF(D286="Reference",RIGHT(B286,LEN(B286)-4),
IF(D286="DVD Educational",RIGHT(B286,LEN(B286)-7),
IF(D286="Juvenile DVD Educational",RIGHT(B286,LEN(B286)-9),
B286)))))))))))))))))</f>
        <v/>
      </c>
      <c r="N286" s="11" t="str">
        <f ca="1">IF(IFERROR(FIND("New",$A286)&gt;0,FALSE),"New ","") &amp; IF(IFERROR(FIND("In Lib",$A286)&gt;0,FALSE),"Reference ","") &amp;
IF(AND(D286="Audiobook",LEFT(B286,6)="CD BIO"),"Biography",
IF(AND(D286="Teen Audiobook",LEFT(B286,11)="TEEN CD BIO"),"Biography",
IF(AND(D286="Juvenile Audiobook",LEFT(B286,8)="J CD BIO"),"Biography",
IF(AND(D286="Audiobook",LEFT(B286,6)="CD FIC"),"Audiobook Fiction",
IF(AND(D286="Teen Audiobook",LEFT(B286,11)="TEEN CD FIC"),"Teen Audiobook",
IF(AND(D286="Juvenile Audiobook",LEFT(B286,8)="J CD FIC"),"Juvenile Audiobook",
IF(D286="Audiobook","Nonfiction",
IF(D286="Juvenile Audiobook","Nonfiction",
IF(D286="Teen Audiobook","Nonfiction",
IF(D286="Juvenile Nonfiction","Nonfiction",
IF(D286="Teen Nonfiction","Nonfiction",
IF(D286="Juvenile Biography","Biography",
IF(D286="Teen Biography","Biography",
IF(D286="ESL","Nonfiction",
IF(LEFT(B286,11)="INTL-VIE J ","International Juvenile",IF(LEFT(B286,11)="INTL-TAG J ","International Juvenile",IF(LEFT(B286,11)="INTL-RUS J ","International Juvenile",IF(LEFT(B286,11)="INTL-KOR J ","International Juvenile",IF(LEFT(B286,11)="INTL-JAP J ","International Juvenile",IF(LEFT(B286,11)="INTL-CHI J ","International Juvenile",IF(LEFT(B286,11)="INTL-SPA J ","International Juvenile",IF(LEFT(B286,14)="INTL-VIE TEEN ","International Teen",IF(LEFT(B286,14)="INTL-TAG TEEN ","International Teen",IF(LEFT(B286,14)="INTL-RUS TEEN ","International Teen",IF(LEFT(B286,14)="INTL-KOR TEEN ","International Teen",IF(LEFT(B286,14)="INTL-JAP TEEN ","International Teen",IF(LEFT(B286,14)="INTL-CHI TEEN ","International Teen",IF(LEFT(B286,14)="INTL-SPA TEEN ","International Teen",IF(LEFT(B286,11)="INTL-VIE E ","International Easy",IF(LEFT(B286,11)="INTL-TAG E ","International Easy",IF(LEFT(B286,11)="INTL-RUS E ","International Easy",IF(LEFT(B286,11)="INTL-JAP E ","International Easy",IF(LEFT(B286,11)="INTL-KOR E ","International Easy",IF(LEFT(B286,11)="INTL-CHI E ","International Easy",IF(LEFT(B286,11)="INTL-SPA E ","International Easy",
IF(D286="Teen Large Type","Teen Fiction",
IF(D286="Juvenile Large Type","Juvenile Fiction",
IF(LEFT(B286,6)="J CD O","Juvenile Compact Disc",
IF(AND(LEFT(B286,4)="TEEN",D286="Fiction"),"Teen Fiction",
IF(D286="DVD Educational","Nonfiction",
IF(D286="Juvenile DVD Educational","Nonfiction",
IF(D286="Reference","Nonfiction",
D286))))))))))))))))))))))))))))))))))))))))))</f>
        <v/>
      </c>
    </row>
    <row r="287" spans="1:14" ht="27" customHeight="1" x14ac:dyDescent="0.25">
      <c r="A287" s="10" t="str">
        <f ca="1">TEXT( INDIRECT( ADDRESS( ROW() + Row_Offset, INDIRECT( "Column_Number_" &amp; A$1), 4,1, tabname) ), "")</f>
        <v/>
      </c>
      <c r="B287" s="10" t="str">
        <f ca="1">TEXT(  IFERROR( VLOOKUP( $D287, CollName_Simplifier_Table[], 2, FALSE),"") &amp;
        INDIRECT( ADDRESS( ROW() + Row_Offset, INDIRECT( "Column_Number_" &amp; $B$1), 4,1, tabname) ), "")</f>
        <v/>
      </c>
      <c r="C287" s="10" t="str">
        <f ca="1">TEXT( INDIRECT( ADDRESS( ROW() + Row_Offset, INDIRECT( "Column_Number_" &amp; C$1), 4,1, tabname) ), "")</f>
        <v/>
      </c>
      <c r="D287" s="10" t="str">
        <f ca="1">TEXT( INDIRECT( ADDRESS( ROW() + Row_Offset, INDIRECT( "Column_Number_" &amp; D$1), 4,1, tabname) ), "")</f>
        <v/>
      </c>
      <c r="E287" s="10" t="str">
        <f ca="1">TEXT( INDIRECT( ADDRESS( ROW() + Row_Offset, INDIRECT( "Column_Number_" &amp; E$1), 4,1, tabname) ), "####")</f>
        <v/>
      </c>
      <c r="F287" s="15"/>
      <c r="G287" s="22" t="str">
        <f ca="1">IFERROR(INDEX(Rank_Table[],MATCH($D287&amp;$A287,Table4[Join],0)),"")</f>
        <v/>
      </c>
      <c r="H287" s="11" t="str">
        <f ca="1">IF(AND(D287="Juvenile Audiobook",LEFT(B287,8)="J CD BIO"),RIGHT(B287,LEN(B287)-9),
IF(AND(D287="Juvenile Audiobook",LEFT(B287,8)="J CD FIC"),B287,
IF(D287="Juvenile Audiobook",RIGHT(B287,LEN(B287)-5),
IF(AND(D287="Teen Audiobook",LEFT(B287,11)="TEEN CD BIO"),RIGHT(B287,LEN(B287)-12),
IF(AND(D287="Teen Audiobook",LEFT(B287,11)="TEEN CD FIC"),B287,
IF(D287="Juvenile Audiobook",RIGHT(B287,LEN(B287)-8),
IF(D287="Juvenile Nonfiction",RIGHT(B287,LEN(B287)-2),
IF(D287="Teen Nonfiction",RIGHT(B287,LEN(B287)-5),
IF(AND(D287="Audiobook",
              NOT(OR(Contains($B287,"CD BIO"),Contains($B287,"CD FIC")))),RIGHT(B287,LEN(B287)-3),
IF(D287="Juvenile Biography",RIGHT(B287,LEN(B287)-2),
IF(D287="Teen Biography",RIGHT(B287,LEN(B287)-5),
IF(AND(D287="Audiobook",
              IFERROR(FIND("BIO",$B287)&gt;0,FALSE)),RIGHT(B287,LEN(B287)-3),
IF(D287="Juvenile Large Type","J "&amp;RIGHT(B287,LEN(B287)-11),
IF(D287="Teen Large Type","TEEN "&amp;RIGHT(B287,LEN(B287)-14),
IF(D287="Reference",RIGHT(B287,LEN(B287)-4),
IF(D287="DVD Educational",RIGHT(B287,LEN(B287)-7),
IF(D287="Juvenile DVD Educational",RIGHT(B287,LEN(B287)-9),
B287)))))))))))))))))</f>
        <v/>
      </c>
      <c r="N287" s="11" t="str">
        <f ca="1">IF(IFERROR(FIND("New",$A287)&gt;0,FALSE),"New ","") &amp; IF(IFERROR(FIND("In Lib",$A287)&gt;0,FALSE),"Reference ","") &amp;
IF(AND(D287="Audiobook",LEFT(B287,6)="CD BIO"),"Biography",
IF(AND(D287="Teen Audiobook",LEFT(B287,11)="TEEN CD BIO"),"Biography",
IF(AND(D287="Juvenile Audiobook",LEFT(B287,8)="J CD BIO"),"Biography",
IF(AND(D287="Audiobook",LEFT(B287,6)="CD FIC"),"Audiobook Fiction",
IF(AND(D287="Teen Audiobook",LEFT(B287,11)="TEEN CD FIC"),"Teen Audiobook",
IF(AND(D287="Juvenile Audiobook",LEFT(B287,8)="J CD FIC"),"Juvenile Audiobook",
IF(D287="Audiobook","Nonfiction",
IF(D287="Juvenile Audiobook","Nonfiction",
IF(D287="Teen Audiobook","Nonfiction",
IF(D287="Juvenile Nonfiction","Nonfiction",
IF(D287="Teen Nonfiction","Nonfiction",
IF(D287="Juvenile Biography","Biography",
IF(D287="Teen Biography","Biography",
IF(D287="ESL","Nonfiction",
IF(LEFT(B287,11)="INTL-VIE J ","International Juvenile",IF(LEFT(B287,11)="INTL-TAG J ","International Juvenile",IF(LEFT(B287,11)="INTL-RUS J ","International Juvenile",IF(LEFT(B287,11)="INTL-KOR J ","International Juvenile",IF(LEFT(B287,11)="INTL-JAP J ","International Juvenile",IF(LEFT(B287,11)="INTL-CHI J ","International Juvenile",IF(LEFT(B287,11)="INTL-SPA J ","International Juvenile",IF(LEFT(B287,14)="INTL-VIE TEEN ","International Teen",IF(LEFT(B287,14)="INTL-TAG TEEN ","International Teen",IF(LEFT(B287,14)="INTL-RUS TEEN ","International Teen",IF(LEFT(B287,14)="INTL-KOR TEEN ","International Teen",IF(LEFT(B287,14)="INTL-JAP TEEN ","International Teen",IF(LEFT(B287,14)="INTL-CHI TEEN ","International Teen",IF(LEFT(B287,14)="INTL-SPA TEEN ","International Teen",IF(LEFT(B287,11)="INTL-VIE E ","International Easy",IF(LEFT(B287,11)="INTL-TAG E ","International Easy",IF(LEFT(B287,11)="INTL-RUS E ","International Easy",IF(LEFT(B287,11)="INTL-JAP E ","International Easy",IF(LEFT(B287,11)="INTL-KOR E ","International Easy",IF(LEFT(B287,11)="INTL-CHI E ","International Easy",IF(LEFT(B287,11)="INTL-SPA E ","International Easy",
IF(D287="Teen Large Type","Teen Fiction",
IF(D287="Juvenile Large Type","Juvenile Fiction",
IF(LEFT(B287,6)="J CD O","Juvenile Compact Disc",
IF(AND(LEFT(B287,4)="TEEN",D287="Fiction"),"Teen Fiction",
IF(D287="DVD Educational","Nonfiction",
IF(D287="Juvenile DVD Educational","Nonfiction",
IF(D287="Reference","Nonfiction",
D287))))))))))))))))))))))))))))))))))))))))))</f>
        <v/>
      </c>
    </row>
    <row r="288" spans="1:14" ht="27" customHeight="1" x14ac:dyDescent="0.25">
      <c r="A288" s="10" t="str">
        <f ca="1">TEXT( INDIRECT( ADDRESS( ROW() + Row_Offset, INDIRECT( "Column_Number_" &amp; A$1), 4,1, tabname) ), "")</f>
        <v/>
      </c>
      <c r="B288" s="10" t="str">
        <f ca="1">TEXT(  IFERROR( VLOOKUP( $D288, CollName_Simplifier_Table[], 2, FALSE),"") &amp;
        INDIRECT( ADDRESS( ROW() + Row_Offset, INDIRECT( "Column_Number_" &amp; $B$1), 4,1, tabname) ), "")</f>
        <v/>
      </c>
      <c r="C288" s="10" t="str">
        <f ca="1">TEXT( INDIRECT( ADDRESS( ROW() + Row_Offset, INDIRECT( "Column_Number_" &amp; C$1), 4,1, tabname) ), "")</f>
        <v/>
      </c>
      <c r="D288" s="10" t="str">
        <f ca="1">TEXT( INDIRECT( ADDRESS( ROW() + Row_Offset, INDIRECT( "Column_Number_" &amp; D$1), 4,1, tabname) ), "")</f>
        <v/>
      </c>
      <c r="E288" s="10" t="str">
        <f ca="1">TEXT( INDIRECT( ADDRESS( ROW() + Row_Offset, INDIRECT( "Column_Number_" &amp; E$1), 4,1, tabname) ), "####")</f>
        <v/>
      </c>
      <c r="F288" s="15"/>
      <c r="G288" s="22" t="str">
        <f ca="1">IFERROR(INDEX(Rank_Table[],MATCH($D288&amp;$A288,Table4[Join],0)),"")</f>
        <v/>
      </c>
      <c r="H288" s="11" t="str">
        <f ca="1">IF(AND(D288="Juvenile Audiobook",LEFT(B288,8)="J CD BIO"),RIGHT(B288,LEN(B288)-9),
IF(AND(D288="Juvenile Audiobook",LEFT(B288,8)="J CD FIC"),B288,
IF(D288="Juvenile Audiobook",RIGHT(B288,LEN(B288)-5),
IF(AND(D288="Teen Audiobook",LEFT(B288,11)="TEEN CD BIO"),RIGHT(B288,LEN(B288)-12),
IF(AND(D288="Teen Audiobook",LEFT(B288,11)="TEEN CD FIC"),B288,
IF(D288="Juvenile Audiobook",RIGHT(B288,LEN(B288)-8),
IF(D288="Juvenile Nonfiction",RIGHT(B288,LEN(B288)-2),
IF(D288="Teen Nonfiction",RIGHT(B288,LEN(B288)-5),
IF(AND(D288="Audiobook",
              NOT(OR(Contains($B288,"CD BIO"),Contains($B288,"CD FIC")))),RIGHT(B288,LEN(B288)-3),
IF(D288="Juvenile Biography",RIGHT(B288,LEN(B288)-2),
IF(D288="Teen Biography",RIGHT(B288,LEN(B288)-5),
IF(AND(D288="Audiobook",
              IFERROR(FIND("BIO",$B288)&gt;0,FALSE)),RIGHT(B288,LEN(B288)-3),
IF(D288="Juvenile Large Type","J "&amp;RIGHT(B288,LEN(B288)-11),
IF(D288="Teen Large Type","TEEN "&amp;RIGHT(B288,LEN(B288)-14),
IF(D288="Reference",RIGHT(B288,LEN(B288)-4),
IF(D288="DVD Educational",RIGHT(B288,LEN(B288)-7),
IF(D288="Juvenile DVD Educational",RIGHT(B288,LEN(B288)-9),
B288)))))))))))))))))</f>
        <v/>
      </c>
      <c r="N288" s="11" t="str">
        <f ca="1">IF(IFERROR(FIND("New",$A288)&gt;0,FALSE),"New ","") &amp; IF(IFERROR(FIND("In Lib",$A288)&gt;0,FALSE),"Reference ","") &amp;
IF(AND(D288="Audiobook",LEFT(B288,6)="CD BIO"),"Biography",
IF(AND(D288="Teen Audiobook",LEFT(B288,11)="TEEN CD BIO"),"Biography",
IF(AND(D288="Juvenile Audiobook",LEFT(B288,8)="J CD BIO"),"Biography",
IF(AND(D288="Audiobook",LEFT(B288,6)="CD FIC"),"Audiobook Fiction",
IF(AND(D288="Teen Audiobook",LEFT(B288,11)="TEEN CD FIC"),"Teen Audiobook",
IF(AND(D288="Juvenile Audiobook",LEFT(B288,8)="J CD FIC"),"Juvenile Audiobook",
IF(D288="Audiobook","Nonfiction",
IF(D288="Juvenile Audiobook","Nonfiction",
IF(D288="Teen Audiobook","Nonfiction",
IF(D288="Juvenile Nonfiction","Nonfiction",
IF(D288="Teen Nonfiction","Nonfiction",
IF(D288="Juvenile Biography","Biography",
IF(D288="Teen Biography","Biography",
IF(D288="ESL","Nonfiction",
IF(LEFT(B288,11)="INTL-VIE J ","International Juvenile",IF(LEFT(B288,11)="INTL-TAG J ","International Juvenile",IF(LEFT(B288,11)="INTL-RUS J ","International Juvenile",IF(LEFT(B288,11)="INTL-KOR J ","International Juvenile",IF(LEFT(B288,11)="INTL-JAP J ","International Juvenile",IF(LEFT(B288,11)="INTL-CHI J ","International Juvenile",IF(LEFT(B288,11)="INTL-SPA J ","International Juvenile",IF(LEFT(B288,14)="INTL-VIE TEEN ","International Teen",IF(LEFT(B288,14)="INTL-TAG TEEN ","International Teen",IF(LEFT(B288,14)="INTL-RUS TEEN ","International Teen",IF(LEFT(B288,14)="INTL-KOR TEEN ","International Teen",IF(LEFT(B288,14)="INTL-JAP TEEN ","International Teen",IF(LEFT(B288,14)="INTL-CHI TEEN ","International Teen",IF(LEFT(B288,14)="INTL-SPA TEEN ","International Teen",IF(LEFT(B288,11)="INTL-VIE E ","International Easy",IF(LEFT(B288,11)="INTL-TAG E ","International Easy",IF(LEFT(B288,11)="INTL-RUS E ","International Easy",IF(LEFT(B288,11)="INTL-JAP E ","International Easy",IF(LEFT(B288,11)="INTL-KOR E ","International Easy",IF(LEFT(B288,11)="INTL-CHI E ","International Easy",IF(LEFT(B288,11)="INTL-SPA E ","International Easy",
IF(D288="Teen Large Type","Teen Fiction",
IF(D288="Juvenile Large Type","Juvenile Fiction",
IF(LEFT(B288,6)="J CD O","Juvenile Compact Disc",
IF(AND(LEFT(B288,4)="TEEN",D288="Fiction"),"Teen Fiction",
IF(D288="DVD Educational","Nonfiction",
IF(D288="Juvenile DVD Educational","Nonfiction",
IF(D288="Reference","Nonfiction",
D288))))))))))))))))))))))))))))))))))))))))))</f>
        <v/>
      </c>
    </row>
    <row r="289" spans="1:14" ht="27" customHeight="1" x14ac:dyDescent="0.25">
      <c r="A289" s="10" t="str">
        <f ca="1">TEXT( INDIRECT( ADDRESS( ROW() + Row_Offset, INDIRECT( "Column_Number_" &amp; A$1), 4,1, tabname) ), "")</f>
        <v/>
      </c>
      <c r="B289" s="10" t="str">
        <f ca="1">TEXT(  IFERROR( VLOOKUP( $D289, CollName_Simplifier_Table[], 2, FALSE),"") &amp;
        INDIRECT( ADDRESS( ROW() + Row_Offset, INDIRECT( "Column_Number_" &amp; $B$1), 4,1, tabname) ), "")</f>
        <v/>
      </c>
      <c r="C289" s="10" t="str">
        <f ca="1">TEXT( INDIRECT( ADDRESS( ROW() + Row_Offset, INDIRECT( "Column_Number_" &amp; C$1), 4,1, tabname) ), "")</f>
        <v/>
      </c>
      <c r="D289" s="10" t="str">
        <f ca="1">TEXT( INDIRECT( ADDRESS( ROW() + Row_Offset, INDIRECT( "Column_Number_" &amp; D$1), 4,1, tabname) ), "")</f>
        <v/>
      </c>
      <c r="E289" s="10" t="str">
        <f ca="1">TEXT( INDIRECT( ADDRESS( ROW() + Row_Offset, INDIRECT( "Column_Number_" &amp; E$1), 4,1, tabname) ), "####")</f>
        <v/>
      </c>
      <c r="F289" s="15"/>
      <c r="G289" s="22" t="str">
        <f ca="1">IFERROR(INDEX(Rank_Table[],MATCH($D289&amp;$A289,Table4[Join],0)),"")</f>
        <v/>
      </c>
      <c r="H289" s="11" t="str">
        <f ca="1">IF(AND(D289="Juvenile Audiobook",LEFT(B289,8)="J CD BIO"),RIGHT(B289,LEN(B289)-9),
IF(AND(D289="Juvenile Audiobook",LEFT(B289,8)="J CD FIC"),B289,
IF(D289="Juvenile Audiobook",RIGHT(B289,LEN(B289)-5),
IF(AND(D289="Teen Audiobook",LEFT(B289,11)="TEEN CD BIO"),RIGHT(B289,LEN(B289)-12),
IF(AND(D289="Teen Audiobook",LEFT(B289,11)="TEEN CD FIC"),B289,
IF(D289="Juvenile Audiobook",RIGHT(B289,LEN(B289)-8),
IF(D289="Juvenile Nonfiction",RIGHT(B289,LEN(B289)-2),
IF(D289="Teen Nonfiction",RIGHT(B289,LEN(B289)-5),
IF(AND(D289="Audiobook",
              NOT(OR(Contains($B289,"CD BIO"),Contains($B289,"CD FIC")))),RIGHT(B289,LEN(B289)-3),
IF(D289="Juvenile Biography",RIGHT(B289,LEN(B289)-2),
IF(D289="Teen Biography",RIGHT(B289,LEN(B289)-5),
IF(AND(D289="Audiobook",
              IFERROR(FIND("BIO",$B289)&gt;0,FALSE)),RIGHT(B289,LEN(B289)-3),
IF(D289="Juvenile Large Type","J "&amp;RIGHT(B289,LEN(B289)-11),
IF(D289="Teen Large Type","TEEN "&amp;RIGHT(B289,LEN(B289)-14),
IF(D289="Reference",RIGHT(B289,LEN(B289)-4),
IF(D289="DVD Educational",RIGHT(B289,LEN(B289)-7),
IF(D289="Juvenile DVD Educational",RIGHT(B289,LEN(B289)-9),
B289)))))))))))))))))</f>
        <v/>
      </c>
      <c r="N289" s="11" t="str">
        <f ca="1">IF(IFERROR(FIND("New",$A289)&gt;0,FALSE),"New ","") &amp; IF(IFERROR(FIND("In Lib",$A289)&gt;0,FALSE),"Reference ","") &amp;
IF(AND(D289="Audiobook",LEFT(B289,6)="CD BIO"),"Biography",
IF(AND(D289="Teen Audiobook",LEFT(B289,11)="TEEN CD BIO"),"Biography",
IF(AND(D289="Juvenile Audiobook",LEFT(B289,8)="J CD BIO"),"Biography",
IF(AND(D289="Audiobook",LEFT(B289,6)="CD FIC"),"Audiobook Fiction",
IF(AND(D289="Teen Audiobook",LEFT(B289,11)="TEEN CD FIC"),"Teen Audiobook",
IF(AND(D289="Juvenile Audiobook",LEFT(B289,8)="J CD FIC"),"Juvenile Audiobook",
IF(D289="Audiobook","Nonfiction",
IF(D289="Juvenile Audiobook","Nonfiction",
IF(D289="Teen Audiobook","Nonfiction",
IF(D289="Juvenile Nonfiction","Nonfiction",
IF(D289="Teen Nonfiction","Nonfiction",
IF(D289="Juvenile Biography","Biography",
IF(D289="Teen Biography","Biography",
IF(D289="ESL","Nonfiction",
IF(LEFT(B289,11)="INTL-VIE J ","International Juvenile",IF(LEFT(B289,11)="INTL-TAG J ","International Juvenile",IF(LEFT(B289,11)="INTL-RUS J ","International Juvenile",IF(LEFT(B289,11)="INTL-KOR J ","International Juvenile",IF(LEFT(B289,11)="INTL-JAP J ","International Juvenile",IF(LEFT(B289,11)="INTL-CHI J ","International Juvenile",IF(LEFT(B289,11)="INTL-SPA J ","International Juvenile",IF(LEFT(B289,14)="INTL-VIE TEEN ","International Teen",IF(LEFT(B289,14)="INTL-TAG TEEN ","International Teen",IF(LEFT(B289,14)="INTL-RUS TEEN ","International Teen",IF(LEFT(B289,14)="INTL-KOR TEEN ","International Teen",IF(LEFT(B289,14)="INTL-JAP TEEN ","International Teen",IF(LEFT(B289,14)="INTL-CHI TEEN ","International Teen",IF(LEFT(B289,14)="INTL-SPA TEEN ","International Teen",IF(LEFT(B289,11)="INTL-VIE E ","International Easy",IF(LEFT(B289,11)="INTL-TAG E ","International Easy",IF(LEFT(B289,11)="INTL-RUS E ","International Easy",IF(LEFT(B289,11)="INTL-JAP E ","International Easy",IF(LEFT(B289,11)="INTL-KOR E ","International Easy",IF(LEFT(B289,11)="INTL-CHI E ","International Easy",IF(LEFT(B289,11)="INTL-SPA E ","International Easy",
IF(D289="Teen Large Type","Teen Fiction",
IF(D289="Juvenile Large Type","Juvenile Fiction",
IF(LEFT(B289,6)="J CD O","Juvenile Compact Disc",
IF(AND(LEFT(B289,4)="TEEN",D289="Fiction"),"Teen Fiction",
IF(D289="DVD Educational","Nonfiction",
IF(D289="Juvenile DVD Educational","Nonfiction",
IF(D289="Reference","Nonfiction",
D289))))))))))))))))))))))))))))))))))))))))))</f>
        <v/>
      </c>
    </row>
    <row r="290" spans="1:14" ht="27" customHeight="1" x14ac:dyDescent="0.25">
      <c r="A290" s="10" t="str">
        <f ca="1">TEXT( INDIRECT( ADDRESS( ROW() + Row_Offset, INDIRECT( "Column_Number_" &amp; A$1), 4,1, tabname) ), "")</f>
        <v/>
      </c>
      <c r="B290" s="10" t="str">
        <f ca="1">TEXT(  IFERROR( VLOOKUP( $D290, CollName_Simplifier_Table[], 2, FALSE),"") &amp;
        INDIRECT( ADDRESS( ROW() + Row_Offset, INDIRECT( "Column_Number_" &amp; $B$1), 4,1, tabname) ), "")</f>
        <v/>
      </c>
      <c r="C290" s="10" t="str">
        <f ca="1">TEXT( INDIRECT( ADDRESS( ROW() + Row_Offset, INDIRECT( "Column_Number_" &amp; C$1), 4,1, tabname) ), "")</f>
        <v/>
      </c>
      <c r="D290" s="10" t="str">
        <f ca="1">TEXT( INDIRECT( ADDRESS( ROW() + Row_Offset, INDIRECT( "Column_Number_" &amp; D$1), 4,1, tabname) ), "")</f>
        <v/>
      </c>
      <c r="E290" s="10" t="str">
        <f ca="1">TEXT( INDIRECT( ADDRESS( ROW() + Row_Offset, INDIRECT( "Column_Number_" &amp; E$1), 4,1, tabname) ), "####")</f>
        <v/>
      </c>
      <c r="F290" s="15"/>
      <c r="G290" s="22" t="str">
        <f ca="1">IFERROR(INDEX(Rank_Table[],MATCH($D290&amp;$A290,Table4[Join],0)),"")</f>
        <v/>
      </c>
      <c r="H290" s="11" t="str">
        <f ca="1">IF(AND(D290="Juvenile Audiobook",LEFT(B290,8)="J CD BIO"),RIGHT(B290,LEN(B290)-9),
IF(AND(D290="Juvenile Audiobook",LEFT(B290,8)="J CD FIC"),B290,
IF(D290="Juvenile Audiobook",RIGHT(B290,LEN(B290)-5),
IF(AND(D290="Teen Audiobook",LEFT(B290,11)="TEEN CD BIO"),RIGHT(B290,LEN(B290)-12),
IF(AND(D290="Teen Audiobook",LEFT(B290,11)="TEEN CD FIC"),B290,
IF(D290="Juvenile Audiobook",RIGHT(B290,LEN(B290)-8),
IF(D290="Juvenile Nonfiction",RIGHT(B290,LEN(B290)-2),
IF(D290="Teen Nonfiction",RIGHT(B290,LEN(B290)-5),
IF(AND(D290="Audiobook",
              NOT(OR(Contains($B290,"CD BIO"),Contains($B290,"CD FIC")))),RIGHT(B290,LEN(B290)-3),
IF(D290="Juvenile Biography",RIGHT(B290,LEN(B290)-2),
IF(D290="Teen Biography",RIGHT(B290,LEN(B290)-5),
IF(AND(D290="Audiobook",
              IFERROR(FIND("BIO",$B290)&gt;0,FALSE)),RIGHT(B290,LEN(B290)-3),
IF(D290="Juvenile Large Type","J "&amp;RIGHT(B290,LEN(B290)-11),
IF(D290="Teen Large Type","TEEN "&amp;RIGHT(B290,LEN(B290)-14),
IF(D290="Reference",RIGHT(B290,LEN(B290)-4),
IF(D290="DVD Educational",RIGHT(B290,LEN(B290)-7),
IF(D290="Juvenile DVD Educational",RIGHT(B290,LEN(B290)-9),
B290)))))))))))))))))</f>
        <v/>
      </c>
      <c r="N290" s="11" t="str">
        <f ca="1">IF(IFERROR(FIND("New",$A290)&gt;0,FALSE),"New ","") &amp; IF(IFERROR(FIND("In Lib",$A290)&gt;0,FALSE),"Reference ","") &amp;
IF(AND(D290="Audiobook",LEFT(B290,6)="CD BIO"),"Biography",
IF(AND(D290="Teen Audiobook",LEFT(B290,11)="TEEN CD BIO"),"Biography",
IF(AND(D290="Juvenile Audiobook",LEFT(B290,8)="J CD BIO"),"Biography",
IF(AND(D290="Audiobook",LEFT(B290,6)="CD FIC"),"Audiobook Fiction",
IF(AND(D290="Teen Audiobook",LEFT(B290,11)="TEEN CD FIC"),"Teen Audiobook",
IF(AND(D290="Juvenile Audiobook",LEFT(B290,8)="J CD FIC"),"Juvenile Audiobook",
IF(D290="Audiobook","Nonfiction",
IF(D290="Juvenile Audiobook","Nonfiction",
IF(D290="Teen Audiobook","Nonfiction",
IF(D290="Juvenile Nonfiction","Nonfiction",
IF(D290="Teen Nonfiction","Nonfiction",
IF(D290="Juvenile Biography","Biography",
IF(D290="Teen Biography","Biography",
IF(D290="ESL","Nonfiction",
IF(LEFT(B290,11)="INTL-VIE J ","International Juvenile",IF(LEFT(B290,11)="INTL-TAG J ","International Juvenile",IF(LEFT(B290,11)="INTL-RUS J ","International Juvenile",IF(LEFT(B290,11)="INTL-KOR J ","International Juvenile",IF(LEFT(B290,11)="INTL-JAP J ","International Juvenile",IF(LEFT(B290,11)="INTL-CHI J ","International Juvenile",IF(LEFT(B290,11)="INTL-SPA J ","International Juvenile",IF(LEFT(B290,14)="INTL-VIE TEEN ","International Teen",IF(LEFT(B290,14)="INTL-TAG TEEN ","International Teen",IF(LEFT(B290,14)="INTL-RUS TEEN ","International Teen",IF(LEFT(B290,14)="INTL-KOR TEEN ","International Teen",IF(LEFT(B290,14)="INTL-JAP TEEN ","International Teen",IF(LEFT(B290,14)="INTL-CHI TEEN ","International Teen",IF(LEFT(B290,14)="INTL-SPA TEEN ","International Teen",IF(LEFT(B290,11)="INTL-VIE E ","International Easy",IF(LEFT(B290,11)="INTL-TAG E ","International Easy",IF(LEFT(B290,11)="INTL-RUS E ","International Easy",IF(LEFT(B290,11)="INTL-JAP E ","International Easy",IF(LEFT(B290,11)="INTL-KOR E ","International Easy",IF(LEFT(B290,11)="INTL-CHI E ","International Easy",IF(LEFT(B290,11)="INTL-SPA E ","International Easy",
IF(D290="Teen Large Type","Teen Fiction",
IF(D290="Juvenile Large Type","Juvenile Fiction",
IF(LEFT(B290,6)="J CD O","Juvenile Compact Disc",
IF(AND(LEFT(B290,4)="TEEN",D290="Fiction"),"Teen Fiction",
IF(D290="DVD Educational","Nonfiction",
IF(D290="Juvenile DVD Educational","Nonfiction",
IF(D290="Reference","Nonfiction",
D290))))))))))))))))))))))))))))))))))))))))))</f>
        <v/>
      </c>
    </row>
    <row r="291" spans="1:14" ht="27" customHeight="1" x14ac:dyDescent="0.25">
      <c r="A291" s="10" t="str">
        <f ca="1">TEXT( INDIRECT( ADDRESS( ROW() + Row_Offset, INDIRECT( "Column_Number_" &amp; A$1), 4,1, tabname) ), "")</f>
        <v/>
      </c>
      <c r="B291" s="10" t="str">
        <f ca="1">TEXT(  IFERROR( VLOOKUP( $D291, CollName_Simplifier_Table[], 2, FALSE),"") &amp;
        INDIRECT( ADDRESS( ROW() + Row_Offset, INDIRECT( "Column_Number_" &amp; $B$1), 4,1, tabname) ), "")</f>
        <v/>
      </c>
      <c r="C291" s="10" t="str">
        <f ca="1">TEXT( INDIRECT( ADDRESS( ROW() + Row_Offset, INDIRECT( "Column_Number_" &amp; C$1), 4,1, tabname) ), "")</f>
        <v/>
      </c>
      <c r="D291" s="10" t="str">
        <f ca="1">TEXT( INDIRECT( ADDRESS( ROW() + Row_Offset, INDIRECT( "Column_Number_" &amp; D$1), 4,1, tabname) ), "")</f>
        <v/>
      </c>
      <c r="E291" s="10" t="str">
        <f ca="1">TEXT( INDIRECT( ADDRESS( ROW() + Row_Offset, INDIRECT( "Column_Number_" &amp; E$1), 4,1, tabname) ), "####")</f>
        <v/>
      </c>
      <c r="F291" s="15"/>
      <c r="G291" s="22" t="str">
        <f ca="1">IFERROR(INDEX(Rank_Table[],MATCH($D291&amp;$A291,Table4[Join],0)),"")</f>
        <v/>
      </c>
      <c r="H291" s="11" t="str">
        <f ca="1">IF(AND(D291="Juvenile Audiobook",LEFT(B291,8)="J CD BIO"),RIGHT(B291,LEN(B291)-9),
IF(AND(D291="Juvenile Audiobook",LEFT(B291,8)="J CD FIC"),B291,
IF(D291="Juvenile Audiobook",RIGHT(B291,LEN(B291)-5),
IF(AND(D291="Teen Audiobook",LEFT(B291,11)="TEEN CD BIO"),RIGHT(B291,LEN(B291)-12),
IF(AND(D291="Teen Audiobook",LEFT(B291,11)="TEEN CD FIC"),B291,
IF(D291="Juvenile Audiobook",RIGHT(B291,LEN(B291)-8),
IF(D291="Juvenile Nonfiction",RIGHT(B291,LEN(B291)-2),
IF(D291="Teen Nonfiction",RIGHT(B291,LEN(B291)-5),
IF(AND(D291="Audiobook",
              NOT(OR(Contains($B291,"CD BIO"),Contains($B291,"CD FIC")))),RIGHT(B291,LEN(B291)-3),
IF(D291="Juvenile Biography",RIGHT(B291,LEN(B291)-2),
IF(D291="Teen Biography",RIGHT(B291,LEN(B291)-5),
IF(AND(D291="Audiobook",
              IFERROR(FIND("BIO",$B291)&gt;0,FALSE)),RIGHT(B291,LEN(B291)-3),
IF(D291="Juvenile Large Type","J "&amp;RIGHT(B291,LEN(B291)-11),
IF(D291="Teen Large Type","TEEN "&amp;RIGHT(B291,LEN(B291)-14),
IF(D291="Reference",RIGHT(B291,LEN(B291)-4),
IF(D291="DVD Educational",RIGHT(B291,LEN(B291)-7),
IF(D291="Juvenile DVD Educational",RIGHT(B291,LEN(B291)-9),
B291)))))))))))))))))</f>
        <v/>
      </c>
      <c r="N291" s="11" t="str">
        <f ca="1">IF(IFERROR(FIND("New",$A291)&gt;0,FALSE),"New ","") &amp; IF(IFERROR(FIND("In Lib",$A291)&gt;0,FALSE),"Reference ","") &amp;
IF(AND(D291="Audiobook",LEFT(B291,6)="CD BIO"),"Biography",
IF(AND(D291="Teen Audiobook",LEFT(B291,11)="TEEN CD BIO"),"Biography",
IF(AND(D291="Juvenile Audiobook",LEFT(B291,8)="J CD BIO"),"Biography",
IF(AND(D291="Audiobook",LEFT(B291,6)="CD FIC"),"Audiobook Fiction",
IF(AND(D291="Teen Audiobook",LEFT(B291,11)="TEEN CD FIC"),"Teen Audiobook",
IF(AND(D291="Juvenile Audiobook",LEFT(B291,8)="J CD FIC"),"Juvenile Audiobook",
IF(D291="Audiobook","Nonfiction",
IF(D291="Juvenile Audiobook","Nonfiction",
IF(D291="Teen Audiobook","Nonfiction",
IF(D291="Juvenile Nonfiction","Nonfiction",
IF(D291="Teen Nonfiction","Nonfiction",
IF(D291="Juvenile Biography","Biography",
IF(D291="Teen Biography","Biography",
IF(D291="ESL","Nonfiction",
IF(LEFT(B291,11)="INTL-VIE J ","International Juvenile",IF(LEFT(B291,11)="INTL-TAG J ","International Juvenile",IF(LEFT(B291,11)="INTL-RUS J ","International Juvenile",IF(LEFT(B291,11)="INTL-KOR J ","International Juvenile",IF(LEFT(B291,11)="INTL-JAP J ","International Juvenile",IF(LEFT(B291,11)="INTL-CHI J ","International Juvenile",IF(LEFT(B291,11)="INTL-SPA J ","International Juvenile",IF(LEFT(B291,14)="INTL-VIE TEEN ","International Teen",IF(LEFT(B291,14)="INTL-TAG TEEN ","International Teen",IF(LEFT(B291,14)="INTL-RUS TEEN ","International Teen",IF(LEFT(B291,14)="INTL-KOR TEEN ","International Teen",IF(LEFT(B291,14)="INTL-JAP TEEN ","International Teen",IF(LEFT(B291,14)="INTL-CHI TEEN ","International Teen",IF(LEFT(B291,14)="INTL-SPA TEEN ","International Teen",IF(LEFT(B291,11)="INTL-VIE E ","International Easy",IF(LEFT(B291,11)="INTL-TAG E ","International Easy",IF(LEFT(B291,11)="INTL-RUS E ","International Easy",IF(LEFT(B291,11)="INTL-JAP E ","International Easy",IF(LEFT(B291,11)="INTL-KOR E ","International Easy",IF(LEFT(B291,11)="INTL-CHI E ","International Easy",IF(LEFT(B291,11)="INTL-SPA E ","International Easy",
IF(D291="Teen Large Type","Teen Fiction",
IF(D291="Juvenile Large Type","Juvenile Fiction",
IF(LEFT(B291,6)="J CD O","Juvenile Compact Disc",
IF(AND(LEFT(B291,4)="TEEN",D291="Fiction"),"Teen Fiction",
IF(D291="DVD Educational","Nonfiction",
IF(D291="Juvenile DVD Educational","Nonfiction",
IF(D291="Reference","Nonfiction",
D291))))))))))))))))))))))))))))))))))))))))))</f>
        <v/>
      </c>
    </row>
    <row r="292" spans="1:14" ht="27" customHeight="1" x14ac:dyDescent="0.25">
      <c r="A292" s="10" t="str">
        <f ca="1">TEXT( INDIRECT( ADDRESS( ROW() + Row_Offset, INDIRECT( "Column_Number_" &amp; A$1), 4,1, tabname) ), "")</f>
        <v/>
      </c>
      <c r="B292" s="10" t="str">
        <f ca="1">TEXT(  IFERROR( VLOOKUP( $D292, CollName_Simplifier_Table[], 2, FALSE),"") &amp;
        INDIRECT( ADDRESS( ROW() + Row_Offset, INDIRECT( "Column_Number_" &amp; $B$1), 4,1, tabname) ), "")</f>
        <v/>
      </c>
      <c r="C292" s="10" t="str">
        <f ca="1">TEXT( INDIRECT( ADDRESS( ROW() + Row_Offset, INDIRECT( "Column_Number_" &amp; C$1), 4,1, tabname) ), "")</f>
        <v/>
      </c>
      <c r="D292" s="10" t="str">
        <f ca="1">TEXT( INDIRECT( ADDRESS( ROW() + Row_Offset, INDIRECT( "Column_Number_" &amp; D$1), 4,1, tabname) ), "")</f>
        <v/>
      </c>
      <c r="E292" s="10" t="str">
        <f ca="1">TEXT( INDIRECT( ADDRESS( ROW() + Row_Offset, INDIRECT( "Column_Number_" &amp; E$1), 4,1, tabname) ), "####")</f>
        <v/>
      </c>
      <c r="F292" s="15"/>
      <c r="G292" s="22" t="str">
        <f ca="1">IFERROR(INDEX(Rank_Table[],MATCH($D292&amp;$A292,Table4[Join],0)),"")</f>
        <v/>
      </c>
      <c r="H292" s="11" t="str">
        <f ca="1">IF(AND(D292="Juvenile Audiobook",LEFT(B292,8)="J CD BIO"),RIGHT(B292,LEN(B292)-9),
IF(AND(D292="Juvenile Audiobook",LEFT(B292,8)="J CD FIC"),B292,
IF(D292="Juvenile Audiobook",RIGHT(B292,LEN(B292)-5),
IF(AND(D292="Teen Audiobook",LEFT(B292,11)="TEEN CD BIO"),RIGHT(B292,LEN(B292)-12),
IF(AND(D292="Teen Audiobook",LEFT(B292,11)="TEEN CD FIC"),B292,
IF(D292="Juvenile Audiobook",RIGHT(B292,LEN(B292)-8),
IF(D292="Juvenile Nonfiction",RIGHT(B292,LEN(B292)-2),
IF(D292="Teen Nonfiction",RIGHT(B292,LEN(B292)-5),
IF(AND(D292="Audiobook",
              NOT(OR(Contains($B292,"CD BIO"),Contains($B292,"CD FIC")))),RIGHT(B292,LEN(B292)-3),
IF(D292="Juvenile Biography",RIGHT(B292,LEN(B292)-2),
IF(D292="Teen Biography",RIGHT(B292,LEN(B292)-5),
IF(AND(D292="Audiobook",
              IFERROR(FIND("BIO",$B292)&gt;0,FALSE)),RIGHT(B292,LEN(B292)-3),
IF(D292="Juvenile Large Type","J "&amp;RIGHT(B292,LEN(B292)-11),
IF(D292="Teen Large Type","TEEN "&amp;RIGHT(B292,LEN(B292)-14),
IF(D292="Reference",RIGHT(B292,LEN(B292)-4),
IF(D292="DVD Educational",RIGHT(B292,LEN(B292)-7),
IF(D292="Juvenile DVD Educational",RIGHT(B292,LEN(B292)-9),
B292)))))))))))))))))</f>
        <v/>
      </c>
      <c r="N292" s="11" t="str">
        <f ca="1">IF(IFERROR(FIND("New",$A292)&gt;0,FALSE),"New ","") &amp; IF(IFERROR(FIND("In Lib",$A292)&gt;0,FALSE),"Reference ","") &amp;
IF(AND(D292="Audiobook",LEFT(B292,6)="CD BIO"),"Biography",
IF(AND(D292="Teen Audiobook",LEFT(B292,11)="TEEN CD BIO"),"Biography",
IF(AND(D292="Juvenile Audiobook",LEFT(B292,8)="J CD BIO"),"Biography",
IF(AND(D292="Audiobook",LEFT(B292,6)="CD FIC"),"Audiobook Fiction",
IF(AND(D292="Teen Audiobook",LEFT(B292,11)="TEEN CD FIC"),"Teen Audiobook",
IF(AND(D292="Juvenile Audiobook",LEFT(B292,8)="J CD FIC"),"Juvenile Audiobook",
IF(D292="Audiobook","Nonfiction",
IF(D292="Juvenile Audiobook","Nonfiction",
IF(D292="Teen Audiobook","Nonfiction",
IF(D292="Juvenile Nonfiction","Nonfiction",
IF(D292="Teen Nonfiction","Nonfiction",
IF(D292="Juvenile Biography","Biography",
IF(D292="Teen Biography","Biography",
IF(D292="ESL","Nonfiction",
IF(LEFT(B292,11)="INTL-VIE J ","International Juvenile",IF(LEFT(B292,11)="INTL-TAG J ","International Juvenile",IF(LEFT(B292,11)="INTL-RUS J ","International Juvenile",IF(LEFT(B292,11)="INTL-KOR J ","International Juvenile",IF(LEFT(B292,11)="INTL-JAP J ","International Juvenile",IF(LEFT(B292,11)="INTL-CHI J ","International Juvenile",IF(LEFT(B292,11)="INTL-SPA J ","International Juvenile",IF(LEFT(B292,14)="INTL-VIE TEEN ","International Teen",IF(LEFT(B292,14)="INTL-TAG TEEN ","International Teen",IF(LEFT(B292,14)="INTL-RUS TEEN ","International Teen",IF(LEFT(B292,14)="INTL-KOR TEEN ","International Teen",IF(LEFT(B292,14)="INTL-JAP TEEN ","International Teen",IF(LEFT(B292,14)="INTL-CHI TEEN ","International Teen",IF(LEFT(B292,14)="INTL-SPA TEEN ","International Teen",IF(LEFT(B292,11)="INTL-VIE E ","International Easy",IF(LEFT(B292,11)="INTL-TAG E ","International Easy",IF(LEFT(B292,11)="INTL-RUS E ","International Easy",IF(LEFT(B292,11)="INTL-JAP E ","International Easy",IF(LEFT(B292,11)="INTL-KOR E ","International Easy",IF(LEFT(B292,11)="INTL-CHI E ","International Easy",IF(LEFT(B292,11)="INTL-SPA E ","International Easy",
IF(D292="Teen Large Type","Teen Fiction",
IF(D292="Juvenile Large Type","Juvenile Fiction",
IF(LEFT(B292,6)="J CD O","Juvenile Compact Disc",
IF(AND(LEFT(B292,4)="TEEN",D292="Fiction"),"Teen Fiction",
IF(D292="DVD Educational","Nonfiction",
IF(D292="Juvenile DVD Educational","Nonfiction",
IF(D292="Reference","Nonfiction",
D292))))))))))))))))))))))))))))))))))))))))))</f>
        <v/>
      </c>
    </row>
    <row r="293" spans="1:14" ht="27" customHeight="1" x14ac:dyDescent="0.25">
      <c r="A293" s="10" t="str">
        <f ca="1">TEXT( INDIRECT( ADDRESS( ROW() + Row_Offset, INDIRECT( "Column_Number_" &amp; A$1), 4,1, tabname) ), "")</f>
        <v/>
      </c>
      <c r="B293" s="10" t="str">
        <f ca="1">TEXT(  IFERROR( VLOOKUP( $D293, CollName_Simplifier_Table[], 2, FALSE),"") &amp;
        INDIRECT( ADDRESS( ROW() + Row_Offset, INDIRECT( "Column_Number_" &amp; $B$1), 4,1, tabname) ), "")</f>
        <v/>
      </c>
      <c r="C293" s="10" t="str">
        <f ca="1">TEXT( INDIRECT( ADDRESS( ROW() + Row_Offset, INDIRECT( "Column_Number_" &amp; C$1), 4,1, tabname) ), "")</f>
        <v/>
      </c>
      <c r="D293" s="10" t="str">
        <f ca="1">TEXT( INDIRECT( ADDRESS( ROW() + Row_Offset, INDIRECT( "Column_Number_" &amp; D$1), 4,1, tabname) ), "")</f>
        <v/>
      </c>
      <c r="E293" s="10" t="str">
        <f ca="1">TEXT( INDIRECT( ADDRESS( ROW() + Row_Offset, INDIRECT( "Column_Number_" &amp; E$1), 4,1, tabname) ), "####")</f>
        <v/>
      </c>
      <c r="F293" s="15"/>
      <c r="G293" s="22" t="str">
        <f ca="1">IFERROR(INDEX(Rank_Table[],MATCH($D293&amp;$A293,Table4[Join],0)),"")</f>
        <v/>
      </c>
      <c r="H293" s="11" t="str">
        <f ca="1">IF(AND(D293="Juvenile Audiobook",LEFT(B293,8)="J CD BIO"),RIGHT(B293,LEN(B293)-9),
IF(AND(D293="Juvenile Audiobook",LEFT(B293,8)="J CD FIC"),B293,
IF(D293="Juvenile Audiobook",RIGHT(B293,LEN(B293)-5),
IF(AND(D293="Teen Audiobook",LEFT(B293,11)="TEEN CD BIO"),RIGHT(B293,LEN(B293)-12),
IF(AND(D293="Teen Audiobook",LEFT(B293,11)="TEEN CD FIC"),B293,
IF(D293="Juvenile Audiobook",RIGHT(B293,LEN(B293)-8),
IF(D293="Juvenile Nonfiction",RIGHT(B293,LEN(B293)-2),
IF(D293="Teen Nonfiction",RIGHT(B293,LEN(B293)-5),
IF(AND(D293="Audiobook",
              NOT(OR(Contains($B293,"CD BIO"),Contains($B293,"CD FIC")))),RIGHT(B293,LEN(B293)-3),
IF(D293="Juvenile Biography",RIGHT(B293,LEN(B293)-2),
IF(D293="Teen Biography",RIGHT(B293,LEN(B293)-5),
IF(AND(D293="Audiobook",
              IFERROR(FIND("BIO",$B293)&gt;0,FALSE)),RIGHT(B293,LEN(B293)-3),
IF(D293="Juvenile Large Type","J "&amp;RIGHT(B293,LEN(B293)-11),
IF(D293="Teen Large Type","TEEN "&amp;RIGHT(B293,LEN(B293)-14),
IF(D293="Reference",RIGHT(B293,LEN(B293)-4),
IF(D293="DVD Educational",RIGHT(B293,LEN(B293)-7),
IF(D293="Juvenile DVD Educational",RIGHT(B293,LEN(B293)-9),
B293)))))))))))))))))</f>
        <v/>
      </c>
      <c r="N293" s="11" t="str">
        <f ca="1">IF(IFERROR(FIND("New",$A293)&gt;0,FALSE),"New ","") &amp; IF(IFERROR(FIND("In Lib",$A293)&gt;0,FALSE),"Reference ","") &amp;
IF(AND(D293="Audiobook",LEFT(B293,6)="CD BIO"),"Biography",
IF(AND(D293="Teen Audiobook",LEFT(B293,11)="TEEN CD BIO"),"Biography",
IF(AND(D293="Juvenile Audiobook",LEFT(B293,8)="J CD BIO"),"Biography",
IF(AND(D293="Audiobook",LEFT(B293,6)="CD FIC"),"Audiobook Fiction",
IF(AND(D293="Teen Audiobook",LEFT(B293,11)="TEEN CD FIC"),"Teen Audiobook",
IF(AND(D293="Juvenile Audiobook",LEFT(B293,8)="J CD FIC"),"Juvenile Audiobook",
IF(D293="Audiobook","Nonfiction",
IF(D293="Juvenile Audiobook","Nonfiction",
IF(D293="Teen Audiobook","Nonfiction",
IF(D293="Juvenile Nonfiction","Nonfiction",
IF(D293="Teen Nonfiction","Nonfiction",
IF(D293="Juvenile Biography","Biography",
IF(D293="Teen Biography","Biography",
IF(D293="ESL","Nonfiction",
IF(LEFT(B293,11)="INTL-VIE J ","International Juvenile",IF(LEFT(B293,11)="INTL-TAG J ","International Juvenile",IF(LEFT(B293,11)="INTL-RUS J ","International Juvenile",IF(LEFT(B293,11)="INTL-KOR J ","International Juvenile",IF(LEFT(B293,11)="INTL-JAP J ","International Juvenile",IF(LEFT(B293,11)="INTL-CHI J ","International Juvenile",IF(LEFT(B293,11)="INTL-SPA J ","International Juvenile",IF(LEFT(B293,14)="INTL-VIE TEEN ","International Teen",IF(LEFT(B293,14)="INTL-TAG TEEN ","International Teen",IF(LEFT(B293,14)="INTL-RUS TEEN ","International Teen",IF(LEFT(B293,14)="INTL-KOR TEEN ","International Teen",IF(LEFT(B293,14)="INTL-JAP TEEN ","International Teen",IF(LEFT(B293,14)="INTL-CHI TEEN ","International Teen",IF(LEFT(B293,14)="INTL-SPA TEEN ","International Teen",IF(LEFT(B293,11)="INTL-VIE E ","International Easy",IF(LEFT(B293,11)="INTL-TAG E ","International Easy",IF(LEFT(B293,11)="INTL-RUS E ","International Easy",IF(LEFT(B293,11)="INTL-JAP E ","International Easy",IF(LEFT(B293,11)="INTL-KOR E ","International Easy",IF(LEFT(B293,11)="INTL-CHI E ","International Easy",IF(LEFT(B293,11)="INTL-SPA E ","International Easy",
IF(D293="Teen Large Type","Teen Fiction",
IF(D293="Juvenile Large Type","Juvenile Fiction",
IF(LEFT(B293,6)="J CD O","Juvenile Compact Disc",
IF(AND(LEFT(B293,4)="TEEN",D293="Fiction"),"Teen Fiction",
IF(D293="DVD Educational","Nonfiction",
IF(D293="Juvenile DVD Educational","Nonfiction",
IF(D293="Reference","Nonfiction",
D293))))))))))))))))))))))))))))))))))))))))))</f>
        <v/>
      </c>
    </row>
    <row r="294" spans="1:14" ht="27" customHeight="1" x14ac:dyDescent="0.25">
      <c r="A294" s="10" t="str">
        <f ca="1">TEXT( INDIRECT( ADDRESS( ROW() + Row_Offset, INDIRECT( "Column_Number_" &amp; A$1), 4,1, tabname) ), "")</f>
        <v/>
      </c>
      <c r="B294" s="10" t="str">
        <f ca="1">TEXT(  IFERROR( VLOOKUP( $D294, CollName_Simplifier_Table[], 2, FALSE),"") &amp;
        INDIRECT( ADDRESS( ROW() + Row_Offset, INDIRECT( "Column_Number_" &amp; $B$1), 4,1, tabname) ), "")</f>
        <v/>
      </c>
      <c r="C294" s="10" t="str">
        <f ca="1">TEXT( INDIRECT( ADDRESS( ROW() + Row_Offset, INDIRECT( "Column_Number_" &amp; C$1), 4,1, tabname) ), "")</f>
        <v/>
      </c>
      <c r="D294" s="10" t="str">
        <f ca="1">TEXT( INDIRECT( ADDRESS( ROW() + Row_Offset, INDIRECT( "Column_Number_" &amp; D$1), 4,1, tabname) ), "")</f>
        <v/>
      </c>
      <c r="E294" s="10" t="str">
        <f ca="1">TEXT( INDIRECT( ADDRESS( ROW() + Row_Offset, INDIRECT( "Column_Number_" &amp; E$1), 4,1, tabname) ), "####")</f>
        <v/>
      </c>
      <c r="F294" s="15"/>
      <c r="G294" s="22" t="str">
        <f ca="1">IFERROR(INDEX(Rank_Table[],MATCH($D294&amp;$A294,Table4[Join],0)),"")</f>
        <v/>
      </c>
      <c r="H294" s="11" t="str">
        <f ca="1">IF(AND(D294="Juvenile Audiobook",LEFT(B294,8)="J CD BIO"),RIGHT(B294,LEN(B294)-9),
IF(AND(D294="Juvenile Audiobook",LEFT(B294,8)="J CD FIC"),B294,
IF(D294="Juvenile Audiobook",RIGHT(B294,LEN(B294)-5),
IF(AND(D294="Teen Audiobook",LEFT(B294,11)="TEEN CD BIO"),RIGHT(B294,LEN(B294)-12),
IF(AND(D294="Teen Audiobook",LEFT(B294,11)="TEEN CD FIC"),B294,
IF(D294="Juvenile Audiobook",RIGHT(B294,LEN(B294)-8),
IF(D294="Juvenile Nonfiction",RIGHT(B294,LEN(B294)-2),
IF(D294="Teen Nonfiction",RIGHT(B294,LEN(B294)-5),
IF(AND(D294="Audiobook",
              NOT(OR(Contains($B294,"CD BIO"),Contains($B294,"CD FIC")))),RIGHT(B294,LEN(B294)-3),
IF(D294="Juvenile Biography",RIGHT(B294,LEN(B294)-2),
IF(D294="Teen Biography",RIGHT(B294,LEN(B294)-5),
IF(AND(D294="Audiobook",
              IFERROR(FIND("BIO",$B294)&gt;0,FALSE)),RIGHT(B294,LEN(B294)-3),
IF(D294="Juvenile Large Type","J "&amp;RIGHT(B294,LEN(B294)-11),
IF(D294="Teen Large Type","TEEN "&amp;RIGHT(B294,LEN(B294)-14),
IF(D294="Reference",RIGHT(B294,LEN(B294)-4),
IF(D294="DVD Educational",RIGHT(B294,LEN(B294)-7),
IF(D294="Juvenile DVD Educational",RIGHT(B294,LEN(B294)-9),
B294)))))))))))))))))</f>
        <v/>
      </c>
      <c r="N294" s="11" t="str">
        <f ca="1">IF(IFERROR(FIND("New",$A294)&gt;0,FALSE),"New ","") &amp; IF(IFERROR(FIND("In Lib",$A294)&gt;0,FALSE),"Reference ","") &amp;
IF(AND(D294="Audiobook",LEFT(B294,6)="CD BIO"),"Biography",
IF(AND(D294="Teen Audiobook",LEFT(B294,11)="TEEN CD BIO"),"Biography",
IF(AND(D294="Juvenile Audiobook",LEFT(B294,8)="J CD BIO"),"Biography",
IF(AND(D294="Audiobook",LEFT(B294,6)="CD FIC"),"Audiobook Fiction",
IF(AND(D294="Teen Audiobook",LEFT(B294,11)="TEEN CD FIC"),"Teen Audiobook",
IF(AND(D294="Juvenile Audiobook",LEFT(B294,8)="J CD FIC"),"Juvenile Audiobook",
IF(D294="Audiobook","Nonfiction",
IF(D294="Juvenile Audiobook","Nonfiction",
IF(D294="Teen Audiobook","Nonfiction",
IF(D294="Juvenile Nonfiction","Nonfiction",
IF(D294="Teen Nonfiction","Nonfiction",
IF(D294="Juvenile Biography","Biography",
IF(D294="Teen Biography","Biography",
IF(D294="ESL","Nonfiction",
IF(LEFT(B294,11)="INTL-VIE J ","International Juvenile",IF(LEFT(B294,11)="INTL-TAG J ","International Juvenile",IF(LEFT(B294,11)="INTL-RUS J ","International Juvenile",IF(LEFT(B294,11)="INTL-KOR J ","International Juvenile",IF(LEFT(B294,11)="INTL-JAP J ","International Juvenile",IF(LEFT(B294,11)="INTL-CHI J ","International Juvenile",IF(LEFT(B294,11)="INTL-SPA J ","International Juvenile",IF(LEFT(B294,14)="INTL-VIE TEEN ","International Teen",IF(LEFT(B294,14)="INTL-TAG TEEN ","International Teen",IF(LEFT(B294,14)="INTL-RUS TEEN ","International Teen",IF(LEFT(B294,14)="INTL-KOR TEEN ","International Teen",IF(LEFT(B294,14)="INTL-JAP TEEN ","International Teen",IF(LEFT(B294,14)="INTL-CHI TEEN ","International Teen",IF(LEFT(B294,14)="INTL-SPA TEEN ","International Teen",IF(LEFT(B294,11)="INTL-VIE E ","International Easy",IF(LEFT(B294,11)="INTL-TAG E ","International Easy",IF(LEFT(B294,11)="INTL-RUS E ","International Easy",IF(LEFT(B294,11)="INTL-JAP E ","International Easy",IF(LEFT(B294,11)="INTL-KOR E ","International Easy",IF(LEFT(B294,11)="INTL-CHI E ","International Easy",IF(LEFT(B294,11)="INTL-SPA E ","International Easy",
IF(D294="Teen Large Type","Teen Fiction",
IF(D294="Juvenile Large Type","Juvenile Fiction",
IF(LEFT(B294,6)="J CD O","Juvenile Compact Disc",
IF(AND(LEFT(B294,4)="TEEN",D294="Fiction"),"Teen Fiction",
IF(D294="DVD Educational","Nonfiction",
IF(D294="Juvenile DVD Educational","Nonfiction",
IF(D294="Reference","Nonfiction",
D294))))))))))))))))))))))))))))))))))))))))))</f>
        <v/>
      </c>
    </row>
    <row r="295" spans="1:14" ht="27" customHeight="1" x14ac:dyDescent="0.25">
      <c r="A295" s="10" t="str">
        <f ca="1">TEXT( INDIRECT( ADDRESS( ROW() + Row_Offset, INDIRECT( "Column_Number_" &amp; A$1), 4,1, tabname) ), "")</f>
        <v/>
      </c>
      <c r="B295" s="10" t="str">
        <f ca="1">TEXT(  IFERROR( VLOOKUP( $D295, CollName_Simplifier_Table[], 2, FALSE),"") &amp;
        INDIRECT( ADDRESS( ROW() + Row_Offset, INDIRECT( "Column_Number_" &amp; $B$1), 4,1, tabname) ), "")</f>
        <v/>
      </c>
      <c r="C295" s="10" t="str">
        <f ca="1">TEXT( INDIRECT( ADDRESS( ROW() + Row_Offset, INDIRECT( "Column_Number_" &amp; C$1), 4,1, tabname) ), "")</f>
        <v/>
      </c>
      <c r="D295" s="10" t="str">
        <f ca="1">TEXT( INDIRECT( ADDRESS( ROW() + Row_Offset, INDIRECT( "Column_Number_" &amp; D$1), 4,1, tabname) ), "")</f>
        <v/>
      </c>
      <c r="E295" s="10" t="str">
        <f ca="1">TEXT( INDIRECT( ADDRESS( ROW() + Row_Offset, INDIRECT( "Column_Number_" &amp; E$1), 4,1, tabname) ), "####")</f>
        <v/>
      </c>
      <c r="F295" s="15"/>
      <c r="G295" s="22" t="str">
        <f ca="1">IFERROR(INDEX(Rank_Table[],MATCH($D295&amp;$A295,Table4[Join],0)),"")</f>
        <v/>
      </c>
      <c r="H295" s="11" t="str">
        <f ca="1">IF(AND(D295="Juvenile Audiobook",LEFT(B295,8)="J CD BIO"),RIGHT(B295,LEN(B295)-9),
IF(AND(D295="Juvenile Audiobook",LEFT(B295,8)="J CD FIC"),B295,
IF(D295="Juvenile Audiobook",RIGHT(B295,LEN(B295)-5),
IF(AND(D295="Teen Audiobook",LEFT(B295,11)="TEEN CD BIO"),RIGHT(B295,LEN(B295)-12),
IF(AND(D295="Teen Audiobook",LEFT(B295,11)="TEEN CD FIC"),B295,
IF(D295="Juvenile Audiobook",RIGHT(B295,LEN(B295)-8),
IF(D295="Juvenile Nonfiction",RIGHT(B295,LEN(B295)-2),
IF(D295="Teen Nonfiction",RIGHT(B295,LEN(B295)-5),
IF(AND(D295="Audiobook",
              NOT(OR(Contains($B295,"CD BIO"),Contains($B295,"CD FIC")))),RIGHT(B295,LEN(B295)-3),
IF(D295="Juvenile Biography",RIGHT(B295,LEN(B295)-2),
IF(D295="Teen Biography",RIGHT(B295,LEN(B295)-5),
IF(AND(D295="Audiobook",
              IFERROR(FIND("BIO",$B295)&gt;0,FALSE)),RIGHT(B295,LEN(B295)-3),
IF(D295="Juvenile Large Type","J "&amp;RIGHT(B295,LEN(B295)-11),
IF(D295="Teen Large Type","TEEN "&amp;RIGHT(B295,LEN(B295)-14),
IF(D295="Reference",RIGHT(B295,LEN(B295)-4),
IF(D295="DVD Educational",RIGHT(B295,LEN(B295)-7),
IF(D295="Juvenile DVD Educational",RIGHT(B295,LEN(B295)-9),
B295)))))))))))))))))</f>
        <v/>
      </c>
      <c r="N295" s="11" t="str">
        <f ca="1">IF(IFERROR(FIND("New",$A295)&gt;0,FALSE),"New ","") &amp; IF(IFERROR(FIND("In Lib",$A295)&gt;0,FALSE),"Reference ","") &amp;
IF(AND(D295="Audiobook",LEFT(B295,6)="CD BIO"),"Biography",
IF(AND(D295="Teen Audiobook",LEFT(B295,11)="TEEN CD BIO"),"Biography",
IF(AND(D295="Juvenile Audiobook",LEFT(B295,8)="J CD BIO"),"Biography",
IF(AND(D295="Audiobook",LEFT(B295,6)="CD FIC"),"Audiobook Fiction",
IF(AND(D295="Teen Audiobook",LEFT(B295,11)="TEEN CD FIC"),"Teen Audiobook",
IF(AND(D295="Juvenile Audiobook",LEFT(B295,8)="J CD FIC"),"Juvenile Audiobook",
IF(D295="Audiobook","Nonfiction",
IF(D295="Juvenile Audiobook","Nonfiction",
IF(D295="Teen Audiobook","Nonfiction",
IF(D295="Juvenile Nonfiction","Nonfiction",
IF(D295="Teen Nonfiction","Nonfiction",
IF(D295="Juvenile Biography","Biography",
IF(D295="Teen Biography","Biography",
IF(D295="ESL","Nonfiction",
IF(LEFT(B295,11)="INTL-VIE J ","International Juvenile",IF(LEFT(B295,11)="INTL-TAG J ","International Juvenile",IF(LEFT(B295,11)="INTL-RUS J ","International Juvenile",IF(LEFT(B295,11)="INTL-KOR J ","International Juvenile",IF(LEFT(B295,11)="INTL-JAP J ","International Juvenile",IF(LEFT(B295,11)="INTL-CHI J ","International Juvenile",IF(LEFT(B295,11)="INTL-SPA J ","International Juvenile",IF(LEFT(B295,14)="INTL-VIE TEEN ","International Teen",IF(LEFT(B295,14)="INTL-TAG TEEN ","International Teen",IF(LEFT(B295,14)="INTL-RUS TEEN ","International Teen",IF(LEFT(B295,14)="INTL-KOR TEEN ","International Teen",IF(LEFT(B295,14)="INTL-JAP TEEN ","International Teen",IF(LEFT(B295,14)="INTL-CHI TEEN ","International Teen",IF(LEFT(B295,14)="INTL-SPA TEEN ","International Teen",IF(LEFT(B295,11)="INTL-VIE E ","International Easy",IF(LEFT(B295,11)="INTL-TAG E ","International Easy",IF(LEFT(B295,11)="INTL-RUS E ","International Easy",IF(LEFT(B295,11)="INTL-JAP E ","International Easy",IF(LEFT(B295,11)="INTL-KOR E ","International Easy",IF(LEFT(B295,11)="INTL-CHI E ","International Easy",IF(LEFT(B295,11)="INTL-SPA E ","International Easy",
IF(D295="Teen Large Type","Teen Fiction",
IF(D295="Juvenile Large Type","Juvenile Fiction",
IF(LEFT(B295,6)="J CD O","Juvenile Compact Disc",
IF(AND(LEFT(B295,4)="TEEN",D295="Fiction"),"Teen Fiction",
IF(D295="DVD Educational","Nonfiction",
IF(D295="Juvenile DVD Educational","Nonfiction",
IF(D295="Reference","Nonfiction",
D295))))))))))))))))))))))))))))))))))))))))))</f>
        <v/>
      </c>
    </row>
    <row r="296" spans="1:14" ht="27" customHeight="1" x14ac:dyDescent="0.25">
      <c r="A296" s="10" t="str">
        <f ca="1">TEXT( INDIRECT( ADDRESS( ROW() + Row_Offset, INDIRECT( "Column_Number_" &amp; A$1), 4,1, tabname) ), "")</f>
        <v/>
      </c>
      <c r="B296" s="10" t="str">
        <f ca="1">TEXT(  IFERROR( VLOOKUP( $D296, CollName_Simplifier_Table[], 2, FALSE),"") &amp;
        INDIRECT( ADDRESS( ROW() + Row_Offset, INDIRECT( "Column_Number_" &amp; $B$1), 4,1, tabname) ), "")</f>
        <v/>
      </c>
      <c r="C296" s="10" t="str">
        <f ca="1">TEXT( INDIRECT( ADDRESS( ROW() + Row_Offset, INDIRECT( "Column_Number_" &amp; C$1), 4,1, tabname) ), "")</f>
        <v/>
      </c>
      <c r="D296" s="10" t="str">
        <f ca="1">TEXT( INDIRECT( ADDRESS( ROW() + Row_Offset, INDIRECT( "Column_Number_" &amp; D$1), 4,1, tabname) ), "")</f>
        <v/>
      </c>
      <c r="E296" s="10" t="str">
        <f ca="1">TEXT( INDIRECT( ADDRESS( ROW() + Row_Offset, INDIRECT( "Column_Number_" &amp; E$1), 4,1, tabname) ), "####")</f>
        <v/>
      </c>
      <c r="F296" s="15"/>
      <c r="G296" s="22" t="str">
        <f ca="1">IFERROR(INDEX(Rank_Table[],MATCH($D296&amp;$A296,Table4[Join],0)),"")</f>
        <v/>
      </c>
      <c r="H296" s="11" t="str">
        <f ca="1">IF(AND(D296="Juvenile Audiobook",LEFT(B296,8)="J CD BIO"),RIGHT(B296,LEN(B296)-9),
IF(AND(D296="Juvenile Audiobook",LEFT(B296,8)="J CD FIC"),B296,
IF(D296="Juvenile Audiobook",RIGHT(B296,LEN(B296)-5),
IF(AND(D296="Teen Audiobook",LEFT(B296,11)="TEEN CD BIO"),RIGHT(B296,LEN(B296)-12),
IF(AND(D296="Teen Audiobook",LEFT(B296,11)="TEEN CD FIC"),B296,
IF(D296="Juvenile Audiobook",RIGHT(B296,LEN(B296)-8),
IF(D296="Juvenile Nonfiction",RIGHT(B296,LEN(B296)-2),
IF(D296="Teen Nonfiction",RIGHT(B296,LEN(B296)-5),
IF(AND(D296="Audiobook",
              NOT(OR(Contains($B296,"CD BIO"),Contains($B296,"CD FIC")))),RIGHT(B296,LEN(B296)-3),
IF(D296="Juvenile Biography",RIGHT(B296,LEN(B296)-2),
IF(D296="Teen Biography",RIGHT(B296,LEN(B296)-5),
IF(AND(D296="Audiobook",
              IFERROR(FIND("BIO",$B296)&gt;0,FALSE)),RIGHT(B296,LEN(B296)-3),
IF(D296="Juvenile Large Type","J "&amp;RIGHT(B296,LEN(B296)-11),
IF(D296="Teen Large Type","TEEN "&amp;RIGHT(B296,LEN(B296)-14),
IF(D296="Reference",RIGHT(B296,LEN(B296)-4),
IF(D296="DVD Educational",RIGHT(B296,LEN(B296)-7),
IF(D296="Juvenile DVD Educational",RIGHT(B296,LEN(B296)-9),
B296)))))))))))))))))</f>
        <v/>
      </c>
      <c r="N296" s="11" t="str">
        <f ca="1">IF(IFERROR(FIND("New",$A296)&gt;0,FALSE),"New ","") &amp; IF(IFERROR(FIND("In Lib",$A296)&gt;0,FALSE),"Reference ","") &amp;
IF(AND(D296="Audiobook",LEFT(B296,6)="CD BIO"),"Biography",
IF(AND(D296="Teen Audiobook",LEFT(B296,11)="TEEN CD BIO"),"Biography",
IF(AND(D296="Juvenile Audiobook",LEFT(B296,8)="J CD BIO"),"Biography",
IF(AND(D296="Audiobook",LEFT(B296,6)="CD FIC"),"Audiobook Fiction",
IF(AND(D296="Teen Audiobook",LEFT(B296,11)="TEEN CD FIC"),"Teen Audiobook",
IF(AND(D296="Juvenile Audiobook",LEFT(B296,8)="J CD FIC"),"Juvenile Audiobook",
IF(D296="Audiobook","Nonfiction",
IF(D296="Juvenile Audiobook","Nonfiction",
IF(D296="Teen Audiobook","Nonfiction",
IF(D296="Juvenile Nonfiction","Nonfiction",
IF(D296="Teen Nonfiction","Nonfiction",
IF(D296="Juvenile Biography","Biography",
IF(D296="Teen Biography","Biography",
IF(D296="ESL","Nonfiction",
IF(LEFT(B296,11)="INTL-VIE J ","International Juvenile",IF(LEFT(B296,11)="INTL-TAG J ","International Juvenile",IF(LEFT(B296,11)="INTL-RUS J ","International Juvenile",IF(LEFT(B296,11)="INTL-KOR J ","International Juvenile",IF(LEFT(B296,11)="INTL-JAP J ","International Juvenile",IF(LEFT(B296,11)="INTL-CHI J ","International Juvenile",IF(LEFT(B296,11)="INTL-SPA J ","International Juvenile",IF(LEFT(B296,14)="INTL-VIE TEEN ","International Teen",IF(LEFT(B296,14)="INTL-TAG TEEN ","International Teen",IF(LEFT(B296,14)="INTL-RUS TEEN ","International Teen",IF(LEFT(B296,14)="INTL-KOR TEEN ","International Teen",IF(LEFT(B296,14)="INTL-JAP TEEN ","International Teen",IF(LEFT(B296,14)="INTL-CHI TEEN ","International Teen",IF(LEFT(B296,14)="INTL-SPA TEEN ","International Teen",IF(LEFT(B296,11)="INTL-VIE E ","International Easy",IF(LEFT(B296,11)="INTL-TAG E ","International Easy",IF(LEFT(B296,11)="INTL-RUS E ","International Easy",IF(LEFT(B296,11)="INTL-JAP E ","International Easy",IF(LEFT(B296,11)="INTL-KOR E ","International Easy",IF(LEFT(B296,11)="INTL-CHI E ","International Easy",IF(LEFT(B296,11)="INTL-SPA E ","International Easy",
IF(D296="Teen Large Type","Teen Fiction",
IF(D296="Juvenile Large Type","Juvenile Fiction",
IF(LEFT(B296,6)="J CD O","Juvenile Compact Disc",
IF(AND(LEFT(B296,4)="TEEN",D296="Fiction"),"Teen Fiction",
IF(D296="DVD Educational","Nonfiction",
IF(D296="Juvenile DVD Educational","Nonfiction",
IF(D296="Reference","Nonfiction",
D296))))))))))))))))))))))))))))))))))))))))))</f>
        <v/>
      </c>
    </row>
    <row r="297" spans="1:14" ht="27" customHeight="1" x14ac:dyDescent="0.25">
      <c r="A297" s="10" t="str">
        <f ca="1">TEXT( INDIRECT( ADDRESS( ROW() + Row_Offset, INDIRECT( "Column_Number_" &amp; A$1), 4,1, tabname) ), "")</f>
        <v/>
      </c>
      <c r="B297" s="10" t="str">
        <f ca="1">TEXT(  IFERROR( VLOOKUP( $D297, CollName_Simplifier_Table[], 2, FALSE),"") &amp;
        INDIRECT( ADDRESS( ROW() + Row_Offset, INDIRECT( "Column_Number_" &amp; $B$1), 4,1, tabname) ), "")</f>
        <v/>
      </c>
      <c r="C297" s="10" t="str">
        <f ca="1">TEXT( INDIRECT( ADDRESS( ROW() + Row_Offset, INDIRECT( "Column_Number_" &amp; C$1), 4,1, tabname) ), "")</f>
        <v/>
      </c>
      <c r="D297" s="10" t="str">
        <f ca="1">TEXT( INDIRECT( ADDRESS( ROW() + Row_Offset, INDIRECT( "Column_Number_" &amp; D$1), 4,1, tabname) ), "")</f>
        <v/>
      </c>
      <c r="E297" s="10" t="str">
        <f ca="1">TEXT( INDIRECT( ADDRESS( ROW() + Row_Offset, INDIRECT( "Column_Number_" &amp; E$1), 4,1, tabname) ), "####")</f>
        <v/>
      </c>
      <c r="F297" s="15"/>
      <c r="G297" s="22" t="str">
        <f ca="1">IFERROR(INDEX(Rank_Table[],MATCH($D297&amp;$A297,Table4[Join],0)),"")</f>
        <v/>
      </c>
      <c r="H297" s="11" t="str">
        <f ca="1">IF(AND(D297="Juvenile Audiobook",LEFT(B297,8)="J CD BIO"),RIGHT(B297,LEN(B297)-9),
IF(AND(D297="Juvenile Audiobook",LEFT(B297,8)="J CD FIC"),B297,
IF(D297="Juvenile Audiobook",RIGHT(B297,LEN(B297)-5),
IF(AND(D297="Teen Audiobook",LEFT(B297,11)="TEEN CD BIO"),RIGHT(B297,LEN(B297)-12),
IF(AND(D297="Teen Audiobook",LEFT(B297,11)="TEEN CD FIC"),B297,
IF(D297="Juvenile Audiobook",RIGHT(B297,LEN(B297)-8),
IF(D297="Juvenile Nonfiction",RIGHT(B297,LEN(B297)-2),
IF(D297="Teen Nonfiction",RIGHT(B297,LEN(B297)-5),
IF(AND(D297="Audiobook",
              NOT(OR(Contains($B297,"CD BIO"),Contains($B297,"CD FIC")))),RIGHT(B297,LEN(B297)-3),
IF(D297="Juvenile Biography",RIGHT(B297,LEN(B297)-2),
IF(D297="Teen Biography",RIGHT(B297,LEN(B297)-5),
IF(AND(D297="Audiobook",
              IFERROR(FIND("BIO",$B297)&gt;0,FALSE)),RIGHT(B297,LEN(B297)-3),
IF(D297="Juvenile Large Type","J "&amp;RIGHT(B297,LEN(B297)-11),
IF(D297="Teen Large Type","TEEN "&amp;RIGHT(B297,LEN(B297)-14),
IF(D297="Reference",RIGHT(B297,LEN(B297)-4),
IF(D297="DVD Educational",RIGHT(B297,LEN(B297)-7),
IF(D297="Juvenile DVD Educational",RIGHT(B297,LEN(B297)-9),
B297)))))))))))))))))</f>
        <v/>
      </c>
      <c r="N297" s="11" t="str">
        <f ca="1">IF(IFERROR(FIND("New",$A297)&gt;0,FALSE),"New ","") &amp; IF(IFERROR(FIND("In Lib",$A297)&gt;0,FALSE),"Reference ","") &amp;
IF(AND(D297="Audiobook",LEFT(B297,6)="CD BIO"),"Biography",
IF(AND(D297="Teen Audiobook",LEFT(B297,11)="TEEN CD BIO"),"Biography",
IF(AND(D297="Juvenile Audiobook",LEFT(B297,8)="J CD BIO"),"Biography",
IF(AND(D297="Audiobook",LEFT(B297,6)="CD FIC"),"Audiobook Fiction",
IF(AND(D297="Teen Audiobook",LEFT(B297,11)="TEEN CD FIC"),"Teen Audiobook",
IF(AND(D297="Juvenile Audiobook",LEFT(B297,8)="J CD FIC"),"Juvenile Audiobook",
IF(D297="Audiobook","Nonfiction",
IF(D297="Juvenile Audiobook","Nonfiction",
IF(D297="Teen Audiobook","Nonfiction",
IF(D297="Juvenile Nonfiction","Nonfiction",
IF(D297="Teen Nonfiction","Nonfiction",
IF(D297="Juvenile Biography","Biography",
IF(D297="Teen Biography","Biography",
IF(D297="ESL","Nonfiction",
IF(LEFT(B297,11)="INTL-VIE J ","International Juvenile",IF(LEFT(B297,11)="INTL-TAG J ","International Juvenile",IF(LEFT(B297,11)="INTL-RUS J ","International Juvenile",IF(LEFT(B297,11)="INTL-KOR J ","International Juvenile",IF(LEFT(B297,11)="INTL-JAP J ","International Juvenile",IF(LEFT(B297,11)="INTL-CHI J ","International Juvenile",IF(LEFT(B297,11)="INTL-SPA J ","International Juvenile",IF(LEFT(B297,14)="INTL-VIE TEEN ","International Teen",IF(LEFT(B297,14)="INTL-TAG TEEN ","International Teen",IF(LEFT(B297,14)="INTL-RUS TEEN ","International Teen",IF(LEFT(B297,14)="INTL-KOR TEEN ","International Teen",IF(LEFT(B297,14)="INTL-JAP TEEN ","International Teen",IF(LEFT(B297,14)="INTL-CHI TEEN ","International Teen",IF(LEFT(B297,14)="INTL-SPA TEEN ","International Teen",IF(LEFT(B297,11)="INTL-VIE E ","International Easy",IF(LEFT(B297,11)="INTL-TAG E ","International Easy",IF(LEFT(B297,11)="INTL-RUS E ","International Easy",IF(LEFT(B297,11)="INTL-JAP E ","International Easy",IF(LEFT(B297,11)="INTL-KOR E ","International Easy",IF(LEFT(B297,11)="INTL-CHI E ","International Easy",IF(LEFT(B297,11)="INTL-SPA E ","International Easy",
IF(D297="Teen Large Type","Teen Fiction",
IF(D297="Juvenile Large Type","Juvenile Fiction",
IF(LEFT(B297,6)="J CD O","Juvenile Compact Disc",
IF(AND(LEFT(B297,4)="TEEN",D297="Fiction"),"Teen Fiction",
IF(D297="DVD Educational","Nonfiction",
IF(D297="Juvenile DVD Educational","Nonfiction",
IF(D297="Reference","Nonfiction",
D297))))))))))))))))))))))))))))))))))))))))))</f>
        <v/>
      </c>
    </row>
    <row r="298" spans="1:14" ht="27" customHeight="1" x14ac:dyDescent="0.25">
      <c r="A298" s="10" t="str">
        <f ca="1">TEXT( INDIRECT( ADDRESS( ROW() + Row_Offset, INDIRECT( "Column_Number_" &amp; A$1), 4,1, tabname) ), "")</f>
        <v/>
      </c>
      <c r="B298" s="10" t="str">
        <f ca="1">TEXT(  IFERROR( VLOOKUP( $D298, CollName_Simplifier_Table[], 2, FALSE),"") &amp;
        INDIRECT( ADDRESS( ROW() + Row_Offset, INDIRECT( "Column_Number_" &amp; $B$1), 4,1, tabname) ), "")</f>
        <v/>
      </c>
      <c r="C298" s="10" t="str">
        <f ca="1">TEXT( INDIRECT( ADDRESS( ROW() + Row_Offset, INDIRECT( "Column_Number_" &amp; C$1), 4,1, tabname) ), "")</f>
        <v/>
      </c>
      <c r="D298" s="10" t="str">
        <f ca="1">TEXT( INDIRECT( ADDRESS( ROW() + Row_Offset, INDIRECT( "Column_Number_" &amp; D$1), 4,1, tabname) ), "")</f>
        <v/>
      </c>
      <c r="E298" s="10" t="str">
        <f ca="1">TEXT( INDIRECT( ADDRESS( ROW() + Row_Offset, INDIRECT( "Column_Number_" &amp; E$1), 4,1, tabname) ), "####")</f>
        <v/>
      </c>
      <c r="F298" s="15"/>
      <c r="G298" s="22" t="str">
        <f ca="1">IFERROR(INDEX(Rank_Table[],MATCH($D298&amp;$A298,Table4[Join],0)),"")</f>
        <v/>
      </c>
      <c r="H298" s="11" t="str">
        <f ca="1">IF(AND(D298="Juvenile Audiobook",LEFT(B298,8)="J CD BIO"),RIGHT(B298,LEN(B298)-9),
IF(AND(D298="Juvenile Audiobook",LEFT(B298,8)="J CD FIC"),B298,
IF(D298="Juvenile Audiobook",RIGHT(B298,LEN(B298)-5),
IF(AND(D298="Teen Audiobook",LEFT(B298,11)="TEEN CD BIO"),RIGHT(B298,LEN(B298)-12),
IF(AND(D298="Teen Audiobook",LEFT(B298,11)="TEEN CD FIC"),B298,
IF(D298="Juvenile Audiobook",RIGHT(B298,LEN(B298)-8),
IF(D298="Juvenile Nonfiction",RIGHT(B298,LEN(B298)-2),
IF(D298="Teen Nonfiction",RIGHT(B298,LEN(B298)-5),
IF(AND(D298="Audiobook",
              NOT(OR(Contains($B298,"CD BIO"),Contains($B298,"CD FIC")))),RIGHT(B298,LEN(B298)-3),
IF(D298="Juvenile Biography",RIGHT(B298,LEN(B298)-2),
IF(D298="Teen Biography",RIGHT(B298,LEN(B298)-5),
IF(AND(D298="Audiobook",
              IFERROR(FIND("BIO",$B298)&gt;0,FALSE)),RIGHT(B298,LEN(B298)-3),
IF(D298="Juvenile Large Type","J "&amp;RIGHT(B298,LEN(B298)-11),
IF(D298="Teen Large Type","TEEN "&amp;RIGHT(B298,LEN(B298)-14),
IF(D298="Reference",RIGHT(B298,LEN(B298)-4),
IF(D298="DVD Educational",RIGHT(B298,LEN(B298)-7),
IF(D298="Juvenile DVD Educational",RIGHT(B298,LEN(B298)-9),
B298)))))))))))))))))</f>
        <v/>
      </c>
      <c r="N298" s="11" t="str">
        <f ca="1">IF(IFERROR(FIND("New",$A298)&gt;0,FALSE),"New ","") &amp; IF(IFERROR(FIND("In Lib",$A298)&gt;0,FALSE),"Reference ","") &amp;
IF(AND(D298="Audiobook",LEFT(B298,6)="CD BIO"),"Biography",
IF(AND(D298="Teen Audiobook",LEFT(B298,11)="TEEN CD BIO"),"Biography",
IF(AND(D298="Juvenile Audiobook",LEFT(B298,8)="J CD BIO"),"Biography",
IF(AND(D298="Audiobook",LEFT(B298,6)="CD FIC"),"Audiobook Fiction",
IF(AND(D298="Teen Audiobook",LEFT(B298,11)="TEEN CD FIC"),"Teen Audiobook",
IF(AND(D298="Juvenile Audiobook",LEFT(B298,8)="J CD FIC"),"Juvenile Audiobook",
IF(D298="Audiobook","Nonfiction",
IF(D298="Juvenile Audiobook","Nonfiction",
IF(D298="Teen Audiobook","Nonfiction",
IF(D298="Juvenile Nonfiction","Nonfiction",
IF(D298="Teen Nonfiction","Nonfiction",
IF(D298="Juvenile Biography","Biography",
IF(D298="Teen Biography","Biography",
IF(D298="ESL","Nonfiction",
IF(LEFT(B298,11)="INTL-VIE J ","International Juvenile",IF(LEFT(B298,11)="INTL-TAG J ","International Juvenile",IF(LEFT(B298,11)="INTL-RUS J ","International Juvenile",IF(LEFT(B298,11)="INTL-KOR J ","International Juvenile",IF(LEFT(B298,11)="INTL-JAP J ","International Juvenile",IF(LEFT(B298,11)="INTL-CHI J ","International Juvenile",IF(LEFT(B298,11)="INTL-SPA J ","International Juvenile",IF(LEFT(B298,14)="INTL-VIE TEEN ","International Teen",IF(LEFT(B298,14)="INTL-TAG TEEN ","International Teen",IF(LEFT(B298,14)="INTL-RUS TEEN ","International Teen",IF(LEFT(B298,14)="INTL-KOR TEEN ","International Teen",IF(LEFT(B298,14)="INTL-JAP TEEN ","International Teen",IF(LEFT(B298,14)="INTL-CHI TEEN ","International Teen",IF(LEFT(B298,14)="INTL-SPA TEEN ","International Teen",IF(LEFT(B298,11)="INTL-VIE E ","International Easy",IF(LEFT(B298,11)="INTL-TAG E ","International Easy",IF(LEFT(B298,11)="INTL-RUS E ","International Easy",IF(LEFT(B298,11)="INTL-JAP E ","International Easy",IF(LEFT(B298,11)="INTL-KOR E ","International Easy",IF(LEFT(B298,11)="INTL-CHI E ","International Easy",IF(LEFT(B298,11)="INTL-SPA E ","International Easy",
IF(D298="Teen Large Type","Teen Fiction",
IF(D298="Juvenile Large Type","Juvenile Fiction",
IF(LEFT(B298,6)="J CD O","Juvenile Compact Disc",
IF(AND(LEFT(B298,4)="TEEN",D298="Fiction"),"Teen Fiction",
IF(D298="DVD Educational","Nonfiction",
IF(D298="Juvenile DVD Educational","Nonfiction",
IF(D298="Reference","Nonfiction",
D298))))))))))))))))))))))))))))))))))))))))))</f>
        <v/>
      </c>
    </row>
    <row r="299" spans="1:14" ht="27" customHeight="1" x14ac:dyDescent="0.25">
      <c r="A299" s="10" t="str">
        <f ca="1">TEXT( INDIRECT( ADDRESS( ROW() + Row_Offset, INDIRECT( "Column_Number_" &amp; A$1), 4,1, tabname) ), "")</f>
        <v/>
      </c>
      <c r="B299" s="10" t="str">
        <f ca="1">TEXT(  IFERROR( VLOOKUP( $D299, CollName_Simplifier_Table[], 2, FALSE),"") &amp;
        INDIRECT( ADDRESS( ROW() + Row_Offset, INDIRECT( "Column_Number_" &amp; $B$1), 4,1, tabname) ), "")</f>
        <v/>
      </c>
      <c r="C299" s="10" t="str">
        <f ca="1">TEXT( INDIRECT( ADDRESS( ROW() + Row_Offset, INDIRECT( "Column_Number_" &amp; C$1), 4,1, tabname) ), "")</f>
        <v/>
      </c>
      <c r="D299" s="10" t="str">
        <f ca="1">TEXT( INDIRECT( ADDRESS( ROW() + Row_Offset, INDIRECT( "Column_Number_" &amp; D$1), 4,1, tabname) ), "")</f>
        <v/>
      </c>
      <c r="E299" s="10" t="str">
        <f ca="1">TEXT( INDIRECT( ADDRESS( ROW() + Row_Offset, INDIRECT( "Column_Number_" &amp; E$1), 4,1, tabname) ), "####")</f>
        <v/>
      </c>
      <c r="F299" s="15"/>
      <c r="G299" s="22" t="str">
        <f ca="1">IFERROR(INDEX(Rank_Table[],MATCH($D299&amp;$A299,Table4[Join],0)),"")</f>
        <v/>
      </c>
      <c r="H299" s="11" t="str">
        <f ca="1">IF(AND(D299="Juvenile Audiobook",LEFT(B299,8)="J CD BIO"),RIGHT(B299,LEN(B299)-9),
IF(AND(D299="Juvenile Audiobook",LEFT(B299,8)="J CD FIC"),B299,
IF(D299="Juvenile Audiobook",RIGHT(B299,LEN(B299)-5),
IF(AND(D299="Teen Audiobook",LEFT(B299,11)="TEEN CD BIO"),RIGHT(B299,LEN(B299)-12),
IF(AND(D299="Teen Audiobook",LEFT(B299,11)="TEEN CD FIC"),B299,
IF(D299="Juvenile Audiobook",RIGHT(B299,LEN(B299)-8),
IF(D299="Juvenile Nonfiction",RIGHT(B299,LEN(B299)-2),
IF(D299="Teen Nonfiction",RIGHT(B299,LEN(B299)-5),
IF(AND(D299="Audiobook",
              NOT(OR(Contains($B299,"CD BIO"),Contains($B299,"CD FIC")))),RIGHT(B299,LEN(B299)-3),
IF(D299="Juvenile Biography",RIGHT(B299,LEN(B299)-2),
IF(D299="Teen Biography",RIGHT(B299,LEN(B299)-5),
IF(AND(D299="Audiobook",
              IFERROR(FIND("BIO",$B299)&gt;0,FALSE)),RIGHT(B299,LEN(B299)-3),
IF(D299="Juvenile Large Type","J "&amp;RIGHT(B299,LEN(B299)-11),
IF(D299="Teen Large Type","TEEN "&amp;RIGHT(B299,LEN(B299)-14),
IF(D299="Reference",RIGHT(B299,LEN(B299)-4),
IF(D299="DVD Educational",RIGHT(B299,LEN(B299)-7),
IF(D299="Juvenile DVD Educational",RIGHT(B299,LEN(B299)-9),
B299)))))))))))))))))</f>
        <v/>
      </c>
      <c r="N299" s="11" t="str">
        <f ca="1">IF(IFERROR(FIND("New",$A299)&gt;0,FALSE),"New ","") &amp; IF(IFERROR(FIND("In Lib",$A299)&gt;0,FALSE),"Reference ","") &amp;
IF(AND(D299="Audiobook",LEFT(B299,6)="CD BIO"),"Biography",
IF(AND(D299="Teen Audiobook",LEFT(B299,11)="TEEN CD BIO"),"Biography",
IF(AND(D299="Juvenile Audiobook",LEFT(B299,8)="J CD BIO"),"Biography",
IF(AND(D299="Audiobook",LEFT(B299,6)="CD FIC"),"Audiobook Fiction",
IF(AND(D299="Teen Audiobook",LEFT(B299,11)="TEEN CD FIC"),"Teen Audiobook",
IF(AND(D299="Juvenile Audiobook",LEFT(B299,8)="J CD FIC"),"Juvenile Audiobook",
IF(D299="Audiobook","Nonfiction",
IF(D299="Juvenile Audiobook","Nonfiction",
IF(D299="Teen Audiobook","Nonfiction",
IF(D299="Juvenile Nonfiction","Nonfiction",
IF(D299="Teen Nonfiction","Nonfiction",
IF(D299="Juvenile Biography","Biography",
IF(D299="Teen Biography","Biography",
IF(D299="ESL","Nonfiction",
IF(LEFT(B299,11)="INTL-VIE J ","International Juvenile",IF(LEFT(B299,11)="INTL-TAG J ","International Juvenile",IF(LEFT(B299,11)="INTL-RUS J ","International Juvenile",IF(LEFT(B299,11)="INTL-KOR J ","International Juvenile",IF(LEFT(B299,11)="INTL-JAP J ","International Juvenile",IF(LEFT(B299,11)="INTL-CHI J ","International Juvenile",IF(LEFT(B299,11)="INTL-SPA J ","International Juvenile",IF(LEFT(B299,14)="INTL-VIE TEEN ","International Teen",IF(LEFT(B299,14)="INTL-TAG TEEN ","International Teen",IF(LEFT(B299,14)="INTL-RUS TEEN ","International Teen",IF(LEFT(B299,14)="INTL-KOR TEEN ","International Teen",IF(LEFT(B299,14)="INTL-JAP TEEN ","International Teen",IF(LEFT(B299,14)="INTL-CHI TEEN ","International Teen",IF(LEFT(B299,14)="INTL-SPA TEEN ","International Teen",IF(LEFT(B299,11)="INTL-VIE E ","International Easy",IF(LEFT(B299,11)="INTL-TAG E ","International Easy",IF(LEFT(B299,11)="INTL-RUS E ","International Easy",IF(LEFT(B299,11)="INTL-JAP E ","International Easy",IF(LEFT(B299,11)="INTL-KOR E ","International Easy",IF(LEFT(B299,11)="INTL-CHI E ","International Easy",IF(LEFT(B299,11)="INTL-SPA E ","International Easy",
IF(D299="Teen Large Type","Teen Fiction",
IF(D299="Juvenile Large Type","Juvenile Fiction",
IF(LEFT(B299,6)="J CD O","Juvenile Compact Disc",
IF(AND(LEFT(B299,4)="TEEN",D299="Fiction"),"Teen Fiction",
IF(D299="DVD Educational","Nonfiction",
IF(D299="Juvenile DVD Educational","Nonfiction",
IF(D299="Reference","Nonfiction",
D299))))))))))))))))))))))))))))))))))))))))))</f>
        <v/>
      </c>
    </row>
    <row r="300" spans="1:14" ht="27" customHeight="1" x14ac:dyDescent="0.25">
      <c r="A300" s="10" t="str">
        <f ca="1">TEXT( INDIRECT( ADDRESS( ROW() + Row_Offset, INDIRECT( "Column_Number_" &amp; A$1), 4,1, tabname) ), "")</f>
        <v/>
      </c>
      <c r="B300" s="10" t="str">
        <f ca="1">TEXT(  IFERROR( VLOOKUP( $D300, CollName_Simplifier_Table[], 2, FALSE),"") &amp;
        INDIRECT( ADDRESS( ROW() + Row_Offset, INDIRECT( "Column_Number_" &amp; $B$1), 4,1, tabname) ), "")</f>
        <v/>
      </c>
      <c r="C300" s="10" t="str">
        <f ca="1">TEXT( INDIRECT( ADDRESS( ROW() + Row_Offset, INDIRECT( "Column_Number_" &amp; C$1), 4,1, tabname) ), "")</f>
        <v/>
      </c>
      <c r="D300" s="10" t="str">
        <f ca="1">TEXT( INDIRECT( ADDRESS( ROW() + Row_Offset, INDIRECT( "Column_Number_" &amp; D$1), 4,1, tabname) ), "")</f>
        <v/>
      </c>
      <c r="E300" s="10" t="str">
        <f ca="1">TEXT( INDIRECT( ADDRESS( ROW() + Row_Offset, INDIRECT( "Column_Number_" &amp; E$1), 4,1, tabname) ), "####")</f>
        <v/>
      </c>
      <c r="F300" s="15"/>
      <c r="G300" s="22" t="str">
        <f ca="1">IFERROR(INDEX(Rank_Table[],MATCH($D300&amp;$A300,Table4[Join],0)),"")</f>
        <v/>
      </c>
      <c r="H300" s="11" t="str">
        <f ca="1">IF(AND(D300="Juvenile Audiobook",LEFT(B300,8)="J CD BIO"),RIGHT(B300,LEN(B300)-9),
IF(AND(D300="Juvenile Audiobook",LEFT(B300,8)="J CD FIC"),B300,
IF(D300="Juvenile Audiobook",RIGHT(B300,LEN(B300)-5),
IF(AND(D300="Teen Audiobook",LEFT(B300,11)="TEEN CD BIO"),RIGHT(B300,LEN(B300)-12),
IF(AND(D300="Teen Audiobook",LEFT(B300,11)="TEEN CD FIC"),B300,
IF(D300="Juvenile Audiobook",RIGHT(B300,LEN(B300)-8),
IF(D300="Juvenile Nonfiction",RIGHT(B300,LEN(B300)-2),
IF(D300="Teen Nonfiction",RIGHT(B300,LEN(B300)-5),
IF(AND(D300="Audiobook",
              NOT(OR(Contains($B300,"CD BIO"),Contains($B300,"CD FIC")))),RIGHT(B300,LEN(B300)-3),
IF(D300="Juvenile Biography",RIGHT(B300,LEN(B300)-2),
IF(D300="Teen Biography",RIGHT(B300,LEN(B300)-5),
IF(AND(D300="Audiobook",
              IFERROR(FIND("BIO",$B300)&gt;0,FALSE)),RIGHT(B300,LEN(B300)-3),
IF(D300="Juvenile Large Type","J "&amp;RIGHT(B300,LEN(B300)-11),
IF(D300="Teen Large Type","TEEN "&amp;RIGHT(B300,LEN(B300)-14),
IF(D300="Reference",RIGHT(B300,LEN(B300)-4),
IF(D300="DVD Educational",RIGHT(B300,LEN(B300)-7),
IF(D300="Juvenile DVD Educational",RIGHT(B300,LEN(B300)-9),
B300)))))))))))))))))</f>
        <v/>
      </c>
      <c r="N300" s="11" t="str">
        <f ca="1">IF(IFERROR(FIND("New",$A300)&gt;0,FALSE),"New ","") &amp; IF(IFERROR(FIND("In Lib",$A300)&gt;0,FALSE),"Reference ","") &amp;
IF(AND(D300="Audiobook",LEFT(B300,6)="CD BIO"),"Biography",
IF(AND(D300="Teen Audiobook",LEFT(B300,11)="TEEN CD BIO"),"Biography",
IF(AND(D300="Juvenile Audiobook",LEFT(B300,8)="J CD BIO"),"Biography",
IF(AND(D300="Audiobook",LEFT(B300,6)="CD FIC"),"Audiobook Fiction",
IF(AND(D300="Teen Audiobook",LEFT(B300,11)="TEEN CD FIC"),"Teen Audiobook",
IF(AND(D300="Juvenile Audiobook",LEFT(B300,8)="J CD FIC"),"Juvenile Audiobook",
IF(D300="Audiobook","Nonfiction",
IF(D300="Juvenile Audiobook","Nonfiction",
IF(D300="Teen Audiobook","Nonfiction",
IF(D300="Juvenile Nonfiction","Nonfiction",
IF(D300="Teen Nonfiction","Nonfiction",
IF(D300="Juvenile Biography","Biography",
IF(D300="Teen Biography","Biography",
IF(D300="ESL","Nonfiction",
IF(LEFT(B300,11)="INTL-VIE J ","International Juvenile",IF(LEFT(B300,11)="INTL-TAG J ","International Juvenile",IF(LEFT(B300,11)="INTL-RUS J ","International Juvenile",IF(LEFT(B300,11)="INTL-KOR J ","International Juvenile",IF(LEFT(B300,11)="INTL-JAP J ","International Juvenile",IF(LEFT(B300,11)="INTL-CHI J ","International Juvenile",IF(LEFT(B300,11)="INTL-SPA J ","International Juvenile",IF(LEFT(B300,14)="INTL-VIE TEEN ","International Teen",IF(LEFT(B300,14)="INTL-TAG TEEN ","International Teen",IF(LEFT(B300,14)="INTL-RUS TEEN ","International Teen",IF(LEFT(B300,14)="INTL-KOR TEEN ","International Teen",IF(LEFT(B300,14)="INTL-JAP TEEN ","International Teen",IF(LEFT(B300,14)="INTL-CHI TEEN ","International Teen",IF(LEFT(B300,14)="INTL-SPA TEEN ","International Teen",IF(LEFT(B300,11)="INTL-VIE E ","International Easy",IF(LEFT(B300,11)="INTL-TAG E ","International Easy",IF(LEFT(B300,11)="INTL-RUS E ","International Easy",IF(LEFT(B300,11)="INTL-JAP E ","International Easy",IF(LEFT(B300,11)="INTL-KOR E ","International Easy",IF(LEFT(B300,11)="INTL-CHI E ","International Easy",IF(LEFT(B300,11)="INTL-SPA E ","International Easy",
IF(D300="Teen Large Type","Teen Fiction",
IF(D300="Juvenile Large Type","Juvenile Fiction",
IF(LEFT(B300,6)="J CD O","Juvenile Compact Disc",
IF(AND(LEFT(B300,4)="TEEN",D300="Fiction"),"Teen Fiction",
IF(D300="DVD Educational","Nonfiction",
IF(D300="Juvenile DVD Educational","Nonfiction",
IF(D300="Reference","Nonfiction",
D300))))))))))))))))))))))))))))))))))))))))))</f>
        <v/>
      </c>
    </row>
    <row r="301" spans="1:14" ht="27" customHeight="1" x14ac:dyDescent="0.25">
      <c r="A301" s="10" t="str">
        <f ca="1">TEXT( INDIRECT( ADDRESS( ROW() + Row_Offset, INDIRECT( "Column_Number_" &amp; A$1), 4,1, tabname) ), "")</f>
        <v/>
      </c>
      <c r="B301" s="10" t="str">
        <f ca="1">TEXT(  IFERROR( VLOOKUP( $D301, CollName_Simplifier_Table[], 2, FALSE),"") &amp;
        INDIRECT( ADDRESS( ROW() + Row_Offset, INDIRECT( "Column_Number_" &amp; $B$1), 4,1, tabname) ), "")</f>
        <v/>
      </c>
      <c r="C301" s="10" t="str">
        <f ca="1">TEXT( INDIRECT( ADDRESS( ROW() + Row_Offset, INDIRECT( "Column_Number_" &amp; C$1), 4,1, tabname) ), "")</f>
        <v/>
      </c>
      <c r="D301" s="10" t="str">
        <f ca="1">TEXT( INDIRECT( ADDRESS( ROW() + Row_Offset, INDIRECT( "Column_Number_" &amp; D$1), 4,1, tabname) ), "")</f>
        <v/>
      </c>
      <c r="E301" s="10" t="str">
        <f ca="1">TEXT( INDIRECT( ADDRESS( ROW() + Row_Offset, INDIRECT( "Column_Number_" &amp; E$1), 4,1, tabname) ), "####")</f>
        <v/>
      </c>
      <c r="F301" s="15"/>
      <c r="G301" s="22" t="str">
        <f ca="1">IFERROR(INDEX(Rank_Table[],MATCH($D301&amp;$A301,Table4[Join],0)),"")</f>
        <v/>
      </c>
      <c r="H301" s="11" t="str">
        <f ca="1">IF(AND(D301="Juvenile Audiobook",LEFT(B301,8)="J CD BIO"),RIGHT(B301,LEN(B301)-9),
IF(AND(D301="Juvenile Audiobook",LEFT(B301,8)="J CD FIC"),B301,
IF(D301="Juvenile Audiobook",RIGHT(B301,LEN(B301)-5),
IF(AND(D301="Teen Audiobook",LEFT(B301,11)="TEEN CD BIO"),RIGHT(B301,LEN(B301)-12),
IF(AND(D301="Teen Audiobook",LEFT(B301,11)="TEEN CD FIC"),B301,
IF(D301="Juvenile Audiobook",RIGHT(B301,LEN(B301)-8),
IF(D301="Juvenile Nonfiction",RIGHT(B301,LEN(B301)-2),
IF(D301="Teen Nonfiction",RIGHT(B301,LEN(B301)-5),
IF(AND(D301="Audiobook",
              NOT(OR(Contains($B301,"CD BIO"),Contains($B301,"CD FIC")))),RIGHT(B301,LEN(B301)-3),
IF(D301="Juvenile Biography",RIGHT(B301,LEN(B301)-2),
IF(D301="Teen Biography",RIGHT(B301,LEN(B301)-5),
IF(AND(D301="Audiobook",
              IFERROR(FIND("BIO",$B301)&gt;0,FALSE)),RIGHT(B301,LEN(B301)-3),
IF(D301="Juvenile Large Type","J "&amp;RIGHT(B301,LEN(B301)-11),
IF(D301="Teen Large Type","TEEN "&amp;RIGHT(B301,LEN(B301)-14),
IF(D301="Reference",RIGHT(B301,LEN(B301)-4),
IF(D301="DVD Educational",RIGHT(B301,LEN(B301)-7),
IF(D301="Juvenile DVD Educational",RIGHT(B301,LEN(B301)-9),
B301)))))))))))))))))</f>
        <v/>
      </c>
      <c r="N301" s="11" t="str">
        <f ca="1">IF(IFERROR(FIND("New",$A301)&gt;0,FALSE),"New ","") &amp; IF(IFERROR(FIND("In Lib",$A301)&gt;0,FALSE),"Reference ","") &amp;
IF(AND(D301="Audiobook",LEFT(B301,6)="CD BIO"),"Biography",
IF(AND(D301="Teen Audiobook",LEFT(B301,11)="TEEN CD BIO"),"Biography",
IF(AND(D301="Juvenile Audiobook",LEFT(B301,8)="J CD BIO"),"Biography",
IF(AND(D301="Audiobook",LEFT(B301,6)="CD FIC"),"Audiobook Fiction",
IF(AND(D301="Teen Audiobook",LEFT(B301,11)="TEEN CD FIC"),"Teen Audiobook",
IF(AND(D301="Juvenile Audiobook",LEFT(B301,8)="J CD FIC"),"Juvenile Audiobook",
IF(D301="Audiobook","Nonfiction",
IF(D301="Juvenile Audiobook","Nonfiction",
IF(D301="Teen Audiobook","Nonfiction",
IF(D301="Juvenile Nonfiction","Nonfiction",
IF(D301="Teen Nonfiction","Nonfiction",
IF(D301="Juvenile Biography","Biography",
IF(D301="Teen Biography","Biography",
IF(D301="ESL","Nonfiction",
IF(LEFT(B301,11)="INTL-VIE J ","International Juvenile",IF(LEFT(B301,11)="INTL-TAG J ","International Juvenile",IF(LEFT(B301,11)="INTL-RUS J ","International Juvenile",IF(LEFT(B301,11)="INTL-KOR J ","International Juvenile",IF(LEFT(B301,11)="INTL-JAP J ","International Juvenile",IF(LEFT(B301,11)="INTL-CHI J ","International Juvenile",IF(LEFT(B301,11)="INTL-SPA J ","International Juvenile",IF(LEFT(B301,14)="INTL-VIE TEEN ","International Teen",IF(LEFT(B301,14)="INTL-TAG TEEN ","International Teen",IF(LEFT(B301,14)="INTL-RUS TEEN ","International Teen",IF(LEFT(B301,14)="INTL-KOR TEEN ","International Teen",IF(LEFT(B301,14)="INTL-JAP TEEN ","International Teen",IF(LEFT(B301,14)="INTL-CHI TEEN ","International Teen",IF(LEFT(B301,14)="INTL-SPA TEEN ","International Teen",IF(LEFT(B301,11)="INTL-VIE E ","International Easy",IF(LEFT(B301,11)="INTL-TAG E ","International Easy",IF(LEFT(B301,11)="INTL-RUS E ","International Easy",IF(LEFT(B301,11)="INTL-JAP E ","International Easy",IF(LEFT(B301,11)="INTL-KOR E ","International Easy",IF(LEFT(B301,11)="INTL-CHI E ","International Easy",IF(LEFT(B301,11)="INTL-SPA E ","International Easy",
IF(D301="Teen Large Type","Teen Fiction",
IF(D301="Juvenile Large Type","Juvenile Fiction",
IF(LEFT(B301,6)="J CD O","Juvenile Compact Disc",
IF(AND(LEFT(B301,4)="TEEN",D301="Fiction"),"Teen Fiction",
IF(D301="DVD Educational","Nonfiction",
IF(D301="Juvenile DVD Educational","Nonfiction",
IF(D301="Reference","Nonfiction",
D301))))))))))))))))))))))))))))))))))))))))))</f>
        <v/>
      </c>
    </row>
    <row r="302" spans="1:14" ht="27" customHeight="1" x14ac:dyDescent="0.25">
      <c r="A302" s="10" t="str">
        <f ca="1">TEXT( INDIRECT( ADDRESS( ROW() + Row_Offset, INDIRECT( "Column_Number_" &amp; A$1), 4,1, tabname) ), "")</f>
        <v/>
      </c>
      <c r="B302" s="10" t="str">
        <f ca="1">TEXT(  IFERROR( VLOOKUP( $D302, CollName_Simplifier_Table[], 2, FALSE),"") &amp;
        INDIRECT( ADDRESS( ROW() + Row_Offset, INDIRECT( "Column_Number_" &amp; $B$1), 4,1, tabname) ), "")</f>
        <v/>
      </c>
      <c r="C302" s="10" t="str">
        <f ca="1">TEXT( INDIRECT( ADDRESS( ROW() + Row_Offset, INDIRECT( "Column_Number_" &amp; C$1), 4,1, tabname) ), "")</f>
        <v/>
      </c>
      <c r="D302" s="10" t="str">
        <f ca="1">TEXT( INDIRECT( ADDRESS( ROW() + Row_Offset, INDIRECT( "Column_Number_" &amp; D$1), 4,1, tabname) ), "")</f>
        <v/>
      </c>
      <c r="E302" s="10" t="str">
        <f ca="1">TEXT( INDIRECT( ADDRESS( ROW() + Row_Offset, INDIRECT( "Column_Number_" &amp; E$1), 4,1, tabname) ), "####")</f>
        <v/>
      </c>
      <c r="F302" s="15"/>
      <c r="G302" s="22" t="str">
        <f ca="1">IFERROR(INDEX(Rank_Table[],MATCH($D302&amp;$A302,Table4[Join],0)),"")</f>
        <v/>
      </c>
      <c r="H302" s="11" t="str">
        <f ca="1">IF(AND(D302="Juvenile Audiobook",LEFT(B302,8)="J CD BIO"),RIGHT(B302,LEN(B302)-9),
IF(AND(D302="Juvenile Audiobook",LEFT(B302,8)="J CD FIC"),B302,
IF(D302="Juvenile Audiobook",RIGHT(B302,LEN(B302)-5),
IF(AND(D302="Teen Audiobook",LEFT(B302,11)="TEEN CD BIO"),RIGHT(B302,LEN(B302)-12),
IF(AND(D302="Teen Audiobook",LEFT(B302,11)="TEEN CD FIC"),B302,
IF(D302="Juvenile Audiobook",RIGHT(B302,LEN(B302)-8),
IF(D302="Juvenile Nonfiction",RIGHT(B302,LEN(B302)-2),
IF(D302="Teen Nonfiction",RIGHT(B302,LEN(B302)-5),
IF(AND(D302="Audiobook",
              NOT(OR(Contains($B302,"CD BIO"),Contains($B302,"CD FIC")))),RIGHT(B302,LEN(B302)-3),
IF(D302="Juvenile Biography",RIGHT(B302,LEN(B302)-2),
IF(D302="Teen Biography",RIGHT(B302,LEN(B302)-5),
IF(AND(D302="Audiobook",
              IFERROR(FIND("BIO",$B302)&gt;0,FALSE)),RIGHT(B302,LEN(B302)-3),
IF(D302="Juvenile Large Type","J "&amp;RIGHT(B302,LEN(B302)-11),
IF(D302="Teen Large Type","TEEN "&amp;RIGHT(B302,LEN(B302)-14),
IF(D302="Reference",RIGHT(B302,LEN(B302)-4),
IF(D302="DVD Educational",RIGHT(B302,LEN(B302)-7),
IF(D302="Juvenile DVD Educational",RIGHT(B302,LEN(B302)-9),
B302)))))))))))))))))</f>
        <v/>
      </c>
      <c r="N302" s="11" t="str">
        <f ca="1">IF(IFERROR(FIND("New",$A302)&gt;0,FALSE),"New ","") &amp; IF(IFERROR(FIND("In Lib",$A302)&gt;0,FALSE),"Reference ","") &amp;
IF(AND(D302="Audiobook",LEFT(B302,6)="CD BIO"),"Biography",
IF(AND(D302="Teen Audiobook",LEFT(B302,11)="TEEN CD BIO"),"Biography",
IF(AND(D302="Juvenile Audiobook",LEFT(B302,8)="J CD BIO"),"Biography",
IF(AND(D302="Audiobook",LEFT(B302,6)="CD FIC"),"Audiobook Fiction",
IF(AND(D302="Teen Audiobook",LEFT(B302,11)="TEEN CD FIC"),"Teen Audiobook",
IF(AND(D302="Juvenile Audiobook",LEFT(B302,8)="J CD FIC"),"Juvenile Audiobook",
IF(D302="Audiobook","Nonfiction",
IF(D302="Juvenile Audiobook","Nonfiction",
IF(D302="Teen Audiobook","Nonfiction",
IF(D302="Juvenile Nonfiction","Nonfiction",
IF(D302="Teen Nonfiction","Nonfiction",
IF(D302="Juvenile Biography","Biography",
IF(D302="Teen Biography","Biography",
IF(D302="ESL","Nonfiction",
IF(LEFT(B302,11)="INTL-VIE J ","International Juvenile",IF(LEFT(B302,11)="INTL-TAG J ","International Juvenile",IF(LEFT(B302,11)="INTL-RUS J ","International Juvenile",IF(LEFT(B302,11)="INTL-KOR J ","International Juvenile",IF(LEFT(B302,11)="INTL-JAP J ","International Juvenile",IF(LEFT(B302,11)="INTL-CHI J ","International Juvenile",IF(LEFT(B302,11)="INTL-SPA J ","International Juvenile",IF(LEFT(B302,14)="INTL-VIE TEEN ","International Teen",IF(LEFT(B302,14)="INTL-TAG TEEN ","International Teen",IF(LEFT(B302,14)="INTL-RUS TEEN ","International Teen",IF(LEFT(B302,14)="INTL-KOR TEEN ","International Teen",IF(LEFT(B302,14)="INTL-JAP TEEN ","International Teen",IF(LEFT(B302,14)="INTL-CHI TEEN ","International Teen",IF(LEFT(B302,14)="INTL-SPA TEEN ","International Teen",IF(LEFT(B302,11)="INTL-VIE E ","International Easy",IF(LEFT(B302,11)="INTL-TAG E ","International Easy",IF(LEFT(B302,11)="INTL-RUS E ","International Easy",IF(LEFT(B302,11)="INTL-JAP E ","International Easy",IF(LEFT(B302,11)="INTL-KOR E ","International Easy",IF(LEFT(B302,11)="INTL-CHI E ","International Easy",IF(LEFT(B302,11)="INTL-SPA E ","International Easy",
IF(D302="Teen Large Type","Teen Fiction",
IF(D302="Juvenile Large Type","Juvenile Fiction",
IF(LEFT(B302,6)="J CD O","Juvenile Compact Disc",
IF(AND(LEFT(B302,4)="TEEN",D302="Fiction"),"Teen Fiction",
IF(D302="DVD Educational","Nonfiction",
IF(D302="Juvenile DVD Educational","Nonfiction",
IF(D302="Reference","Nonfiction",
D302))))))))))))))))))))))))))))))))))))))))))</f>
        <v/>
      </c>
    </row>
    <row r="303" spans="1:14" ht="27" customHeight="1" x14ac:dyDescent="0.25">
      <c r="A303" s="10" t="str">
        <f ca="1">TEXT( INDIRECT( ADDRESS( ROW() + Row_Offset, INDIRECT( "Column_Number_" &amp; A$1), 4,1, tabname) ), "")</f>
        <v/>
      </c>
      <c r="B303" s="10" t="str">
        <f ca="1">TEXT(  IFERROR( VLOOKUP( $D303, CollName_Simplifier_Table[], 2, FALSE),"") &amp;
        INDIRECT( ADDRESS( ROW() + Row_Offset, INDIRECT( "Column_Number_" &amp; $B$1), 4,1, tabname) ), "")</f>
        <v/>
      </c>
      <c r="C303" s="10" t="str">
        <f ca="1">TEXT( INDIRECT( ADDRESS( ROW() + Row_Offset, INDIRECT( "Column_Number_" &amp; C$1), 4,1, tabname) ), "")</f>
        <v/>
      </c>
      <c r="D303" s="10" t="str">
        <f ca="1">TEXT( INDIRECT( ADDRESS( ROW() + Row_Offset, INDIRECT( "Column_Number_" &amp; D$1), 4,1, tabname) ), "")</f>
        <v/>
      </c>
      <c r="E303" s="10" t="str">
        <f ca="1">TEXT( INDIRECT( ADDRESS( ROW() + Row_Offset, INDIRECT( "Column_Number_" &amp; E$1), 4,1, tabname) ), "####")</f>
        <v/>
      </c>
      <c r="F303" s="15"/>
      <c r="G303" s="22" t="str">
        <f ca="1">IFERROR(INDEX(Rank_Table[],MATCH($D303&amp;$A303,Table4[Join],0)),"")</f>
        <v/>
      </c>
      <c r="H303" s="11" t="str">
        <f ca="1">IF(AND(D303="Juvenile Audiobook",LEFT(B303,8)="J CD BIO"),RIGHT(B303,LEN(B303)-9),
IF(AND(D303="Juvenile Audiobook",LEFT(B303,8)="J CD FIC"),B303,
IF(D303="Juvenile Audiobook",RIGHT(B303,LEN(B303)-5),
IF(AND(D303="Teen Audiobook",LEFT(B303,11)="TEEN CD BIO"),RIGHT(B303,LEN(B303)-12),
IF(AND(D303="Teen Audiobook",LEFT(B303,11)="TEEN CD FIC"),B303,
IF(D303="Juvenile Audiobook",RIGHT(B303,LEN(B303)-8),
IF(D303="Juvenile Nonfiction",RIGHT(B303,LEN(B303)-2),
IF(D303="Teen Nonfiction",RIGHT(B303,LEN(B303)-5),
IF(AND(D303="Audiobook",
              NOT(OR(Contains($B303,"CD BIO"),Contains($B303,"CD FIC")))),RIGHT(B303,LEN(B303)-3),
IF(D303="Juvenile Biography",RIGHT(B303,LEN(B303)-2),
IF(D303="Teen Biography",RIGHT(B303,LEN(B303)-5),
IF(AND(D303="Audiobook",
              IFERROR(FIND("BIO",$B303)&gt;0,FALSE)),RIGHT(B303,LEN(B303)-3),
IF(D303="Juvenile Large Type","J "&amp;RIGHT(B303,LEN(B303)-11),
IF(D303="Teen Large Type","TEEN "&amp;RIGHT(B303,LEN(B303)-14),
IF(D303="Reference",RIGHT(B303,LEN(B303)-4),
IF(D303="DVD Educational",RIGHT(B303,LEN(B303)-7),
IF(D303="Juvenile DVD Educational",RIGHT(B303,LEN(B303)-9),
B303)))))))))))))))))</f>
        <v/>
      </c>
      <c r="N303" s="11" t="str">
        <f ca="1">IF(IFERROR(FIND("New",$A303)&gt;0,FALSE),"New ","") &amp; IF(IFERROR(FIND("In Lib",$A303)&gt;0,FALSE),"Reference ","") &amp;
IF(AND(D303="Audiobook",LEFT(B303,6)="CD BIO"),"Biography",
IF(AND(D303="Teen Audiobook",LEFT(B303,11)="TEEN CD BIO"),"Biography",
IF(AND(D303="Juvenile Audiobook",LEFT(B303,8)="J CD BIO"),"Biography",
IF(AND(D303="Audiobook",LEFT(B303,6)="CD FIC"),"Audiobook Fiction",
IF(AND(D303="Teen Audiobook",LEFT(B303,11)="TEEN CD FIC"),"Teen Audiobook",
IF(AND(D303="Juvenile Audiobook",LEFT(B303,8)="J CD FIC"),"Juvenile Audiobook",
IF(D303="Audiobook","Nonfiction",
IF(D303="Juvenile Audiobook","Nonfiction",
IF(D303="Teen Audiobook","Nonfiction",
IF(D303="Juvenile Nonfiction","Nonfiction",
IF(D303="Teen Nonfiction","Nonfiction",
IF(D303="Juvenile Biography","Biography",
IF(D303="Teen Biography","Biography",
IF(D303="ESL","Nonfiction",
IF(LEFT(B303,11)="INTL-VIE J ","International Juvenile",IF(LEFT(B303,11)="INTL-TAG J ","International Juvenile",IF(LEFT(B303,11)="INTL-RUS J ","International Juvenile",IF(LEFT(B303,11)="INTL-KOR J ","International Juvenile",IF(LEFT(B303,11)="INTL-JAP J ","International Juvenile",IF(LEFT(B303,11)="INTL-CHI J ","International Juvenile",IF(LEFT(B303,11)="INTL-SPA J ","International Juvenile",IF(LEFT(B303,14)="INTL-VIE TEEN ","International Teen",IF(LEFT(B303,14)="INTL-TAG TEEN ","International Teen",IF(LEFT(B303,14)="INTL-RUS TEEN ","International Teen",IF(LEFT(B303,14)="INTL-KOR TEEN ","International Teen",IF(LEFT(B303,14)="INTL-JAP TEEN ","International Teen",IF(LEFT(B303,14)="INTL-CHI TEEN ","International Teen",IF(LEFT(B303,14)="INTL-SPA TEEN ","International Teen",IF(LEFT(B303,11)="INTL-VIE E ","International Easy",IF(LEFT(B303,11)="INTL-TAG E ","International Easy",IF(LEFT(B303,11)="INTL-RUS E ","International Easy",IF(LEFT(B303,11)="INTL-JAP E ","International Easy",IF(LEFT(B303,11)="INTL-KOR E ","International Easy",IF(LEFT(B303,11)="INTL-CHI E ","International Easy",IF(LEFT(B303,11)="INTL-SPA E ","International Easy",
IF(D303="Teen Large Type","Teen Fiction",
IF(D303="Juvenile Large Type","Juvenile Fiction",
IF(LEFT(B303,6)="J CD O","Juvenile Compact Disc",
IF(AND(LEFT(B303,4)="TEEN",D303="Fiction"),"Teen Fiction",
IF(D303="DVD Educational","Nonfiction",
IF(D303="Juvenile DVD Educational","Nonfiction",
IF(D303="Reference","Nonfiction",
D303))))))))))))))))))))))))))))))))))))))))))</f>
        <v/>
      </c>
    </row>
    <row r="304" spans="1:14" ht="27" customHeight="1" x14ac:dyDescent="0.25">
      <c r="A304" s="10" t="str">
        <f ca="1">TEXT( INDIRECT( ADDRESS( ROW() + Row_Offset, INDIRECT( "Column_Number_" &amp; A$1), 4,1, tabname) ), "")</f>
        <v/>
      </c>
      <c r="B304" s="10" t="str">
        <f ca="1">TEXT(  IFERROR( VLOOKUP( $D304, CollName_Simplifier_Table[], 2, FALSE),"") &amp;
        INDIRECT( ADDRESS( ROW() + Row_Offset, INDIRECT( "Column_Number_" &amp; $B$1), 4,1, tabname) ), "")</f>
        <v/>
      </c>
      <c r="C304" s="10" t="str">
        <f ca="1">TEXT( INDIRECT( ADDRESS( ROW() + Row_Offset, INDIRECT( "Column_Number_" &amp; C$1), 4,1, tabname) ), "")</f>
        <v/>
      </c>
      <c r="D304" s="10" t="str">
        <f ca="1">TEXT( INDIRECT( ADDRESS( ROW() + Row_Offset, INDIRECT( "Column_Number_" &amp; D$1), 4,1, tabname) ), "")</f>
        <v/>
      </c>
      <c r="E304" s="10" t="str">
        <f ca="1">TEXT( INDIRECT( ADDRESS( ROW() + Row_Offset, INDIRECT( "Column_Number_" &amp; E$1), 4,1, tabname) ), "####")</f>
        <v/>
      </c>
      <c r="F304" s="15"/>
      <c r="G304" s="22" t="str">
        <f ca="1">IFERROR(INDEX(Rank_Table[],MATCH($D304&amp;$A304,Table4[Join],0)),"")</f>
        <v/>
      </c>
      <c r="H304" s="11" t="str">
        <f ca="1">IF(AND(D304="Juvenile Audiobook",LEFT(B304,8)="J CD BIO"),RIGHT(B304,LEN(B304)-9),
IF(AND(D304="Juvenile Audiobook",LEFT(B304,8)="J CD FIC"),B304,
IF(D304="Juvenile Audiobook",RIGHT(B304,LEN(B304)-5),
IF(AND(D304="Teen Audiobook",LEFT(B304,11)="TEEN CD BIO"),RIGHT(B304,LEN(B304)-12),
IF(AND(D304="Teen Audiobook",LEFT(B304,11)="TEEN CD FIC"),B304,
IF(D304="Juvenile Audiobook",RIGHT(B304,LEN(B304)-8),
IF(D304="Juvenile Nonfiction",RIGHT(B304,LEN(B304)-2),
IF(D304="Teen Nonfiction",RIGHT(B304,LEN(B304)-5),
IF(AND(D304="Audiobook",
              NOT(OR(Contains($B304,"CD BIO"),Contains($B304,"CD FIC")))),RIGHT(B304,LEN(B304)-3),
IF(D304="Juvenile Biography",RIGHT(B304,LEN(B304)-2),
IF(D304="Teen Biography",RIGHT(B304,LEN(B304)-5),
IF(AND(D304="Audiobook",
              IFERROR(FIND("BIO",$B304)&gt;0,FALSE)),RIGHT(B304,LEN(B304)-3),
IF(D304="Juvenile Large Type","J "&amp;RIGHT(B304,LEN(B304)-11),
IF(D304="Teen Large Type","TEEN "&amp;RIGHT(B304,LEN(B304)-14),
IF(D304="Reference",RIGHT(B304,LEN(B304)-4),
IF(D304="DVD Educational",RIGHT(B304,LEN(B304)-7),
IF(D304="Juvenile DVD Educational",RIGHT(B304,LEN(B304)-9),
B304)))))))))))))))))</f>
        <v/>
      </c>
      <c r="N304" s="11" t="str">
        <f ca="1">IF(IFERROR(FIND("New",$A304)&gt;0,FALSE),"New ","") &amp; IF(IFERROR(FIND("In Lib",$A304)&gt;0,FALSE),"Reference ","") &amp;
IF(AND(D304="Audiobook",LEFT(B304,6)="CD BIO"),"Biography",
IF(AND(D304="Teen Audiobook",LEFT(B304,11)="TEEN CD BIO"),"Biography",
IF(AND(D304="Juvenile Audiobook",LEFT(B304,8)="J CD BIO"),"Biography",
IF(AND(D304="Audiobook",LEFT(B304,6)="CD FIC"),"Audiobook Fiction",
IF(AND(D304="Teen Audiobook",LEFT(B304,11)="TEEN CD FIC"),"Teen Audiobook",
IF(AND(D304="Juvenile Audiobook",LEFT(B304,8)="J CD FIC"),"Juvenile Audiobook",
IF(D304="Audiobook","Nonfiction",
IF(D304="Juvenile Audiobook","Nonfiction",
IF(D304="Teen Audiobook","Nonfiction",
IF(D304="Juvenile Nonfiction","Nonfiction",
IF(D304="Teen Nonfiction","Nonfiction",
IF(D304="Juvenile Biography","Biography",
IF(D304="Teen Biography","Biography",
IF(D304="ESL","Nonfiction",
IF(LEFT(B304,11)="INTL-VIE J ","International Juvenile",IF(LEFT(B304,11)="INTL-TAG J ","International Juvenile",IF(LEFT(B304,11)="INTL-RUS J ","International Juvenile",IF(LEFT(B304,11)="INTL-KOR J ","International Juvenile",IF(LEFT(B304,11)="INTL-JAP J ","International Juvenile",IF(LEFT(B304,11)="INTL-CHI J ","International Juvenile",IF(LEFT(B304,11)="INTL-SPA J ","International Juvenile",IF(LEFT(B304,14)="INTL-VIE TEEN ","International Teen",IF(LEFT(B304,14)="INTL-TAG TEEN ","International Teen",IF(LEFT(B304,14)="INTL-RUS TEEN ","International Teen",IF(LEFT(B304,14)="INTL-KOR TEEN ","International Teen",IF(LEFT(B304,14)="INTL-JAP TEEN ","International Teen",IF(LEFT(B304,14)="INTL-CHI TEEN ","International Teen",IF(LEFT(B304,14)="INTL-SPA TEEN ","International Teen",IF(LEFT(B304,11)="INTL-VIE E ","International Easy",IF(LEFT(B304,11)="INTL-TAG E ","International Easy",IF(LEFT(B304,11)="INTL-RUS E ","International Easy",IF(LEFT(B304,11)="INTL-JAP E ","International Easy",IF(LEFT(B304,11)="INTL-KOR E ","International Easy",IF(LEFT(B304,11)="INTL-CHI E ","International Easy",IF(LEFT(B304,11)="INTL-SPA E ","International Easy",
IF(D304="Teen Large Type","Teen Fiction",
IF(D304="Juvenile Large Type","Juvenile Fiction",
IF(LEFT(B304,6)="J CD O","Juvenile Compact Disc",
IF(AND(LEFT(B304,4)="TEEN",D304="Fiction"),"Teen Fiction",
IF(D304="DVD Educational","Nonfiction",
IF(D304="Juvenile DVD Educational","Nonfiction",
IF(D304="Reference","Nonfiction",
D304))))))))))))))))))))))))))))))))))))))))))</f>
        <v/>
      </c>
    </row>
    <row r="305" spans="1:14" ht="27" customHeight="1" x14ac:dyDescent="0.25">
      <c r="A305" s="10" t="str">
        <f ca="1">TEXT( INDIRECT( ADDRESS( ROW() + Row_Offset, INDIRECT( "Column_Number_" &amp; A$1), 4,1, tabname) ), "")</f>
        <v/>
      </c>
      <c r="B305" s="10" t="str">
        <f ca="1">TEXT(  IFERROR( VLOOKUP( $D305, CollName_Simplifier_Table[], 2, FALSE),"") &amp;
        INDIRECT( ADDRESS( ROW() + Row_Offset, INDIRECT( "Column_Number_" &amp; $B$1), 4,1, tabname) ), "")</f>
        <v/>
      </c>
      <c r="C305" s="10" t="str">
        <f ca="1">TEXT( INDIRECT( ADDRESS( ROW() + Row_Offset, INDIRECT( "Column_Number_" &amp; C$1), 4,1, tabname) ), "")</f>
        <v/>
      </c>
      <c r="D305" s="10" t="str">
        <f ca="1">TEXT( INDIRECT( ADDRESS( ROW() + Row_Offset, INDIRECT( "Column_Number_" &amp; D$1), 4,1, tabname) ), "")</f>
        <v/>
      </c>
      <c r="E305" s="10" t="str">
        <f ca="1">TEXT( INDIRECT( ADDRESS( ROW() + Row_Offset, INDIRECT( "Column_Number_" &amp; E$1), 4,1, tabname) ), "####")</f>
        <v/>
      </c>
      <c r="F305" s="15"/>
      <c r="G305" s="22" t="str">
        <f ca="1">IFERROR(INDEX(Rank_Table[],MATCH($D305&amp;$A305,Table4[Join],0)),"")</f>
        <v/>
      </c>
      <c r="H305" s="11" t="str">
        <f ca="1">IF(AND(D305="Juvenile Audiobook",LEFT(B305,8)="J CD BIO"),RIGHT(B305,LEN(B305)-9),
IF(AND(D305="Juvenile Audiobook",LEFT(B305,8)="J CD FIC"),B305,
IF(D305="Juvenile Audiobook",RIGHT(B305,LEN(B305)-5),
IF(AND(D305="Teen Audiobook",LEFT(B305,11)="TEEN CD BIO"),RIGHT(B305,LEN(B305)-12),
IF(AND(D305="Teen Audiobook",LEFT(B305,11)="TEEN CD FIC"),B305,
IF(D305="Juvenile Audiobook",RIGHT(B305,LEN(B305)-8),
IF(D305="Juvenile Nonfiction",RIGHT(B305,LEN(B305)-2),
IF(D305="Teen Nonfiction",RIGHT(B305,LEN(B305)-5),
IF(AND(D305="Audiobook",
              NOT(OR(Contains($B305,"CD BIO"),Contains($B305,"CD FIC")))),RIGHT(B305,LEN(B305)-3),
IF(D305="Juvenile Biography",RIGHT(B305,LEN(B305)-2),
IF(D305="Teen Biography",RIGHT(B305,LEN(B305)-5),
IF(AND(D305="Audiobook",
              IFERROR(FIND("BIO",$B305)&gt;0,FALSE)),RIGHT(B305,LEN(B305)-3),
IF(D305="Juvenile Large Type","J "&amp;RIGHT(B305,LEN(B305)-11),
IF(D305="Teen Large Type","TEEN "&amp;RIGHT(B305,LEN(B305)-14),
IF(D305="Reference",RIGHT(B305,LEN(B305)-4),
IF(D305="DVD Educational",RIGHT(B305,LEN(B305)-7),
IF(D305="Juvenile DVD Educational",RIGHT(B305,LEN(B305)-9),
B305)))))))))))))))))</f>
        <v/>
      </c>
      <c r="N305" s="11" t="str">
        <f ca="1">IF(IFERROR(FIND("New",$A305)&gt;0,FALSE),"New ","") &amp; IF(IFERROR(FIND("In Lib",$A305)&gt;0,FALSE),"Reference ","") &amp;
IF(AND(D305="Audiobook",LEFT(B305,6)="CD BIO"),"Biography",
IF(AND(D305="Teen Audiobook",LEFT(B305,11)="TEEN CD BIO"),"Biography",
IF(AND(D305="Juvenile Audiobook",LEFT(B305,8)="J CD BIO"),"Biography",
IF(AND(D305="Audiobook",LEFT(B305,6)="CD FIC"),"Audiobook Fiction",
IF(AND(D305="Teen Audiobook",LEFT(B305,11)="TEEN CD FIC"),"Teen Audiobook",
IF(AND(D305="Juvenile Audiobook",LEFT(B305,8)="J CD FIC"),"Juvenile Audiobook",
IF(D305="Audiobook","Nonfiction",
IF(D305="Juvenile Audiobook","Nonfiction",
IF(D305="Teen Audiobook","Nonfiction",
IF(D305="Juvenile Nonfiction","Nonfiction",
IF(D305="Teen Nonfiction","Nonfiction",
IF(D305="Juvenile Biography","Biography",
IF(D305="Teen Biography","Biography",
IF(D305="ESL","Nonfiction",
IF(LEFT(B305,11)="INTL-VIE J ","International Juvenile",IF(LEFT(B305,11)="INTL-TAG J ","International Juvenile",IF(LEFT(B305,11)="INTL-RUS J ","International Juvenile",IF(LEFT(B305,11)="INTL-KOR J ","International Juvenile",IF(LEFT(B305,11)="INTL-JAP J ","International Juvenile",IF(LEFT(B305,11)="INTL-CHI J ","International Juvenile",IF(LEFT(B305,11)="INTL-SPA J ","International Juvenile",IF(LEFT(B305,14)="INTL-VIE TEEN ","International Teen",IF(LEFT(B305,14)="INTL-TAG TEEN ","International Teen",IF(LEFT(B305,14)="INTL-RUS TEEN ","International Teen",IF(LEFT(B305,14)="INTL-KOR TEEN ","International Teen",IF(LEFT(B305,14)="INTL-JAP TEEN ","International Teen",IF(LEFT(B305,14)="INTL-CHI TEEN ","International Teen",IF(LEFT(B305,14)="INTL-SPA TEEN ","International Teen",IF(LEFT(B305,11)="INTL-VIE E ","International Easy",IF(LEFT(B305,11)="INTL-TAG E ","International Easy",IF(LEFT(B305,11)="INTL-RUS E ","International Easy",IF(LEFT(B305,11)="INTL-JAP E ","International Easy",IF(LEFT(B305,11)="INTL-KOR E ","International Easy",IF(LEFT(B305,11)="INTL-CHI E ","International Easy",IF(LEFT(B305,11)="INTL-SPA E ","International Easy",
IF(D305="Teen Large Type","Teen Fiction",
IF(D305="Juvenile Large Type","Juvenile Fiction",
IF(LEFT(B305,6)="J CD O","Juvenile Compact Disc",
IF(AND(LEFT(B305,4)="TEEN",D305="Fiction"),"Teen Fiction",
IF(D305="DVD Educational","Nonfiction",
IF(D305="Juvenile DVD Educational","Nonfiction",
IF(D305="Reference","Nonfiction",
D305))))))))))))))))))))))))))))))))))))))))))</f>
        <v/>
      </c>
    </row>
    <row r="306" spans="1:14" ht="27" customHeight="1" x14ac:dyDescent="0.25">
      <c r="A306" s="10" t="str">
        <f ca="1">TEXT( INDIRECT( ADDRESS( ROW() + Row_Offset, INDIRECT( "Column_Number_" &amp; A$1), 4,1, tabname) ), "")</f>
        <v/>
      </c>
      <c r="B306" s="10" t="str">
        <f ca="1">TEXT(  IFERROR( VLOOKUP( $D306, CollName_Simplifier_Table[], 2, FALSE),"") &amp;
        INDIRECT( ADDRESS( ROW() + Row_Offset, INDIRECT( "Column_Number_" &amp; $B$1), 4,1, tabname) ), "")</f>
        <v/>
      </c>
      <c r="C306" s="10" t="str">
        <f ca="1">TEXT( INDIRECT( ADDRESS( ROW() + Row_Offset, INDIRECT( "Column_Number_" &amp; C$1), 4,1, tabname) ), "")</f>
        <v/>
      </c>
      <c r="D306" s="10" t="str">
        <f ca="1">TEXT( INDIRECT( ADDRESS( ROW() + Row_Offset, INDIRECT( "Column_Number_" &amp; D$1), 4,1, tabname) ), "")</f>
        <v/>
      </c>
      <c r="E306" s="10" t="str">
        <f ca="1">TEXT( INDIRECT( ADDRESS( ROW() + Row_Offset, INDIRECT( "Column_Number_" &amp; E$1), 4,1, tabname) ), "####")</f>
        <v/>
      </c>
      <c r="F306" s="15"/>
      <c r="G306" s="22" t="str">
        <f ca="1">IFERROR(INDEX(Rank_Table[],MATCH($D306&amp;$A306,Table4[Join],0)),"")</f>
        <v/>
      </c>
      <c r="H306" s="11" t="str">
        <f ca="1">IF(AND(D306="Juvenile Audiobook",LEFT(B306,8)="J CD BIO"),RIGHT(B306,LEN(B306)-9),
IF(AND(D306="Juvenile Audiobook",LEFT(B306,8)="J CD FIC"),B306,
IF(D306="Juvenile Audiobook",RIGHT(B306,LEN(B306)-5),
IF(AND(D306="Teen Audiobook",LEFT(B306,11)="TEEN CD BIO"),RIGHT(B306,LEN(B306)-12),
IF(AND(D306="Teen Audiobook",LEFT(B306,11)="TEEN CD FIC"),B306,
IF(D306="Juvenile Audiobook",RIGHT(B306,LEN(B306)-8),
IF(D306="Juvenile Nonfiction",RIGHT(B306,LEN(B306)-2),
IF(D306="Teen Nonfiction",RIGHT(B306,LEN(B306)-5),
IF(AND(D306="Audiobook",
              NOT(OR(Contains($B306,"CD BIO"),Contains($B306,"CD FIC")))),RIGHT(B306,LEN(B306)-3),
IF(D306="Juvenile Biography",RIGHT(B306,LEN(B306)-2),
IF(D306="Teen Biography",RIGHT(B306,LEN(B306)-5),
IF(AND(D306="Audiobook",
              IFERROR(FIND("BIO",$B306)&gt;0,FALSE)),RIGHT(B306,LEN(B306)-3),
IF(D306="Juvenile Large Type","J "&amp;RIGHT(B306,LEN(B306)-11),
IF(D306="Teen Large Type","TEEN "&amp;RIGHT(B306,LEN(B306)-14),
IF(D306="Reference",RIGHT(B306,LEN(B306)-4),
IF(D306="DVD Educational",RIGHT(B306,LEN(B306)-7),
IF(D306="Juvenile DVD Educational",RIGHT(B306,LEN(B306)-9),
B306)))))))))))))))))</f>
        <v/>
      </c>
      <c r="N306" s="11" t="str">
        <f ca="1">IF(IFERROR(FIND("New",$A306)&gt;0,FALSE),"New ","") &amp; IF(IFERROR(FIND("In Lib",$A306)&gt;0,FALSE),"Reference ","") &amp;
IF(AND(D306="Audiobook",LEFT(B306,6)="CD BIO"),"Biography",
IF(AND(D306="Teen Audiobook",LEFT(B306,11)="TEEN CD BIO"),"Biography",
IF(AND(D306="Juvenile Audiobook",LEFT(B306,8)="J CD BIO"),"Biography",
IF(AND(D306="Audiobook",LEFT(B306,6)="CD FIC"),"Audiobook Fiction",
IF(AND(D306="Teen Audiobook",LEFT(B306,11)="TEEN CD FIC"),"Teen Audiobook",
IF(AND(D306="Juvenile Audiobook",LEFT(B306,8)="J CD FIC"),"Juvenile Audiobook",
IF(D306="Audiobook","Nonfiction",
IF(D306="Juvenile Audiobook","Nonfiction",
IF(D306="Teen Audiobook","Nonfiction",
IF(D306="Juvenile Nonfiction","Nonfiction",
IF(D306="Teen Nonfiction","Nonfiction",
IF(D306="Juvenile Biography","Biography",
IF(D306="Teen Biography","Biography",
IF(D306="ESL","Nonfiction",
IF(LEFT(B306,11)="INTL-VIE J ","International Juvenile",IF(LEFT(B306,11)="INTL-TAG J ","International Juvenile",IF(LEFT(B306,11)="INTL-RUS J ","International Juvenile",IF(LEFT(B306,11)="INTL-KOR J ","International Juvenile",IF(LEFT(B306,11)="INTL-JAP J ","International Juvenile",IF(LEFT(B306,11)="INTL-CHI J ","International Juvenile",IF(LEFT(B306,11)="INTL-SPA J ","International Juvenile",IF(LEFT(B306,14)="INTL-VIE TEEN ","International Teen",IF(LEFT(B306,14)="INTL-TAG TEEN ","International Teen",IF(LEFT(B306,14)="INTL-RUS TEEN ","International Teen",IF(LEFT(B306,14)="INTL-KOR TEEN ","International Teen",IF(LEFT(B306,14)="INTL-JAP TEEN ","International Teen",IF(LEFT(B306,14)="INTL-CHI TEEN ","International Teen",IF(LEFT(B306,14)="INTL-SPA TEEN ","International Teen",IF(LEFT(B306,11)="INTL-VIE E ","International Easy",IF(LEFT(B306,11)="INTL-TAG E ","International Easy",IF(LEFT(B306,11)="INTL-RUS E ","International Easy",IF(LEFT(B306,11)="INTL-JAP E ","International Easy",IF(LEFT(B306,11)="INTL-KOR E ","International Easy",IF(LEFT(B306,11)="INTL-CHI E ","International Easy",IF(LEFT(B306,11)="INTL-SPA E ","International Easy",
IF(D306="Teen Large Type","Teen Fiction",
IF(D306="Juvenile Large Type","Juvenile Fiction",
IF(LEFT(B306,6)="J CD O","Juvenile Compact Disc",
IF(AND(LEFT(B306,4)="TEEN",D306="Fiction"),"Teen Fiction",
IF(D306="DVD Educational","Nonfiction",
IF(D306="Juvenile DVD Educational","Nonfiction",
IF(D306="Reference","Nonfiction",
D306))))))))))))))))))))))))))))))))))))))))))</f>
        <v/>
      </c>
    </row>
    <row r="307" spans="1:14" ht="27" customHeight="1" x14ac:dyDescent="0.25">
      <c r="A307" s="10" t="str">
        <f ca="1">TEXT( INDIRECT( ADDRESS( ROW() + Row_Offset, INDIRECT( "Column_Number_" &amp; A$1), 4,1, tabname) ), "")</f>
        <v/>
      </c>
      <c r="B307" s="10" t="str">
        <f ca="1">TEXT(  IFERROR( VLOOKUP( $D307, CollName_Simplifier_Table[], 2, FALSE),"") &amp;
        INDIRECT( ADDRESS( ROW() + Row_Offset, INDIRECT( "Column_Number_" &amp; $B$1), 4,1, tabname) ), "")</f>
        <v/>
      </c>
      <c r="C307" s="10" t="str">
        <f ca="1">TEXT( INDIRECT( ADDRESS( ROW() + Row_Offset, INDIRECT( "Column_Number_" &amp; C$1), 4,1, tabname) ), "")</f>
        <v/>
      </c>
      <c r="D307" s="10" t="str">
        <f ca="1">TEXT( INDIRECT( ADDRESS( ROW() + Row_Offset, INDIRECT( "Column_Number_" &amp; D$1), 4,1, tabname) ), "")</f>
        <v/>
      </c>
      <c r="E307" s="10" t="str">
        <f ca="1">TEXT( INDIRECT( ADDRESS( ROW() + Row_Offset, INDIRECT( "Column_Number_" &amp; E$1), 4,1, tabname) ), "####")</f>
        <v/>
      </c>
      <c r="F307" s="15"/>
      <c r="G307" s="22" t="str">
        <f ca="1">IFERROR(INDEX(Rank_Table[],MATCH($D307&amp;$A307,Table4[Join],0)),"")</f>
        <v/>
      </c>
      <c r="H307" s="11" t="str">
        <f ca="1">IF(AND(D307="Juvenile Audiobook",LEFT(B307,8)="J CD BIO"),RIGHT(B307,LEN(B307)-9),
IF(AND(D307="Juvenile Audiobook",LEFT(B307,8)="J CD FIC"),B307,
IF(D307="Juvenile Audiobook",RIGHT(B307,LEN(B307)-5),
IF(AND(D307="Teen Audiobook",LEFT(B307,11)="TEEN CD BIO"),RIGHT(B307,LEN(B307)-12),
IF(AND(D307="Teen Audiobook",LEFT(B307,11)="TEEN CD FIC"),B307,
IF(D307="Juvenile Audiobook",RIGHT(B307,LEN(B307)-8),
IF(D307="Juvenile Nonfiction",RIGHT(B307,LEN(B307)-2),
IF(D307="Teen Nonfiction",RIGHT(B307,LEN(B307)-5),
IF(AND(D307="Audiobook",
              NOT(OR(Contains($B307,"CD BIO"),Contains($B307,"CD FIC")))),RIGHT(B307,LEN(B307)-3),
IF(D307="Juvenile Biography",RIGHT(B307,LEN(B307)-2),
IF(D307="Teen Biography",RIGHT(B307,LEN(B307)-5),
IF(AND(D307="Audiobook",
              IFERROR(FIND("BIO",$B307)&gt;0,FALSE)),RIGHT(B307,LEN(B307)-3),
IF(D307="Juvenile Large Type","J "&amp;RIGHT(B307,LEN(B307)-11),
IF(D307="Teen Large Type","TEEN "&amp;RIGHT(B307,LEN(B307)-14),
IF(D307="Reference",RIGHT(B307,LEN(B307)-4),
IF(D307="DVD Educational",RIGHT(B307,LEN(B307)-7),
IF(D307="Juvenile DVD Educational",RIGHT(B307,LEN(B307)-9),
B307)))))))))))))))))</f>
        <v/>
      </c>
      <c r="N307" s="11" t="str">
        <f ca="1">IF(IFERROR(FIND("New",$A307)&gt;0,FALSE),"New ","") &amp; IF(IFERROR(FIND("In Lib",$A307)&gt;0,FALSE),"Reference ","") &amp;
IF(AND(D307="Audiobook",LEFT(B307,6)="CD BIO"),"Biography",
IF(AND(D307="Teen Audiobook",LEFT(B307,11)="TEEN CD BIO"),"Biography",
IF(AND(D307="Juvenile Audiobook",LEFT(B307,8)="J CD BIO"),"Biography",
IF(AND(D307="Audiobook",LEFT(B307,6)="CD FIC"),"Audiobook Fiction",
IF(AND(D307="Teen Audiobook",LEFT(B307,11)="TEEN CD FIC"),"Teen Audiobook",
IF(AND(D307="Juvenile Audiobook",LEFT(B307,8)="J CD FIC"),"Juvenile Audiobook",
IF(D307="Audiobook","Nonfiction",
IF(D307="Juvenile Audiobook","Nonfiction",
IF(D307="Teen Audiobook","Nonfiction",
IF(D307="Juvenile Nonfiction","Nonfiction",
IF(D307="Teen Nonfiction","Nonfiction",
IF(D307="Juvenile Biography","Biography",
IF(D307="Teen Biography","Biography",
IF(D307="ESL","Nonfiction",
IF(LEFT(B307,11)="INTL-VIE J ","International Juvenile",IF(LEFT(B307,11)="INTL-TAG J ","International Juvenile",IF(LEFT(B307,11)="INTL-RUS J ","International Juvenile",IF(LEFT(B307,11)="INTL-KOR J ","International Juvenile",IF(LEFT(B307,11)="INTL-JAP J ","International Juvenile",IF(LEFT(B307,11)="INTL-CHI J ","International Juvenile",IF(LEFT(B307,11)="INTL-SPA J ","International Juvenile",IF(LEFT(B307,14)="INTL-VIE TEEN ","International Teen",IF(LEFT(B307,14)="INTL-TAG TEEN ","International Teen",IF(LEFT(B307,14)="INTL-RUS TEEN ","International Teen",IF(LEFT(B307,14)="INTL-KOR TEEN ","International Teen",IF(LEFT(B307,14)="INTL-JAP TEEN ","International Teen",IF(LEFT(B307,14)="INTL-CHI TEEN ","International Teen",IF(LEFT(B307,14)="INTL-SPA TEEN ","International Teen",IF(LEFT(B307,11)="INTL-VIE E ","International Easy",IF(LEFT(B307,11)="INTL-TAG E ","International Easy",IF(LEFT(B307,11)="INTL-RUS E ","International Easy",IF(LEFT(B307,11)="INTL-JAP E ","International Easy",IF(LEFT(B307,11)="INTL-KOR E ","International Easy",IF(LEFT(B307,11)="INTL-CHI E ","International Easy",IF(LEFT(B307,11)="INTL-SPA E ","International Easy",
IF(D307="Teen Large Type","Teen Fiction",
IF(D307="Juvenile Large Type","Juvenile Fiction",
IF(LEFT(B307,6)="J CD O","Juvenile Compact Disc",
IF(AND(LEFT(B307,4)="TEEN",D307="Fiction"),"Teen Fiction",
IF(D307="DVD Educational","Nonfiction",
IF(D307="Juvenile DVD Educational","Nonfiction",
IF(D307="Reference","Nonfiction",
D307))))))))))))))))))))))))))))))))))))))))))</f>
        <v/>
      </c>
    </row>
    <row r="308" spans="1:14" ht="27" customHeight="1" x14ac:dyDescent="0.25">
      <c r="A308" s="10" t="str">
        <f ca="1">TEXT( INDIRECT( ADDRESS( ROW() + Row_Offset, INDIRECT( "Column_Number_" &amp; A$1), 4,1, tabname) ), "")</f>
        <v/>
      </c>
      <c r="B308" s="10" t="str">
        <f ca="1">TEXT(  IFERROR( VLOOKUP( $D308, CollName_Simplifier_Table[], 2, FALSE),"") &amp;
        INDIRECT( ADDRESS( ROW() + Row_Offset, INDIRECT( "Column_Number_" &amp; $B$1), 4,1, tabname) ), "")</f>
        <v/>
      </c>
      <c r="C308" s="10" t="str">
        <f ca="1">TEXT( INDIRECT( ADDRESS( ROW() + Row_Offset, INDIRECT( "Column_Number_" &amp; C$1), 4,1, tabname) ), "")</f>
        <v/>
      </c>
      <c r="D308" s="10" t="str">
        <f ca="1">TEXT( INDIRECT( ADDRESS( ROW() + Row_Offset, INDIRECT( "Column_Number_" &amp; D$1), 4,1, tabname) ), "")</f>
        <v/>
      </c>
      <c r="E308" s="10" t="str">
        <f ca="1">TEXT( INDIRECT( ADDRESS( ROW() + Row_Offset, INDIRECT( "Column_Number_" &amp; E$1), 4,1, tabname) ), "####")</f>
        <v/>
      </c>
      <c r="F308" s="15"/>
      <c r="G308" s="22" t="str">
        <f ca="1">IFERROR(INDEX(Rank_Table[],MATCH($D308&amp;$A308,Table4[Join],0)),"")</f>
        <v/>
      </c>
      <c r="H308" s="11" t="str">
        <f ca="1">IF(AND(D308="Juvenile Audiobook",LEFT(B308,8)="J CD BIO"),RIGHT(B308,LEN(B308)-9),
IF(AND(D308="Juvenile Audiobook",LEFT(B308,8)="J CD FIC"),B308,
IF(D308="Juvenile Audiobook",RIGHT(B308,LEN(B308)-5),
IF(AND(D308="Teen Audiobook",LEFT(B308,11)="TEEN CD BIO"),RIGHT(B308,LEN(B308)-12),
IF(AND(D308="Teen Audiobook",LEFT(B308,11)="TEEN CD FIC"),B308,
IF(D308="Juvenile Audiobook",RIGHT(B308,LEN(B308)-8),
IF(D308="Juvenile Nonfiction",RIGHT(B308,LEN(B308)-2),
IF(D308="Teen Nonfiction",RIGHT(B308,LEN(B308)-5),
IF(AND(D308="Audiobook",
              NOT(OR(Contains($B308,"CD BIO"),Contains($B308,"CD FIC")))),RIGHT(B308,LEN(B308)-3),
IF(D308="Juvenile Biography",RIGHT(B308,LEN(B308)-2),
IF(D308="Teen Biography",RIGHT(B308,LEN(B308)-5),
IF(AND(D308="Audiobook",
              IFERROR(FIND("BIO",$B308)&gt;0,FALSE)),RIGHT(B308,LEN(B308)-3),
IF(D308="Juvenile Large Type","J "&amp;RIGHT(B308,LEN(B308)-11),
IF(D308="Teen Large Type","TEEN "&amp;RIGHT(B308,LEN(B308)-14),
IF(D308="Reference",RIGHT(B308,LEN(B308)-4),
IF(D308="DVD Educational",RIGHT(B308,LEN(B308)-7),
IF(D308="Juvenile DVD Educational",RIGHT(B308,LEN(B308)-9),
B308)))))))))))))))))</f>
        <v/>
      </c>
      <c r="N308" s="11" t="str">
        <f ca="1">IF(IFERROR(FIND("New",$A308)&gt;0,FALSE),"New ","") &amp; IF(IFERROR(FIND("In Lib",$A308)&gt;0,FALSE),"Reference ","") &amp;
IF(AND(D308="Audiobook",LEFT(B308,6)="CD BIO"),"Biography",
IF(AND(D308="Teen Audiobook",LEFT(B308,11)="TEEN CD BIO"),"Biography",
IF(AND(D308="Juvenile Audiobook",LEFT(B308,8)="J CD BIO"),"Biography",
IF(AND(D308="Audiobook",LEFT(B308,6)="CD FIC"),"Audiobook Fiction",
IF(AND(D308="Teen Audiobook",LEFT(B308,11)="TEEN CD FIC"),"Teen Audiobook",
IF(AND(D308="Juvenile Audiobook",LEFT(B308,8)="J CD FIC"),"Juvenile Audiobook",
IF(D308="Audiobook","Nonfiction",
IF(D308="Juvenile Audiobook","Nonfiction",
IF(D308="Teen Audiobook","Nonfiction",
IF(D308="Juvenile Nonfiction","Nonfiction",
IF(D308="Teen Nonfiction","Nonfiction",
IF(D308="Juvenile Biography","Biography",
IF(D308="Teen Biography","Biography",
IF(D308="ESL","Nonfiction",
IF(LEFT(B308,11)="INTL-VIE J ","International Juvenile",IF(LEFT(B308,11)="INTL-TAG J ","International Juvenile",IF(LEFT(B308,11)="INTL-RUS J ","International Juvenile",IF(LEFT(B308,11)="INTL-KOR J ","International Juvenile",IF(LEFT(B308,11)="INTL-JAP J ","International Juvenile",IF(LEFT(B308,11)="INTL-CHI J ","International Juvenile",IF(LEFT(B308,11)="INTL-SPA J ","International Juvenile",IF(LEFT(B308,14)="INTL-VIE TEEN ","International Teen",IF(LEFT(B308,14)="INTL-TAG TEEN ","International Teen",IF(LEFT(B308,14)="INTL-RUS TEEN ","International Teen",IF(LEFT(B308,14)="INTL-KOR TEEN ","International Teen",IF(LEFT(B308,14)="INTL-JAP TEEN ","International Teen",IF(LEFT(B308,14)="INTL-CHI TEEN ","International Teen",IF(LEFT(B308,14)="INTL-SPA TEEN ","International Teen",IF(LEFT(B308,11)="INTL-VIE E ","International Easy",IF(LEFT(B308,11)="INTL-TAG E ","International Easy",IF(LEFT(B308,11)="INTL-RUS E ","International Easy",IF(LEFT(B308,11)="INTL-JAP E ","International Easy",IF(LEFT(B308,11)="INTL-KOR E ","International Easy",IF(LEFT(B308,11)="INTL-CHI E ","International Easy",IF(LEFT(B308,11)="INTL-SPA E ","International Easy",
IF(D308="Teen Large Type","Teen Fiction",
IF(D308="Juvenile Large Type","Juvenile Fiction",
IF(LEFT(B308,6)="J CD O","Juvenile Compact Disc",
IF(AND(LEFT(B308,4)="TEEN",D308="Fiction"),"Teen Fiction",
IF(D308="DVD Educational","Nonfiction",
IF(D308="Juvenile DVD Educational","Nonfiction",
IF(D308="Reference","Nonfiction",
D308))))))))))))))))))))))))))))))))))))))))))</f>
        <v/>
      </c>
    </row>
    <row r="309" spans="1:14" ht="27" customHeight="1" x14ac:dyDescent="0.25">
      <c r="A309" s="10" t="str">
        <f ca="1">TEXT( INDIRECT( ADDRESS( ROW() + Row_Offset, INDIRECT( "Column_Number_" &amp; A$1), 4,1, tabname) ), "")</f>
        <v/>
      </c>
      <c r="B309" s="10" t="str">
        <f ca="1">TEXT(  IFERROR( VLOOKUP( $D309, CollName_Simplifier_Table[], 2, FALSE),"") &amp;
        INDIRECT( ADDRESS( ROW() + Row_Offset, INDIRECT( "Column_Number_" &amp; $B$1), 4,1, tabname) ), "")</f>
        <v/>
      </c>
      <c r="C309" s="10" t="str">
        <f ca="1">TEXT( INDIRECT( ADDRESS( ROW() + Row_Offset, INDIRECT( "Column_Number_" &amp; C$1), 4,1, tabname) ), "")</f>
        <v/>
      </c>
      <c r="D309" s="10" t="str">
        <f ca="1">TEXT( INDIRECT( ADDRESS( ROW() + Row_Offset, INDIRECT( "Column_Number_" &amp; D$1), 4,1, tabname) ), "")</f>
        <v/>
      </c>
      <c r="E309" s="10" t="str">
        <f ca="1">TEXT( INDIRECT( ADDRESS( ROW() + Row_Offset, INDIRECT( "Column_Number_" &amp; E$1), 4,1, tabname) ), "####")</f>
        <v/>
      </c>
      <c r="F309" s="15"/>
      <c r="G309" s="22" t="str">
        <f ca="1">IFERROR(INDEX(Rank_Table[],MATCH($D309&amp;$A309,Table4[Join],0)),"")</f>
        <v/>
      </c>
      <c r="H309" s="11" t="str">
        <f ca="1">IF(AND(D309="Juvenile Audiobook",LEFT(B309,8)="J CD BIO"),RIGHT(B309,LEN(B309)-9),
IF(AND(D309="Juvenile Audiobook",LEFT(B309,8)="J CD FIC"),B309,
IF(D309="Juvenile Audiobook",RIGHT(B309,LEN(B309)-5),
IF(AND(D309="Teen Audiobook",LEFT(B309,11)="TEEN CD BIO"),RIGHT(B309,LEN(B309)-12),
IF(AND(D309="Teen Audiobook",LEFT(B309,11)="TEEN CD FIC"),B309,
IF(D309="Juvenile Audiobook",RIGHT(B309,LEN(B309)-8),
IF(D309="Juvenile Nonfiction",RIGHT(B309,LEN(B309)-2),
IF(D309="Teen Nonfiction",RIGHT(B309,LEN(B309)-5),
IF(AND(D309="Audiobook",
              NOT(OR(Contains($B309,"CD BIO"),Contains($B309,"CD FIC")))),RIGHT(B309,LEN(B309)-3),
IF(D309="Juvenile Biography",RIGHT(B309,LEN(B309)-2),
IF(D309="Teen Biography",RIGHT(B309,LEN(B309)-5),
IF(AND(D309="Audiobook",
              IFERROR(FIND("BIO",$B309)&gt;0,FALSE)),RIGHT(B309,LEN(B309)-3),
IF(D309="Juvenile Large Type","J "&amp;RIGHT(B309,LEN(B309)-11),
IF(D309="Teen Large Type","TEEN "&amp;RIGHT(B309,LEN(B309)-14),
IF(D309="Reference",RIGHT(B309,LEN(B309)-4),
IF(D309="DVD Educational",RIGHT(B309,LEN(B309)-7),
IF(D309="Juvenile DVD Educational",RIGHT(B309,LEN(B309)-9),
B309)))))))))))))))))</f>
        <v/>
      </c>
      <c r="N309" s="11" t="str">
        <f ca="1">IF(IFERROR(FIND("New",$A309)&gt;0,FALSE),"New ","") &amp; IF(IFERROR(FIND("In Lib",$A309)&gt;0,FALSE),"Reference ","") &amp;
IF(AND(D309="Audiobook",LEFT(B309,6)="CD BIO"),"Biography",
IF(AND(D309="Teen Audiobook",LEFT(B309,11)="TEEN CD BIO"),"Biography",
IF(AND(D309="Juvenile Audiobook",LEFT(B309,8)="J CD BIO"),"Biography",
IF(AND(D309="Audiobook",LEFT(B309,6)="CD FIC"),"Audiobook Fiction",
IF(AND(D309="Teen Audiobook",LEFT(B309,11)="TEEN CD FIC"),"Teen Audiobook",
IF(AND(D309="Juvenile Audiobook",LEFT(B309,8)="J CD FIC"),"Juvenile Audiobook",
IF(D309="Audiobook","Nonfiction",
IF(D309="Juvenile Audiobook","Nonfiction",
IF(D309="Teen Audiobook","Nonfiction",
IF(D309="Juvenile Nonfiction","Nonfiction",
IF(D309="Teen Nonfiction","Nonfiction",
IF(D309="Juvenile Biography","Biography",
IF(D309="Teen Biography","Biography",
IF(D309="ESL","Nonfiction",
IF(LEFT(B309,11)="INTL-VIE J ","International Juvenile",IF(LEFT(B309,11)="INTL-TAG J ","International Juvenile",IF(LEFT(B309,11)="INTL-RUS J ","International Juvenile",IF(LEFT(B309,11)="INTL-KOR J ","International Juvenile",IF(LEFT(B309,11)="INTL-JAP J ","International Juvenile",IF(LEFT(B309,11)="INTL-CHI J ","International Juvenile",IF(LEFT(B309,11)="INTL-SPA J ","International Juvenile",IF(LEFT(B309,14)="INTL-VIE TEEN ","International Teen",IF(LEFT(B309,14)="INTL-TAG TEEN ","International Teen",IF(LEFT(B309,14)="INTL-RUS TEEN ","International Teen",IF(LEFT(B309,14)="INTL-KOR TEEN ","International Teen",IF(LEFT(B309,14)="INTL-JAP TEEN ","International Teen",IF(LEFT(B309,14)="INTL-CHI TEEN ","International Teen",IF(LEFT(B309,14)="INTL-SPA TEEN ","International Teen",IF(LEFT(B309,11)="INTL-VIE E ","International Easy",IF(LEFT(B309,11)="INTL-TAG E ","International Easy",IF(LEFT(B309,11)="INTL-RUS E ","International Easy",IF(LEFT(B309,11)="INTL-JAP E ","International Easy",IF(LEFT(B309,11)="INTL-KOR E ","International Easy",IF(LEFT(B309,11)="INTL-CHI E ","International Easy",IF(LEFT(B309,11)="INTL-SPA E ","International Easy",
IF(D309="Teen Large Type","Teen Fiction",
IF(D309="Juvenile Large Type","Juvenile Fiction",
IF(LEFT(B309,6)="J CD O","Juvenile Compact Disc",
IF(AND(LEFT(B309,4)="TEEN",D309="Fiction"),"Teen Fiction",
IF(D309="DVD Educational","Nonfiction",
IF(D309="Juvenile DVD Educational","Nonfiction",
IF(D309="Reference","Nonfiction",
D309))))))))))))))))))))))))))))))))))))))))))</f>
        <v/>
      </c>
    </row>
    <row r="310" spans="1:14" ht="27" customHeight="1" x14ac:dyDescent="0.25">
      <c r="A310" s="10" t="str">
        <f ca="1">TEXT( INDIRECT( ADDRESS( ROW() + Row_Offset, INDIRECT( "Column_Number_" &amp; A$1), 4,1, tabname) ), "")</f>
        <v/>
      </c>
      <c r="B310" s="10" t="str">
        <f ca="1">TEXT(  IFERROR( VLOOKUP( $D310, CollName_Simplifier_Table[], 2, FALSE),"") &amp;
        INDIRECT( ADDRESS( ROW() + Row_Offset, INDIRECT( "Column_Number_" &amp; $B$1), 4,1, tabname) ), "")</f>
        <v/>
      </c>
      <c r="C310" s="10" t="str">
        <f ca="1">TEXT( INDIRECT( ADDRESS( ROW() + Row_Offset, INDIRECT( "Column_Number_" &amp; C$1), 4,1, tabname) ), "")</f>
        <v/>
      </c>
      <c r="D310" s="10" t="str">
        <f ca="1">TEXT( INDIRECT( ADDRESS( ROW() + Row_Offset, INDIRECT( "Column_Number_" &amp; D$1), 4,1, tabname) ), "")</f>
        <v/>
      </c>
      <c r="E310" s="10" t="str">
        <f ca="1">TEXT( INDIRECT( ADDRESS( ROW() + Row_Offset, INDIRECT( "Column_Number_" &amp; E$1), 4,1, tabname) ), "####")</f>
        <v/>
      </c>
      <c r="F310" s="15"/>
      <c r="G310" s="22" t="str">
        <f ca="1">IFERROR(INDEX(Rank_Table[],MATCH($D310&amp;$A310,Table4[Join],0)),"")</f>
        <v/>
      </c>
      <c r="H310" s="11" t="str">
        <f ca="1">IF(AND(D310="Juvenile Audiobook",LEFT(B310,8)="J CD BIO"),RIGHT(B310,LEN(B310)-9),
IF(AND(D310="Juvenile Audiobook",LEFT(B310,8)="J CD FIC"),B310,
IF(D310="Juvenile Audiobook",RIGHT(B310,LEN(B310)-5),
IF(AND(D310="Teen Audiobook",LEFT(B310,11)="TEEN CD BIO"),RIGHT(B310,LEN(B310)-12),
IF(AND(D310="Teen Audiobook",LEFT(B310,11)="TEEN CD FIC"),B310,
IF(D310="Juvenile Audiobook",RIGHT(B310,LEN(B310)-8),
IF(D310="Juvenile Nonfiction",RIGHT(B310,LEN(B310)-2),
IF(D310="Teen Nonfiction",RIGHT(B310,LEN(B310)-5),
IF(AND(D310="Audiobook",
              NOT(OR(Contains($B310,"CD BIO"),Contains($B310,"CD FIC")))),RIGHT(B310,LEN(B310)-3),
IF(D310="Juvenile Biography",RIGHT(B310,LEN(B310)-2),
IF(D310="Teen Biography",RIGHT(B310,LEN(B310)-5),
IF(AND(D310="Audiobook",
              IFERROR(FIND("BIO",$B310)&gt;0,FALSE)),RIGHT(B310,LEN(B310)-3),
IF(D310="Juvenile Large Type","J "&amp;RIGHT(B310,LEN(B310)-11),
IF(D310="Teen Large Type","TEEN "&amp;RIGHT(B310,LEN(B310)-14),
IF(D310="Reference",RIGHT(B310,LEN(B310)-4),
IF(D310="DVD Educational",RIGHT(B310,LEN(B310)-7),
IF(D310="Juvenile DVD Educational",RIGHT(B310,LEN(B310)-9),
B310)))))))))))))))))</f>
        <v/>
      </c>
      <c r="N310" s="11" t="str">
        <f ca="1">IF(IFERROR(FIND("New",$A310)&gt;0,FALSE),"New ","") &amp; IF(IFERROR(FIND("In Lib",$A310)&gt;0,FALSE),"Reference ","") &amp;
IF(AND(D310="Audiobook",LEFT(B310,6)="CD BIO"),"Biography",
IF(AND(D310="Teen Audiobook",LEFT(B310,11)="TEEN CD BIO"),"Biography",
IF(AND(D310="Juvenile Audiobook",LEFT(B310,8)="J CD BIO"),"Biography",
IF(AND(D310="Audiobook",LEFT(B310,6)="CD FIC"),"Audiobook Fiction",
IF(AND(D310="Teen Audiobook",LEFT(B310,11)="TEEN CD FIC"),"Teen Audiobook",
IF(AND(D310="Juvenile Audiobook",LEFT(B310,8)="J CD FIC"),"Juvenile Audiobook",
IF(D310="Audiobook","Nonfiction",
IF(D310="Juvenile Audiobook","Nonfiction",
IF(D310="Teen Audiobook","Nonfiction",
IF(D310="Juvenile Nonfiction","Nonfiction",
IF(D310="Teen Nonfiction","Nonfiction",
IF(D310="Juvenile Biography","Biography",
IF(D310="Teen Biography","Biography",
IF(D310="ESL","Nonfiction",
IF(LEFT(B310,11)="INTL-VIE J ","International Juvenile",IF(LEFT(B310,11)="INTL-TAG J ","International Juvenile",IF(LEFT(B310,11)="INTL-RUS J ","International Juvenile",IF(LEFT(B310,11)="INTL-KOR J ","International Juvenile",IF(LEFT(B310,11)="INTL-JAP J ","International Juvenile",IF(LEFT(B310,11)="INTL-CHI J ","International Juvenile",IF(LEFT(B310,11)="INTL-SPA J ","International Juvenile",IF(LEFT(B310,14)="INTL-VIE TEEN ","International Teen",IF(LEFT(B310,14)="INTL-TAG TEEN ","International Teen",IF(LEFT(B310,14)="INTL-RUS TEEN ","International Teen",IF(LEFT(B310,14)="INTL-KOR TEEN ","International Teen",IF(LEFT(B310,14)="INTL-JAP TEEN ","International Teen",IF(LEFT(B310,14)="INTL-CHI TEEN ","International Teen",IF(LEFT(B310,14)="INTL-SPA TEEN ","International Teen",IF(LEFT(B310,11)="INTL-VIE E ","International Easy",IF(LEFT(B310,11)="INTL-TAG E ","International Easy",IF(LEFT(B310,11)="INTL-RUS E ","International Easy",IF(LEFT(B310,11)="INTL-JAP E ","International Easy",IF(LEFT(B310,11)="INTL-KOR E ","International Easy",IF(LEFT(B310,11)="INTL-CHI E ","International Easy",IF(LEFT(B310,11)="INTL-SPA E ","International Easy",
IF(D310="Teen Large Type","Teen Fiction",
IF(D310="Juvenile Large Type","Juvenile Fiction",
IF(LEFT(B310,6)="J CD O","Juvenile Compact Disc",
IF(AND(LEFT(B310,4)="TEEN",D310="Fiction"),"Teen Fiction",
IF(D310="DVD Educational","Nonfiction",
IF(D310="Juvenile DVD Educational","Nonfiction",
IF(D310="Reference","Nonfiction",
D310))))))))))))))))))))))))))))))))))))))))))</f>
        <v/>
      </c>
    </row>
    <row r="311" spans="1:14" ht="27" customHeight="1" x14ac:dyDescent="0.25">
      <c r="A311" s="10" t="str">
        <f ca="1">TEXT( INDIRECT( ADDRESS( ROW() + Row_Offset, INDIRECT( "Column_Number_" &amp; A$1), 4,1, tabname) ), "")</f>
        <v/>
      </c>
      <c r="B311" s="10" t="str">
        <f ca="1">TEXT(  IFERROR( VLOOKUP( $D311, CollName_Simplifier_Table[], 2, FALSE),"") &amp;
        INDIRECT( ADDRESS( ROW() + Row_Offset, INDIRECT( "Column_Number_" &amp; $B$1), 4,1, tabname) ), "")</f>
        <v/>
      </c>
      <c r="C311" s="10" t="str">
        <f ca="1">TEXT( INDIRECT( ADDRESS( ROW() + Row_Offset, INDIRECT( "Column_Number_" &amp; C$1), 4,1, tabname) ), "")</f>
        <v/>
      </c>
      <c r="D311" s="10" t="str">
        <f ca="1">TEXT( INDIRECT( ADDRESS( ROW() + Row_Offset, INDIRECT( "Column_Number_" &amp; D$1), 4,1, tabname) ), "")</f>
        <v/>
      </c>
      <c r="E311" s="10" t="str">
        <f ca="1">TEXT( INDIRECT( ADDRESS( ROW() + Row_Offset, INDIRECT( "Column_Number_" &amp; E$1), 4,1, tabname) ), "####")</f>
        <v/>
      </c>
      <c r="F311" s="15"/>
      <c r="G311" s="22" t="str">
        <f ca="1">IFERROR(INDEX(Rank_Table[],MATCH($D311&amp;$A311,Table4[Join],0)),"")</f>
        <v/>
      </c>
      <c r="H311" s="11" t="str">
        <f ca="1">IF(AND(D311="Juvenile Audiobook",LEFT(B311,8)="J CD BIO"),RIGHT(B311,LEN(B311)-9),
IF(AND(D311="Juvenile Audiobook",LEFT(B311,8)="J CD FIC"),B311,
IF(D311="Juvenile Audiobook",RIGHT(B311,LEN(B311)-5),
IF(AND(D311="Teen Audiobook",LEFT(B311,11)="TEEN CD BIO"),RIGHT(B311,LEN(B311)-12),
IF(AND(D311="Teen Audiobook",LEFT(B311,11)="TEEN CD FIC"),B311,
IF(D311="Juvenile Audiobook",RIGHT(B311,LEN(B311)-8),
IF(D311="Juvenile Nonfiction",RIGHT(B311,LEN(B311)-2),
IF(D311="Teen Nonfiction",RIGHT(B311,LEN(B311)-5),
IF(AND(D311="Audiobook",
              NOT(OR(Contains($B311,"CD BIO"),Contains($B311,"CD FIC")))),RIGHT(B311,LEN(B311)-3),
IF(D311="Juvenile Biography",RIGHT(B311,LEN(B311)-2),
IF(D311="Teen Biography",RIGHT(B311,LEN(B311)-5),
IF(AND(D311="Audiobook",
              IFERROR(FIND("BIO",$B311)&gt;0,FALSE)),RIGHT(B311,LEN(B311)-3),
IF(D311="Juvenile Large Type","J "&amp;RIGHT(B311,LEN(B311)-11),
IF(D311="Teen Large Type","TEEN "&amp;RIGHT(B311,LEN(B311)-14),
IF(D311="Reference",RIGHT(B311,LEN(B311)-4),
IF(D311="DVD Educational",RIGHT(B311,LEN(B311)-7),
IF(D311="Juvenile DVD Educational",RIGHT(B311,LEN(B311)-9),
B311)))))))))))))))))</f>
        <v/>
      </c>
      <c r="N311" s="11" t="str">
        <f ca="1">IF(IFERROR(FIND("New",$A311)&gt;0,FALSE),"New ","") &amp; IF(IFERROR(FIND("In Lib",$A311)&gt;0,FALSE),"Reference ","") &amp;
IF(AND(D311="Audiobook",LEFT(B311,6)="CD BIO"),"Biography",
IF(AND(D311="Teen Audiobook",LEFT(B311,11)="TEEN CD BIO"),"Biography",
IF(AND(D311="Juvenile Audiobook",LEFT(B311,8)="J CD BIO"),"Biography",
IF(AND(D311="Audiobook",LEFT(B311,6)="CD FIC"),"Audiobook Fiction",
IF(AND(D311="Teen Audiobook",LEFT(B311,11)="TEEN CD FIC"),"Teen Audiobook",
IF(AND(D311="Juvenile Audiobook",LEFT(B311,8)="J CD FIC"),"Juvenile Audiobook",
IF(D311="Audiobook","Nonfiction",
IF(D311="Juvenile Audiobook","Nonfiction",
IF(D311="Teen Audiobook","Nonfiction",
IF(D311="Juvenile Nonfiction","Nonfiction",
IF(D311="Teen Nonfiction","Nonfiction",
IF(D311="Juvenile Biography","Biography",
IF(D311="Teen Biography","Biography",
IF(D311="ESL","Nonfiction",
IF(LEFT(B311,11)="INTL-VIE J ","International Juvenile",IF(LEFT(B311,11)="INTL-TAG J ","International Juvenile",IF(LEFT(B311,11)="INTL-RUS J ","International Juvenile",IF(LEFT(B311,11)="INTL-KOR J ","International Juvenile",IF(LEFT(B311,11)="INTL-JAP J ","International Juvenile",IF(LEFT(B311,11)="INTL-CHI J ","International Juvenile",IF(LEFT(B311,11)="INTL-SPA J ","International Juvenile",IF(LEFT(B311,14)="INTL-VIE TEEN ","International Teen",IF(LEFT(B311,14)="INTL-TAG TEEN ","International Teen",IF(LEFT(B311,14)="INTL-RUS TEEN ","International Teen",IF(LEFT(B311,14)="INTL-KOR TEEN ","International Teen",IF(LEFT(B311,14)="INTL-JAP TEEN ","International Teen",IF(LEFT(B311,14)="INTL-CHI TEEN ","International Teen",IF(LEFT(B311,14)="INTL-SPA TEEN ","International Teen",IF(LEFT(B311,11)="INTL-VIE E ","International Easy",IF(LEFT(B311,11)="INTL-TAG E ","International Easy",IF(LEFT(B311,11)="INTL-RUS E ","International Easy",IF(LEFT(B311,11)="INTL-JAP E ","International Easy",IF(LEFT(B311,11)="INTL-KOR E ","International Easy",IF(LEFT(B311,11)="INTL-CHI E ","International Easy",IF(LEFT(B311,11)="INTL-SPA E ","International Easy",
IF(D311="Teen Large Type","Teen Fiction",
IF(D311="Juvenile Large Type","Juvenile Fiction",
IF(LEFT(B311,6)="J CD O","Juvenile Compact Disc",
IF(AND(LEFT(B311,4)="TEEN",D311="Fiction"),"Teen Fiction",
IF(D311="DVD Educational","Nonfiction",
IF(D311="Juvenile DVD Educational","Nonfiction",
IF(D311="Reference","Nonfiction",
D311))))))))))))))))))))))))))))))))))))))))))</f>
        <v/>
      </c>
    </row>
    <row r="312" spans="1:14" ht="27" customHeight="1" x14ac:dyDescent="0.25">
      <c r="A312" s="10" t="str">
        <f ca="1">TEXT( INDIRECT( ADDRESS( ROW() + Row_Offset, INDIRECT( "Column_Number_" &amp; A$1), 4,1, tabname) ), "")</f>
        <v/>
      </c>
      <c r="B312" s="10" t="str">
        <f ca="1">TEXT(  IFERROR( VLOOKUP( $D312, CollName_Simplifier_Table[], 2, FALSE),"") &amp;
        INDIRECT( ADDRESS( ROW() + Row_Offset, INDIRECT( "Column_Number_" &amp; $B$1), 4,1, tabname) ), "")</f>
        <v/>
      </c>
      <c r="C312" s="10" t="str">
        <f ca="1">TEXT( INDIRECT( ADDRESS( ROW() + Row_Offset, INDIRECT( "Column_Number_" &amp; C$1), 4,1, tabname) ), "")</f>
        <v/>
      </c>
      <c r="D312" s="10" t="str">
        <f ca="1">TEXT( INDIRECT( ADDRESS( ROW() + Row_Offset, INDIRECT( "Column_Number_" &amp; D$1), 4,1, tabname) ), "")</f>
        <v/>
      </c>
      <c r="E312" s="10" t="str">
        <f ca="1">TEXT( INDIRECT( ADDRESS( ROW() + Row_Offset, INDIRECT( "Column_Number_" &amp; E$1), 4,1, tabname) ), "####")</f>
        <v/>
      </c>
      <c r="F312" s="15"/>
      <c r="G312" s="22" t="str">
        <f ca="1">IFERROR(INDEX(Rank_Table[],MATCH($D312&amp;$A312,Table4[Join],0)),"")</f>
        <v/>
      </c>
      <c r="H312" s="11" t="str">
        <f ca="1">IF(AND(D312="Juvenile Audiobook",LEFT(B312,8)="J CD BIO"),RIGHT(B312,LEN(B312)-9),
IF(AND(D312="Juvenile Audiobook",LEFT(B312,8)="J CD FIC"),B312,
IF(D312="Juvenile Audiobook",RIGHT(B312,LEN(B312)-5),
IF(AND(D312="Teen Audiobook",LEFT(B312,11)="TEEN CD BIO"),RIGHT(B312,LEN(B312)-12),
IF(AND(D312="Teen Audiobook",LEFT(B312,11)="TEEN CD FIC"),B312,
IF(D312="Juvenile Audiobook",RIGHT(B312,LEN(B312)-8),
IF(D312="Juvenile Nonfiction",RIGHT(B312,LEN(B312)-2),
IF(D312="Teen Nonfiction",RIGHT(B312,LEN(B312)-5),
IF(AND(D312="Audiobook",
              NOT(OR(Contains($B312,"CD BIO"),Contains($B312,"CD FIC")))),RIGHT(B312,LEN(B312)-3),
IF(D312="Juvenile Biography",RIGHT(B312,LEN(B312)-2),
IF(D312="Teen Biography",RIGHT(B312,LEN(B312)-5),
IF(AND(D312="Audiobook",
              IFERROR(FIND("BIO",$B312)&gt;0,FALSE)),RIGHT(B312,LEN(B312)-3),
IF(D312="Juvenile Large Type","J "&amp;RIGHT(B312,LEN(B312)-11),
IF(D312="Teen Large Type","TEEN "&amp;RIGHT(B312,LEN(B312)-14),
IF(D312="Reference",RIGHT(B312,LEN(B312)-4),
IF(D312="DVD Educational",RIGHT(B312,LEN(B312)-7),
IF(D312="Juvenile DVD Educational",RIGHT(B312,LEN(B312)-9),
B312)))))))))))))))))</f>
        <v/>
      </c>
      <c r="N312" s="11" t="str">
        <f ca="1">IF(IFERROR(FIND("New",$A312)&gt;0,FALSE),"New ","") &amp; IF(IFERROR(FIND("In Lib",$A312)&gt;0,FALSE),"Reference ","") &amp;
IF(AND(D312="Audiobook",LEFT(B312,6)="CD BIO"),"Biography",
IF(AND(D312="Teen Audiobook",LEFT(B312,11)="TEEN CD BIO"),"Biography",
IF(AND(D312="Juvenile Audiobook",LEFT(B312,8)="J CD BIO"),"Biography",
IF(AND(D312="Audiobook",LEFT(B312,6)="CD FIC"),"Audiobook Fiction",
IF(AND(D312="Teen Audiobook",LEFT(B312,11)="TEEN CD FIC"),"Teen Audiobook",
IF(AND(D312="Juvenile Audiobook",LEFT(B312,8)="J CD FIC"),"Juvenile Audiobook",
IF(D312="Audiobook","Nonfiction",
IF(D312="Juvenile Audiobook","Nonfiction",
IF(D312="Teen Audiobook","Nonfiction",
IF(D312="Juvenile Nonfiction","Nonfiction",
IF(D312="Teen Nonfiction","Nonfiction",
IF(D312="Juvenile Biography","Biography",
IF(D312="Teen Biography","Biography",
IF(D312="ESL","Nonfiction",
IF(LEFT(B312,11)="INTL-VIE J ","International Juvenile",IF(LEFT(B312,11)="INTL-TAG J ","International Juvenile",IF(LEFT(B312,11)="INTL-RUS J ","International Juvenile",IF(LEFT(B312,11)="INTL-KOR J ","International Juvenile",IF(LEFT(B312,11)="INTL-JAP J ","International Juvenile",IF(LEFT(B312,11)="INTL-CHI J ","International Juvenile",IF(LEFT(B312,11)="INTL-SPA J ","International Juvenile",IF(LEFT(B312,14)="INTL-VIE TEEN ","International Teen",IF(LEFT(B312,14)="INTL-TAG TEEN ","International Teen",IF(LEFT(B312,14)="INTL-RUS TEEN ","International Teen",IF(LEFT(B312,14)="INTL-KOR TEEN ","International Teen",IF(LEFT(B312,14)="INTL-JAP TEEN ","International Teen",IF(LEFT(B312,14)="INTL-CHI TEEN ","International Teen",IF(LEFT(B312,14)="INTL-SPA TEEN ","International Teen",IF(LEFT(B312,11)="INTL-VIE E ","International Easy",IF(LEFT(B312,11)="INTL-TAG E ","International Easy",IF(LEFT(B312,11)="INTL-RUS E ","International Easy",IF(LEFT(B312,11)="INTL-JAP E ","International Easy",IF(LEFT(B312,11)="INTL-KOR E ","International Easy",IF(LEFT(B312,11)="INTL-CHI E ","International Easy",IF(LEFT(B312,11)="INTL-SPA E ","International Easy",
IF(D312="Teen Large Type","Teen Fiction",
IF(D312="Juvenile Large Type","Juvenile Fiction",
IF(LEFT(B312,6)="J CD O","Juvenile Compact Disc",
IF(AND(LEFT(B312,4)="TEEN",D312="Fiction"),"Teen Fiction",
IF(D312="DVD Educational","Nonfiction",
IF(D312="Juvenile DVD Educational","Nonfiction",
IF(D312="Reference","Nonfiction",
D312))))))))))))))))))))))))))))))))))))))))))</f>
        <v/>
      </c>
    </row>
    <row r="313" spans="1:14" ht="27" customHeight="1" x14ac:dyDescent="0.25">
      <c r="A313" s="10" t="str">
        <f ca="1">TEXT( INDIRECT( ADDRESS( ROW() + Row_Offset, INDIRECT( "Column_Number_" &amp; A$1), 4,1, tabname) ), "")</f>
        <v/>
      </c>
      <c r="B313" s="10" t="str">
        <f ca="1">TEXT(  IFERROR( VLOOKUP( $D313, CollName_Simplifier_Table[], 2, FALSE),"") &amp;
        INDIRECT( ADDRESS( ROW() + Row_Offset, INDIRECT( "Column_Number_" &amp; $B$1), 4,1, tabname) ), "")</f>
        <v/>
      </c>
      <c r="C313" s="10" t="str">
        <f ca="1">TEXT( INDIRECT( ADDRESS( ROW() + Row_Offset, INDIRECT( "Column_Number_" &amp; C$1), 4,1, tabname) ), "")</f>
        <v/>
      </c>
      <c r="D313" s="10" t="str">
        <f ca="1">TEXT( INDIRECT( ADDRESS( ROW() + Row_Offset, INDIRECT( "Column_Number_" &amp; D$1), 4,1, tabname) ), "")</f>
        <v/>
      </c>
      <c r="E313" s="10" t="str">
        <f ca="1">TEXT( INDIRECT( ADDRESS( ROW() + Row_Offset, INDIRECT( "Column_Number_" &amp; E$1), 4,1, tabname) ), "####")</f>
        <v/>
      </c>
      <c r="F313" s="15"/>
      <c r="G313" s="22" t="str">
        <f ca="1">IFERROR(INDEX(Rank_Table[],MATCH($D313&amp;$A313,Table4[Join],0)),"")</f>
        <v/>
      </c>
      <c r="H313" s="11" t="str">
        <f ca="1">IF(AND(D313="Juvenile Audiobook",LEFT(B313,8)="J CD BIO"),RIGHT(B313,LEN(B313)-9),
IF(AND(D313="Juvenile Audiobook",LEFT(B313,8)="J CD FIC"),B313,
IF(D313="Juvenile Audiobook",RIGHT(B313,LEN(B313)-5),
IF(AND(D313="Teen Audiobook",LEFT(B313,11)="TEEN CD BIO"),RIGHT(B313,LEN(B313)-12),
IF(AND(D313="Teen Audiobook",LEFT(B313,11)="TEEN CD FIC"),B313,
IF(D313="Juvenile Audiobook",RIGHT(B313,LEN(B313)-8),
IF(D313="Juvenile Nonfiction",RIGHT(B313,LEN(B313)-2),
IF(D313="Teen Nonfiction",RIGHT(B313,LEN(B313)-5),
IF(AND(D313="Audiobook",
              NOT(OR(Contains($B313,"CD BIO"),Contains($B313,"CD FIC")))),RIGHT(B313,LEN(B313)-3),
IF(D313="Juvenile Biography",RIGHT(B313,LEN(B313)-2),
IF(D313="Teen Biography",RIGHT(B313,LEN(B313)-5),
IF(AND(D313="Audiobook",
              IFERROR(FIND("BIO",$B313)&gt;0,FALSE)),RIGHT(B313,LEN(B313)-3),
IF(D313="Juvenile Large Type","J "&amp;RIGHT(B313,LEN(B313)-11),
IF(D313="Teen Large Type","TEEN "&amp;RIGHT(B313,LEN(B313)-14),
IF(D313="Reference",RIGHT(B313,LEN(B313)-4),
IF(D313="DVD Educational",RIGHT(B313,LEN(B313)-7),
IF(D313="Juvenile DVD Educational",RIGHT(B313,LEN(B313)-9),
B313)))))))))))))))))</f>
        <v/>
      </c>
      <c r="N313" s="11" t="str">
        <f ca="1">IF(IFERROR(FIND("New",$A313)&gt;0,FALSE),"New ","") &amp; IF(IFERROR(FIND("In Lib",$A313)&gt;0,FALSE),"Reference ","") &amp;
IF(AND(D313="Audiobook",LEFT(B313,6)="CD BIO"),"Biography",
IF(AND(D313="Teen Audiobook",LEFT(B313,11)="TEEN CD BIO"),"Biography",
IF(AND(D313="Juvenile Audiobook",LEFT(B313,8)="J CD BIO"),"Biography",
IF(AND(D313="Audiobook",LEFT(B313,6)="CD FIC"),"Audiobook Fiction",
IF(AND(D313="Teen Audiobook",LEFT(B313,11)="TEEN CD FIC"),"Teen Audiobook",
IF(AND(D313="Juvenile Audiobook",LEFT(B313,8)="J CD FIC"),"Juvenile Audiobook",
IF(D313="Audiobook","Nonfiction",
IF(D313="Juvenile Audiobook","Nonfiction",
IF(D313="Teen Audiobook","Nonfiction",
IF(D313="Juvenile Nonfiction","Nonfiction",
IF(D313="Teen Nonfiction","Nonfiction",
IF(D313="Juvenile Biography","Biography",
IF(D313="Teen Biography","Biography",
IF(D313="ESL","Nonfiction",
IF(LEFT(B313,11)="INTL-VIE J ","International Juvenile",IF(LEFT(B313,11)="INTL-TAG J ","International Juvenile",IF(LEFT(B313,11)="INTL-RUS J ","International Juvenile",IF(LEFT(B313,11)="INTL-KOR J ","International Juvenile",IF(LEFT(B313,11)="INTL-JAP J ","International Juvenile",IF(LEFT(B313,11)="INTL-CHI J ","International Juvenile",IF(LEFT(B313,11)="INTL-SPA J ","International Juvenile",IF(LEFT(B313,14)="INTL-VIE TEEN ","International Teen",IF(LEFT(B313,14)="INTL-TAG TEEN ","International Teen",IF(LEFT(B313,14)="INTL-RUS TEEN ","International Teen",IF(LEFT(B313,14)="INTL-KOR TEEN ","International Teen",IF(LEFT(B313,14)="INTL-JAP TEEN ","International Teen",IF(LEFT(B313,14)="INTL-CHI TEEN ","International Teen",IF(LEFT(B313,14)="INTL-SPA TEEN ","International Teen",IF(LEFT(B313,11)="INTL-VIE E ","International Easy",IF(LEFT(B313,11)="INTL-TAG E ","International Easy",IF(LEFT(B313,11)="INTL-RUS E ","International Easy",IF(LEFT(B313,11)="INTL-JAP E ","International Easy",IF(LEFT(B313,11)="INTL-KOR E ","International Easy",IF(LEFT(B313,11)="INTL-CHI E ","International Easy",IF(LEFT(B313,11)="INTL-SPA E ","International Easy",
IF(D313="Teen Large Type","Teen Fiction",
IF(D313="Juvenile Large Type","Juvenile Fiction",
IF(LEFT(B313,6)="J CD O","Juvenile Compact Disc",
IF(AND(LEFT(B313,4)="TEEN",D313="Fiction"),"Teen Fiction",
IF(D313="DVD Educational","Nonfiction",
IF(D313="Juvenile DVD Educational","Nonfiction",
IF(D313="Reference","Nonfiction",
D313))))))))))))))))))))))))))))))))))))))))))</f>
        <v/>
      </c>
    </row>
    <row r="314" spans="1:14" ht="27" customHeight="1" x14ac:dyDescent="0.25">
      <c r="A314" s="10" t="str">
        <f ca="1">TEXT( INDIRECT( ADDRESS( ROW() + Row_Offset, INDIRECT( "Column_Number_" &amp; A$1), 4,1, tabname) ), "")</f>
        <v/>
      </c>
      <c r="B314" s="10" t="str">
        <f ca="1">TEXT(  IFERROR( VLOOKUP( $D314, CollName_Simplifier_Table[], 2, FALSE),"") &amp;
        INDIRECT( ADDRESS( ROW() + Row_Offset, INDIRECT( "Column_Number_" &amp; $B$1), 4,1, tabname) ), "")</f>
        <v/>
      </c>
      <c r="C314" s="10" t="str">
        <f ca="1">TEXT( INDIRECT( ADDRESS( ROW() + Row_Offset, INDIRECT( "Column_Number_" &amp; C$1), 4,1, tabname) ), "")</f>
        <v/>
      </c>
      <c r="D314" s="10" t="str">
        <f ca="1">TEXT( INDIRECT( ADDRESS( ROW() + Row_Offset, INDIRECT( "Column_Number_" &amp; D$1), 4,1, tabname) ), "")</f>
        <v/>
      </c>
      <c r="E314" s="10" t="str">
        <f ca="1">TEXT( INDIRECT( ADDRESS( ROW() + Row_Offset, INDIRECT( "Column_Number_" &amp; E$1), 4,1, tabname) ), "####")</f>
        <v/>
      </c>
      <c r="F314" s="15"/>
      <c r="G314" s="22" t="str">
        <f ca="1">IFERROR(INDEX(Rank_Table[],MATCH($D314&amp;$A314,Table4[Join],0)),"")</f>
        <v/>
      </c>
      <c r="H314" s="11" t="str">
        <f ca="1">IF(AND(D314="Juvenile Audiobook",LEFT(B314,8)="J CD BIO"),RIGHT(B314,LEN(B314)-9),
IF(AND(D314="Juvenile Audiobook",LEFT(B314,8)="J CD FIC"),B314,
IF(D314="Juvenile Audiobook",RIGHT(B314,LEN(B314)-5),
IF(AND(D314="Teen Audiobook",LEFT(B314,11)="TEEN CD BIO"),RIGHT(B314,LEN(B314)-12),
IF(AND(D314="Teen Audiobook",LEFT(B314,11)="TEEN CD FIC"),B314,
IF(D314="Juvenile Audiobook",RIGHT(B314,LEN(B314)-8),
IF(D314="Juvenile Nonfiction",RIGHT(B314,LEN(B314)-2),
IF(D314="Teen Nonfiction",RIGHT(B314,LEN(B314)-5),
IF(AND(D314="Audiobook",
              NOT(OR(Contains($B314,"CD BIO"),Contains($B314,"CD FIC")))),RIGHT(B314,LEN(B314)-3),
IF(D314="Juvenile Biography",RIGHT(B314,LEN(B314)-2),
IF(D314="Teen Biography",RIGHT(B314,LEN(B314)-5),
IF(AND(D314="Audiobook",
              IFERROR(FIND("BIO",$B314)&gt;0,FALSE)),RIGHT(B314,LEN(B314)-3),
IF(D314="Juvenile Large Type","J "&amp;RIGHT(B314,LEN(B314)-11),
IF(D314="Teen Large Type","TEEN "&amp;RIGHT(B314,LEN(B314)-14),
IF(D314="Reference",RIGHT(B314,LEN(B314)-4),
IF(D314="DVD Educational",RIGHT(B314,LEN(B314)-7),
IF(D314="Juvenile DVD Educational",RIGHT(B314,LEN(B314)-9),
B314)))))))))))))))))</f>
        <v/>
      </c>
      <c r="N314" s="11" t="str">
        <f ca="1">IF(IFERROR(FIND("New",$A314)&gt;0,FALSE),"New ","") &amp; IF(IFERROR(FIND("In Lib",$A314)&gt;0,FALSE),"Reference ","") &amp;
IF(AND(D314="Audiobook",LEFT(B314,6)="CD BIO"),"Biography",
IF(AND(D314="Teen Audiobook",LEFT(B314,11)="TEEN CD BIO"),"Biography",
IF(AND(D314="Juvenile Audiobook",LEFT(B314,8)="J CD BIO"),"Biography",
IF(AND(D314="Audiobook",LEFT(B314,6)="CD FIC"),"Audiobook Fiction",
IF(AND(D314="Teen Audiobook",LEFT(B314,11)="TEEN CD FIC"),"Teen Audiobook",
IF(AND(D314="Juvenile Audiobook",LEFT(B314,8)="J CD FIC"),"Juvenile Audiobook",
IF(D314="Audiobook","Nonfiction",
IF(D314="Juvenile Audiobook","Nonfiction",
IF(D314="Teen Audiobook","Nonfiction",
IF(D314="Juvenile Nonfiction","Nonfiction",
IF(D314="Teen Nonfiction","Nonfiction",
IF(D314="Juvenile Biography","Biography",
IF(D314="Teen Biography","Biography",
IF(D314="ESL","Nonfiction",
IF(LEFT(B314,11)="INTL-VIE J ","International Juvenile",IF(LEFT(B314,11)="INTL-TAG J ","International Juvenile",IF(LEFT(B314,11)="INTL-RUS J ","International Juvenile",IF(LEFT(B314,11)="INTL-KOR J ","International Juvenile",IF(LEFT(B314,11)="INTL-JAP J ","International Juvenile",IF(LEFT(B314,11)="INTL-CHI J ","International Juvenile",IF(LEFT(B314,11)="INTL-SPA J ","International Juvenile",IF(LEFT(B314,14)="INTL-VIE TEEN ","International Teen",IF(LEFT(B314,14)="INTL-TAG TEEN ","International Teen",IF(LEFT(B314,14)="INTL-RUS TEEN ","International Teen",IF(LEFT(B314,14)="INTL-KOR TEEN ","International Teen",IF(LEFT(B314,14)="INTL-JAP TEEN ","International Teen",IF(LEFT(B314,14)="INTL-CHI TEEN ","International Teen",IF(LEFT(B314,14)="INTL-SPA TEEN ","International Teen",IF(LEFT(B314,11)="INTL-VIE E ","International Easy",IF(LEFT(B314,11)="INTL-TAG E ","International Easy",IF(LEFT(B314,11)="INTL-RUS E ","International Easy",IF(LEFT(B314,11)="INTL-JAP E ","International Easy",IF(LEFT(B314,11)="INTL-KOR E ","International Easy",IF(LEFT(B314,11)="INTL-CHI E ","International Easy",IF(LEFT(B314,11)="INTL-SPA E ","International Easy",
IF(D314="Teen Large Type","Teen Fiction",
IF(D314="Juvenile Large Type","Juvenile Fiction",
IF(LEFT(B314,6)="J CD O","Juvenile Compact Disc",
IF(AND(LEFT(B314,4)="TEEN",D314="Fiction"),"Teen Fiction",
IF(D314="DVD Educational","Nonfiction",
IF(D314="Juvenile DVD Educational","Nonfiction",
IF(D314="Reference","Nonfiction",
D314))))))))))))))))))))))))))))))))))))))))))</f>
        <v/>
      </c>
    </row>
    <row r="315" spans="1:14" ht="27" customHeight="1" x14ac:dyDescent="0.25">
      <c r="A315" s="10" t="str">
        <f ca="1">TEXT( INDIRECT( ADDRESS( ROW() + Row_Offset, INDIRECT( "Column_Number_" &amp; A$1), 4,1, tabname) ), "")</f>
        <v/>
      </c>
      <c r="B315" s="10" t="str">
        <f ca="1">TEXT(  IFERROR( VLOOKUP( $D315, CollName_Simplifier_Table[], 2, FALSE),"") &amp;
        INDIRECT( ADDRESS( ROW() + Row_Offset, INDIRECT( "Column_Number_" &amp; $B$1), 4,1, tabname) ), "")</f>
        <v/>
      </c>
      <c r="C315" s="10" t="str">
        <f ca="1">TEXT( INDIRECT( ADDRESS( ROW() + Row_Offset, INDIRECT( "Column_Number_" &amp; C$1), 4,1, tabname) ), "")</f>
        <v/>
      </c>
      <c r="D315" s="10" t="str">
        <f ca="1">TEXT( INDIRECT( ADDRESS( ROW() + Row_Offset, INDIRECT( "Column_Number_" &amp; D$1), 4,1, tabname) ), "")</f>
        <v/>
      </c>
      <c r="E315" s="10" t="str">
        <f ca="1">TEXT( INDIRECT( ADDRESS( ROW() + Row_Offset, INDIRECT( "Column_Number_" &amp; E$1), 4,1, tabname) ), "####")</f>
        <v/>
      </c>
      <c r="F315" s="15"/>
      <c r="G315" s="22" t="str">
        <f ca="1">IFERROR(INDEX(Rank_Table[],MATCH($D315&amp;$A315,Table4[Join],0)),"")</f>
        <v/>
      </c>
      <c r="H315" s="11" t="str">
        <f ca="1">IF(AND(D315="Juvenile Audiobook",LEFT(B315,8)="J CD BIO"),RIGHT(B315,LEN(B315)-9),
IF(AND(D315="Juvenile Audiobook",LEFT(B315,8)="J CD FIC"),B315,
IF(D315="Juvenile Audiobook",RIGHT(B315,LEN(B315)-5),
IF(AND(D315="Teen Audiobook",LEFT(B315,11)="TEEN CD BIO"),RIGHT(B315,LEN(B315)-12),
IF(AND(D315="Teen Audiobook",LEFT(B315,11)="TEEN CD FIC"),B315,
IF(D315="Juvenile Audiobook",RIGHT(B315,LEN(B315)-8),
IF(D315="Juvenile Nonfiction",RIGHT(B315,LEN(B315)-2),
IF(D315="Teen Nonfiction",RIGHT(B315,LEN(B315)-5),
IF(AND(D315="Audiobook",
              NOT(OR(Contains($B315,"CD BIO"),Contains($B315,"CD FIC")))),RIGHT(B315,LEN(B315)-3),
IF(D315="Juvenile Biography",RIGHT(B315,LEN(B315)-2),
IF(D315="Teen Biography",RIGHT(B315,LEN(B315)-5),
IF(AND(D315="Audiobook",
              IFERROR(FIND("BIO",$B315)&gt;0,FALSE)),RIGHT(B315,LEN(B315)-3),
IF(D315="Juvenile Large Type","J "&amp;RIGHT(B315,LEN(B315)-11),
IF(D315="Teen Large Type","TEEN "&amp;RIGHT(B315,LEN(B315)-14),
IF(D315="Reference",RIGHT(B315,LEN(B315)-4),
IF(D315="DVD Educational",RIGHT(B315,LEN(B315)-7),
IF(D315="Juvenile DVD Educational",RIGHT(B315,LEN(B315)-9),
B315)))))))))))))))))</f>
        <v/>
      </c>
      <c r="N315" s="11" t="str">
        <f ca="1">IF(IFERROR(FIND("New",$A315)&gt;0,FALSE),"New ","") &amp; IF(IFERROR(FIND("In Lib",$A315)&gt;0,FALSE),"Reference ","") &amp;
IF(AND(D315="Audiobook",LEFT(B315,6)="CD BIO"),"Biography",
IF(AND(D315="Teen Audiobook",LEFT(B315,11)="TEEN CD BIO"),"Biography",
IF(AND(D315="Juvenile Audiobook",LEFT(B315,8)="J CD BIO"),"Biography",
IF(AND(D315="Audiobook",LEFT(B315,6)="CD FIC"),"Audiobook Fiction",
IF(AND(D315="Teen Audiobook",LEFT(B315,11)="TEEN CD FIC"),"Teen Audiobook",
IF(AND(D315="Juvenile Audiobook",LEFT(B315,8)="J CD FIC"),"Juvenile Audiobook",
IF(D315="Audiobook","Nonfiction",
IF(D315="Juvenile Audiobook","Nonfiction",
IF(D315="Teen Audiobook","Nonfiction",
IF(D315="Juvenile Nonfiction","Nonfiction",
IF(D315="Teen Nonfiction","Nonfiction",
IF(D315="Juvenile Biography","Biography",
IF(D315="Teen Biography","Biography",
IF(D315="ESL","Nonfiction",
IF(LEFT(B315,11)="INTL-VIE J ","International Juvenile",IF(LEFT(B315,11)="INTL-TAG J ","International Juvenile",IF(LEFT(B315,11)="INTL-RUS J ","International Juvenile",IF(LEFT(B315,11)="INTL-KOR J ","International Juvenile",IF(LEFT(B315,11)="INTL-JAP J ","International Juvenile",IF(LEFT(B315,11)="INTL-CHI J ","International Juvenile",IF(LEFT(B315,11)="INTL-SPA J ","International Juvenile",IF(LEFT(B315,14)="INTL-VIE TEEN ","International Teen",IF(LEFT(B315,14)="INTL-TAG TEEN ","International Teen",IF(LEFT(B315,14)="INTL-RUS TEEN ","International Teen",IF(LEFT(B315,14)="INTL-KOR TEEN ","International Teen",IF(LEFT(B315,14)="INTL-JAP TEEN ","International Teen",IF(LEFT(B315,14)="INTL-CHI TEEN ","International Teen",IF(LEFT(B315,14)="INTL-SPA TEEN ","International Teen",IF(LEFT(B315,11)="INTL-VIE E ","International Easy",IF(LEFT(B315,11)="INTL-TAG E ","International Easy",IF(LEFT(B315,11)="INTL-RUS E ","International Easy",IF(LEFT(B315,11)="INTL-JAP E ","International Easy",IF(LEFT(B315,11)="INTL-KOR E ","International Easy",IF(LEFT(B315,11)="INTL-CHI E ","International Easy",IF(LEFT(B315,11)="INTL-SPA E ","International Easy",
IF(D315="Teen Large Type","Teen Fiction",
IF(D315="Juvenile Large Type","Juvenile Fiction",
IF(LEFT(B315,6)="J CD O","Juvenile Compact Disc",
IF(AND(LEFT(B315,4)="TEEN",D315="Fiction"),"Teen Fiction",
IF(D315="DVD Educational","Nonfiction",
IF(D315="Juvenile DVD Educational","Nonfiction",
IF(D315="Reference","Nonfiction",
D315))))))))))))))))))))))))))))))))))))))))))</f>
        <v/>
      </c>
    </row>
    <row r="316" spans="1:14" ht="27" customHeight="1" x14ac:dyDescent="0.25">
      <c r="A316" s="10" t="str">
        <f ca="1">TEXT( INDIRECT( ADDRESS( ROW() + Row_Offset, INDIRECT( "Column_Number_" &amp; A$1), 4,1, tabname) ), "")</f>
        <v/>
      </c>
      <c r="B316" s="10" t="str">
        <f ca="1">TEXT(  IFERROR( VLOOKUP( $D316, CollName_Simplifier_Table[], 2, FALSE),"") &amp;
        INDIRECT( ADDRESS( ROW() + Row_Offset, INDIRECT( "Column_Number_" &amp; $B$1), 4,1, tabname) ), "")</f>
        <v/>
      </c>
      <c r="C316" s="10" t="str">
        <f ca="1">TEXT( INDIRECT( ADDRESS( ROW() + Row_Offset, INDIRECT( "Column_Number_" &amp; C$1), 4,1, tabname) ), "")</f>
        <v/>
      </c>
      <c r="D316" s="10" t="str">
        <f ca="1">TEXT( INDIRECT( ADDRESS( ROW() + Row_Offset, INDIRECT( "Column_Number_" &amp; D$1), 4,1, tabname) ), "")</f>
        <v/>
      </c>
      <c r="E316" s="10" t="str">
        <f ca="1">TEXT( INDIRECT( ADDRESS( ROW() + Row_Offset, INDIRECT( "Column_Number_" &amp; E$1), 4,1, tabname) ), "####")</f>
        <v/>
      </c>
      <c r="F316" s="15"/>
      <c r="G316" s="22" t="str">
        <f ca="1">IFERROR(INDEX(Rank_Table[],MATCH($D316&amp;$A316,Table4[Join],0)),"")</f>
        <v/>
      </c>
      <c r="H316" s="11" t="str">
        <f ca="1">IF(AND(D316="Juvenile Audiobook",LEFT(B316,8)="J CD BIO"),RIGHT(B316,LEN(B316)-9),
IF(AND(D316="Juvenile Audiobook",LEFT(B316,8)="J CD FIC"),B316,
IF(D316="Juvenile Audiobook",RIGHT(B316,LEN(B316)-5),
IF(AND(D316="Teen Audiobook",LEFT(B316,11)="TEEN CD BIO"),RIGHT(B316,LEN(B316)-12),
IF(AND(D316="Teen Audiobook",LEFT(B316,11)="TEEN CD FIC"),B316,
IF(D316="Juvenile Audiobook",RIGHT(B316,LEN(B316)-8),
IF(D316="Juvenile Nonfiction",RIGHT(B316,LEN(B316)-2),
IF(D316="Teen Nonfiction",RIGHT(B316,LEN(B316)-5),
IF(AND(D316="Audiobook",
              NOT(OR(Contains($B316,"CD BIO"),Contains($B316,"CD FIC")))),RIGHT(B316,LEN(B316)-3),
IF(D316="Juvenile Biography",RIGHT(B316,LEN(B316)-2),
IF(D316="Teen Biography",RIGHT(B316,LEN(B316)-5),
IF(AND(D316="Audiobook",
              IFERROR(FIND("BIO",$B316)&gt;0,FALSE)),RIGHT(B316,LEN(B316)-3),
IF(D316="Juvenile Large Type","J "&amp;RIGHT(B316,LEN(B316)-11),
IF(D316="Teen Large Type","TEEN "&amp;RIGHT(B316,LEN(B316)-14),
IF(D316="Reference",RIGHT(B316,LEN(B316)-4),
IF(D316="DVD Educational",RIGHT(B316,LEN(B316)-7),
IF(D316="Juvenile DVD Educational",RIGHT(B316,LEN(B316)-9),
B316)))))))))))))))))</f>
        <v/>
      </c>
      <c r="N316" s="11" t="str">
        <f ca="1">IF(IFERROR(FIND("New",$A316)&gt;0,FALSE),"New ","") &amp; IF(IFERROR(FIND("In Lib",$A316)&gt;0,FALSE),"Reference ","") &amp;
IF(AND(D316="Audiobook",LEFT(B316,6)="CD BIO"),"Biography",
IF(AND(D316="Teen Audiobook",LEFT(B316,11)="TEEN CD BIO"),"Biography",
IF(AND(D316="Juvenile Audiobook",LEFT(B316,8)="J CD BIO"),"Biography",
IF(AND(D316="Audiobook",LEFT(B316,6)="CD FIC"),"Audiobook Fiction",
IF(AND(D316="Teen Audiobook",LEFT(B316,11)="TEEN CD FIC"),"Teen Audiobook",
IF(AND(D316="Juvenile Audiobook",LEFT(B316,8)="J CD FIC"),"Juvenile Audiobook",
IF(D316="Audiobook","Nonfiction",
IF(D316="Juvenile Audiobook","Nonfiction",
IF(D316="Teen Audiobook","Nonfiction",
IF(D316="Juvenile Nonfiction","Nonfiction",
IF(D316="Teen Nonfiction","Nonfiction",
IF(D316="Juvenile Biography","Biography",
IF(D316="Teen Biography","Biography",
IF(D316="ESL","Nonfiction",
IF(LEFT(B316,11)="INTL-VIE J ","International Juvenile",IF(LEFT(B316,11)="INTL-TAG J ","International Juvenile",IF(LEFT(B316,11)="INTL-RUS J ","International Juvenile",IF(LEFT(B316,11)="INTL-KOR J ","International Juvenile",IF(LEFT(B316,11)="INTL-JAP J ","International Juvenile",IF(LEFT(B316,11)="INTL-CHI J ","International Juvenile",IF(LEFT(B316,11)="INTL-SPA J ","International Juvenile",IF(LEFT(B316,14)="INTL-VIE TEEN ","International Teen",IF(LEFT(B316,14)="INTL-TAG TEEN ","International Teen",IF(LEFT(B316,14)="INTL-RUS TEEN ","International Teen",IF(LEFT(B316,14)="INTL-KOR TEEN ","International Teen",IF(LEFT(B316,14)="INTL-JAP TEEN ","International Teen",IF(LEFT(B316,14)="INTL-CHI TEEN ","International Teen",IF(LEFT(B316,14)="INTL-SPA TEEN ","International Teen",IF(LEFT(B316,11)="INTL-VIE E ","International Easy",IF(LEFT(B316,11)="INTL-TAG E ","International Easy",IF(LEFT(B316,11)="INTL-RUS E ","International Easy",IF(LEFT(B316,11)="INTL-JAP E ","International Easy",IF(LEFT(B316,11)="INTL-KOR E ","International Easy",IF(LEFT(B316,11)="INTL-CHI E ","International Easy",IF(LEFT(B316,11)="INTL-SPA E ","International Easy",
IF(D316="Teen Large Type","Teen Fiction",
IF(D316="Juvenile Large Type","Juvenile Fiction",
IF(LEFT(B316,6)="J CD O","Juvenile Compact Disc",
IF(AND(LEFT(B316,4)="TEEN",D316="Fiction"),"Teen Fiction",
IF(D316="DVD Educational","Nonfiction",
IF(D316="Juvenile DVD Educational","Nonfiction",
IF(D316="Reference","Nonfiction",
D316))))))))))))))))))))))))))))))))))))))))))</f>
        <v/>
      </c>
    </row>
    <row r="317" spans="1:14" ht="27" customHeight="1" x14ac:dyDescent="0.25">
      <c r="A317" s="10" t="str">
        <f ca="1">TEXT( INDIRECT( ADDRESS( ROW() + Row_Offset, INDIRECT( "Column_Number_" &amp; A$1), 4,1, tabname) ), "")</f>
        <v/>
      </c>
      <c r="B317" s="10" t="str">
        <f ca="1">TEXT(  IFERROR( VLOOKUP( $D317, CollName_Simplifier_Table[], 2, FALSE),"") &amp;
        INDIRECT( ADDRESS( ROW() + Row_Offset, INDIRECT( "Column_Number_" &amp; $B$1), 4,1, tabname) ), "")</f>
        <v/>
      </c>
      <c r="C317" s="10" t="str">
        <f ca="1">TEXT( INDIRECT( ADDRESS( ROW() + Row_Offset, INDIRECT( "Column_Number_" &amp; C$1), 4,1, tabname) ), "")</f>
        <v/>
      </c>
      <c r="D317" s="10" t="str">
        <f ca="1">TEXT( INDIRECT( ADDRESS( ROW() + Row_Offset, INDIRECT( "Column_Number_" &amp; D$1), 4,1, tabname) ), "")</f>
        <v/>
      </c>
      <c r="E317" s="10" t="str">
        <f ca="1">TEXT( INDIRECT( ADDRESS( ROW() + Row_Offset, INDIRECT( "Column_Number_" &amp; E$1), 4,1, tabname) ), "####")</f>
        <v/>
      </c>
      <c r="F317" s="15"/>
      <c r="G317" s="22" t="str">
        <f ca="1">IFERROR(INDEX(Rank_Table[],MATCH($D317&amp;$A317,Table4[Join],0)),"")</f>
        <v/>
      </c>
      <c r="H317" s="11" t="str">
        <f ca="1">IF(AND(D317="Juvenile Audiobook",LEFT(B317,8)="J CD BIO"),RIGHT(B317,LEN(B317)-9),
IF(AND(D317="Juvenile Audiobook",LEFT(B317,8)="J CD FIC"),B317,
IF(D317="Juvenile Audiobook",RIGHT(B317,LEN(B317)-5),
IF(AND(D317="Teen Audiobook",LEFT(B317,11)="TEEN CD BIO"),RIGHT(B317,LEN(B317)-12),
IF(AND(D317="Teen Audiobook",LEFT(B317,11)="TEEN CD FIC"),B317,
IF(D317="Juvenile Audiobook",RIGHT(B317,LEN(B317)-8),
IF(D317="Juvenile Nonfiction",RIGHT(B317,LEN(B317)-2),
IF(D317="Teen Nonfiction",RIGHT(B317,LEN(B317)-5),
IF(AND(D317="Audiobook",
              NOT(OR(Contains($B317,"CD BIO"),Contains($B317,"CD FIC")))),RIGHT(B317,LEN(B317)-3),
IF(D317="Juvenile Biography",RIGHT(B317,LEN(B317)-2),
IF(D317="Teen Biography",RIGHT(B317,LEN(B317)-5),
IF(AND(D317="Audiobook",
              IFERROR(FIND("BIO",$B317)&gt;0,FALSE)),RIGHT(B317,LEN(B317)-3),
IF(D317="Juvenile Large Type","J "&amp;RIGHT(B317,LEN(B317)-11),
IF(D317="Teen Large Type","TEEN "&amp;RIGHT(B317,LEN(B317)-14),
IF(D317="Reference",RIGHT(B317,LEN(B317)-4),
IF(D317="DVD Educational",RIGHT(B317,LEN(B317)-7),
IF(D317="Juvenile DVD Educational",RIGHT(B317,LEN(B317)-9),
B317)))))))))))))))))</f>
        <v/>
      </c>
      <c r="N317" s="11" t="str">
        <f ca="1">IF(IFERROR(FIND("New",$A317)&gt;0,FALSE),"New ","") &amp; IF(IFERROR(FIND("In Lib",$A317)&gt;0,FALSE),"Reference ","") &amp;
IF(AND(D317="Audiobook",LEFT(B317,6)="CD BIO"),"Biography",
IF(AND(D317="Teen Audiobook",LEFT(B317,11)="TEEN CD BIO"),"Biography",
IF(AND(D317="Juvenile Audiobook",LEFT(B317,8)="J CD BIO"),"Biography",
IF(AND(D317="Audiobook",LEFT(B317,6)="CD FIC"),"Audiobook Fiction",
IF(AND(D317="Teen Audiobook",LEFT(B317,11)="TEEN CD FIC"),"Teen Audiobook",
IF(AND(D317="Juvenile Audiobook",LEFT(B317,8)="J CD FIC"),"Juvenile Audiobook",
IF(D317="Audiobook","Nonfiction",
IF(D317="Juvenile Audiobook","Nonfiction",
IF(D317="Teen Audiobook","Nonfiction",
IF(D317="Juvenile Nonfiction","Nonfiction",
IF(D317="Teen Nonfiction","Nonfiction",
IF(D317="Juvenile Biography","Biography",
IF(D317="Teen Biography","Biography",
IF(D317="ESL","Nonfiction",
IF(LEFT(B317,11)="INTL-VIE J ","International Juvenile",IF(LEFT(B317,11)="INTL-TAG J ","International Juvenile",IF(LEFT(B317,11)="INTL-RUS J ","International Juvenile",IF(LEFT(B317,11)="INTL-KOR J ","International Juvenile",IF(LEFT(B317,11)="INTL-JAP J ","International Juvenile",IF(LEFT(B317,11)="INTL-CHI J ","International Juvenile",IF(LEFT(B317,11)="INTL-SPA J ","International Juvenile",IF(LEFT(B317,14)="INTL-VIE TEEN ","International Teen",IF(LEFT(B317,14)="INTL-TAG TEEN ","International Teen",IF(LEFT(B317,14)="INTL-RUS TEEN ","International Teen",IF(LEFT(B317,14)="INTL-KOR TEEN ","International Teen",IF(LEFT(B317,14)="INTL-JAP TEEN ","International Teen",IF(LEFT(B317,14)="INTL-CHI TEEN ","International Teen",IF(LEFT(B317,14)="INTL-SPA TEEN ","International Teen",IF(LEFT(B317,11)="INTL-VIE E ","International Easy",IF(LEFT(B317,11)="INTL-TAG E ","International Easy",IF(LEFT(B317,11)="INTL-RUS E ","International Easy",IF(LEFT(B317,11)="INTL-JAP E ","International Easy",IF(LEFT(B317,11)="INTL-KOR E ","International Easy",IF(LEFT(B317,11)="INTL-CHI E ","International Easy",IF(LEFT(B317,11)="INTL-SPA E ","International Easy",
IF(D317="Teen Large Type","Teen Fiction",
IF(D317="Juvenile Large Type","Juvenile Fiction",
IF(LEFT(B317,6)="J CD O","Juvenile Compact Disc",
IF(AND(LEFT(B317,4)="TEEN",D317="Fiction"),"Teen Fiction",
IF(D317="DVD Educational","Nonfiction",
IF(D317="Juvenile DVD Educational","Nonfiction",
IF(D317="Reference","Nonfiction",
D317))))))))))))))))))))))))))))))))))))))))))</f>
        <v/>
      </c>
    </row>
    <row r="318" spans="1:14" ht="27" customHeight="1" x14ac:dyDescent="0.25">
      <c r="A318" s="10" t="str">
        <f ca="1">TEXT( INDIRECT( ADDRESS( ROW() + Row_Offset, INDIRECT( "Column_Number_" &amp; A$1), 4,1, tabname) ), "")</f>
        <v/>
      </c>
      <c r="B318" s="10" t="str">
        <f ca="1">TEXT(  IFERROR( VLOOKUP( $D318, CollName_Simplifier_Table[], 2, FALSE),"") &amp;
        INDIRECT( ADDRESS( ROW() + Row_Offset, INDIRECT( "Column_Number_" &amp; $B$1), 4,1, tabname) ), "")</f>
        <v/>
      </c>
      <c r="C318" s="10" t="str">
        <f ca="1">TEXT( INDIRECT( ADDRESS( ROW() + Row_Offset, INDIRECT( "Column_Number_" &amp; C$1), 4,1, tabname) ), "")</f>
        <v/>
      </c>
      <c r="D318" s="10" t="str">
        <f ca="1">TEXT( INDIRECT( ADDRESS( ROW() + Row_Offset, INDIRECT( "Column_Number_" &amp; D$1), 4,1, tabname) ), "")</f>
        <v/>
      </c>
      <c r="E318" s="10" t="str">
        <f ca="1">TEXT( INDIRECT( ADDRESS( ROW() + Row_Offset, INDIRECT( "Column_Number_" &amp; E$1), 4,1, tabname) ), "####")</f>
        <v/>
      </c>
      <c r="F318" s="15"/>
      <c r="G318" s="22" t="str">
        <f ca="1">IFERROR(INDEX(Rank_Table[],MATCH($D318&amp;$A318,Table4[Join],0)),"")</f>
        <v/>
      </c>
      <c r="H318" s="11" t="str">
        <f ca="1">IF(AND(D318="Juvenile Audiobook",LEFT(B318,8)="J CD BIO"),RIGHT(B318,LEN(B318)-9),
IF(AND(D318="Juvenile Audiobook",LEFT(B318,8)="J CD FIC"),B318,
IF(D318="Juvenile Audiobook",RIGHT(B318,LEN(B318)-5),
IF(AND(D318="Teen Audiobook",LEFT(B318,11)="TEEN CD BIO"),RIGHT(B318,LEN(B318)-12),
IF(AND(D318="Teen Audiobook",LEFT(B318,11)="TEEN CD FIC"),B318,
IF(D318="Juvenile Audiobook",RIGHT(B318,LEN(B318)-8),
IF(D318="Juvenile Nonfiction",RIGHT(B318,LEN(B318)-2),
IF(D318="Teen Nonfiction",RIGHT(B318,LEN(B318)-5),
IF(AND(D318="Audiobook",
              NOT(OR(Contains($B318,"CD BIO"),Contains($B318,"CD FIC")))),RIGHT(B318,LEN(B318)-3),
IF(D318="Juvenile Biography",RIGHT(B318,LEN(B318)-2),
IF(D318="Teen Biography",RIGHT(B318,LEN(B318)-5),
IF(AND(D318="Audiobook",
              IFERROR(FIND("BIO",$B318)&gt;0,FALSE)),RIGHT(B318,LEN(B318)-3),
IF(D318="Juvenile Large Type","J "&amp;RIGHT(B318,LEN(B318)-11),
IF(D318="Teen Large Type","TEEN "&amp;RIGHT(B318,LEN(B318)-14),
IF(D318="Reference",RIGHT(B318,LEN(B318)-4),
IF(D318="DVD Educational",RIGHT(B318,LEN(B318)-7),
IF(D318="Juvenile DVD Educational",RIGHT(B318,LEN(B318)-9),
B318)))))))))))))))))</f>
        <v/>
      </c>
      <c r="N318" s="11" t="str">
        <f ca="1">IF(IFERROR(FIND("New",$A318)&gt;0,FALSE),"New ","") &amp; IF(IFERROR(FIND("In Lib",$A318)&gt;0,FALSE),"Reference ","") &amp;
IF(AND(D318="Audiobook",LEFT(B318,6)="CD BIO"),"Biography",
IF(AND(D318="Teen Audiobook",LEFT(B318,11)="TEEN CD BIO"),"Biography",
IF(AND(D318="Juvenile Audiobook",LEFT(B318,8)="J CD BIO"),"Biography",
IF(AND(D318="Audiobook",LEFT(B318,6)="CD FIC"),"Audiobook Fiction",
IF(AND(D318="Teen Audiobook",LEFT(B318,11)="TEEN CD FIC"),"Teen Audiobook",
IF(AND(D318="Juvenile Audiobook",LEFT(B318,8)="J CD FIC"),"Juvenile Audiobook",
IF(D318="Audiobook","Nonfiction",
IF(D318="Juvenile Audiobook","Nonfiction",
IF(D318="Teen Audiobook","Nonfiction",
IF(D318="Juvenile Nonfiction","Nonfiction",
IF(D318="Teen Nonfiction","Nonfiction",
IF(D318="Juvenile Biography","Biography",
IF(D318="Teen Biography","Biography",
IF(D318="ESL","Nonfiction",
IF(LEFT(B318,11)="INTL-VIE J ","International Juvenile",IF(LEFT(B318,11)="INTL-TAG J ","International Juvenile",IF(LEFT(B318,11)="INTL-RUS J ","International Juvenile",IF(LEFT(B318,11)="INTL-KOR J ","International Juvenile",IF(LEFT(B318,11)="INTL-JAP J ","International Juvenile",IF(LEFT(B318,11)="INTL-CHI J ","International Juvenile",IF(LEFT(B318,11)="INTL-SPA J ","International Juvenile",IF(LEFT(B318,14)="INTL-VIE TEEN ","International Teen",IF(LEFT(B318,14)="INTL-TAG TEEN ","International Teen",IF(LEFT(B318,14)="INTL-RUS TEEN ","International Teen",IF(LEFT(B318,14)="INTL-KOR TEEN ","International Teen",IF(LEFT(B318,14)="INTL-JAP TEEN ","International Teen",IF(LEFT(B318,14)="INTL-CHI TEEN ","International Teen",IF(LEFT(B318,14)="INTL-SPA TEEN ","International Teen",IF(LEFT(B318,11)="INTL-VIE E ","International Easy",IF(LEFT(B318,11)="INTL-TAG E ","International Easy",IF(LEFT(B318,11)="INTL-RUS E ","International Easy",IF(LEFT(B318,11)="INTL-JAP E ","International Easy",IF(LEFT(B318,11)="INTL-KOR E ","International Easy",IF(LEFT(B318,11)="INTL-CHI E ","International Easy",IF(LEFT(B318,11)="INTL-SPA E ","International Easy",
IF(D318="Teen Large Type","Teen Fiction",
IF(D318="Juvenile Large Type","Juvenile Fiction",
IF(LEFT(B318,6)="J CD O","Juvenile Compact Disc",
IF(AND(LEFT(B318,4)="TEEN",D318="Fiction"),"Teen Fiction",
IF(D318="DVD Educational","Nonfiction",
IF(D318="Juvenile DVD Educational","Nonfiction",
IF(D318="Reference","Nonfiction",
D318))))))))))))))))))))))))))))))))))))))))))</f>
        <v/>
      </c>
    </row>
    <row r="319" spans="1:14" ht="27" customHeight="1" x14ac:dyDescent="0.25">
      <c r="A319" s="10" t="str">
        <f ca="1">TEXT( INDIRECT( ADDRESS( ROW() + Row_Offset, INDIRECT( "Column_Number_" &amp; A$1), 4,1, tabname) ), "")</f>
        <v/>
      </c>
      <c r="B319" s="10" t="str">
        <f ca="1">TEXT(  IFERROR( VLOOKUP( $D319, CollName_Simplifier_Table[], 2, FALSE),"") &amp;
        INDIRECT( ADDRESS( ROW() + Row_Offset, INDIRECT( "Column_Number_" &amp; $B$1), 4,1, tabname) ), "")</f>
        <v/>
      </c>
      <c r="C319" s="10" t="str">
        <f ca="1">TEXT( INDIRECT( ADDRESS( ROW() + Row_Offset, INDIRECT( "Column_Number_" &amp; C$1), 4,1, tabname) ), "")</f>
        <v/>
      </c>
      <c r="D319" s="10" t="str">
        <f ca="1">TEXT( INDIRECT( ADDRESS( ROW() + Row_Offset, INDIRECT( "Column_Number_" &amp; D$1), 4,1, tabname) ), "")</f>
        <v/>
      </c>
      <c r="E319" s="10" t="str">
        <f ca="1">TEXT( INDIRECT( ADDRESS( ROW() + Row_Offset, INDIRECT( "Column_Number_" &amp; E$1), 4,1, tabname) ), "####")</f>
        <v/>
      </c>
      <c r="F319" s="15"/>
      <c r="G319" s="22" t="str">
        <f ca="1">IFERROR(INDEX(Rank_Table[],MATCH($D319&amp;$A319,Table4[Join],0)),"")</f>
        <v/>
      </c>
      <c r="H319" s="11" t="str">
        <f ca="1">IF(AND(D319="Juvenile Audiobook",LEFT(B319,8)="J CD BIO"),RIGHT(B319,LEN(B319)-9),
IF(AND(D319="Juvenile Audiobook",LEFT(B319,8)="J CD FIC"),B319,
IF(D319="Juvenile Audiobook",RIGHT(B319,LEN(B319)-5),
IF(AND(D319="Teen Audiobook",LEFT(B319,11)="TEEN CD BIO"),RIGHT(B319,LEN(B319)-12),
IF(AND(D319="Teen Audiobook",LEFT(B319,11)="TEEN CD FIC"),B319,
IF(D319="Juvenile Audiobook",RIGHT(B319,LEN(B319)-8),
IF(D319="Juvenile Nonfiction",RIGHT(B319,LEN(B319)-2),
IF(D319="Teen Nonfiction",RIGHT(B319,LEN(B319)-5),
IF(AND(D319="Audiobook",
              NOT(OR(Contains($B319,"CD BIO"),Contains($B319,"CD FIC")))),RIGHT(B319,LEN(B319)-3),
IF(D319="Juvenile Biography",RIGHT(B319,LEN(B319)-2),
IF(D319="Teen Biography",RIGHT(B319,LEN(B319)-5),
IF(AND(D319="Audiobook",
              IFERROR(FIND("BIO",$B319)&gt;0,FALSE)),RIGHT(B319,LEN(B319)-3),
IF(D319="Juvenile Large Type","J "&amp;RIGHT(B319,LEN(B319)-11),
IF(D319="Teen Large Type","TEEN "&amp;RIGHT(B319,LEN(B319)-14),
IF(D319="Reference",RIGHT(B319,LEN(B319)-4),
IF(D319="DVD Educational",RIGHT(B319,LEN(B319)-7),
IF(D319="Juvenile DVD Educational",RIGHT(B319,LEN(B319)-9),
B319)))))))))))))))))</f>
        <v/>
      </c>
      <c r="N319" s="11" t="str">
        <f ca="1">IF(IFERROR(FIND("New",$A319)&gt;0,FALSE),"New ","") &amp; IF(IFERROR(FIND("In Lib",$A319)&gt;0,FALSE),"Reference ","") &amp;
IF(AND(D319="Audiobook",LEFT(B319,6)="CD BIO"),"Biography",
IF(AND(D319="Teen Audiobook",LEFT(B319,11)="TEEN CD BIO"),"Biography",
IF(AND(D319="Juvenile Audiobook",LEFT(B319,8)="J CD BIO"),"Biography",
IF(AND(D319="Audiobook",LEFT(B319,6)="CD FIC"),"Audiobook Fiction",
IF(AND(D319="Teen Audiobook",LEFT(B319,11)="TEEN CD FIC"),"Teen Audiobook",
IF(AND(D319="Juvenile Audiobook",LEFT(B319,8)="J CD FIC"),"Juvenile Audiobook",
IF(D319="Audiobook","Nonfiction",
IF(D319="Juvenile Audiobook","Nonfiction",
IF(D319="Teen Audiobook","Nonfiction",
IF(D319="Juvenile Nonfiction","Nonfiction",
IF(D319="Teen Nonfiction","Nonfiction",
IF(D319="Juvenile Biography","Biography",
IF(D319="Teen Biography","Biography",
IF(D319="ESL","Nonfiction",
IF(LEFT(B319,11)="INTL-VIE J ","International Juvenile",IF(LEFT(B319,11)="INTL-TAG J ","International Juvenile",IF(LEFT(B319,11)="INTL-RUS J ","International Juvenile",IF(LEFT(B319,11)="INTL-KOR J ","International Juvenile",IF(LEFT(B319,11)="INTL-JAP J ","International Juvenile",IF(LEFT(B319,11)="INTL-CHI J ","International Juvenile",IF(LEFT(B319,11)="INTL-SPA J ","International Juvenile",IF(LEFT(B319,14)="INTL-VIE TEEN ","International Teen",IF(LEFT(B319,14)="INTL-TAG TEEN ","International Teen",IF(LEFT(B319,14)="INTL-RUS TEEN ","International Teen",IF(LEFT(B319,14)="INTL-KOR TEEN ","International Teen",IF(LEFT(B319,14)="INTL-JAP TEEN ","International Teen",IF(LEFT(B319,14)="INTL-CHI TEEN ","International Teen",IF(LEFT(B319,14)="INTL-SPA TEEN ","International Teen",IF(LEFT(B319,11)="INTL-VIE E ","International Easy",IF(LEFT(B319,11)="INTL-TAG E ","International Easy",IF(LEFT(B319,11)="INTL-RUS E ","International Easy",IF(LEFT(B319,11)="INTL-JAP E ","International Easy",IF(LEFT(B319,11)="INTL-KOR E ","International Easy",IF(LEFT(B319,11)="INTL-CHI E ","International Easy",IF(LEFT(B319,11)="INTL-SPA E ","International Easy",
IF(D319="Teen Large Type","Teen Fiction",
IF(D319="Juvenile Large Type","Juvenile Fiction",
IF(LEFT(B319,6)="J CD O","Juvenile Compact Disc",
IF(AND(LEFT(B319,4)="TEEN",D319="Fiction"),"Teen Fiction",
IF(D319="DVD Educational","Nonfiction",
IF(D319="Juvenile DVD Educational","Nonfiction",
IF(D319="Reference","Nonfiction",
D319))))))))))))))))))))))))))))))))))))))))))</f>
        <v/>
      </c>
    </row>
    <row r="320" spans="1:14" ht="27" customHeight="1" x14ac:dyDescent="0.25">
      <c r="A320" s="10" t="str">
        <f ca="1">TEXT( INDIRECT( ADDRESS( ROW() + Row_Offset, INDIRECT( "Column_Number_" &amp; A$1), 4,1, tabname) ), "")</f>
        <v/>
      </c>
      <c r="B320" s="10" t="str">
        <f ca="1">TEXT(  IFERROR( VLOOKUP( $D320, CollName_Simplifier_Table[], 2, FALSE),"") &amp;
        INDIRECT( ADDRESS( ROW() + Row_Offset, INDIRECT( "Column_Number_" &amp; $B$1), 4,1, tabname) ), "")</f>
        <v/>
      </c>
      <c r="C320" s="10" t="str">
        <f ca="1">TEXT( INDIRECT( ADDRESS( ROW() + Row_Offset, INDIRECT( "Column_Number_" &amp; C$1), 4,1, tabname) ), "")</f>
        <v/>
      </c>
      <c r="D320" s="10" t="str">
        <f ca="1">TEXT( INDIRECT( ADDRESS( ROW() + Row_Offset, INDIRECT( "Column_Number_" &amp; D$1), 4,1, tabname) ), "")</f>
        <v/>
      </c>
      <c r="E320" s="10" t="str">
        <f ca="1">TEXT( INDIRECT( ADDRESS( ROW() + Row_Offset, INDIRECT( "Column_Number_" &amp; E$1), 4,1, tabname) ), "####")</f>
        <v/>
      </c>
      <c r="F320" s="15"/>
      <c r="G320" s="22" t="str">
        <f ca="1">IFERROR(INDEX(Rank_Table[],MATCH($D320&amp;$A320,Table4[Join],0)),"")</f>
        <v/>
      </c>
      <c r="H320" s="11" t="str">
        <f ca="1">IF(AND(D320="Juvenile Audiobook",LEFT(B320,8)="J CD BIO"),RIGHT(B320,LEN(B320)-9),
IF(AND(D320="Juvenile Audiobook",LEFT(B320,8)="J CD FIC"),B320,
IF(D320="Juvenile Audiobook",RIGHT(B320,LEN(B320)-5),
IF(AND(D320="Teen Audiobook",LEFT(B320,11)="TEEN CD BIO"),RIGHT(B320,LEN(B320)-12),
IF(AND(D320="Teen Audiobook",LEFT(B320,11)="TEEN CD FIC"),B320,
IF(D320="Juvenile Audiobook",RIGHT(B320,LEN(B320)-8),
IF(D320="Juvenile Nonfiction",RIGHT(B320,LEN(B320)-2),
IF(D320="Teen Nonfiction",RIGHT(B320,LEN(B320)-5),
IF(AND(D320="Audiobook",
              NOT(OR(Contains($B320,"CD BIO"),Contains($B320,"CD FIC")))),RIGHT(B320,LEN(B320)-3),
IF(D320="Juvenile Biography",RIGHT(B320,LEN(B320)-2),
IF(D320="Teen Biography",RIGHT(B320,LEN(B320)-5),
IF(AND(D320="Audiobook",
              IFERROR(FIND("BIO",$B320)&gt;0,FALSE)),RIGHT(B320,LEN(B320)-3),
IF(D320="Juvenile Large Type","J "&amp;RIGHT(B320,LEN(B320)-11),
IF(D320="Teen Large Type","TEEN "&amp;RIGHT(B320,LEN(B320)-14),
IF(D320="Reference",RIGHT(B320,LEN(B320)-4),
IF(D320="DVD Educational",RIGHT(B320,LEN(B320)-7),
IF(D320="Juvenile DVD Educational",RIGHT(B320,LEN(B320)-9),
B320)))))))))))))))))</f>
        <v/>
      </c>
      <c r="N320" s="11" t="str">
        <f ca="1">IF(IFERROR(FIND("New",$A320)&gt;0,FALSE),"New ","") &amp; IF(IFERROR(FIND("In Lib",$A320)&gt;0,FALSE),"Reference ","") &amp;
IF(AND(D320="Audiobook",LEFT(B320,6)="CD BIO"),"Biography",
IF(AND(D320="Teen Audiobook",LEFT(B320,11)="TEEN CD BIO"),"Biography",
IF(AND(D320="Juvenile Audiobook",LEFT(B320,8)="J CD BIO"),"Biography",
IF(AND(D320="Audiobook",LEFT(B320,6)="CD FIC"),"Audiobook Fiction",
IF(AND(D320="Teen Audiobook",LEFT(B320,11)="TEEN CD FIC"),"Teen Audiobook",
IF(AND(D320="Juvenile Audiobook",LEFT(B320,8)="J CD FIC"),"Juvenile Audiobook",
IF(D320="Audiobook","Nonfiction",
IF(D320="Juvenile Audiobook","Nonfiction",
IF(D320="Teen Audiobook","Nonfiction",
IF(D320="Juvenile Nonfiction","Nonfiction",
IF(D320="Teen Nonfiction","Nonfiction",
IF(D320="Juvenile Biography","Biography",
IF(D320="Teen Biography","Biography",
IF(D320="ESL","Nonfiction",
IF(LEFT(B320,11)="INTL-VIE J ","International Juvenile",IF(LEFT(B320,11)="INTL-TAG J ","International Juvenile",IF(LEFT(B320,11)="INTL-RUS J ","International Juvenile",IF(LEFT(B320,11)="INTL-KOR J ","International Juvenile",IF(LEFT(B320,11)="INTL-JAP J ","International Juvenile",IF(LEFT(B320,11)="INTL-CHI J ","International Juvenile",IF(LEFT(B320,11)="INTL-SPA J ","International Juvenile",IF(LEFT(B320,14)="INTL-VIE TEEN ","International Teen",IF(LEFT(B320,14)="INTL-TAG TEEN ","International Teen",IF(LEFT(B320,14)="INTL-RUS TEEN ","International Teen",IF(LEFT(B320,14)="INTL-KOR TEEN ","International Teen",IF(LEFT(B320,14)="INTL-JAP TEEN ","International Teen",IF(LEFT(B320,14)="INTL-CHI TEEN ","International Teen",IF(LEFT(B320,14)="INTL-SPA TEEN ","International Teen",IF(LEFT(B320,11)="INTL-VIE E ","International Easy",IF(LEFT(B320,11)="INTL-TAG E ","International Easy",IF(LEFT(B320,11)="INTL-RUS E ","International Easy",IF(LEFT(B320,11)="INTL-JAP E ","International Easy",IF(LEFT(B320,11)="INTL-KOR E ","International Easy",IF(LEFT(B320,11)="INTL-CHI E ","International Easy",IF(LEFT(B320,11)="INTL-SPA E ","International Easy",
IF(D320="Teen Large Type","Teen Fiction",
IF(D320="Juvenile Large Type","Juvenile Fiction",
IF(LEFT(B320,6)="J CD O","Juvenile Compact Disc",
IF(AND(LEFT(B320,4)="TEEN",D320="Fiction"),"Teen Fiction",
IF(D320="DVD Educational","Nonfiction",
IF(D320="Juvenile DVD Educational","Nonfiction",
IF(D320="Reference","Nonfiction",
D320))))))))))))))))))))))))))))))))))))))))))</f>
        <v/>
      </c>
    </row>
    <row r="321" spans="1:14" ht="27" customHeight="1" x14ac:dyDescent="0.25">
      <c r="A321" s="10" t="str">
        <f ca="1">TEXT( INDIRECT( ADDRESS( ROW() + Row_Offset, INDIRECT( "Column_Number_" &amp; A$1), 4,1, tabname) ), "")</f>
        <v/>
      </c>
      <c r="B321" s="10" t="str">
        <f ca="1">TEXT(  IFERROR( VLOOKUP( $D321, CollName_Simplifier_Table[], 2, FALSE),"") &amp;
        INDIRECT( ADDRESS( ROW() + Row_Offset, INDIRECT( "Column_Number_" &amp; $B$1), 4,1, tabname) ), "")</f>
        <v/>
      </c>
      <c r="C321" s="10" t="str">
        <f ca="1">TEXT( INDIRECT( ADDRESS( ROW() + Row_Offset, INDIRECT( "Column_Number_" &amp; C$1), 4,1, tabname) ), "")</f>
        <v/>
      </c>
      <c r="D321" s="10" t="str">
        <f ca="1">TEXT( INDIRECT( ADDRESS( ROW() + Row_Offset, INDIRECT( "Column_Number_" &amp; D$1), 4,1, tabname) ), "")</f>
        <v/>
      </c>
      <c r="E321" s="10" t="str">
        <f ca="1">TEXT( INDIRECT( ADDRESS( ROW() + Row_Offset, INDIRECT( "Column_Number_" &amp; E$1), 4,1, tabname) ), "####")</f>
        <v/>
      </c>
      <c r="F321" s="15"/>
      <c r="G321" s="22" t="str">
        <f ca="1">IFERROR(INDEX(Rank_Table[],MATCH($D321&amp;$A321,Table4[Join],0)),"")</f>
        <v/>
      </c>
      <c r="H321" s="11" t="str">
        <f ca="1">IF(AND(D321="Juvenile Audiobook",LEFT(B321,8)="J CD BIO"),RIGHT(B321,LEN(B321)-9),
IF(AND(D321="Juvenile Audiobook",LEFT(B321,8)="J CD FIC"),B321,
IF(D321="Juvenile Audiobook",RIGHT(B321,LEN(B321)-5),
IF(AND(D321="Teen Audiobook",LEFT(B321,11)="TEEN CD BIO"),RIGHT(B321,LEN(B321)-12),
IF(AND(D321="Teen Audiobook",LEFT(B321,11)="TEEN CD FIC"),B321,
IF(D321="Juvenile Audiobook",RIGHT(B321,LEN(B321)-8),
IF(D321="Juvenile Nonfiction",RIGHT(B321,LEN(B321)-2),
IF(D321="Teen Nonfiction",RIGHT(B321,LEN(B321)-5),
IF(AND(D321="Audiobook",
              NOT(OR(Contains($B321,"CD BIO"),Contains($B321,"CD FIC")))),RIGHT(B321,LEN(B321)-3),
IF(D321="Juvenile Biography",RIGHT(B321,LEN(B321)-2),
IF(D321="Teen Biography",RIGHT(B321,LEN(B321)-5),
IF(AND(D321="Audiobook",
              IFERROR(FIND("BIO",$B321)&gt;0,FALSE)),RIGHT(B321,LEN(B321)-3),
IF(D321="Juvenile Large Type","J "&amp;RIGHT(B321,LEN(B321)-11),
IF(D321="Teen Large Type","TEEN "&amp;RIGHT(B321,LEN(B321)-14),
IF(D321="Reference",RIGHT(B321,LEN(B321)-4),
IF(D321="DVD Educational",RIGHT(B321,LEN(B321)-7),
IF(D321="Juvenile DVD Educational",RIGHT(B321,LEN(B321)-9),
B321)))))))))))))))))</f>
        <v/>
      </c>
      <c r="N321" s="11" t="str">
        <f ca="1">IF(IFERROR(FIND("New",$A321)&gt;0,FALSE),"New ","") &amp; IF(IFERROR(FIND("In Lib",$A321)&gt;0,FALSE),"Reference ","") &amp;
IF(AND(D321="Audiobook",LEFT(B321,6)="CD BIO"),"Biography",
IF(AND(D321="Teen Audiobook",LEFT(B321,11)="TEEN CD BIO"),"Biography",
IF(AND(D321="Juvenile Audiobook",LEFT(B321,8)="J CD BIO"),"Biography",
IF(AND(D321="Audiobook",LEFT(B321,6)="CD FIC"),"Audiobook Fiction",
IF(AND(D321="Teen Audiobook",LEFT(B321,11)="TEEN CD FIC"),"Teen Audiobook",
IF(AND(D321="Juvenile Audiobook",LEFT(B321,8)="J CD FIC"),"Juvenile Audiobook",
IF(D321="Audiobook","Nonfiction",
IF(D321="Juvenile Audiobook","Nonfiction",
IF(D321="Teen Audiobook","Nonfiction",
IF(D321="Juvenile Nonfiction","Nonfiction",
IF(D321="Teen Nonfiction","Nonfiction",
IF(D321="Juvenile Biography","Biography",
IF(D321="Teen Biography","Biography",
IF(D321="ESL","Nonfiction",
IF(LEFT(B321,11)="INTL-VIE J ","International Juvenile",IF(LEFT(B321,11)="INTL-TAG J ","International Juvenile",IF(LEFT(B321,11)="INTL-RUS J ","International Juvenile",IF(LEFT(B321,11)="INTL-KOR J ","International Juvenile",IF(LEFT(B321,11)="INTL-JAP J ","International Juvenile",IF(LEFT(B321,11)="INTL-CHI J ","International Juvenile",IF(LEFT(B321,11)="INTL-SPA J ","International Juvenile",IF(LEFT(B321,14)="INTL-VIE TEEN ","International Teen",IF(LEFT(B321,14)="INTL-TAG TEEN ","International Teen",IF(LEFT(B321,14)="INTL-RUS TEEN ","International Teen",IF(LEFT(B321,14)="INTL-KOR TEEN ","International Teen",IF(LEFT(B321,14)="INTL-JAP TEEN ","International Teen",IF(LEFT(B321,14)="INTL-CHI TEEN ","International Teen",IF(LEFT(B321,14)="INTL-SPA TEEN ","International Teen",IF(LEFT(B321,11)="INTL-VIE E ","International Easy",IF(LEFT(B321,11)="INTL-TAG E ","International Easy",IF(LEFT(B321,11)="INTL-RUS E ","International Easy",IF(LEFT(B321,11)="INTL-JAP E ","International Easy",IF(LEFT(B321,11)="INTL-KOR E ","International Easy",IF(LEFT(B321,11)="INTL-CHI E ","International Easy",IF(LEFT(B321,11)="INTL-SPA E ","International Easy",
IF(D321="Teen Large Type","Teen Fiction",
IF(D321="Juvenile Large Type","Juvenile Fiction",
IF(LEFT(B321,6)="J CD O","Juvenile Compact Disc",
IF(AND(LEFT(B321,4)="TEEN",D321="Fiction"),"Teen Fiction",
IF(D321="DVD Educational","Nonfiction",
IF(D321="Juvenile DVD Educational","Nonfiction",
IF(D321="Reference","Nonfiction",
D321))))))))))))))))))))))))))))))))))))))))))</f>
        <v/>
      </c>
    </row>
    <row r="322" spans="1:14" ht="27" customHeight="1" x14ac:dyDescent="0.25">
      <c r="A322" s="10" t="str">
        <f ca="1">TEXT( INDIRECT( ADDRESS( ROW() + Row_Offset, INDIRECT( "Column_Number_" &amp; A$1), 4,1, tabname) ), "")</f>
        <v/>
      </c>
      <c r="B322" s="10" t="str">
        <f ca="1">TEXT(  IFERROR( VLOOKUP( $D322, CollName_Simplifier_Table[], 2, FALSE),"") &amp;
        INDIRECT( ADDRESS( ROW() + Row_Offset, INDIRECT( "Column_Number_" &amp; $B$1), 4,1, tabname) ), "")</f>
        <v/>
      </c>
      <c r="C322" s="10" t="str">
        <f ca="1">TEXT( INDIRECT( ADDRESS( ROW() + Row_Offset, INDIRECT( "Column_Number_" &amp; C$1), 4,1, tabname) ), "")</f>
        <v/>
      </c>
      <c r="D322" s="10" t="str">
        <f ca="1">TEXT( INDIRECT( ADDRESS( ROW() + Row_Offset, INDIRECT( "Column_Number_" &amp; D$1), 4,1, tabname) ), "")</f>
        <v/>
      </c>
      <c r="E322" s="10" t="str">
        <f ca="1">TEXT( INDIRECT( ADDRESS( ROW() + Row_Offset, INDIRECT( "Column_Number_" &amp; E$1), 4,1, tabname) ), "####")</f>
        <v/>
      </c>
      <c r="F322" s="15"/>
      <c r="G322" s="22" t="str">
        <f ca="1">IFERROR(INDEX(Rank_Table[],MATCH($D322&amp;$A322,Table4[Join],0)),"")</f>
        <v/>
      </c>
      <c r="H322" s="11" t="str">
        <f ca="1">IF(AND(D322="Juvenile Audiobook",LEFT(B322,8)="J CD BIO"),RIGHT(B322,LEN(B322)-9),
IF(AND(D322="Juvenile Audiobook",LEFT(B322,8)="J CD FIC"),B322,
IF(D322="Juvenile Audiobook",RIGHT(B322,LEN(B322)-5),
IF(AND(D322="Teen Audiobook",LEFT(B322,11)="TEEN CD BIO"),RIGHT(B322,LEN(B322)-12),
IF(AND(D322="Teen Audiobook",LEFT(B322,11)="TEEN CD FIC"),B322,
IF(D322="Juvenile Audiobook",RIGHT(B322,LEN(B322)-8),
IF(D322="Juvenile Nonfiction",RIGHT(B322,LEN(B322)-2),
IF(D322="Teen Nonfiction",RIGHT(B322,LEN(B322)-5),
IF(AND(D322="Audiobook",
              NOT(OR(Contains($B322,"CD BIO"),Contains($B322,"CD FIC")))),RIGHT(B322,LEN(B322)-3),
IF(D322="Juvenile Biography",RIGHT(B322,LEN(B322)-2),
IF(D322="Teen Biography",RIGHT(B322,LEN(B322)-5),
IF(AND(D322="Audiobook",
              IFERROR(FIND("BIO",$B322)&gt;0,FALSE)),RIGHT(B322,LEN(B322)-3),
IF(D322="Juvenile Large Type","J "&amp;RIGHT(B322,LEN(B322)-11),
IF(D322="Teen Large Type","TEEN "&amp;RIGHT(B322,LEN(B322)-14),
IF(D322="Reference",RIGHT(B322,LEN(B322)-4),
IF(D322="DVD Educational",RIGHT(B322,LEN(B322)-7),
IF(D322="Juvenile DVD Educational",RIGHT(B322,LEN(B322)-9),
B322)))))))))))))))))</f>
        <v/>
      </c>
      <c r="N322" s="11" t="str">
        <f ca="1">IF(IFERROR(FIND("New",$A322)&gt;0,FALSE),"New ","") &amp; IF(IFERROR(FIND("In Lib",$A322)&gt;0,FALSE),"Reference ","") &amp;
IF(AND(D322="Audiobook",LEFT(B322,6)="CD BIO"),"Biography",
IF(AND(D322="Teen Audiobook",LEFT(B322,11)="TEEN CD BIO"),"Biography",
IF(AND(D322="Juvenile Audiobook",LEFT(B322,8)="J CD BIO"),"Biography",
IF(AND(D322="Audiobook",LEFT(B322,6)="CD FIC"),"Audiobook Fiction",
IF(AND(D322="Teen Audiobook",LEFT(B322,11)="TEEN CD FIC"),"Teen Audiobook",
IF(AND(D322="Juvenile Audiobook",LEFT(B322,8)="J CD FIC"),"Juvenile Audiobook",
IF(D322="Audiobook","Nonfiction",
IF(D322="Juvenile Audiobook","Nonfiction",
IF(D322="Teen Audiobook","Nonfiction",
IF(D322="Juvenile Nonfiction","Nonfiction",
IF(D322="Teen Nonfiction","Nonfiction",
IF(D322="Juvenile Biography","Biography",
IF(D322="Teen Biography","Biography",
IF(D322="ESL","Nonfiction",
IF(LEFT(B322,11)="INTL-VIE J ","International Juvenile",IF(LEFT(B322,11)="INTL-TAG J ","International Juvenile",IF(LEFT(B322,11)="INTL-RUS J ","International Juvenile",IF(LEFT(B322,11)="INTL-KOR J ","International Juvenile",IF(LEFT(B322,11)="INTL-JAP J ","International Juvenile",IF(LEFT(B322,11)="INTL-CHI J ","International Juvenile",IF(LEFT(B322,11)="INTL-SPA J ","International Juvenile",IF(LEFT(B322,14)="INTL-VIE TEEN ","International Teen",IF(LEFT(B322,14)="INTL-TAG TEEN ","International Teen",IF(LEFT(B322,14)="INTL-RUS TEEN ","International Teen",IF(LEFT(B322,14)="INTL-KOR TEEN ","International Teen",IF(LEFT(B322,14)="INTL-JAP TEEN ","International Teen",IF(LEFT(B322,14)="INTL-CHI TEEN ","International Teen",IF(LEFT(B322,14)="INTL-SPA TEEN ","International Teen",IF(LEFT(B322,11)="INTL-VIE E ","International Easy",IF(LEFT(B322,11)="INTL-TAG E ","International Easy",IF(LEFT(B322,11)="INTL-RUS E ","International Easy",IF(LEFT(B322,11)="INTL-JAP E ","International Easy",IF(LEFT(B322,11)="INTL-KOR E ","International Easy",IF(LEFT(B322,11)="INTL-CHI E ","International Easy",IF(LEFT(B322,11)="INTL-SPA E ","International Easy",
IF(D322="Teen Large Type","Teen Fiction",
IF(D322="Juvenile Large Type","Juvenile Fiction",
IF(LEFT(B322,6)="J CD O","Juvenile Compact Disc",
IF(AND(LEFT(B322,4)="TEEN",D322="Fiction"),"Teen Fiction",
IF(D322="DVD Educational","Nonfiction",
IF(D322="Juvenile DVD Educational","Nonfiction",
IF(D322="Reference","Nonfiction",
D322))))))))))))))))))))))))))))))))))))))))))</f>
        <v/>
      </c>
    </row>
    <row r="323" spans="1:14" ht="27" customHeight="1" x14ac:dyDescent="0.25">
      <c r="A323" s="10" t="str">
        <f ca="1">TEXT( INDIRECT( ADDRESS( ROW() + Row_Offset, INDIRECT( "Column_Number_" &amp; A$1), 4,1, tabname) ), "")</f>
        <v/>
      </c>
      <c r="B323" s="10" t="str">
        <f ca="1">TEXT(  IFERROR( VLOOKUP( $D323, CollName_Simplifier_Table[], 2, FALSE),"") &amp;
        INDIRECT( ADDRESS( ROW() + Row_Offset, INDIRECT( "Column_Number_" &amp; $B$1), 4,1, tabname) ), "")</f>
        <v/>
      </c>
      <c r="C323" s="10" t="str">
        <f ca="1">TEXT( INDIRECT( ADDRESS( ROW() + Row_Offset, INDIRECT( "Column_Number_" &amp; C$1), 4,1, tabname) ), "")</f>
        <v/>
      </c>
      <c r="D323" s="10" t="str">
        <f ca="1">TEXT( INDIRECT( ADDRESS( ROW() + Row_Offset, INDIRECT( "Column_Number_" &amp; D$1), 4,1, tabname) ), "")</f>
        <v/>
      </c>
      <c r="E323" s="10" t="str">
        <f ca="1">TEXT( INDIRECT( ADDRESS( ROW() + Row_Offset, INDIRECT( "Column_Number_" &amp; E$1), 4,1, tabname) ), "####")</f>
        <v/>
      </c>
      <c r="F323" s="15"/>
      <c r="G323" s="22" t="str">
        <f ca="1">IFERROR(INDEX(Rank_Table[],MATCH($D323&amp;$A323,Table4[Join],0)),"")</f>
        <v/>
      </c>
      <c r="H323" s="11" t="str">
        <f ca="1">IF(AND(D323="Juvenile Audiobook",LEFT(B323,8)="J CD BIO"),RIGHT(B323,LEN(B323)-9),
IF(AND(D323="Juvenile Audiobook",LEFT(B323,8)="J CD FIC"),B323,
IF(D323="Juvenile Audiobook",RIGHT(B323,LEN(B323)-5),
IF(AND(D323="Teen Audiobook",LEFT(B323,11)="TEEN CD BIO"),RIGHT(B323,LEN(B323)-12),
IF(AND(D323="Teen Audiobook",LEFT(B323,11)="TEEN CD FIC"),B323,
IF(D323="Juvenile Audiobook",RIGHT(B323,LEN(B323)-8),
IF(D323="Juvenile Nonfiction",RIGHT(B323,LEN(B323)-2),
IF(D323="Teen Nonfiction",RIGHT(B323,LEN(B323)-5),
IF(AND(D323="Audiobook",
              NOT(OR(Contains($B323,"CD BIO"),Contains($B323,"CD FIC")))),RIGHT(B323,LEN(B323)-3),
IF(D323="Juvenile Biography",RIGHT(B323,LEN(B323)-2),
IF(D323="Teen Biography",RIGHT(B323,LEN(B323)-5),
IF(AND(D323="Audiobook",
              IFERROR(FIND("BIO",$B323)&gt;0,FALSE)),RIGHT(B323,LEN(B323)-3),
IF(D323="Juvenile Large Type","J "&amp;RIGHT(B323,LEN(B323)-11),
IF(D323="Teen Large Type","TEEN "&amp;RIGHT(B323,LEN(B323)-14),
IF(D323="Reference",RIGHT(B323,LEN(B323)-4),
IF(D323="DVD Educational",RIGHT(B323,LEN(B323)-7),
IF(D323="Juvenile DVD Educational",RIGHT(B323,LEN(B323)-9),
B323)))))))))))))))))</f>
        <v/>
      </c>
      <c r="N323" s="11" t="str">
        <f ca="1">IF(IFERROR(FIND("New",$A323)&gt;0,FALSE),"New ","") &amp; IF(IFERROR(FIND("In Lib",$A323)&gt;0,FALSE),"Reference ","") &amp;
IF(AND(D323="Audiobook",LEFT(B323,6)="CD BIO"),"Biography",
IF(AND(D323="Teen Audiobook",LEFT(B323,11)="TEEN CD BIO"),"Biography",
IF(AND(D323="Juvenile Audiobook",LEFT(B323,8)="J CD BIO"),"Biography",
IF(AND(D323="Audiobook",LEFT(B323,6)="CD FIC"),"Audiobook Fiction",
IF(AND(D323="Teen Audiobook",LEFT(B323,11)="TEEN CD FIC"),"Teen Audiobook",
IF(AND(D323="Juvenile Audiobook",LEFT(B323,8)="J CD FIC"),"Juvenile Audiobook",
IF(D323="Audiobook","Nonfiction",
IF(D323="Juvenile Audiobook","Nonfiction",
IF(D323="Teen Audiobook","Nonfiction",
IF(D323="Juvenile Nonfiction","Nonfiction",
IF(D323="Teen Nonfiction","Nonfiction",
IF(D323="Juvenile Biography","Biography",
IF(D323="Teen Biography","Biography",
IF(D323="ESL","Nonfiction",
IF(LEFT(B323,11)="INTL-VIE J ","International Juvenile",IF(LEFT(B323,11)="INTL-TAG J ","International Juvenile",IF(LEFT(B323,11)="INTL-RUS J ","International Juvenile",IF(LEFT(B323,11)="INTL-KOR J ","International Juvenile",IF(LEFT(B323,11)="INTL-JAP J ","International Juvenile",IF(LEFT(B323,11)="INTL-CHI J ","International Juvenile",IF(LEFT(B323,11)="INTL-SPA J ","International Juvenile",IF(LEFT(B323,14)="INTL-VIE TEEN ","International Teen",IF(LEFT(B323,14)="INTL-TAG TEEN ","International Teen",IF(LEFT(B323,14)="INTL-RUS TEEN ","International Teen",IF(LEFT(B323,14)="INTL-KOR TEEN ","International Teen",IF(LEFT(B323,14)="INTL-JAP TEEN ","International Teen",IF(LEFT(B323,14)="INTL-CHI TEEN ","International Teen",IF(LEFT(B323,14)="INTL-SPA TEEN ","International Teen",IF(LEFT(B323,11)="INTL-VIE E ","International Easy",IF(LEFT(B323,11)="INTL-TAG E ","International Easy",IF(LEFT(B323,11)="INTL-RUS E ","International Easy",IF(LEFT(B323,11)="INTL-JAP E ","International Easy",IF(LEFT(B323,11)="INTL-KOR E ","International Easy",IF(LEFT(B323,11)="INTL-CHI E ","International Easy",IF(LEFT(B323,11)="INTL-SPA E ","International Easy",
IF(D323="Teen Large Type","Teen Fiction",
IF(D323="Juvenile Large Type","Juvenile Fiction",
IF(LEFT(B323,6)="J CD O","Juvenile Compact Disc",
IF(AND(LEFT(B323,4)="TEEN",D323="Fiction"),"Teen Fiction",
IF(D323="DVD Educational","Nonfiction",
IF(D323="Juvenile DVD Educational","Nonfiction",
IF(D323="Reference","Nonfiction",
D323))))))))))))))))))))))))))))))))))))))))))</f>
        <v/>
      </c>
    </row>
    <row r="324" spans="1:14" ht="27" customHeight="1" x14ac:dyDescent="0.25">
      <c r="A324" s="10" t="str">
        <f ca="1">TEXT( INDIRECT( ADDRESS( ROW() + Row_Offset, INDIRECT( "Column_Number_" &amp; A$1), 4,1, tabname) ), "")</f>
        <v/>
      </c>
      <c r="B324" s="10" t="str">
        <f ca="1">TEXT(  IFERROR( VLOOKUP( $D324, CollName_Simplifier_Table[], 2, FALSE),"") &amp;
        INDIRECT( ADDRESS( ROW() + Row_Offset, INDIRECT( "Column_Number_" &amp; $B$1), 4,1, tabname) ), "")</f>
        <v/>
      </c>
      <c r="C324" s="10" t="str">
        <f ca="1">TEXT( INDIRECT( ADDRESS( ROW() + Row_Offset, INDIRECT( "Column_Number_" &amp; C$1), 4,1, tabname) ), "")</f>
        <v/>
      </c>
      <c r="D324" s="10" t="str">
        <f ca="1">TEXT( INDIRECT( ADDRESS( ROW() + Row_Offset, INDIRECT( "Column_Number_" &amp; D$1), 4,1, tabname) ), "")</f>
        <v/>
      </c>
      <c r="E324" s="10" t="str">
        <f ca="1">TEXT( INDIRECT( ADDRESS( ROW() + Row_Offset, INDIRECT( "Column_Number_" &amp; E$1), 4,1, tabname) ), "####")</f>
        <v/>
      </c>
      <c r="F324" s="15"/>
      <c r="G324" s="22" t="str">
        <f ca="1">IFERROR(INDEX(Rank_Table[],MATCH($D324&amp;$A324,Table4[Join],0)),"")</f>
        <v/>
      </c>
      <c r="H324" s="11" t="str">
        <f ca="1">IF(AND(D324="Juvenile Audiobook",LEFT(B324,8)="J CD BIO"),RIGHT(B324,LEN(B324)-9),
IF(AND(D324="Juvenile Audiobook",LEFT(B324,8)="J CD FIC"),B324,
IF(D324="Juvenile Audiobook",RIGHT(B324,LEN(B324)-5),
IF(AND(D324="Teen Audiobook",LEFT(B324,11)="TEEN CD BIO"),RIGHT(B324,LEN(B324)-12),
IF(AND(D324="Teen Audiobook",LEFT(B324,11)="TEEN CD FIC"),B324,
IF(D324="Juvenile Audiobook",RIGHT(B324,LEN(B324)-8),
IF(D324="Juvenile Nonfiction",RIGHT(B324,LEN(B324)-2),
IF(D324="Teen Nonfiction",RIGHT(B324,LEN(B324)-5),
IF(AND(D324="Audiobook",
              NOT(OR(Contains($B324,"CD BIO"),Contains($B324,"CD FIC")))),RIGHT(B324,LEN(B324)-3),
IF(D324="Juvenile Biography",RIGHT(B324,LEN(B324)-2),
IF(D324="Teen Biography",RIGHT(B324,LEN(B324)-5),
IF(AND(D324="Audiobook",
              IFERROR(FIND("BIO",$B324)&gt;0,FALSE)),RIGHT(B324,LEN(B324)-3),
IF(D324="Juvenile Large Type","J "&amp;RIGHT(B324,LEN(B324)-11),
IF(D324="Teen Large Type","TEEN "&amp;RIGHT(B324,LEN(B324)-14),
IF(D324="Reference",RIGHT(B324,LEN(B324)-4),
IF(D324="DVD Educational",RIGHT(B324,LEN(B324)-7),
IF(D324="Juvenile DVD Educational",RIGHT(B324,LEN(B324)-9),
B324)))))))))))))))))</f>
        <v/>
      </c>
      <c r="N324" s="11" t="str">
        <f ca="1">IF(IFERROR(FIND("New",$A324)&gt;0,FALSE),"New ","") &amp; IF(IFERROR(FIND("In Lib",$A324)&gt;0,FALSE),"Reference ","") &amp;
IF(AND(D324="Audiobook",LEFT(B324,6)="CD BIO"),"Biography",
IF(AND(D324="Teen Audiobook",LEFT(B324,11)="TEEN CD BIO"),"Biography",
IF(AND(D324="Juvenile Audiobook",LEFT(B324,8)="J CD BIO"),"Biography",
IF(AND(D324="Audiobook",LEFT(B324,6)="CD FIC"),"Audiobook Fiction",
IF(AND(D324="Teen Audiobook",LEFT(B324,11)="TEEN CD FIC"),"Teen Audiobook",
IF(AND(D324="Juvenile Audiobook",LEFT(B324,8)="J CD FIC"),"Juvenile Audiobook",
IF(D324="Audiobook","Nonfiction",
IF(D324="Juvenile Audiobook","Nonfiction",
IF(D324="Teen Audiobook","Nonfiction",
IF(D324="Juvenile Nonfiction","Nonfiction",
IF(D324="Teen Nonfiction","Nonfiction",
IF(D324="Juvenile Biography","Biography",
IF(D324="Teen Biography","Biography",
IF(D324="ESL","Nonfiction",
IF(LEFT(B324,11)="INTL-VIE J ","International Juvenile",IF(LEFT(B324,11)="INTL-TAG J ","International Juvenile",IF(LEFT(B324,11)="INTL-RUS J ","International Juvenile",IF(LEFT(B324,11)="INTL-KOR J ","International Juvenile",IF(LEFT(B324,11)="INTL-JAP J ","International Juvenile",IF(LEFT(B324,11)="INTL-CHI J ","International Juvenile",IF(LEFT(B324,11)="INTL-SPA J ","International Juvenile",IF(LEFT(B324,14)="INTL-VIE TEEN ","International Teen",IF(LEFT(B324,14)="INTL-TAG TEEN ","International Teen",IF(LEFT(B324,14)="INTL-RUS TEEN ","International Teen",IF(LEFT(B324,14)="INTL-KOR TEEN ","International Teen",IF(LEFT(B324,14)="INTL-JAP TEEN ","International Teen",IF(LEFT(B324,14)="INTL-CHI TEEN ","International Teen",IF(LEFT(B324,14)="INTL-SPA TEEN ","International Teen",IF(LEFT(B324,11)="INTL-VIE E ","International Easy",IF(LEFT(B324,11)="INTL-TAG E ","International Easy",IF(LEFT(B324,11)="INTL-RUS E ","International Easy",IF(LEFT(B324,11)="INTL-JAP E ","International Easy",IF(LEFT(B324,11)="INTL-KOR E ","International Easy",IF(LEFT(B324,11)="INTL-CHI E ","International Easy",IF(LEFT(B324,11)="INTL-SPA E ","International Easy",
IF(D324="Teen Large Type","Teen Fiction",
IF(D324="Juvenile Large Type","Juvenile Fiction",
IF(LEFT(B324,6)="J CD O","Juvenile Compact Disc",
IF(AND(LEFT(B324,4)="TEEN",D324="Fiction"),"Teen Fiction",
IF(D324="DVD Educational","Nonfiction",
IF(D324="Juvenile DVD Educational","Nonfiction",
IF(D324="Reference","Nonfiction",
D324))))))))))))))))))))))))))))))))))))))))))</f>
        <v/>
      </c>
    </row>
    <row r="325" spans="1:14" ht="27" customHeight="1" x14ac:dyDescent="0.25">
      <c r="A325" s="10" t="str">
        <f ca="1">TEXT( INDIRECT( ADDRESS( ROW() + Row_Offset, INDIRECT( "Column_Number_" &amp; A$1), 4,1, tabname) ), "")</f>
        <v/>
      </c>
      <c r="B325" s="10" t="str">
        <f ca="1">TEXT(  IFERROR( VLOOKUP( $D325, CollName_Simplifier_Table[], 2, FALSE),"") &amp;
        INDIRECT( ADDRESS( ROW() + Row_Offset, INDIRECT( "Column_Number_" &amp; $B$1), 4,1, tabname) ), "")</f>
        <v/>
      </c>
      <c r="C325" s="10" t="str">
        <f ca="1">TEXT( INDIRECT( ADDRESS( ROW() + Row_Offset, INDIRECT( "Column_Number_" &amp; C$1), 4,1, tabname) ), "")</f>
        <v/>
      </c>
      <c r="D325" s="10" t="str">
        <f ca="1">TEXT( INDIRECT( ADDRESS( ROW() + Row_Offset, INDIRECT( "Column_Number_" &amp; D$1), 4,1, tabname) ), "")</f>
        <v/>
      </c>
      <c r="E325" s="10" t="str">
        <f ca="1">TEXT( INDIRECT( ADDRESS( ROW() + Row_Offset, INDIRECT( "Column_Number_" &amp; E$1), 4,1, tabname) ), "####")</f>
        <v/>
      </c>
      <c r="F325" s="15"/>
      <c r="G325" s="22" t="str">
        <f ca="1">IFERROR(INDEX(Rank_Table[],MATCH($D325&amp;$A325,Table4[Join],0)),"")</f>
        <v/>
      </c>
      <c r="H325" s="11" t="str">
        <f ca="1">IF(AND(D325="Juvenile Audiobook",LEFT(B325,8)="J CD BIO"),RIGHT(B325,LEN(B325)-9),
IF(AND(D325="Juvenile Audiobook",LEFT(B325,8)="J CD FIC"),B325,
IF(D325="Juvenile Audiobook",RIGHT(B325,LEN(B325)-5),
IF(AND(D325="Teen Audiobook",LEFT(B325,11)="TEEN CD BIO"),RIGHT(B325,LEN(B325)-12),
IF(AND(D325="Teen Audiobook",LEFT(B325,11)="TEEN CD FIC"),B325,
IF(D325="Juvenile Audiobook",RIGHT(B325,LEN(B325)-8),
IF(D325="Juvenile Nonfiction",RIGHT(B325,LEN(B325)-2),
IF(D325="Teen Nonfiction",RIGHT(B325,LEN(B325)-5),
IF(AND(D325="Audiobook",
              NOT(OR(Contains($B325,"CD BIO"),Contains($B325,"CD FIC")))),RIGHT(B325,LEN(B325)-3),
IF(D325="Juvenile Biography",RIGHT(B325,LEN(B325)-2),
IF(D325="Teen Biography",RIGHT(B325,LEN(B325)-5),
IF(AND(D325="Audiobook",
              IFERROR(FIND("BIO",$B325)&gt;0,FALSE)),RIGHT(B325,LEN(B325)-3),
IF(D325="Juvenile Large Type","J "&amp;RIGHT(B325,LEN(B325)-11),
IF(D325="Teen Large Type","TEEN "&amp;RIGHT(B325,LEN(B325)-14),
IF(D325="Reference",RIGHT(B325,LEN(B325)-4),
IF(D325="DVD Educational",RIGHT(B325,LEN(B325)-7),
IF(D325="Juvenile DVD Educational",RIGHT(B325,LEN(B325)-9),
B325)))))))))))))))))</f>
        <v/>
      </c>
      <c r="N325" s="11" t="str">
        <f ca="1">IF(IFERROR(FIND("New",$A325)&gt;0,FALSE),"New ","") &amp; IF(IFERROR(FIND("In Lib",$A325)&gt;0,FALSE),"Reference ","") &amp;
IF(AND(D325="Audiobook",LEFT(B325,6)="CD BIO"),"Biography",
IF(AND(D325="Teen Audiobook",LEFT(B325,11)="TEEN CD BIO"),"Biography",
IF(AND(D325="Juvenile Audiobook",LEFT(B325,8)="J CD BIO"),"Biography",
IF(AND(D325="Audiobook",LEFT(B325,6)="CD FIC"),"Audiobook Fiction",
IF(AND(D325="Teen Audiobook",LEFT(B325,11)="TEEN CD FIC"),"Teen Audiobook",
IF(AND(D325="Juvenile Audiobook",LEFT(B325,8)="J CD FIC"),"Juvenile Audiobook",
IF(D325="Audiobook","Nonfiction",
IF(D325="Juvenile Audiobook","Nonfiction",
IF(D325="Teen Audiobook","Nonfiction",
IF(D325="Juvenile Nonfiction","Nonfiction",
IF(D325="Teen Nonfiction","Nonfiction",
IF(D325="Juvenile Biography","Biography",
IF(D325="Teen Biography","Biography",
IF(D325="ESL","Nonfiction",
IF(LEFT(B325,11)="INTL-VIE J ","International Juvenile",IF(LEFT(B325,11)="INTL-TAG J ","International Juvenile",IF(LEFT(B325,11)="INTL-RUS J ","International Juvenile",IF(LEFT(B325,11)="INTL-KOR J ","International Juvenile",IF(LEFT(B325,11)="INTL-JAP J ","International Juvenile",IF(LEFT(B325,11)="INTL-CHI J ","International Juvenile",IF(LEFT(B325,11)="INTL-SPA J ","International Juvenile",IF(LEFT(B325,14)="INTL-VIE TEEN ","International Teen",IF(LEFT(B325,14)="INTL-TAG TEEN ","International Teen",IF(LEFT(B325,14)="INTL-RUS TEEN ","International Teen",IF(LEFT(B325,14)="INTL-KOR TEEN ","International Teen",IF(LEFT(B325,14)="INTL-JAP TEEN ","International Teen",IF(LEFT(B325,14)="INTL-CHI TEEN ","International Teen",IF(LEFT(B325,14)="INTL-SPA TEEN ","International Teen",IF(LEFT(B325,11)="INTL-VIE E ","International Easy",IF(LEFT(B325,11)="INTL-TAG E ","International Easy",IF(LEFT(B325,11)="INTL-RUS E ","International Easy",IF(LEFT(B325,11)="INTL-JAP E ","International Easy",IF(LEFT(B325,11)="INTL-KOR E ","International Easy",IF(LEFT(B325,11)="INTL-CHI E ","International Easy",IF(LEFT(B325,11)="INTL-SPA E ","International Easy",
IF(D325="Teen Large Type","Teen Fiction",
IF(D325="Juvenile Large Type","Juvenile Fiction",
IF(LEFT(B325,6)="J CD O","Juvenile Compact Disc",
IF(AND(LEFT(B325,4)="TEEN",D325="Fiction"),"Teen Fiction",
IF(D325="DVD Educational","Nonfiction",
IF(D325="Juvenile DVD Educational","Nonfiction",
IF(D325="Reference","Nonfiction",
D325))))))))))))))))))))))))))))))))))))))))))</f>
        <v/>
      </c>
    </row>
    <row r="326" spans="1:14" ht="27" customHeight="1" x14ac:dyDescent="0.25">
      <c r="A326" s="10" t="str">
        <f ca="1">TEXT( INDIRECT( ADDRESS( ROW() + Row_Offset, INDIRECT( "Column_Number_" &amp; A$1), 4,1, tabname) ), "")</f>
        <v/>
      </c>
      <c r="B326" s="10" t="str">
        <f ca="1">TEXT(  IFERROR( VLOOKUP( $D326, CollName_Simplifier_Table[], 2, FALSE),"") &amp;
        INDIRECT( ADDRESS( ROW() + Row_Offset, INDIRECT( "Column_Number_" &amp; $B$1), 4,1, tabname) ), "")</f>
        <v/>
      </c>
      <c r="C326" s="10" t="str">
        <f ca="1">TEXT( INDIRECT( ADDRESS( ROW() + Row_Offset, INDIRECT( "Column_Number_" &amp; C$1), 4,1, tabname) ), "")</f>
        <v/>
      </c>
      <c r="D326" s="10" t="str">
        <f ca="1">TEXT( INDIRECT( ADDRESS( ROW() + Row_Offset, INDIRECT( "Column_Number_" &amp; D$1), 4,1, tabname) ), "")</f>
        <v/>
      </c>
      <c r="E326" s="10" t="str">
        <f ca="1">TEXT( INDIRECT( ADDRESS( ROW() + Row_Offset, INDIRECT( "Column_Number_" &amp; E$1), 4,1, tabname) ), "####")</f>
        <v/>
      </c>
      <c r="F326" s="15"/>
      <c r="G326" s="22" t="str">
        <f ca="1">IFERROR(INDEX(Rank_Table[],MATCH($D326&amp;$A326,Table4[Join],0)),"")</f>
        <v/>
      </c>
      <c r="H326" s="11" t="str">
        <f ca="1">IF(AND(D326="Juvenile Audiobook",LEFT(B326,8)="J CD BIO"),RIGHT(B326,LEN(B326)-9),
IF(AND(D326="Juvenile Audiobook",LEFT(B326,8)="J CD FIC"),B326,
IF(D326="Juvenile Audiobook",RIGHT(B326,LEN(B326)-5),
IF(AND(D326="Teen Audiobook",LEFT(B326,11)="TEEN CD BIO"),RIGHT(B326,LEN(B326)-12),
IF(AND(D326="Teen Audiobook",LEFT(B326,11)="TEEN CD FIC"),B326,
IF(D326="Juvenile Audiobook",RIGHT(B326,LEN(B326)-8),
IF(D326="Juvenile Nonfiction",RIGHT(B326,LEN(B326)-2),
IF(D326="Teen Nonfiction",RIGHT(B326,LEN(B326)-5),
IF(AND(D326="Audiobook",
              NOT(OR(Contains($B326,"CD BIO"),Contains($B326,"CD FIC")))),RIGHT(B326,LEN(B326)-3),
IF(D326="Juvenile Biography",RIGHT(B326,LEN(B326)-2),
IF(D326="Teen Biography",RIGHT(B326,LEN(B326)-5),
IF(AND(D326="Audiobook",
              IFERROR(FIND("BIO",$B326)&gt;0,FALSE)),RIGHT(B326,LEN(B326)-3),
IF(D326="Juvenile Large Type","J "&amp;RIGHT(B326,LEN(B326)-11),
IF(D326="Teen Large Type","TEEN "&amp;RIGHT(B326,LEN(B326)-14),
IF(D326="Reference",RIGHT(B326,LEN(B326)-4),
IF(D326="DVD Educational",RIGHT(B326,LEN(B326)-7),
IF(D326="Juvenile DVD Educational",RIGHT(B326,LEN(B326)-9),
B326)))))))))))))))))</f>
        <v/>
      </c>
      <c r="N326" s="11" t="str">
        <f ca="1">IF(IFERROR(FIND("New",$A326)&gt;0,FALSE),"New ","") &amp; IF(IFERROR(FIND("In Lib",$A326)&gt;0,FALSE),"Reference ","") &amp;
IF(AND(D326="Audiobook",LEFT(B326,6)="CD BIO"),"Biography",
IF(AND(D326="Teen Audiobook",LEFT(B326,11)="TEEN CD BIO"),"Biography",
IF(AND(D326="Juvenile Audiobook",LEFT(B326,8)="J CD BIO"),"Biography",
IF(AND(D326="Audiobook",LEFT(B326,6)="CD FIC"),"Audiobook Fiction",
IF(AND(D326="Teen Audiobook",LEFT(B326,11)="TEEN CD FIC"),"Teen Audiobook",
IF(AND(D326="Juvenile Audiobook",LEFT(B326,8)="J CD FIC"),"Juvenile Audiobook",
IF(D326="Audiobook","Nonfiction",
IF(D326="Juvenile Audiobook","Nonfiction",
IF(D326="Teen Audiobook","Nonfiction",
IF(D326="Juvenile Nonfiction","Nonfiction",
IF(D326="Teen Nonfiction","Nonfiction",
IF(D326="Juvenile Biography","Biography",
IF(D326="Teen Biography","Biography",
IF(D326="ESL","Nonfiction",
IF(LEFT(B326,11)="INTL-VIE J ","International Juvenile",IF(LEFT(B326,11)="INTL-TAG J ","International Juvenile",IF(LEFT(B326,11)="INTL-RUS J ","International Juvenile",IF(LEFT(B326,11)="INTL-KOR J ","International Juvenile",IF(LEFT(B326,11)="INTL-JAP J ","International Juvenile",IF(LEFT(B326,11)="INTL-CHI J ","International Juvenile",IF(LEFT(B326,11)="INTL-SPA J ","International Juvenile",IF(LEFT(B326,14)="INTL-VIE TEEN ","International Teen",IF(LEFT(B326,14)="INTL-TAG TEEN ","International Teen",IF(LEFT(B326,14)="INTL-RUS TEEN ","International Teen",IF(LEFT(B326,14)="INTL-KOR TEEN ","International Teen",IF(LEFT(B326,14)="INTL-JAP TEEN ","International Teen",IF(LEFT(B326,14)="INTL-CHI TEEN ","International Teen",IF(LEFT(B326,14)="INTL-SPA TEEN ","International Teen",IF(LEFT(B326,11)="INTL-VIE E ","International Easy",IF(LEFT(B326,11)="INTL-TAG E ","International Easy",IF(LEFT(B326,11)="INTL-RUS E ","International Easy",IF(LEFT(B326,11)="INTL-JAP E ","International Easy",IF(LEFT(B326,11)="INTL-KOR E ","International Easy",IF(LEFT(B326,11)="INTL-CHI E ","International Easy",IF(LEFT(B326,11)="INTL-SPA E ","International Easy",
IF(D326="Teen Large Type","Teen Fiction",
IF(D326="Juvenile Large Type","Juvenile Fiction",
IF(LEFT(B326,6)="J CD O","Juvenile Compact Disc",
IF(AND(LEFT(B326,4)="TEEN",D326="Fiction"),"Teen Fiction",
IF(D326="DVD Educational","Nonfiction",
IF(D326="Juvenile DVD Educational","Nonfiction",
IF(D326="Reference","Nonfiction",
D326))))))))))))))))))))))))))))))))))))))))))</f>
        <v/>
      </c>
    </row>
    <row r="327" spans="1:14" ht="27" customHeight="1" x14ac:dyDescent="0.25">
      <c r="A327" s="10" t="str">
        <f ca="1">TEXT( INDIRECT( ADDRESS( ROW() + Row_Offset, INDIRECT( "Column_Number_" &amp; A$1), 4,1, tabname) ), "")</f>
        <v/>
      </c>
      <c r="B327" s="10" t="str">
        <f ca="1">TEXT(  IFERROR( VLOOKUP( $D327, CollName_Simplifier_Table[], 2, FALSE),"") &amp;
        INDIRECT( ADDRESS( ROW() + Row_Offset, INDIRECT( "Column_Number_" &amp; $B$1), 4,1, tabname) ), "")</f>
        <v/>
      </c>
      <c r="C327" s="10" t="str">
        <f ca="1">TEXT( INDIRECT( ADDRESS( ROW() + Row_Offset, INDIRECT( "Column_Number_" &amp; C$1), 4,1, tabname) ), "")</f>
        <v/>
      </c>
      <c r="D327" s="10" t="str">
        <f ca="1">TEXT( INDIRECT( ADDRESS( ROW() + Row_Offset, INDIRECT( "Column_Number_" &amp; D$1), 4,1, tabname) ), "")</f>
        <v/>
      </c>
      <c r="E327" s="10" t="str">
        <f ca="1">TEXT( INDIRECT( ADDRESS( ROW() + Row_Offset, INDIRECT( "Column_Number_" &amp; E$1), 4,1, tabname) ), "####")</f>
        <v/>
      </c>
      <c r="F327" s="15"/>
      <c r="G327" s="22" t="str">
        <f ca="1">IFERROR(INDEX(Rank_Table[],MATCH($D327&amp;$A327,Table4[Join],0)),"")</f>
        <v/>
      </c>
      <c r="H327" s="11" t="str">
        <f ca="1">IF(AND(D327="Juvenile Audiobook",LEFT(B327,8)="J CD BIO"),RIGHT(B327,LEN(B327)-9),
IF(AND(D327="Juvenile Audiobook",LEFT(B327,8)="J CD FIC"),B327,
IF(D327="Juvenile Audiobook",RIGHT(B327,LEN(B327)-5),
IF(AND(D327="Teen Audiobook",LEFT(B327,11)="TEEN CD BIO"),RIGHT(B327,LEN(B327)-12),
IF(AND(D327="Teen Audiobook",LEFT(B327,11)="TEEN CD FIC"),B327,
IF(D327="Juvenile Audiobook",RIGHT(B327,LEN(B327)-8),
IF(D327="Juvenile Nonfiction",RIGHT(B327,LEN(B327)-2),
IF(D327="Teen Nonfiction",RIGHT(B327,LEN(B327)-5),
IF(AND(D327="Audiobook",
              NOT(OR(Contains($B327,"CD BIO"),Contains($B327,"CD FIC")))),RIGHT(B327,LEN(B327)-3),
IF(D327="Juvenile Biography",RIGHT(B327,LEN(B327)-2),
IF(D327="Teen Biography",RIGHT(B327,LEN(B327)-5),
IF(AND(D327="Audiobook",
              IFERROR(FIND("BIO",$B327)&gt;0,FALSE)),RIGHT(B327,LEN(B327)-3),
IF(D327="Juvenile Large Type","J "&amp;RIGHT(B327,LEN(B327)-11),
IF(D327="Teen Large Type","TEEN "&amp;RIGHT(B327,LEN(B327)-14),
IF(D327="Reference",RIGHT(B327,LEN(B327)-4),
IF(D327="DVD Educational",RIGHT(B327,LEN(B327)-7),
IF(D327="Juvenile DVD Educational",RIGHT(B327,LEN(B327)-9),
B327)))))))))))))))))</f>
        <v/>
      </c>
      <c r="N327" s="11" t="str">
        <f ca="1">IF(IFERROR(FIND("New",$A327)&gt;0,FALSE),"New ","") &amp; IF(IFERROR(FIND("In Lib",$A327)&gt;0,FALSE),"Reference ","") &amp;
IF(AND(D327="Audiobook",LEFT(B327,6)="CD BIO"),"Biography",
IF(AND(D327="Teen Audiobook",LEFT(B327,11)="TEEN CD BIO"),"Biography",
IF(AND(D327="Juvenile Audiobook",LEFT(B327,8)="J CD BIO"),"Biography",
IF(AND(D327="Audiobook",LEFT(B327,6)="CD FIC"),"Audiobook Fiction",
IF(AND(D327="Teen Audiobook",LEFT(B327,11)="TEEN CD FIC"),"Teen Audiobook",
IF(AND(D327="Juvenile Audiobook",LEFT(B327,8)="J CD FIC"),"Juvenile Audiobook",
IF(D327="Audiobook","Nonfiction",
IF(D327="Juvenile Audiobook","Nonfiction",
IF(D327="Teen Audiobook","Nonfiction",
IF(D327="Juvenile Nonfiction","Nonfiction",
IF(D327="Teen Nonfiction","Nonfiction",
IF(D327="Juvenile Biography","Biography",
IF(D327="Teen Biography","Biography",
IF(D327="ESL","Nonfiction",
IF(LEFT(B327,11)="INTL-VIE J ","International Juvenile",IF(LEFT(B327,11)="INTL-TAG J ","International Juvenile",IF(LEFT(B327,11)="INTL-RUS J ","International Juvenile",IF(LEFT(B327,11)="INTL-KOR J ","International Juvenile",IF(LEFT(B327,11)="INTL-JAP J ","International Juvenile",IF(LEFT(B327,11)="INTL-CHI J ","International Juvenile",IF(LEFT(B327,11)="INTL-SPA J ","International Juvenile",IF(LEFT(B327,14)="INTL-VIE TEEN ","International Teen",IF(LEFT(B327,14)="INTL-TAG TEEN ","International Teen",IF(LEFT(B327,14)="INTL-RUS TEEN ","International Teen",IF(LEFT(B327,14)="INTL-KOR TEEN ","International Teen",IF(LEFT(B327,14)="INTL-JAP TEEN ","International Teen",IF(LEFT(B327,14)="INTL-CHI TEEN ","International Teen",IF(LEFT(B327,14)="INTL-SPA TEEN ","International Teen",IF(LEFT(B327,11)="INTL-VIE E ","International Easy",IF(LEFT(B327,11)="INTL-TAG E ","International Easy",IF(LEFT(B327,11)="INTL-RUS E ","International Easy",IF(LEFT(B327,11)="INTL-JAP E ","International Easy",IF(LEFT(B327,11)="INTL-KOR E ","International Easy",IF(LEFT(B327,11)="INTL-CHI E ","International Easy",IF(LEFT(B327,11)="INTL-SPA E ","International Easy",
IF(D327="Teen Large Type","Teen Fiction",
IF(D327="Juvenile Large Type","Juvenile Fiction",
IF(LEFT(B327,6)="J CD O","Juvenile Compact Disc",
IF(AND(LEFT(B327,4)="TEEN",D327="Fiction"),"Teen Fiction",
IF(D327="DVD Educational","Nonfiction",
IF(D327="Juvenile DVD Educational","Nonfiction",
IF(D327="Reference","Nonfiction",
D327))))))))))))))))))))))))))))))))))))))))))</f>
        <v/>
      </c>
    </row>
    <row r="328" spans="1:14" ht="27" customHeight="1" x14ac:dyDescent="0.25">
      <c r="A328" s="10" t="str">
        <f ca="1">TEXT( INDIRECT( ADDRESS( ROW() + Row_Offset, INDIRECT( "Column_Number_" &amp; A$1), 4,1, tabname) ), "")</f>
        <v/>
      </c>
      <c r="B328" s="10" t="str">
        <f ca="1">TEXT(  IFERROR( VLOOKUP( $D328, CollName_Simplifier_Table[], 2, FALSE),"") &amp;
        INDIRECT( ADDRESS( ROW() + Row_Offset, INDIRECT( "Column_Number_" &amp; $B$1), 4,1, tabname) ), "")</f>
        <v/>
      </c>
      <c r="C328" s="10" t="str">
        <f ca="1">TEXT( INDIRECT( ADDRESS( ROW() + Row_Offset, INDIRECT( "Column_Number_" &amp; C$1), 4,1, tabname) ), "")</f>
        <v/>
      </c>
      <c r="D328" s="10" t="str">
        <f ca="1">TEXT( INDIRECT( ADDRESS( ROW() + Row_Offset, INDIRECT( "Column_Number_" &amp; D$1), 4,1, tabname) ), "")</f>
        <v/>
      </c>
      <c r="E328" s="10" t="str">
        <f ca="1">TEXT( INDIRECT( ADDRESS( ROW() + Row_Offset, INDIRECT( "Column_Number_" &amp; E$1), 4,1, tabname) ), "####")</f>
        <v/>
      </c>
      <c r="F328" s="15"/>
      <c r="G328" s="22" t="str">
        <f ca="1">IFERROR(INDEX(Rank_Table[],MATCH($D328&amp;$A328,Table4[Join],0)),"")</f>
        <v/>
      </c>
      <c r="H328" s="11" t="str">
        <f ca="1">IF(AND(D328="Juvenile Audiobook",LEFT(B328,8)="J CD BIO"),RIGHT(B328,LEN(B328)-9),
IF(AND(D328="Juvenile Audiobook",LEFT(B328,8)="J CD FIC"),B328,
IF(D328="Juvenile Audiobook",RIGHT(B328,LEN(B328)-5),
IF(AND(D328="Teen Audiobook",LEFT(B328,11)="TEEN CD BIO"),RIGHT(B328,LEN(B328)-12),
IF(AND(D328="Teen Audiobook",LEFT(B328,11)="TEEN CD FIC"),B328,
IF(D328="Juvenile Audiobook",RIGHT(B328,LEN(B328)-8),
IF(D328="Juvenile Nonfiction",RIGHT(B328,LEN(B328)-2),
IF(D328="Teen Nonfiction",RIGHT(B328,LEN(B328)-5),
IF(AND(D328="Audiobook",
              NOT(OR(Contains($B328,"CD BIO"),Contains($B328,"CD FIC")))),RIGHT(B328,LEN(B328)-3),
IF(D328="Juvenile Biography",RIGHT(B328,LEN(B328)-2),
IF(D328="Teen Biography",RIGHT(B328,LEN(B328)-5),
IF(AND(D328="Audiobook",
              IFERROR(FIND("BIO",$B328)&gt;0,FALSE)),RIGHT(B328,LEN(B328)-3),
IF(D328="Juvenile Large Type","J "&amp;RIGHT(B328,LEN(B328)-11),
IF(D328="Teen Large Type","TEEN "&amp;RIGHT(B328,LEN(B328)-14),
IF(D328="Reference",RIGHT(B328,LEN(B328)-4),
IF(D328="DVD Educational",RIGHT(B328,LEN(B328)-7),
IF(D328="Juvenile DVD Educational",RIGHT(B328,LEN(B328)-9),
B328)))))))))))))))))</f>
        <v/>
      </c>
      <c r="N328" s="11" t="str">
        <f ca="1">IF(IFERROR(FIND("New",$A328)&gt;0,FALSE),"New ","") &amp; IF(IFERROR(FIND("In Lib",$A328)&gt;0,FALSE),"Reference ","") &amp;
IF(AND(D328="Audiobook",LEFT(B328,6)="CD BIO"),"Biography",
IF(AND(D328="Teen Audiobook",LEFT(B328,11)="TEEN CD BIO"),"Biography",
IF(AND(D328="Juvenile Audiobook",LEFT(B328,8)="J CD BIO"),"Biography",
IF(AND(D328="Audiobook",LEFT(B328,6)="CD FIC"),"Audiobook Fiction",
IF(AND(D328="Teen Audiobook",LEFT(B328,11)="TEEN CD FIC"),"Teen Audiobook",
IF(AND(D328="Juvenile Audiobook",LEFT(B328,8)="J CD FIC"),"Juvenile Audiobook",
IF(D328="Audiobook","Nonfiction",
IF(D328="Juvenile Audiobook","Nonfiction",
IF(D328="Teen Audiobook","Nonfiction",
IF(D328="Juvenile Nonfiction","Nonfiction",
IF(D328="Teen Nonfiction","Nonfiction",
IF(D328="Juvenile Biography","Biography",
IF(D328="Teen Biography","Biography",
IF(D328="ESL","Nonfiction",
IF(LEFT(B328,11)="INTL-VIE J ","International Juvenile",IF(LEFT(B328,11)="INTL-TAG J ","International Juvenile",IF(LEFT(B328,11)="INTL-RUS J ","International Juvenile",IF(LEFT(B328,11)="INTL-KOR J ","International Juvenile",IF(LEFT(B328,11)="INTL-JAP J ","International Juvenile",IF(LEFT(B328,11)="INTL-CHI J ","International Juvenile",IF(LEFT(B328,11)="INTL-SPA J ","International Juvenile",IF(LEFT(B328,14)="INTL-VIE TEEN ","International Teen",IF(LEFT(B328,14)="INTL-TAG TEEN ","International Teen",IF(LEFT(B328,14)="INTL-RUS TEEN ","International Teen",IF(LEFT(B328,14)="INTL-KOR TEEN ","International Teen",IF(LEFT(B328,14)="INTL-JAP TEEN ","International Teen",IF(LEFT(B328,14)="INTL-CHI TEEN ","International Teen",IF(LEFT(B328,14)="INTL-SPA TEEN ","International Teen",IF(LEFT(B328,11)="INTL-VIE E ","International Easy",IF(LEFT(B328,11)="INTL-TAG E ","International Easy",IF(LEFT(B328,11)="INTL-RUS E ","International Easy",IF(LEFT(B328,11)="INTL-JAP E ","International Easy",IF(LEFT(B328,11)="INTL-KOR E ","International Easy",IF(LEFT(B328,11)="INTL-CHI E ","International Easy",IF(LEFT(B328,11)="INTL-SPA E ","International Easy",
IF(D328="Teen Large Type","Teen Fiction",
IF(D328="Juvenile Large Type","Juvenile Fiction",
IF(LEFT(B328,6)="J CD O","Juvenile Compact Disc",
IF(AND(LEFT(B328,4)="TEEN",D328="Fiction"),"Teen Fiction",
IF(D328="DVD Educational","Nonfiction",
IF(D328="Juvenile DVD Educational","Nonfiction",
IF(D328="Reference","Nonfiction",
D328))))))))))))))))))))))))))))))))))))))))))</f>
        <v/>
      </c>
    </row>
    <row r="329" spans="1:14" ht="27" customHeight="1" x14ac:dyDescent="0.25">
      <c r="A329" s="10" t="str">
        <f ca="1">TEXT( INDIRECT( ADDRESS( ROW() + Row_Offset, INDIRECT( "Column_Number_" &amp; A$1), 4,1, tabname) ), "")</f>
        <v/>
      </c>
      <c r="B329" s="10" t="str">
        <f ca="1">TEXT(  IFERROR( VLOOKUP( $D329, CollName_Simplifier_Table[], 2, FALSE),"") &amp;
        INDIRECT( ADDRESS( ROW() + Row_Offset, INDIRECT( "Column_Number_" &amp; $B$1), 4,1, tabname) ), "")</f>
        <v/>
      </c>
      <c r="C329" s="10" t="str">
        <f ca="1">TEXT( INDIRECT( ADDRESS( ROW() + Row_Offset, INDIRECT( "Column_Number_" &amp; C$1), 4,1, tabname) ), "")</f>
        <v/>
      </c>
      <c r="D329" s="10" t="str">
        <f ca="1">TEXT( INDIRECT( ADDRESS( ROW() + Row_Offset, INDIRECT( "Column_Number_" &amp; D$1), 4,1, tabname) ), "")</f>
        <v/>
      </c>
      <c r="E329" s="10" t="str">
        <f ca="1">TEXT( INDIRECT( ADDRESS( ROW() + Row_Offset, INDIRECT( "Column_Number_" &amp; E$1), 4,1, tabname) ), "####")</f>
        <v/>
      </c>
      <c r="F329" s="15"/>
      <c r="G329" s="22" t="str">
        <f ca="1">IFERROR(INDEX(Rank_Table[],MATCH($D329&amp;$A329,Table4[Join],0)),"")</f>
        <v/>
      </c>
      <c r="H329" s="11" t="str">
        <f ca="1">IF(AND(D329="Juvenile Audiobook",LEFT(B329,8)="J CD BIO"),RIGHT(B329,LEN(B329)-9),
IF(AND(D329="Juvenile Audiobook",LEFT(B329,8)="J CD FIC"),B329,
IF(D329="Juvenile Audiobook",RIGHT(B329,LEN(B329)-5),
IF(AND(D329="Teen Audiobook",LEFT(B329,11)="TEEN CD BIO"),RIGHT(B329,LEN(B329)-12),
IF(AND(D329="Teen Audiobook",LEFT(B329,11)="TEEN CD FIC"),B329,
IF(D329="Juvenile Audiobook",RIGHT(B329,LEN(B329)-8),
IF(D329="Juvenile Nonfiction",RIGHT(B329,LEN(B329)-2),
IF(D329="Teen Nonfiction",RIGHT(B329,LEN(B329)-5),
IF(AND(D329="Audiobook",
              NOT(OR(Contains($B329,"CD BIO"),Contains($B329,"CD FIC")))),RIGHT(B329,LEN(B329)-3),
IF(D329="Juvenile Biography",RIGHT(B329,LEN(B329)-2),
IF(D329="Teen Biography",RIGHT(B329,LEN(B329)-5),
IF(AND(D329="Audiobook",
              IFERROR(FIND("BIO",$B329)&gt;0,FALSE)),RIGHT(B329,LEN(B329)-3),
IF(D329="Juvenile Large Type","J "&amp;RIGHT(B329,LEN(B329)-11),
IF(D329="Teen Large Type","TEEN "&amp;RIGHT(B329,LEN(B329)-14),
IF(D329="Reference",RIGHT(B329,LEN(B329)-4),
IF(D329="DVD Educational",RIGHT(B329,LEN(B329)-7),
IF(D329="Juvenile DVD Educational",RIGHT(B329,LEN(B329)-9),
B329)))))))))))))))))</f>
        <v/>
      </c>
      <c r="N329" s="11" t="str">
        <f ca="1">IF(IFERROR(FIND("New",$A329)&gt;0,FALSE),"New ","") &amp; IF(IFERROR(FIND("In Lib",$A329)&gt;0,FALSE),"Reference ","") &amp;
IF(AND(D329="Audiobook",LEFT(B329,6)="CD BIO"),"Biography",
IF(AND(D329="Teen Audiobook",LEFT(B329,11)="TEEN CD BIO"),"Biography",
IF(AND(D329="Juvenile Audiobook",LEFT(B329,8)="J CD BIO"),"Biography",
IF(AND(D329="Audiobook",LEFT(B329,6)="CD FIC"),"Audiobook Fiction",
IF(AND(D329="Teen Audiobook",LEFT(B329,11)="TEEN CD FIC"),"Teen Audiobook",
IF(AND(D329="Juvenile Audiobook",LEFT(B329,8)="J CD FIC"),"Juvenile Audiobook",
IF(D329="Audiobook","Nonfiction",
IF(D329="Juvenile Audiobook","Nonfiction",
IF(D329="Teen Audiobook","Nonfiction",
IF(D329="Juvenile Nonfiction","Nonfiction",
IF(D329="Teen Nonfiction","Nonfiction",
IF(D329="Juvenile Biography","Biography",
IF(D329="Teen Biography","Biography",
IF(D329="ESL","Nonfiction",
IF(LEFT(B329,11)="INTL-VIE J ","International Juvenile",IF(LEFT(B329,11)="INTL-TAG J ","International Juvenile",IF(LEFT(B329,11)="INTL-RUS J ","International Juvenile",IF(LEFT(B329,11)="INTL-KOR J ","International Juvenile",IF(LEFT(B329,11)="INTL-JAP J ","International Juvenile",IF(LEFT(B329,11)="INTL-CHI J ","International Juvenile",IF(LEFT(B329,11)="INTL-SPA J ","International Juvenile",IF(LEFT(B329,14)="INTL-VIE TEEN ","International Teen",IF(LEFT(B329,14)="INTL-TAG TEEN ","International Teen",IF(LEFT(B329,14)="INTL-RUS TEEN ","International Teen",IF(LEFT(B329,14)="INTL-KOR TEEN ","International Teen",IF(LEFT(B329,14)="INTL-JAP TEEN ","International Teen",IF(LEFT(B329,14)="INTL-CHI TEEN ","International Teen",IF(LEFT(B329,14)="INTL-SPA TEEN ","International Teen",IF(LEFT(B329,11)="INTL-VIE E ","International Easy",IF(LEFT(B329,11)="INTL-TAG E ","International Easy",IF(LEFT(B329,11)="INTL-RUS E ","International Easy",IF(LEFT(B329,11)="INTL-JAP E ","International Easy",IF(LEFT(B329,11)="INTL-KOR E ","International Easy",IF(LEFT(B329,11)="INTL-CHI E ","International Easy",IF(LEFT(B329,11)="INTL-SPA E ","International Easy",
IF(D329="Teen Large Type","Teen Fiction",
IF(D329="Juvenile Large Type","Juvenile Fiction",
IF(LEFT(B329,6)="J CD O","Juvenile Compact Disc",
IF(AND(LEFT(B329,4)="TEEN",D329="Fiction"),"Teen Fiction",
IF(D329="DVD Educational","Nonfiction",
IF(D329="Juvenile DVD Educational","Nonfiction",
IF(D329="Reference","Nonfiction",
D329))))))))))))))))))))))))))))))))))))))))))</f>
        <v/>
      </c>
    </row>
    <row r="330" spans="1:14" ht="27" customHeight="1" x14ac:dyDescent="0.25">
      <c r="A330" s="10" t="str">
        <f ca="1">TEXT( INDIRECT( ADDRESS( ROW() + Row_Offset, INDIRECT( "Column_Number_" &amp; A$1), 4,1, tabname) ), "")</f>
        <v/>
      </c>
      <c r="B330" s="10" t="str">
        <f ca="1">TEXT(  IFERROR( VLOOKUP( $D330, CollName_Simplifier_Table[], 2, FALSE),"") &amp;
        INDIRECT( ADDRESS( ROW() + Row_Offset, INDIRECT( "Column_Number_" &amp; $B$1), 4,1, tabname) ), "")</f>
        <v/>
      </c>
      <c r="C330" s="10" t="str">
        <f ca="1">TEXT( INDIRECT( ADDRESS( ROW() + Row_Offset, INDIRECT( "Column_Number_" &amp; C$1), 4,1, tabname) ), "")</f>
        <v/>
      </c>
      <c r="D330" s="10" t="str">
        <f ca="1">TEXT( INDIRECT( ADDRESS( ROW() + Row_Offset, INDIRECT( "Column_Number_" &amp; D$1), 4,1, tabname) ), "")</f>
        <v/>
      </c>
      <c r="E330" s="10" t="str">
        <f ca="1">TEXT( INDIRECT( ADDRESS( ROW() + Row_Offset, INDIRECT( "Column_Number_" &amp; E$1), 4,1, tabname) ), "####")</f>
        <v/>
      </c>
      <c r="F330" s="15"/>
      <c r="G330" s="22" t="str">
        <f ca="1">IFERROR(INDEX(Rank_Table[],MATCH($D330&amp;$A330,Table4[Join],0)),"")</f>
        <v/>
      </c>
      <c r="H330" s="11" t="str">
        <f ca="1">IF(AND(D330="Juvenile Audiobook",LEFT(B330,8)="J CD BIO"),RIGHT(B330,LEN(B330)-9),
IF(AND(D330="Juvenile Audiobook",LEFT(B330,8)="J CD FIC"),B330,
IF(D330="Juvenile Audiobook",RIGHT(B330,LEN(B330)-5),
IF(AND(D330="Teen Audiobook",LEFT(B330,11)="TEEN CD BIO"),RIGHT(B330,LEN(B330)-12),
IF(AND(D330="Teen Audiobook",LEFT(B330,11)="TEEN CD FIC"),B330,
IF(D330="Juvenile Audiobook",RIGHT(B330,LEN(B330)-8),
IF(D330="Juvenile Nonfiction",RIGHT(B330,LEN(B330)-2),
IF(D330="Teen Nonfiction",RIGHT(B330,LEN(B330)-5),
IF(AND(D330="Audiobook",
              NOT(OR(Contains($B330,"CD BIO"),Contains($B330,"CD FIC")))),RIGHT(B330,LEN(B330)-3),
IF(D330="Juvenile Biography",RIGHT(B330,LEN(B330)-2),
IF(D330="Teen Biography",RIGHT(B330,LEN(B330)-5),
IF(AND(D330="Audiobook",
              IFERROR(FIND("BIO",$B330)&gt;0,FALSE)),RIGHT(B330,LEN(B330)-3),
IF(D330="Juvenile Large Type","J "&amp;RIGHT(B330,LEN(B330)-11),
IF(D330="Teen Large Type","TEEN "&amp;RIGHT(B330,LEN(B330)-14),
IF(D330="Reference",RIGHT(B330,LEN(B330)-4),
IF(D330="DVD Educational",RIGHT(B330,LEN(B330)-7),
IF(D330="Juvenile DVD Educational",RIGHT(B330,LEN(B330)-9),
B330)))))))))))))))))</f>
        <v/>
      </c>
      <c r="N330" s="11" t="str">
        <f ca="1">IF(IFERROR(FIND("New",$A330)&gt;0,FALSE),"New ","") &amp; IF(IFERROR(FIND("In Lib",$A330)&gt;0,FALSE),"Reference ","") &amp;
IF(AND(D330="Audiobook",LEFT(B330,6)="CD BIO"),"Biography",
IF(AND(D330="Teen Audiobook",LEFT(B330,11)="TEEN CD BIO"),"Biography",
IF(AND(D330="Juvenile Audiobook",LEFT(B330,8)="J CD BIO"),"Biography",
IF(AND(D330="Audiobook",LEFT(B330,6)="CD FIC"),"Audiobook Fiction",
IF(AND(D330="Teen Audiobook",LEFT(B330,11)="TEEN CD FIC"),"Teen Audiobook",
IF(AND(D330="Juvenile Audiobook",LEFT(B330,8)="J CD FIC"),"Juvenile Audiobook",
IF(D330="Audiobook","Nonfiction",
IF(D330="Juvenile Audiobook","Nonfiction",
IF(D330="Teen Audiobook","Nonfiction",
IF(D330="Juvenile Nonfiction","Nonfiction",
IF(D330="Teen Nonfiction","Nonfiction",
IF(D330="Juvenile Biography","Biography",
IF(D330="Teen Biography","Biography",
IF(D330="ESL","Nonfiction",
IF(LEFT(B330,11)="INTL-VIE J ","International Juvenile",IF(LEFT(B330,11)="INTL-TAG J ","International Juvenile",IF(LEFT(B330,11)="INTL-RUS J ","International Juvenile",IF(LEFT(B330,11)="INTL-KOR J ","International Juvenile",IF(LEFT(B330,11)="INTL-JAP J ","International Juvenile",IF(LEFT(B330,11)="INTL-CHI J ","International Juvenile",IF(LEFT(B330,11)="INTL-SPA J ","International Juvenile",IF(LEFT(B330,14)="INTL-VIE TEEN ","International Teen",IF(LEFT(B330,14)="INTL-TAG TEEN ","International Teen",IF(LEFT(B330,14)="INTL-RUS TEEN ","International Teen",IF(LEFT(B330,14)="INTL-KOR TEEN ","International Teen",IF(LEFT(B330,14)="INTL-JAP TEEN ","International Teen",IF(LEFT(B330,14)="INTL-CHI TEEN ","International Teen",IF(LEFT(B330,14)="INTL-SPA TEEN ","International Teen",IF(LEFT(B330,11)="INTL-VIE E ","International Easy",IF(LEFT(B330,11)="INTL-TAG E ","International Easy",IF(LEFT(B330,11)="INTL-RUS E ","International Easy",IF(LEFT(B330,11)="INTL-JAP E ","International Easy",IF(LEFT(B330,11)="INTL-KOR E ","International Easy",IF(LEFT(B330,11)="INTL-CHI E ","International Easy",IF(LEFT(B330,11)="INTL-SPA E ","International Easy",
IF(D330="Teen Large Type","Teen Fiction",
IF(D330="Juvenile Large Type","Juvenile Fiction",
IF(LEFT(B330,6)="J CD O","Juvenile Compact Disc",
IF(AND(LEFT(B330,4)="TEEN",D330="Fiction"),"Teen Fiction",
IF(D330="DVD Educational","Nonfiction",
IF(D330="Juvenile DVD Educational","Nonfiction",
IF(D330="Reference","Nonfiction",
D330))))))))))))))))))))))))))))))))))))))))))</f>
        <v/>
      </c>
    </row>
    <row r="331" spans="1:14" ht="27" customHeight="1" x14ac:dyDescent="0.25">
      <c r="A331" s="10" t="str">
        <f ca="1">TEXT( INDIRECT( ADDRESS( ROW() + Row_Offset, INDIRECT( "Column_Number_" &amp; A$1), 4,1, tabname) ), "")</f>
        <v/>
      </c>
      <c r="B331" s="10" t="str">
        <f ca="1">TEXT(  IFERROR( VLOOKUP( $D331, CollName_Simplifier_Table[], 2, FALSE),"") &amp;
        INDIRECT( ADDRESS( ROW() + Row_Offset, INDIRECT( "Column_Number_" &amp; $B$1), 4,1, tabname) ), "")</f>
        <v/>
      </c>
      <c r="C331" s="10" t="str">
        <f ca="1">TEXT( INDIRECT( ADDRESS( ROW() + Row_Offset, INDIRECT( "Column_Number_" &amp; C$1), 4,1, tabname) ), "")</f>
        <v/>
      </c>
      <c r="D331" s="10" t="str">
        <f ca="1">TEXT( INDIRECT( ADDRESS( ROW() + Row_Offset, INDIRECT( "Column_Number_" &amp; D$1), 4,1, tabname) ), "")</f>
        <v/>
      </c>
      <c r="E331" s="10" t="str">
        <f ca="1">TEXT( INDIRECT( ADDRESS( ROW() + Row_Offset, INDIRECT( "Column_Number_" &amp; E$1), 4,1, tabname) ), "####")</f>
        <v/>
      </c>
      <c r="F331" s="15"/>
      <c r="G331" s="22" t="str">
        <f ca="1">IFERROR(INDEX(Rank_Table[],MATCH($D331&amp;$A331,Table4[Join],0)),"")</f>
        <v/>
      </c>
      <c r="H331" s="11" t="str">
        <f ca="1">IF(AND(D331="Juvenile Audiobook",LEFT(B331,8)="J CD BIO"),RIGHT(B331,LEN(B331)-9),
IF(AND(D331="Juvenile Audiobook",LEFT(B331,8)="J CD FIC"),B331,
IF(D331="Juvenile Audiobook",RIGHT(B331,LEN(B331)-5),
IF(AND(D331="Teen Audiobook",LEFT(B331,11)="TEEN CD BIO"),RIGHT(B331,LEN(B331)-12),
IF(AND(D331="Teen Audiobook",LEFT(B331,11)="TEEN CD FIC"),B331,
IF(D331="Juvenile Audiobook",RIGHT(B331,LEN(B331)-8),
IF(D331="Juvenile Nonfiction",RIGHT(B331,LEN(B331)-2),
IF(D331="Teen Nonfiction",RIGHT(B331,LEN(B331)-5),
IF(AND(D331="Audiobook",
              NOT(OR(Contains($B331,"CD BIO"),Contains($B331,"CD FIC")))),RIGHT(B331,LEN(B331)-3),
IF(D331="Juvenile Biography",RIGHT(B331,LEN(B331)-2),
IF(D331="Teen Biography",RIGHT(B331,LEN(B331)-5),
IF(AND(D331="Audiobook",
              IFERROR(FIND("BIO",$B331)&gt;0,FALSE)),RIGHT(B331,LEN(B331)-3),
IF(D331="Juvenile Large Type","J "&amp;RIGHT(B331,LEN(B331)-11),
IF(D331="Teen Large Type","TEEN "&amp;RIGHT(B331,LEN(B331)-14),
IF(D331="Reference",RIGHT(B331,LEN(B331)-4),
IF(D331="DVD Educational",RIGHT(B331,LEN(B331)-7),
IF(D331="Juvenile DVD Educational",RIGHT(B331,LEN(B331)-9),
B331)))))))))))))))))</f>
        <v/>
      </c>
      <c r="N331" s="11" t="str">
        <f ca="1">IF(IFERROR(FIND("New",$A331)&gt;0,FALSE),"New ","") &amp; IF(IFERROR(FIND("In Lib",$A331)&gt;0,FALSE),"Reference ","") &amp;
IF(AND(D331="Audiobook",LEFT(B331,6)="CD BIO"),"Biography",
IF(AND(D331="Teen Audiobook",LEFT(B331,11)="TEEN CD BIO"),"Biography",
IF(AND(D331="Juvenile Audiobook",LEFT(B331,8)="J CD BIO"),"Biography",
IF(AND(D331="Audiobook",LEFT(B331,6)="CD FIC"),"Audiobook Fiction",
IF(AND(D331="Teen Audiobook",LEFT(B331,11)="TEEN CD FIC"),"Teen Audiobook",
IF(AND(D331="Juvenile Audiobook",LEFT(B331,8)="J CD FIC"),"Juvenile Audiobook",
IF(D331="Audiobook","Nonfiction",
IF(D331="Juvenile Audiobook","Nonfiction",
IF(D331="Teen Audiobook","Nonfiction",
IF(D331="Juvenile Nonfiction","Nonfiction",
IF(D331="Teen Nonfiction","Nonfiction",
IF(D331="Juvenile Biography","Biography",
IF(D331="Teen Biography","Biography",
IF(D331="ESL","Nonfiction",
IF(LEFT(B331,11)="INTL-VIE J ","International Juvenile",IF(LEFT(B331,11)="INTL-TAG J ","International Juvenile",IF(LEFT(B331,11)="INTL-RUS J ","International Juvenile",IF(LEFT(B331,11)="INTL-KOR J ","International Juvenile",IF(LEFT(B331,11)="INTL-JAP J ","International Juvenile",IF(LEFT(B331,11)="INTL-CHI J ","International Juvenile",IF(LEFT(B331,11)="INTL-SPA J ","International Juvenile",IF(LEFT(B331,14)="INTL-VIE TEEN ","International Teen",IF(LEFT(B331,14)="INTL-TAG TEEN ","International Teen",IF(LEFT(B331,14)="INTL-RUS TEEN ","International Teen",IF(LEFT(B331,14)="INTL-KOR TEEN ","International Teen",IF(LEFT(B331,14)="INTL-JAP TEEN ","International Teen",IF(LEFT(B331,14)="INTL-CHI TEEN ","International Teen",IF(LEFT(B331,14)="INTL-SPA TEEN ","International Teen",IF(LEFT(B331,11)="INTL-VIE E ","International Easy",IF(LEFT(B331,11)="INTL-TAG E ","International Easy",IF(LEFT(B331,11)="INTL-RUS E ","International Easy",IF(LEFT(B331,11)="INTL-JAP E ","International Easy",IF(LEFT(B331,11)="INTL-KOR E ","International Easy",IF(LEFT(B331,11)="INTL-CHI E ","International Easy",IF(LEFT(B331,11)="INTL-SPA E ","International Easy",
IF(D331="Teen Large Type","Teen Fiction",
IF(D331="Juvenile Large Type","Juvenile Fiction",
IF(LEFT(B331,6)="J CD O","Juvenile Compact Disc",
IF(AND(LEFT(B331,4)="TEEN",D331="Fiction"),"Teen Fiction",
IF(D331="DVD Educational","Nonfiction",
IF(D331="Juvenile DVD Educational","Nonfiction",
IF(D331="Reference","Nonfiction",
D331))))))))))))))))))))))))))))))))))))))))))</f>
        <v/>
      </c>
    </row>
    <row r="332" spans="1:14" ht="27" customHeight="1" x14ac:dyDescent="0.25">
      <c r="A332" s="10" t="str">
        <f ca="1">TEXT( INDIRECT( ADDRESS( ROW() + Row_Offset, INDIRECT( "Column_Number_" &amp; A$1), 4,1, tabname) ), "")</f>
        <v/>
      </c>
      <c r="B332" s="10" t="str">
        <f ca="1">TEXT(  IFERROR( VLOOKUP( $D332, CollName_Simplifier_Table[], 2, FALSE),"") &amp;
        INDIRECT( ADDRESS( ROW() + Row_Offset, INDIRECT( "Column_Number_" &amp; $B$1), 4,1, tabname) ), "")</f>
        <v/>
      </c>
      <c r="C332" s="10" t="str">
        <f ca="1">TEXT( INDIRECT( ADDRESS( ROW() + Row_Offset, INDIRECT( "Column_Number_" &amp; C$1), 4,1, tabname) ), "")</f>
        <v/>
      </c>
      <c r="D332" s="10" t="str">
        <f ca="1">TEXT( INDIRECT( ADDRESS( ROW() + Row_Offset, INDIRECT( "Column_Number_" &amp; D$1), 4,1, tabname) ), "")</f>
        <v/>
      </c>
      <c r="E332" s="10" t="str">
        <f ca="1">TEXT( INDIRECT( ADDRESS( ROW() + Row_Offset, INDIRECT( "Column_Number_" &amp; E$1), 4,1, tabname) ), "####")</f>
        <v/>
      </c>
      <c r="F332" s="15"/>
      <c r="G332" s="22" t="str">
        <f ca="1">IFERROR(INDEX(Rank_Table[],MATCH($D332&amp;$A332,Table4[Join],0)),"")</f>
        <v/>
      </c>
      <c r="H332" s="11" t="str">
        <f ca="1">IF(AND(D332="Juvenile Audiobook",LEFT(B332,8)="J CD BIO"),RIGHT(B332,LEN(B332)-9),
IF(AND(D332="Juvenile Audiobook",LEFT(B332,8)="J CD FIC"),B332,
IF(D332="Juvenile Audiobook",RIGHT(B332,LEN(B332)-5),
IF(AND(D332="Teen Audiobook",LEFT(B332,11)="TEEN CD BIO"),RIGHT(B332,LEN(B332)-12),
IF(AND(D332="Teen Audiobook",LEFT(B332,11)="TEEN CD FIC"),B332,
IF(D332="Juvenile Audiobook",RIGHT(B332,LEN(B332)-8),
IF(D332="Juvenile Nonfiction",RIGHT(B332,LEN(B332)-2),
IF(D332="Teen Nonfiction",RIGHT(B332,LEN(B332)-5),
IF(AND(D332="Audiobook",
              NOT(OR(Contains($B332,"CD BIO"),Contains($B332,"CD FIC")))),RIGHT(B332,LEN(B332)-3),
IF(D332="Juvenile Biography",RIGHT(B332,LEN(B332)-2),
IF(D332="Teen Biography",RIGHT(B332,LEN(B332)-5),
IF(AND(D332="Audiobook",
              IFERROR(FIND("BIO",$B332)&gt;0,FALSE)),RIGHT(B332,LEN(B332)-3),
IF(D332="Juvenile Large Type","J "&amp;RIGHT(B332,LEN(B332)-11),
IF(D332="Teen Large Type","TEEN "&amp;RIGHT(B332,LEN(B332)-14),
IF(D332="Reference",RIGHT(B332,LEN(B332)-4),
IF(D332="DVD Educational",RIGHT(B332,LEN(B332)-7),
IF(D332="Juvenile DVD Educational",RIGHT(B332,LEN(B332)-9),
B332)))))))))))))))))</f>
        <v/>
      </c>
      <c r="N332" s="11" t="str">
        <f ca="1">IF(IFERROR(FIND("New",$A332)&gt;0,FALSE),"New ","") &amp; IF(IFERROR(FIND("In Lib",$A332)&gt;0,FALSE),"Reference ","") &amp;
IF(AND(D332="Audiobook",LEFT(B332,6)="CD BIO"),"Biography",
IF(AND(D332="Teen Audiobook",LEFT(B332,11)="TEEN CD BIO"),"Biography",
IF(AND(D332="Juvenile Audiobook",LEFT(B332,8)="J CD BIO"),"Biography",
IF(AND(D332="Audiobook",LEFT(B332,6)="CD FIC"),"Audiobook Fiction",
IF(AND(D332="Teen Audiobook",LEFT(B332,11)="TEEN CD FIC"),"Teen Audiobook",
IF(AND(D332="Juvenile Audiobook",LEFT(B332,8)="J CD FIC"),"Juvenile Audiobook",
IF(D332="Audiobook","Nonfiction",
IF(D332="Juvenile Audiobook","Nonfiction",
IF(D332="Teen Audiobook","Nonfiction",
IF(D332="Juvenile Nonfiction","Nonfiction",
IF(D332="Teen Nonfiction","Nonfiction",
IF(D332="Juvenile Biography","Biography",
IF(D332="Teen Biography","Biography",
IF(D332="ESL","Nonfiction",
IF(LEFT(B332,11)="INTL-VIE J ","International Juvenile",IF(LEFT(B332,11)="INTL-TAG J ","International Juvenile",IF(LEFT(B332,11)="INTL-RUS J ","International Juvenile",IF(LEFT(B332,11)="INTL-KOR J ","International Juvenile",IF(LEFT(B332,11)="INTL-JAP J ","International Juvenile",IF(LEFT(B332,11)="INTL-CHI J ","International Juvenile",IF(LEFT(B332,11)="INTL-SPA J ","International Juvenile",IF(LEFT(B332,14)="INTL-VIE TEEN ","International Teen",IF(LEFT(B332,14)="INTL-TAG TEEN ","International Teen",IF(LEFT(B332,14)="INTL-RUS TEEN ","International Teen",IF(LEFT(B332,14)="INTL-KOR TEEN ","International Teen",IF(LEFT(B332,14)="INTL-JAP TEEN ","International Teen",IF(LEFT(B332,14)="INTL-CHI TEEN ","International Teen",IF(LEFT(B332,14)="INTL-SPA TEEN ","International Teen",IF(LEFT(B332,11)="INTL-VIE E ","International Easy",IF(LEFT(B332,11)="INTL-TAG E ","International Easy",IF(LEFT(B332,11)="INTL-RUS E ","International Easy",IF(LEFT(B332,11)="INTL-JAP E ","International Easy",IF(LEFT(B332,11)="INTL-KOR E ","International Easy",IF(LEFT(B332,11)="INTL-CHI E ","International Easy",IF(LEFT(B332,11)="INTL-SPA E ","International Easy",
IF(D332="Teen Large Type","Teen Fiction",
IF(D332="Juvenile Large Type","Juvenile Fiction",
IF(LEFT(B332,6)="J CD O","Juvenile Compact Disc",
IF(AND(LEFT(B332,4)="TEEN",D332="Fiction"),"Teen Fiction",
IF(D332="DVD Educational","Nonfiction",
IF(D332="Juvenile DVD Educational","Nonfiction",
IF(D332="Reference","Nonfiction",
D332))))))))))))))))))))))))))))))))))))))))))</f>
        <v/>
      </c>
    </row>
    <row r="333" spans="1:14" ht="27" customHeight="1" x14ac:dyDescent="0.25">
      <c r="A333" s="10" t="str">
        <f ca="1">TEXT( INDIRECT( ADDRESS( ROW() + Row_Offset, INDIRECT( "Column_Number_" &amp; A$1), 4,1, tabname) ), "")</f>
        <v/>
      </c>
      <c r="B333" s="10" t="str">
        <f ca="1">TEXT(  IFERROR( VLOOKUP( $D333, CollName_Simplifier_Table[], 2, FALSE),"") &amp;
        INDIRECT( ADDRESS( ROW() + Row_Offset, INDIRECT( "Column_Number_" &amp; $B$1), 4,1, tabname) ), "")</f>
        <v/>
      </c>
      <c r="C333" s="10" t="str">
        <f ca="1">TEXT( INDIRECT( ADDRESS( ROW() + Row_Offset, INDIRECT( "Column_Number_" &amp; C$1), 4,1, tabname) ), "")</f>
        <v/>
      </c>
      <c r="D333" s="10" t="str">
        <f ca="1">TEXT( INDIRECT( ADDRESS( ROW() + Row_Offset, INDIRECT( "Column_Number_" &amp; D$1), 4,1, tabname) ), "")</f>
        <v/>
      </c>
      <c r="E333" s="10" t="str">
        <f ca="1">TEXT( INDIRECT( ADDRESS( ROW() + Row_Offset, INDIRECT( "Column_Number_" &amp; E$1), 4,1, tabname) ), "####")</f>
        <v/>
      </c>
      <c r="F333" s="15"/>
      <c r="G333" s="22" t="str">
        <f ca="1">IFERROR(INDEX(Rank_Table[],MATCH($D333&amp;$A333,Table4[Join],0)),"")</f>
        <v/>
      </c>
      <c r="H333" s="11" t="str">
        <f ca="1">IF(AND(D333="Juvenile Audiobook",LEFT(B333,8)="J CD BIO"),RIGHT(B333,LEN(B333)-9),
IF(AND(D333="Juvenile Audiobook",LEFT(B333,8)="J CD FIC"),B333,
IF(D333="Juvenile Audiobook",RIGHT(B333,LEN(B333)-5),
IF(AND(D333="Teen Audiobook",LEFT(B333,11)="TEEN CD BIO"),RIGHT(B333,LEN(B333)-12),
IF(AND(D333="Teen Audiobook",LEFT(B333,11)="TEEN CD FIC"),B333,
IF(D333="Juvenile Audiobook",RIGHT(B333,LEN(B333)-8),
IF(D333="Juvenile Nonfiction",RIGHT(B333,LEN(B333)-2),
IF(D333="Teen Nonfiction",RIGHT(B333,LEN(B333)-5),
IF(AND(D333="Audiobook",
              NOT(OR(Contains($B333,"CD BIO"),Contains($B333,"CD FIC")))),RIGHT(B333,LEN(B333)-3),
IF(D333="Juvenile Biography",RIGHT(B333,LEN(B333)-2),
IF(D333="Teen Biography",RIGHT(B333,LEN(B333)-5),
IF(AND(D333="Audiobook",
              IFERROR(FIND("BIO",$B333)&gt;0,FALSE)),RIGHT(B333,LEN(B333)-3),
IF(D333="Juvenile Large Type","J "&amp;RIGHT(B333,LEN(B333)-11),
IF(D333="Teen Large Type","TEEN "&amp;RIGHT(B333,LEN(B333)-14),
IF(D333="Reference",RIGHT(B333,LEN(B333)-4),
IF(D333="DVD Educational",RIGHT(B333,LEN(B333)-7),
IF(D333="Juvenile DVD Educational",RIGHT(B333,LEN(B333)-9),
B333)))))))))))))))))</f>
        <v/>
      </c>
      <c r="N333" s="11" t="str">
        <f ca="1">IF(IFERROR(FIND("New",$A333)&gt;0,FALSE),"New ","") &amp; IF(IFERROR(FIND("In Lib",$A333)&gt;0,FALSE),"Reference ","") &amp;
IF(AND(D333="Audiobook",LEFT(B333,6)="CD BIO"),"Biography",
IF(AND(D333="Teen Audiobook",LEFT(B333,11)="TEEN CD BIO"),"Biography",
IF(AND(D333="Juvenile Audiobook",LEFT(B333,8)="J CD BIO"),"Biography",
IF(AND(D333="Audiobook",LEFT(B333,6)="CD FIC"),"Audiobook Fiction",
IF(AND(D333="Teen Audiobook",LEFT(B333,11)="TEEN CD FIC"),"Teen Audiobook",
IF(AND(D333="Juvenile Audiobook",LEFT(B333,8)="J CD FIC"),"Juvenile Audiobook",
IF(D333="Audiobook","Nonfiction",
IF(D333="Juvenile Audiobook","Nonfiction",
IF(D333="Teen Audiobook","Nonfiction",
IF(D333="Juvenile Nonfiction","Nonfiction",
IF(D333="Teen Nonfiction","Nonfiction",
IF(D333="Juvenile Biography","Biography",
IF(D333="Teen Biography","Biography",
IF(D333="ESL","Nonfiction",
IF(LEFT(B333,11)="INTL-VIE J ","International Juvenile",IF(LEFT(B333,11)="INTL-TAG J ","International Juvenile",IF(LEFT(B333,11)="INTL-RUS J ","International Juvenile",IF(LEFT(B333,11)="INTL-KOR J ","International Juvenile",IF(LEFT(B333,11)="INTL-JAP J ","International Juvenile",IF(LEFT(B333,11)="INTL-CHI J ","International Juvenile",IF(LEFT(B333,11)="INTL-SPA J ","International Juvenile",IF(LEFT(B333,14)="INTL-VIE TEEN ","International Teen",IF(LEFT(B333,14)="INTL-TAG TEEN ","International Teen",IF(LEFT(B333,14)="INTL-RUS TEEN ","International Teen",IF(LEFT(B333,14)="INTL-KOR TEEN ","International Teen",IF(LEFT(B333,14)="INTL-JAP TEEN ","International Teen",IF(LEFT(B333,14)="INTL-CHI TEEN ","International Teen",IF(LEFT(B333,14)="INTL-SPA TEEN ","International Teen",IF(LEFT(B333,11)="INTL-VIE E ","International Easy",IF(LEFT(B333,11)="INTL-TAG E ","International Easy",IF(LEFT(B333,11)="INTL-RUS E ","International Easy",IF(LEFT(B333,11)="INTL-JAP E ","International Easy",IF(LEFT(B333,11)="INTL-KOR E ","International Easy",IF(LEFT(B333,11)="INTL-CHI E ","International Easy",IF(LEFT(B333,11)="INTL-SPA E ","International Easy",
IF(D333="Teen Large Type","Teen Fiction",
IF(D333="Juvenile Large Type","Juvenile Fiction",
IF(LEFT(B333,6)="J CD O","Juvenile Compact Disc",
IF(AND(LEFT(B333,4)="TEEN",D333="Fiction"),"Teen Fiction",
IF(D333="DVD Educational","Nonfiction",
IF(D333="Juvenile DVD Educational","Nonfiction",
IF(D333="Reference","Nonfiction",
D333))))))))))))))))))))))))))))))))))))))))))</f>
        <v/>
      </c>
    </row>
    <row r="334" spans="1:14" ht="27" customHeight="1" x14ac:dyDescent="0.25">
      <c r="A334" s="10" t="str">
        <f ca="1">TEXT( INDIRECT( ADDRESS( ROW() + Row_Offset, INDIRECT( "Column_Number_" &amp; A$1), 4,1, tabname) ), "")</f>
        <v/>
      </c>
      <c r="B334" s="10" t="str">
        <f ca="1">TEXT(  IFERROR( VLOOKUP( $D334, CollName_Simplifier_Table[], 2, FALSE),"") &amp;
        INDIRECT( ADDRESS( ROW() + Row_Offset, INDIRECT( "Column_Number_" &amp; $B$1), 4,1, tabname) ), "")</f>
        <v/>
      </c>
      <c r="C334" s="10" t="str">
        <f ca="1">TEXT( INDIRECT( ADDRESS( ROW() + Row_Offset, INDIRECT( "Column_Number_" &amp; C$1), 4,1, tabname) ), "")</f>
        <v/>
      </c>
      <c r="D334" s="10" t="str">
        <f ca="1">TEXT( INDIRECT( ADDRESS( ROW() + Row_Offset, INDIRECT( "Column_Number_" &amp; D$1), 4,1, tabname) ), "")</f>
        <v/>
      </c>
      <c r="E334" s="10" t="str">
        <f ca="1">TEXT( INDIRECT( ADDRESS( ROW() + Row_Offset, INDIRECT( "Column_Number_" &amp; E$1), 4,1, tabname) ), "####")</f>
        <v/>
      </c>
      <c r="F334" s="15"/>
      <c r="G334" s="22" t="str">
        <f ca="1">IFERROR(INDEX(Rank_Table[],MATCH($D334&amp;$A334,Table4[Join],0)),"")</f>
        <v/>
      </c>
      <c r="H334" s="11" t="str">
        <f ca="1">IF(AND(D334="Juvenile Audiobook",LEFT(B334,8)="J CD BIO"),RIGHT(B334,LEN(B334)-9),
IF(AND(D334="Juvenile Audiobook",LEFT(B334,8)="J CD FIC"),B334,
IF(D334="Juvenile Audiobook",RIGHT(B334,LEN(B334)-5),
IF(AND(D334="Teen Audiobook",LEFT(B334,11)="TEEN CD BIO"),RIGHT(B334,LEN(B334)-12),
IF(AND(D334="Teen Audiobook",LEFT(B334,11)="TEEN CD FIC"),B334,
IF(D334="Juvenile Audiobook",RIGHT(B334,LEN(B334)-8),
IF(D334="Juvenile Nonfiction",RIGHT(B334,LEN(B334)-2),
IF(D334="Teen Nonfiction",RIGHT(B334,LEN(B334)-5),
IF(AND(D334="Audiobook",
              NOT(OR(Contains($B334,"CD BIO"),Contains($B334,"CD FIC")))),RIGHT(B334,LEN(B334)-3),
IF(D334="Juvenile Biography",RIGHT(B334,LEN(B334)-2),
IF(D334="Teen Biography",RIGHT(B334,LEN(B334)-5),
IF(AND(D334="Audiobook",
              IFERROR(FIND("BIO",$B334)&gt;0,FALSE)),RIGHT(B334,LEN(B334)-3),
IF(D334="Juvenile Large Type","J "&amp;RIGHT(B334,LEN(B334)-11),
IF(D334="Teen Large Type","TEEN "&amp;RIGHT(B334,LEN(B334)-14),
IF(D334="Reference",RIGHT(B334,LEN(B334)-4),
IF(D334="DVD Educational",RIGHT(B334,LEN(B334)-7),
IF(D334="Juvenile DVD Educational",RIGHT(B334,LEN(B334)-9),
B334)))))))))))))))))</f>
        <v/>
      </c>
      <c r="N334" s="11" t="str">
        <f ca="1">IF(IFERROR(FIND("New",$A334)&gt;0,FALSE),"New ","") &amp; IF(IFERROR(FIND("In Lib",$A334)&gt;0,FALSE),"Reference ","") &amp;
IF(AND(D334="Audiobook",LEFT(B334,6)="CD BIO"),"Biography",
IF(AND(D334="Teen Audiobook",LEFT(B334,11)="TEEN CD BIO"),"Biography",
IF(AND(D334="Juvenile Audiobook",LEFT(B334,8)="J CD BIO"),"Biography",
IF(AND(D334="Audiobook",LEFT(B334,6)="CD FIC"),"Audiobook Fiction",
IF(AND(D334="Teen Audiobook",LEFT(B334,11)="TEEN CD FIC"),"Teen Audiobook",
IF(AND(D334="Juvenile Audiobook",LEFT(B334,8)="J CD FIC"),"Juvenile Audiobook",
IF(D334="Audiobook","Nonfiction",
IF(D334="Juvenile Audiobook","Nonfiction",
IF(D334="Teen Audiobook","Nonfiction",
IF(D334="Juvenile Nonfiction","Nonfiction",
IF(D334="Teen Nonfiction","Nonfiction",
IF(D334="Juvenile Biography","Biography",
IF(D334="Teen Biography","Biography",
IF(D334="ESL","Nonfiction",
IF(LEFT(B334,11)="INTL-VIE J ","International Juvenile",IF(LEFT(B334,11)="INTL-TAG J ","International Juvenile",IF(LEFT(B334,11)="INTL-RUS J ","International Juvenile",IF(LEFT(B334,11)="INTL-KOR J ","International Juvenile",IF(LEFT(B334,11)="INTL-JAP J ","International Juvenile",IF(LEFT(B334,11)="INTL-CHI J ","International Juvenile",IF(LEFT(B334,11)="INTL-SPA J ","International Juvenile",IF(LEFT(B334,14)="INTL-VIE TEEN ","International Teen",IF(LEFT(B334,14)="INTL-TAG TEEN ","International Teen",IF(LEFT(B334,14)="INTL-RUS TEEN ","International Teen",IF(LEFT(B334,14)="INTL-KOR TEEN ","International Teen",IF(LEFT(B334,14)="INTL-JAP TEEN ","International Teen",IF(LEFT(B334,14)="INTL-CHI TEEN ","International Teen",IF(LEFT(B334,14)="INTL-SPA TEEN ","International Teen",IF(LEFT(B334,11)="INTL-VIE E ","International Easy",IF(LEFT(B334,11)="INTL-TAG E ","International Easy",IF(LEFT(B334,11)="INTL-RUS E ","International Easy",IF(LEFT(B334,11)="INTL-JAP E ","International Easy",IF(LEFT(B334,11)="INTL-KOR E ","International Easy",IF(LEFT(B334,11)="INTL-CHI E ","International Easy",IF(LEFT(B334,11)="INTL-SPA E ","International Easy",
IF(D334="Teen Large Type","Teen Fiction",
IF(D334="Juvenile Large Type","Juvenile Fiction",
IF(LEFT(B334,6)="J CD O","Juvenile Compact Disc",
IF(AND(LEFT(B334,4)="TEEN",D334="Fiction"),"Teen Fiction",
IF(D334="DVD Educational","Nonfiction",
IF(D334="Juvenile DVD Educational","Nonfiction",
IF(D334="Reference","Nonfiction",
D334))))))))))))))))))))))))))))))))))))))))))</f>
        <v/>
      </c>
    </row>
    <row r="335" spans="1:14" ht="27" customHeight="1" x14ac:dyDescent="0.25">
      <c r="A335" s="10" t="str">
        <f ca="1">TEXT( INDIRECT( ADDRESS( ROW() + Row_Offset, INDIRECT( "Column_Number_" &amp; A$1), 4,1, tabname) ), "")</f>
        <v/>
      </c>
      <c r="B335" s="10" t="str">
        <f ca="1">TEXT(  IFERROR( VLOOKUP( $D335, CollName_Simplifier_Table[], 2, FALSE),"") &amp;
        INDIRECT( ADDRESS( ROW() + Row_Offset, INDIRECT( "Column_Number_" &amp; $B$1), 4,1, tabname) ), "")</f>
        <v/>
      </c>
      <c r="C335" s="10" t="str">
        <f ca="1">TEXT( INDIRECT( ADDRESS( ROW() + Row_Offset, INDIRECT( "Column_Number_" &amp; C$1), 4,1, tabname) ), "")</f>
        <v/>
      </c>
      <c r="D335" s="10" t="str">
        <f ca="1">TEXT( INDIRECT( ADDRESS( ROW() + Row_Offset, INDIRECT( "Column_Number_" &amp; D$1), 4,1, tabname) ), "")</f>
        <v/>
      </c>
      <c r="E335" s="10" t="str">
        <f ca="1">TEXT( INDIRECT( ADDRESS( ROW() + Row_Offset, INDIRECT( "Column_Number_" &amp; E$1), 4,1, tabname) ), "####")</f>
        <v/>
      </c>
      <c r="F335" s="15"/>
      <c r="G335" s="22" t="str">
        <f ca="1">IFERROR(INDEX(Rank_Table[],MATCH($D335&amp;$A335,Table4[Join],0)),"")</f>
        <v/>
      </c>
      <c r="H335" s="11" t="str">
        <f ca="1">IF(AND(D335="Juvenile Audiobook",LEFT(B335,8)="J CD BIO"),RIGHT(B335,LEN(B335)-9),
IF(AND(D335="Juvenile Audiobook",LEFT(B335,8)="J CD FIC"),B335,
IF(D335="Juvenile Audiobook",RIGHT(B335,LEN(B335)-5),
IF(AND(D335="Teen Audiobook",LEFT(B335,11)="TEEN CD BIO"),RIGHT(B335,LEN(B335)-12),
IF(AND(D335="Teen Audiobook",LEFT(B335,11)="TEEN CD FIC"),B335,
IF(D335="Juvenile Audiobook",RIGHT(B335,LEN(B335)-8),
IF(D335="Juvenile Nonfiction",RIGHT(B335,LEN(B335)-2),
IF(D335="Teen Nonfiction",RIGHT(B335,LEN(B335)-5),
IF(AND(D335="Audiobook",
              NOT(OR(Contains($B335,"CD BIO"),Contains($B335,"CD FIC")))),RIGHT(B335,LEN(B335)-3),
IF(D335="Juvenile Biography",RIGHT(B335,LEN(B335)-2),
IF(D335="Teen Biography",RIGHT(B335,LEN(B335)-5),
IF(AND(D335="Audiobook",
              IFERROR(FIND("BIO",$B335)&gt;0,FALSE)),RIGHT(B335,LEN(B335)-3),
IF(D335="Juvenile Large Type","J "&amp;RIGHT(B335,LEN(B335)-11),
IF(D335="Teen Large Type","TEEN "&amp;RIGHT(B335,LEN(B335)-14),
IF(D335="Reference",RIGHT(B335,LEN(B335)-4),
IF(D335="DVD Educational",RIGHT(B335,LEN(B335)-7),
IF(D335="Juvenile DVD Educational",RIGHT(B335,LEN(B335)-9),
B335)))))))))))))))))</f>
        <v/>
      </c>
      <c r="N335" s="11" t="str">
        <f ca="1">IF(IFERROR(FIND("New",$A335)&gt;0,FALSE),"New ","") &amp; IF(IFERROR(FIND("In Lib",$A335)&gt;0,FALSE),"Reference ","") &amp;
IF(AND(D335="Audiobook",LEFT(B335,6)="CD BIO"),"Biography",
IF(AND(D335="Teen Audiobook",LEFT(B335,11)="TEEN CD BIO"),"Biography",
IF(AND(D335="Juvenile Audiobook",LEFT(B335,8)="J CD BIO"),"Biography",
IF(AND(D335="Audiobook",LEFT(B335,6)="CD FIC"),"Audiobook Fiction",
IF(AND(D335="Teen Audiobook",LEFT(B335,11)="TEEN CD FIC"),"Teen Audiobook",
IF(AND(D335="Juvenile Audiobook",LEFT(B335,8)="J CD FIC"),"Juvenile Audiobook",
IF(D335="Audiobook","Nonfiction",
IF(D335="Juvenile Audiobook","Nonfiction",
IF(D335="Teen Audiobook","Nonfiction",
IF(D335="Juvenile Nonfiction","Nonfiction",
IF(D335="Teen Nonfiction","Nonfiction",
IF(D335="Juvenile Biography","Biography",
IF(D335="Teen Biography","Biography",
IF(D335="ESL","Nonfiction",
IF(LEFT(B335,11)="INTL-VIE J ","International Juvenile",IF(LEFT(B335,11)="INTL-TAG J ","International Juvenile",IF(LEFT(B335,11)="INTL-RUS J ","International Juvenile",IF(LEFT(B335,11)="INTL-KOR J ","International Juvenile",IF(LEFT(B335,11)="INTL-JAP J ","International Juvenile",IF(LEFT(B335,11)="INTL-CHI J ","International Juvenile",IF(LEFT(B335,11)="INTL-SPA J ","International Juvenile",IF(LEFT(B335,14)="INTL-VIE TEEN ","International Teen",IF(LEFT(B335,14)="INTL-TAG TEEN ","International Teen",IF(LEFT(B335,14)="INTL-RUS TEEN ","International Teen",IF(LEFT(B335,14)="INTL-KOR TEEN ","International Teen",IF(LEFT(B335,14)="INTL-JAP TEEN ","International Teen",IF(LEFT(B335,14)="INTL-CHI TEEN ","International Teen",IF(LEFT(B335,14)="INTL-SPA TEEN ","International Teen",IF(LEFT(B335,11)="INTL-VIE E ","International Easy",IF(LEFT(B335,11)="INTL-TAG E ","International Easy",IF(LEFT(B335,11)="INTL-RUS E ","International Easy",IF(LEFT(B335,11)="INTL-JAP E ","International Easy",IF(LEFT(B335,11)="INTL-KOR E ","International Easy",IF(LEFT(B335,11)="INTL-CHI E ","International Easy",IF(LEFT(B335,11)="INTL-SPA E ","International Easy",
IF(D335="Teen Large Type","Teen Fiction",
IF(D335="Juvenile Large Type","Juvenile Fiction",
IF(LEFT(B335,6)="J CD O","Juvenile Compact Disc",
IF(AND(LEFT(B335,4)="TEEN",D335="Fiction"),"Teen Fiction",
IF(D335="DVD Educational","Nonfiction",
IF(D335="Juvenile DVD Educational","Nonfiction",
IF(D335="Reference","Nonfiction",
D335))))))))))))))))))))))))))))))))))))))))))</f>
        <v/>
      </c>
    </row>
    <row r="336" spans="1:14" ht="27" customHeight="1" x14ac:dyDescent="0.25">
      <c r="A336" s="10" t="str">
        <f ca="1">TEXT( INDIRECT( ADDRESS( ROW() + Row_Offset, INDIRECT( "Column_Number_" &amp; A$1), 4,1, tabname) ), "")</f>
        <v/>
      </c>
      <c r="B336" s="10" t="str">
        <f ca="1">TEXT(  IFERROR( VLOOKUP( $D336, CollName_Simplifier_Table[], 2, FALSE),"") &amp;
        INDIRECT( ADDRESS( ROW() + Row_Offset, INDIRECT( "Column_Number_" &amp; $B$1), 4,1, tabname) ), "")</f>
        <v/>
      </c>
      <c r="C336" s="10" t="str">
        <f ca="1">TEXT( INDIRECT( ADDRESS( ROW() + Row_Offset, INDIRECT( "Column_Number_" &amp; C$1), 4,1, tabname) ), "")</f>
        <v/>
      </c>
      <c r="D336" s="10" t="str">
        <f ca="1">TEXT( INDIRECT( ADDRESS( ROW() + Row_Offset, INDIRECT( "Column_Number_" &amp; D$1), 4,1, tabname) ), "")</f>
        <v/>
      </c>
      <c r="E336" s="10" t="str">
        <f ca="1">TEXT( INDIRECT( ADDRESS( ROW() + Row_Offset, INDIRECT( "Column_Number_" &amp; E$1), 4,1, tabname) ), "####")</f>
        <v/>
      </c>
      <c r="F336" s="15"/>
      <c r="G336" s="22" t="str">
        <f ca="1">IFERROR(INDEX(Rank_Table[],MATCH($D336&amp;$A336,Table4[Join],0)),"")</f>
        <v/>
      </c>
      <c r="H336" s="11" t="str">
        <f ca="1">IF(AND(D336="Juvenile Audiobook",LEFT(B336,8)="J CD BIO"),RIGHT(B336,LEN(B336)-9),
IF(AND(D336="Juvenile Audiobook",LEFT(B336,8)="J CD FIC"),B336,
IF(D336="Juvenile Audiobook",RIGHT(B336,LEN(B336)-5),
IF(AND(D336="Teen Audiobook",LEFT(B336,11)="TEEN CD BIO"),RIGHT(B336,LEN(B336)-12),
IF(AND(D336="Teen Audiobook",LEFT(B336,11)="TEEN CD FIC"),B336,
IF(D336="Juvenile Audiobook",RIGHT(B336,LEN(B336)-8),
IF(D336="Juvenile Nonfiction",RIGHT(B336,LEN(B336)-2),
IF(D336="Teen Nonfiction",RIGHT(B336,LEN(B336)-5),
IF(AND(D336="Audiobook",
              NOT(OR(Contains($B336,"CD BIO"),Contains($B336,"CD FIC")))),RIGHT(B336,LEN(B336)-3),
IF(D336="Juvenile Biography",RIGHT(B336,LEN(B336)-2),
IF(D336="Teen Biography",RIGHT(B336,LEN(B336)-5),
IF(AND(D336="Audiobook",
              IFERROR(FIND("BIO",$B336)&gt;0,FALSE)),RIGHT(B336,LEN(B336)-3),
IF(D336="Juvenile Large Type","J "&amp;RIGHT(B336,LEN(B336)-11),
IF(D336="Teen Large Type","TEEN "&amp;RIGHT(B336,LEN(B336)-14),
IF(D336="Reference",RIGHT(B336,LEN(B336)-4),
IF(D336="DVD Educational",RIGHT(B336,LEN(B336)-7),
IF(D336="Juvenile DVD Educational",RIGHT(B336,LEN(B336)-9),
B336)))))))))))))))))</f>
        <v/>
      </c>
      <c r="N336" s="11" t="str">
        <f ca="1">IF(IFERROR(FIND("New",$A336)&gt;0,FALSE),"New ","") &amp; IF(IFERROR(FIND("In Lib",$A336)&gt;0,FALSE),"Reference ","") &amp;
IF(AND(D336="Audiobook",LEFT(B336,6)="CD BIO"),"Biography",
IF(AND(D336="Teen Audiobook",LEFT(B336,11)="TEEN CD BIO"),"Biography",
IF(AND(D336="Juvenile Audiobook",LEFT(B336,8)="J CD BIO"),"Biography",
IF(AND(D336="Audiobook",LEFT(B336,6)="CD FIC"),"Audiobook Fiction",
IF(AND(D336="Teen Audiobook",LEFT(B336,11)="TEEN CD FIC"),"Teen Audiobook",
IF(AND(D336="Juvenile Audiobook",LEFT(B336,8)="J CD FIC"),"Juvenile Audiobook",
IF(D336="Audiobook","Nonfiction",
IF(D336="Juvenile Audiobook","Nonfiction",
IF(D336="Teen Audiobook","Nonfiction",
IF(D336="Juvenile Nonfiction","Nonfiction",
IF(D336="Teen Nonfiction","Nonfiction",
IF(D336="Juvenile Biography","Biography",
IF(D336="Teen Biography","Biography",
IF(D336="ESL","Nonfiction",
IF(LEFT(B336,11)="INTL-VIE J ","International Juvenile",IF(LEFT(B336,11)="INTL-TAG J ","International Juvenile",IF(LEFT(B336,11)="INTL-RUS J ","International Juvenile",IF(LEFT(B336,11)="INTL-KOR J ","International Juvenile",IF(LEFT(B336,11)="INTL-JAP J ","International Juvenile",IF(LEFT(B336,11)="INTL-CHI J ","International Juvenile",IF(LEFT(B336,11)="INTL-SPA J ","International Juvenile",IF(LEFT(B336,14)="INTL-VIE TEEN ","International Teen",IF(LEFT(B336,14)="INTL-TAG TEEN ","International Teen",IF(LEFT(B336,14)="INTL-RUS TEEN ","International Teen",IF(LEFT(B336,14)="INTL-KOR TEEN ","International Teen",IF(LEFT(B336,14)="INTL-JAP TEEN ","International Teen",IF(LEFT(B336,14)="INTL-CHI TEEN ","International Teen",IF(LEFT(B336,14)="INTL-SPA TEEN ","International Teen",IF(LEFT(B336,11)="INTL-VIE E ","International Easy",IF(LEFT(B336,11)="INTL-TAG E ","International Easy",IF(LEFT(B336,11)="INTL-RUS E ","International Easy",IF(LEFT(B336,11)="INTL-JAP E ","International Easy",IF(LEFT(B336,11)="INTL-KOR E ","International Easy",IF(LEFT(B336,11)="INTL-CHI E ","International Easy",IF(LEFT(B336,11)="INTL-SPA E ","International Easy",
IF(D336="Teen Large Type","Teen Fiction",
IF(D336="Juvenile Large Type","Juvenile Fiction",
IF(LEFT(B336,6)="J CD O","Juvenile Compact Disc",
IF(AND(LEFT(B336,4)="TEEN",D336="Fiction"),"Teen Fiction",
IF(D336="DVD Educational","Nonfiction",
IF(D336="Juvenile DVD Educational","Nonfiction",
IF(D336="Reference","Nonfiction",
D336))))))))))))))))))))))))))))))))))))))))))</f>
        <v/>
      </c>
    </row>
    <row r="337" spans="1:14" ht="27" customHeight="1" x14ac:dyDescent="0.25">
      <c r="A337" s="10" t="str">
        <f ca="1">TEXT( INDIRECT( ADDRESS( ROW() + Row_Offset, INDIRECT( "Column_Number_" &amp; A$1), 4,1, tabname) ), "")</f>
        <v/>
      </c>
      <c r="B337" s="10" t="str">
        <f ca="1">TEXT(  IFERROR( VLOOKUP( $D337, CollName_Simplifier_Table[], 2, FALSE),"") &amp;
        INDIRECT( ADDRESS( ROW() + Row_Offset, INDIRECT( "Column_Number_" &amp; $B$1), 4,1, tabname) ), "")</f>
        <v/>
      </c>
      <c r="C337" s="10" t="str">
        <f ca="1">TEXT( INDIRECT( ADDRESS( ROW() + Row_Offset, INDIRECT( "Column_Number_" &amp; C$1), 4,1, tabname) ), "")</f>
        <v/>
      </c>
      <c r="D337" s="10" t="str">
        <f ca="1">TEXT( INDIRECT( ADDRESS( ROW() + Row_Offset, INDIRECT( "Column_Number_" &amp; D$1), 4,1, tabname) ), "")</f>
        <v/>
      </c>
      <c r="E337" s="10" t="str">
        <f ca="1">TEXT( INDIRECT( ADDRESS( ROW() + Row_Offset, INDIRECT( "Column_Number_" &amp; E$1), 4,1, tabname) ), "####")</f>
        <v/>
      </c>
      <c r="F337" s="15"/>
      <c r="G337" s="22" t="str">
        <f ca="1">IFERROR(INDEX(Rank_Table[],MATCH($D337&amp;$A337,Table4[Join],0)),"")</f>
        <v/>
      </c>
      <c r="H337" s="11" t="str">
        <f ca="1">IF(AND(D337="Juvenile Audiobook",LEFT(B337,8)="J CD BIO"),RIGHT(B337,LEN(B337)-9),
IF(AND(D337="Juvenile Audiobook",LEFT(B337,8)="J CD FIC"),B337,
IF(D337="Juvenile Audiobook",RIGHT(B337,LEN(B337)-5),
IF(AND(D337="Teen Audiobook",LEFT(B337,11)="TEEN CD BIO"),RIGHT(B337,LEN(B337)-12),
IF(AND(D337="Teen Audiobook",LEFT(B337,11)="TEEN CD FIC"),B337,
IF(D337="Juvenile Audiobook",RIGHT(B337,LEN(B337)-8),
IF(D337="Juvenile Nonfiction",RIGHT(B337,LEN(B337)-2),
IF(D337="Teen Nonfiction",RIGHT(B337,LEN(B337)-5),
IF(AND(D337="Audiobook",
              NOT(OR(Contains($B337,"CD BIO"),Contains($B337,"CD FIC")))),RIGHT(B337,LEN(B337)-3),
IF(D337="Juvenile Biography",RIGHT(B337,LEN(B337)-2),
IF(D337="Teen Biography",RIGHT(B337,LEN(B337)-5),
IF(AND(D337="Audiobook",
              IFERROR(FIND("BIO",$B337)&gt;0,FALSE)),RIGHT(B337,LEN(B337)-3),
IF(D337="Juvenile Large Type","J "&amp;RIGHT(B337,LEN(B337)-11),
IF(D337="Teen Large Type","TEEN "&amp;RIGHT(B337,LEN(B337)-14),
IF(D337="Reference",RIGHT(B337,LEN(B337)-4),
IF(D337="DVD Educational",RIGHT(B337,LEN(B337)-7),
IF(D337="Juvenile DVD Educational",RIGHT(B337,LEN(B337)-9),
B337)))))))))))))))))</f>
        <v/>
      </c>
      <c r="N337" s="11" t="str">
        <f ca="1">IF(IFERROR(FIND("New",$A337)&gt;0,FALSE),"New ","") &amp; IF(IFERROR(FIND("In Lib",$A337)&gt;0,FALSE),"Reference ","") &amp;
IF(AND(D337="Audiobook",LEFT(B337,6)="CD BIO"),"Biography",
IF(AND(D337="Teen Audiobook",LEFT(B337,11)="TEEN CD BIO"),"Biography",
IF(AND(D337="Juvenile Audiobook",LEFT(B337,8)="J CD BIO"),"Biography",
IF(AND(D337="Audiobook",LEFT(B337,6)="CD FIC"),"Audiobook Fiction",
IF(AND(D337="Teen Audiobook",LEFT(B337,11)="TEEN CD FIC"),"Teen Audiobook",
IF(AND(D337="Juvenile Audiobook",LEFT(B337,8)="J CD FIC"),"Juvenile Audiobook",
IF(D337="Audiobook","Nonfiction",
IF(D337="Juvenile Audiobook","Nonfiction",
IF(D337="Teen Audiobook","Nonfiction",
IF(D337="Juvenile Nonfiction","Nonfiction",
IF(D337="Teen Nonfiction","Nonfiction",
IF(D337="Juvenile Biography","Biography",
IF(D337="Teen Biography","Biography",
IF(D337="ESL","Nonfiction",
IF(LEFT(B337,11)="INTL-VIE J ","International Juvenile",IF(LEFT(B337,11)="INTL-TAG J ","International Juvenile",IF(LEFT(B337,11)="INTL-RUS J ","International Juvenile",IF(LEFT(B337,11)="INTL-KOR J ","International Juvenile",IF(LEFT(B337,11)="INTL-JAP J ","International Juvenile",IF(LEFT(B337,11)="INTL-CHI J ","International Juvenile",IF(LEFT(B337,11)="INTL-SPA J ","International Juvenile",IF(LEFT(B337,14)="INTL-VIE TEEN ","International Teen",IF(LEFT(B337,14)="INTL-TAG TEEN ","International Teen",IF(LEFT(B337,14)="INTL-RUS TEEN ","International Teen",IF(LEFT(B337,14)="INTL-KOR TEEN ","International Teen",IF(LEFT(B337,14)="INTL-JAP TEEN ","International Teen",IF(LEFT(B337,14)="INTL-CHI TEEN ","International Teen",IF(LEFT(B337,14)="INTL-SPA TEEN ","International Teen",IF(LEFT(B337,11)="INTL-VIE E ","International Easy",IF(LEFT(B337,11)="INTL-TAG E ","International Easy",IF(LEFT(B337,11)="INTL-RUS E ","International Easy",IF(LEFT(B337,11)="INTL-JAP E ","International Easy",IF(LEFT(B337,11)="INTL-KOR E ","International Easy",IF(LEFT(B337,11)="INTL-CHI E ","International Easy",IF(LEFT(B337,11)="INTL-SPA E ","International Easy",
IF(D337="Teen Large Type","Teen Fiction",
IF(D337="Juvenile Large Type","Juvenile Fiction",
IF(LEFT(B337,6)="J CD O","Juvenile Compact Disc",
IF(AND(LEFT(B337,4)="TEEN",D337="Fiction"),"Teen Fiction",
IF(D337="DVD Educational","Nonfiction",
IF(D337="Juvenile DVD Educational","Nonfiction",
IF(D337="Reference","Nonfiction",
D337))))))))))))))))))))))))))))))))))))))))))</f>
        <v/>
      </c>
    </row>
    <row r="338" spans="1:14" ht="27" customHeight="1" x14ac:dyDescent="0.25">
      <c r="A338" s="10" t="str">
        <f ca="1">TEXT( INDIRECT( ADDRESS( ROW() + Row_Offset, INDIRECT( "Column_Number_" &amp; A$1), 4,1, tabname) ), "")</f>
        <v/>
      </c>
      <c r="B338" s="10" t="str">
        <f ca="1">TEXT(  IFERROR( VLOOKUP( $D338, CollName_Simplifier_Table[], 2, FALSE),"") &amp;
        INDIRECT( ADDRESS( ROW() + Row_Offset, INDIRECT( "Column_Number_" &amp; $B$1), 4,1, tabname) ), "")</f>
        <v/>
      </c>
      <c r="C338" s="10" t="str">
        <f ca="1">TEXT( INDIRECT( ADDRESS( ROW() + Row_Offset, INDIRECT( "Column_Number_" &amp; C$1), 4,1, tabname) ), "")</f>
        <v/>
      </c>
      <c r="D338" s="10" t="str">
        <f ca="1">TEXT( INDIRECT( ADDRESS( ROW() + Row_Offset, INDIRECT( "Column_Number_" &amp; D$1), 4,1, tabname) ), "")</f>
        <v/>
      </c>
      <c r="E338" s="10" t="str">
        <f ca="1">TEXT( INDIRECT( ADDRESS( ROW() + Row_Offset, INDIRECT( "Column_Number_" &amp; E$1), 4,1, tabname) ), "####")</f>
        <v/>
      </c>
      <c r="F338" s="15"/>
      <c r="G338" s="22" t="str">
        <f ca="1">IFERROR(INDEX(Rank_Table[],MATCH($D338&amp;$A338,Table4[Join],0)),"")</f>
        <v/>
      </c>
      <c r="H338" s="11" t="str">
        <f ca="1">IF(AND(D338="Juvenile Audiobook",LEFT(B338,8)="J CD BIO"),RIGHT(B338,LEN(B338)-9),
IF(AND(D338="Juvenile Audiobook",LEFT(B338,8)="J CD FIC"),B338,
IF(D338="Juvenile Audiobook",RIGHT(B338,LEN(B338)-5),
IF(AND(D338="Teen Audiobook",LEFT(B338,11)="TEEN CD BIO"),RIGHT(B338,LEN(B338)-12),
IF(AND(D338="Teen Audiobook",LEFT(B338,11)="TEEN CD FIC"),B338,
IF(D338="Juvenile Audiobook",RIGHT(B338,LEN(B338)-8),
IF(D338="Juvenile Nonfiction",RIGHT(B338,LEN(B338)-2),
IF(D338="Teen Nonfiction",RIGHT(B338,LEN(B338)-5),
IF(AND(D338="Audiobook",
              NOT(OR(Contains($B338,"CD BIO"),Contains($B338,"CD FIC")))),RIGHT(B338,LEN(B338)-3),
IF(D338="Juvenile Biography",RIGHT(B338,LEN(B338)-2),
IF(D338="Teen Biography",RIGHT(B338,LEN(B338)-5),
IF(AND(D338="Audiobook",
              IFERROR(FIND("BIO",$B338)&gt;0,FALSE)),RIGHT(B338,LEN(B338)-3),
IF(D338="Juvenile Large Type","J "&amp;RIGHT(B338,LEN(B338)-11),
IF(D338="Teen Large Type","TEEN "&amp;RIGHT(B338,LEN(B338)-14),
IF(D338="Reference",RIGHT(B338,LEN(B338)-4),
IF(D338="DVD Educational",RIGHT(B338,LEN(B338)-7),
IF(D338="Juvenile DVD Educational",RIGHT(B338,LEN(B338)-9),
B338)))))))))))))))))</f>
        <v/>
      </c>
      <c r="N338" s="11" t="str">
        <f ca="1">IF(IFERROR(FIND("New",$A338)&gt;0,FALSE),"New ","") &amp; IF(IFERROR(FIND("In Lib",$A338)&gt;0,FALSE),"Reference ","") &amp;
IF(AND(D338="Audiobook",LEFT(B338,6)="CD BIO"),"Biography",
IF(AND(D338="Teen Audiobook",LEFT(B338,11)="TEEN CD BIO"),"Biography",
IF(AND(D338="Juvenile Audiobook",LEFT(B338,8)="J CD BIO"),"Biography",
IF(AND(D338="Audiobook",LEFT(B338,6)="CD FIC"),"Audiobook Fiction",
IF(AND(D338="Teen Audiobook",LEFT(B338,11)="TEEN CD FIC"),"Teen Audiobook",
IF(AND(D338="Juvenile Audiobook",LEFT(B338,8)="J CD FIC"),"Juvenile Audiobook",
IF(D338="Audiobook","Nonfiction",
IF(D338="Juvenile Audiobook","Nonfiction",
IF(D338="Teen Audiobook","Nonfiction",
IF(D338="Juvenile Nonfiction","Nonfiction",
IF(D338="Teen Nonfiction","Nonfiction",
IF(D338="Juvenile Biography","Biography",
IF(D338="Teen Biography","Biography",
IF(D338="ESL","Nonfiction",
IF(LEFT(B338,11)="INTL-VIE J ","International Juvenile",IF(LEFT(B338,11)="INTL-TAG J ","International Juvenile",IF(LEFT(B338,11)="INTL-RUS J ","International Juvenile",IF(LEFT(B338,11)="INTL-KOR J ","International Juvenile",IF(LEFT(B338,11)="INTL-JAP J ","International Juvenile",IF(LEFT(B338,11)="INTL-CHI J ","International Juvenile",IF(LEFT(B338,11)="INTL-SPA J ","International Juvenile",IF(LEFT(B338,14)="INTL-VIE TEEN ","International Teen",IF(LEFT(B338,14)="INTL-TAG TEEN ","International Teen",IF(LEFT(B338,14)="INTL-RUS TEEN ","International Teen",IF(LEFT(B338,14)="INTL-KOR TEEN ","International Teen",IF(LEFT(B338,14)="INTL-JAP TEEN ","International Teen",IF(LEFT(B338,14)="INTL-CHI TEEN ","International Teen",IF(LEFT(B338,14)="INTL-SPA TEEN ","International Teen",IF(LEFT(B338,11)="INTL-VIE E ","International Easy",IF(LEFT(B338,11)="INTL-TAG E ","International Easy",IF(LEFT(B338,11)="INTL-RUS E ","International Easy",IF(LEFT(B338,11)="INTL-JAP E ","International Easy",IF(LEFT(B338,11)="INTL-KOR E ","International Easy",IF(LEFT(B338,11)="INTL-CHI E ","International Easy",IF(LEFT(B338,11)="INTL-SPA E ","International Easy",
IF(D338="Teen Large Type","Teen Fiction",
IF(D338="Juvenile Large Type","Juvenile Fiction",
IF(LEFT(B338,6)="J CD O","Juvenile Compact Disc",
IF(AND(LEFT(B338,4)="TEEN",D338="Fiction"),"Teen Fiction",
IF(D338="DVD Educational","Nonfiction",
IF(D338="Juvenile DVD Educational","Nonfiction",
IF(D338="Reference","Nonfiction",
D338))))))))))))))))))))))))))))))))))))))))))</f>
        <v/>
      </c>
    </row>
    <row r="339" spans="1:14" ht="27" customHeight="1" x14ac:dyDescent="0.25">
      <c r="A339" s="10" t="str">
        <f ca="1">TEXT( INDIRECT( ADDRESS( ROW() + Row_Offset, INDIRECT( "Column_Number_" &amp; A$1), 4,1, tabname) ), "")</f>
        <v/>
      </c>
      <c r="B339" s="10" t="str">
        <f ca="1">TEXT(  IFERROR( VLOOKUP( $D339, CollName_Simplifier_Table[], 2, FALSE),"") &amp;
        INDIRECT( ADDRESS( ROW() + Row_Offset, INDIRECT( "Column_Number_" &amp; $B$1), 4,1, tabname) ), "")</f>
        <v/>
      </c>
      <c r="C339" s="10" t="str">
        <f ca="1">TEXT( INDIRECT( ADDRESS( ROW() + Row_Offset, INDIRECT( "Column_Number_" &amp; C$1), 4,1, tabname) ), "")</f>
        <v/>
      </c>
      <c r="D339" s="10" t="str">
        <f ca="1">TEXT( INDIRECT( ADDRESS( ROW() + Row_Offset, INDIRECT( "Column_Number_" &amp; D$1), 4,1, tabname) ), "")</f>
        <v/>
      </c>
      <c r="E339" s="10" t="str">
        <f ca="1">TEXT( INDIRECT( ADDRESS( ROW() + Row_Offset, INDIRECT( "Column_Number_" &amp; E$1), 4,1, tabname) ), "####")</f>
        <v/>
      </c>
      <c r="F339" s="15"/>
      <c r="G339" s="22" t="str">
        <f ca="1">IFERROR(INDEX(Rank_Table[],MATCH($D339&amp;$A339,Table4[Join],0)),"")</f>
        <v/>
      </c>
      <c r="H339" s="11" t="str">
        <f ca="1">IF(AND(D339="Juvenile Audiobook",LEFT(B339,8)="J CD BIO"),RIGHT(B339,LEN(B339)-9),
IF(AND(D339="Juvenile Audiobook",LEFT(B339,8)="J CD FIC"),B339,
IF(D339="Juvenile Audiobook",RIGHT(B339,LEN(B339)-5),
IF(AND(D339="Teen Audiobook",LEFT(B339,11)="TEEN CD BIO"),RIGHT(B339,LEN(B339)-12),
IF(AND(D339="Teen Audiobook",LEFT(B339,11)="TEEN CD FIC"),B339,
IF(D339="Juvenile Audiobook",RIGHT(B339,LEN(B339)-8),
IF(D339="Juvenile Nonfiction",RIGHT(B339,LEN(B339)-2),
IF(D339="Teen Nonfiction",RIGHT(B339,LEN(B339)-5),
IF(AND(D339="Audiobook",
              NOT(OR(Contains($B339,"CD BIO"),Contains($B339,"CD FIC")))),RIGHT(B339,LEN(B339)-3),
IF(D339="Juvenile Biography",RIGHT(B339,LEN(B339)-2),
IF(D339="Teen Biography",RIGHT(B339,LEN(B339)-5),
IF(AND(D339="Audiobook",
              IFERROR(FIND("BIO",$B339)&gt;0,FALSE)),RIGHT(B339,LEN(B339)-3),
IF(D339="Juvenile Large Type","J "&amp;RIGHT(B339,LEN(B339)-11),
IF(D339="Teen Large Type","TEEN "&amp;RIGHT(B339,LEN(B339)-14),
IF(D339="Reference",RIGHT(B339,LEN(B339)-4),
IF(D339="DVD Educational",RIGHT(B339,LEN(B339)-7),
IF(D339="Juvenile DVD Educational",RIGHT(B339,LEN(B339)-9),
B339)))))))))))))))))</f>
        <v/>
      </c>
      <c r="N339" s="11" t="str">
        <f ca="1">IF(IFERROR(FIND("New",$A339)&gt;0,FALSE),"New ","") &amp; IF(IFERROR(FIND("In Lib",$A339)&gt;0,FALSE),"Reference ","") &amp;
IF(AND(D339="Audiobook",LEFT(B339,6)="CD BIO"),"Biography",
IF(AND(D339="Teen Audiobook",LEFT(B339,11)="TEEN CD BIO"),"Biography",
IF(AND(D339="Juvenile Audiobook",LEFT(B339,8)="J CD BIO"),"Biography",
IF(AND(D339="Audiobook",LEFT(B339,6)="CD FIC"),"Audiobook Fiction",
IF(AND(D339="Teen Audiobook",LEFT(B339,11)="TEEN CD FIC"),"Teen Audiobook",
IF(AND(D339="Juvenile Audiobook",LEFT(B339,8)="J CD FIC"),"Juvenile Audiobook",
IF(D339="Audiobook","Nonfiction",
IF(D339="Juvenile Audiobook","Nonfiction",
IF(D339="Teen Audiobook","Nonfiction",
IF(D339="Juvenile Nonfiction","Nonfiction",
IF(D339="Teen Nonfiction","Nonfiction",
IF(D339="Juvenile Biography","Biography",
IF(D339="Teen Biography","Biography",
IF(D339="ESL","Nonfiction",
IF(LEFT(B339,11)="INTL-VIE J ","International Juvenile",IF(LEFT(B339,11)="INTL-TAG J ","International Juvenile",IF(LEFT(B339,11)="INTL-RUS J ","International Juvenile",IF(LEFT(B339,11)="INTL-KOR J ","International Juvenile",IF(LEFT(B339,11)="INTL-JAP J ","International Juvenile",IF(LEFT(B339,11)="INTL-CHI J ","International Juvenile",IF(LEFT(B339,11)="INTL-SPA J ","International Juvenile",IF(LEFT(B339,14)="INTL-VIE TEEN ","International Teen",IF(LEFT(B339,14)="INTL-TAG TEEN ","International Teen",IF(LEFT(B339,14)="INTL-RUS TEEN ","International Teen",IF(LEFT(B339,14)="INTL-KOR TEEN ","International Teen",IF(LEFT(B339,14)="INTL-JAP TEEN ","International Teen",IF(LEFT(B339,14)="INTL-CHI TEEN ","International Teen",IF(LEFT(B339,14)="INTL-SPA TEEN ","International Teen",IF(LEFT(B339,11)="INTL-VIE E ","International Easy",IF(LEFT(B339,11)="INTL-TAG E ","International Easy",IF(LEFT(B339,11)="INTL-RUS E ","International Easy",IF(LEFT(B339,11)="INTL-JAP E ","International Easy",IF(LEFT(B339,11)="INTL-KOR E ","International Easy",IF(LEFT(B339,11)="INTL-CHI E ","International Easy",IF(LEFT(B339,11)="INTL-SPA E ","International Easy",
IF(D339="Teen Large Type","Teen Fiction",
IF(D339="Juvenile Large Type","Juvenile Fiction",
IF(LEFT(B339,6)="J CD O","Juvenile Compact Disc",
IF(AND(LEFT(B339,4)="TEEN",D339="Fiction"),"Teen Fiction",
IF(D339="DVD Educational","Nonfiction",
IF(D339="Juvenile DVD Educational","Nonfiction",
IF(D339="Reference","Nonfiction",
D339))))))))))))))))))))))))))))))))))))))))))</f>
        <v/>
      </c>
    </row>
    <row r="340" spans="1:14" ht="27" customHeight="1" x14ac:dyDescent="0.25">
      <c r="A340" s="10" t="str">
        <f ca="1">TEXT( INDIRECT( ADDRESS( ROW() + Row_Offset, INDIRECT( "Column_Number_" &amp; A$1), 4,1, tabname) ), "")</f>
        <v/>
      </c>
      <c r="B340" s="10" t="str">
        <f ca="1">TEXT(  IFERROR( VLOOKUP( $D340, CollName_Simplifier_Table[], 2, FALSE),"") &amp;
        INDIRECT( ADDRESS( ROW() + Row_Offset, INDIRECT( "Column_Number_" &amp; $B$1), 4,1, tabname) ), "")</f>
        <v/>
      </c>
      <c r="C340" s="10" t="str">
        <f ca="1">TEXT( INDIRECT( ADDRESS( ROW() + Row_Offset, INDIRECT( "Column_Number_" &amp; C$1), 4,1, tabname) ), "")</f>
        <v/>
      </c>
      <c r="D340" s="10" t="str">
        <f ca="1">TEXT( INDIRECT( ADDRESS( ROW() + Row_Offset, INDIRECT( "Column_Number_" &amp; D$1), 4,1, tabname) ), "")</f>
        <v/>
      </c>
      <c r="E340" s="10" t="str">
        <f ca="1">TEXT( INDIRECT( ADDRESS( ROW() + Row_Offset, INDIRECT( "Column_Number_" &amp; E$1), 4,1, tabname) ), "####")</f>
        <v/>
      </c>
      <c r="F340" s="15"/>
      <c r="G340" s="22" t="str">
        <f ca="1">IFERROR(INDEX(Rank_Table[],MATCH($D340&amp;$A340,Table4[Join],0)),"")</f>
        <v/>
      </c>
      <c r="H340" s="11" t="str">
        <f ca="1">IF(AND(D340="Juvenile Audiobook",LEFT(B340,8)="J CD BIO"),RIGHT(B340,LEN(B340)-9),
IF(AND(D340="Juvenile Audiobook",LEFT(B340,8)="J CD FIC"),B340,
IF(D340="Juvenile Audiobook",RIGHT(B340,LEN(B340)-5),
IF(AND(D340="Teen Audiobook",LEFT(B340,11)="TEEN CD BIO"),RIGHT(B340,LEN(B340)-12),
IF(AND(D340="Teen Audiobook",LEFT(B340,11)="TEEN CD FIC"),B340,
IF(D340="Juvenile Audiobook",RIGHT(B340,LEN(B340)-8),
IF(D340="Juvenile Nonfiction",RIGHT(B340,LEN(B340)-2),
IF(D340="Teen Nonfiction",RIGHT(B340,LEN(B340)-5),
IF(AND(D340="Audiobook",
              NOT(OR(Contains($B340,"CD BIO"),Contains($B340,"CD FIC")))),RIGHT(B340,LEN(B340)-3),
IF(D340="Juvenile Biography",RIGHT(B340,LEN(B340)-2),
IF(D340="Teen Biography",RIGHT(B340,LEN(B340)-5),
IF(AND(D340="Audiobook",
              IFERROR(FIND("BIO",$B340)&gt;0,FALSE)),RIGHT(B340,LEN(B340)-3),
IF(D340="Juvenile Large Type","J "&amp;RIGHT(B340,LEN(B340)-11),
IF(D340="Teen Large Type","TEEN "&amp;RIGHT(B340,LEN(B340)-14),
IF(D340="Reference",RIGHT(B340,LEN(B340)-4),
IF(D340="DVD Educational",RIGHT(B340,LEN(B340)-7),
IF(D340="Juvenile DVD Educational",RIGHT(B340,LEN(B340)-9),
B340)))))))))))))))))</f>
        <v/>
      </c>
      <c r="N340" s="11" t="str">
        <f ca="1">IF(IFERROR(FIND("New",$A340)&gt;0,FALSE),"New ","") &amp; IF(IFERROR(FIND("In Lib",$A340)&gt;0,FALSE),"Reference ","") &amp;
IF(AND(D340="Audiobook",LEFT(B340,6)="CD BIO"),"Biography",
IF(AND(D340="Teen Audiobook",LEFT(B340,11)="TEEN CD BIO"),"Biography",
IF(AND(D340="Juvenile Audiobook",LEFT(B340,8)="J CD BIO"),"Biography",
IF(AND(D340="Audiobook",LEFT(B340,6)="CD FIC"),"Audiobook Fiction",
IF(AND(D340="Teen Audiobook",LEFT(B340,11)="TEEN CD FIC"),"Teen Audiobook",
IF(AND(D340="Juvenile Audiobook",LEFT(B340,8)="J CD FIC"),"Juvenile Audiobook",
IF(D340="Audiobook","Nonfiction",
IF(D340="Juvenile Audiobook","Nonfiction",
IF(D340="Teen Audiobook","Nonfiction",
IF(D340="Juvenile Nonfiction","Nonfiction",
IF(D340="Teen Nonfiction","Nonfiction",
IF(D340="Juvenile Biography","Biography",
IF(D340="Teen Biography","Biography",
IF(D340="ESL","Nonfiction",
IF(LEFT(B340,11)="INTL-VIE J ","International Juvenile",IF(LEFT(B340,11)="INTL-TAG J ","International Juvenile",IF(LEFT(B340,11)="INTL-RUS J ","International Juvenile",IF(LEFT(B340,11)="INTL-KOR J ","International Juvenile",IF(LEFT(B340,11)="INTL-JAP J ","International Juvenile",IF(LEFT(B340,11)="INTL-CHI J ","International Juvenile",IF(LEFT(B340,11)="INTL-SPA J ","International Juvenile",IF(LEFT(B340,14)="INTL-VIE TEEN ","International Teen",IF(LEFT(B340,14)="INTL-TAG TEEN ","International Teen",IF(LEFT(B340,14)="INTL-RUS TEEN ","International Teen",IF(LEFT(B340,14)="INTL-KOR TEEN ","International Teen",IF(LEFT(B340,14)="INTL-JAP TEEN ","International Teen",IF(LEFT(B340,14)="INTL-CHI TEEN ","International Teen",IF(LEFT(B340,14)="INTL-SPA TEEN ","International Teen",IF(LEFT(B340,11)="INTL-VIE E ","International Easy",IF(LEFT(B340,11)="INTL-TAG E ","International Easy",IF(LEFT(B340,11)="INTL-RUS E ","International Easy",IF(LEFT(B340,11)="INTL-JAP E ","International Easy",IF(LEFT(B340,11)="INTL-KOR E ","International Easy",IF(LEFT(B340,11)="INTL-CHI E ","International Easy",IF(LEFT(B340,11)="INTL-SPA E ","International Easy",
IF(D340="Teen Large Type","Teen Fiction",
IF(D340="Juvenile Large Type","Juvenile Fiction",
IF(LEFT(B340,6)="J CD O","Juvenile Compact Disc",
IF(AND(LEFT(B340,4)="TEEN",D340="Fiction"),"Teen Fiction",
IF(D340="DVD Educational","Nonfiction",
IF(D340="Juvenile DVD Educational","Nonfiction",
IF(D340="Reference","Nonfiction",
D340))))))))))))))))))))))))))))))))))))))))))</f>
        <v/>
      </c>
    </row>
    <row r="341" spans="1:14" ht="27" customHeight="1" x14ac:dyDescent="0.25">
      <c r="A341" s="10" t="str">
        <f ca="1">TEXT( INDIRECT( ADDRESS( ROW() + Row_Offset, INDIRECT( "Column_Number_" &amp; A$1), 4,1, tabname) ), "")</f>
        <v/>
      </c>
      <c r="B341" s="10" t="str">
        <f ca="1">TEXT(  IFERROR( VLOOKUP( $D341, CollName_Simplifier_Table[], 2, FALSE),"") &amp;
        INDIRECT( ADDRESS( ROW() + Row_Offset, INDIRECT( "Column_Number_" &amp; $B$1), 4,1, tabname) ), "")</f>
        <v/>
      </c>
      <c r="C341" s="10" t="str">
        <f ca="1">TEXT( INDIRECT( ADDRESS( ROW() + Row_Offset, INDIRECT( "Column_Number_" &amp; C$1), 4,1, tabname) ), "")</f>
        <v/>
      </c>
      <c r="D341" s="10" t="str">
        <f ca="1">TEXT( INDIRECT( ADDRESS( ROW() + Row_Offset, INDIRECT( "Column_Number_" &amp; D$1), 4,1, tabname) ), "")</f>
        <v/>
      </c>
      <c r="E341" s="10" t="str">
        <f ca="1">TEXT( INDIRECT( ADDRESS( ROW() + Row_Offset, INDIRECT( "Column_Number_" &amp; E$1), 4,1, tabname) ), "####")</f>
        <v/>
      </c>
      <c r="F341" s="15"/>
      <c r="G341" s="22" t="str">
        <f ca="1">IFERROR(INDEX(Rank_Table[],MATCH($D341&amp;$A341,Table4[Join],0)),"")</f>
        <v/>
      </c>
      <c r="H341" s="11" t="str">
        <f ca="1">IF(AND(D341="Juvenile Audiobook",LEFT(B341,8)="J CD BIO"),RIGHT(B341,LEN(B341)-9),
IF(AND(D341="Juvenile Audiobook",LEFT(B341,8)="J CD FIC"),B341,
IF(D341="Juvenile Audiobook",RIGHT(B341,LEN(B341)-5),
IF(AND(D341="Teen Audiobook",LEFT(B341,11)="TEEN CD BIO"),RIGHT(B341,LEN(B341)-12),
IF(AND(D341="Teen Audiobook",LEFT(B341,11)="TEEN CD FIC"),B341,
IF(D341="Juvenile Audiobook",RIGHT(B341,LEN(B341)-8),
IF(D341="Juvenile Nonfiction",RIGHT(B341,LEN(B341)-2),
IF(D341="Teen Nonfiction",RIGHT(B341,LEN(B341)-5),
IF(AND(D341="Audiobook",
              NOT(OR(Contains($B341,"CD BIO"),Contains($B341,"CD FIC")))),RIGHT(B341,LEN(B341)-3),
IF(D341="Juvenile Biography",RIGHT(B341,LEN(B341)-2),
IF(D341="Teen Biography",RIGHT(B341,LEN(B341)-5),
IF(AND(D341="Audiobook",
              IFERROR(FIND("BIO",$B341)&gt;0,FALSE)),RIGHT(B341,LEN(B341)-3),
IF(D341="Juvenile Large Type","J "&amp;RIGHT(B341,LEN(B341)-11),
IF(D341="Teen Large Type","TEEN "&amp;RIGHT(B341,LEN(B341)-14),
IF(D341="Reference",RIGHT(B341,LEN(B341)-4),
IF(D341="DVD Educational",RIGHT(B341,LEN(B341)-7),
IF(D341="Juvenile DVD Educational",RIGHT(B341,LEN(B341)-9),
B341)))))))))))))))))</f>
        <v/>
      </c>
      <c r="N341" s="11" t="str">
        <f ca="1">IF(IFERROR(FIND("New",$A341)&gt;0,FALSE),"New ","") &amp; IF(IFERROR(FIND("In Lib",$A341)&gt;0,FALSE),"Reference ","") &amp;
IF(AND(D341="Audiobook",LEFT(B341,6)="CD BIO"),"Biography",
IF(AND(D341="Teen Audiobook",LEFT(B341,11)="TEEN CD BIO"),"Biography",
IF(AND(D341="Juvenile Audiobook",LEFT(B341,8)="J CD BIO"),"Biography",
IF(AND(D341="Audiobook",LEFT(B341,6)="CD FIC"),"Audiobook Fiction",
IF(AND(D341="Teen Audiobook",LEFT(B341,11)="TEEN CD FIC"),"Teen Audiobook",
IF(AND(D341="Juvenile Audiobook",LEFT(B341,8)="J CD FIC"),"Juvenile Audiobook",
IF(D341="Audiobook","Nonfiction",
IF(D341="Juvenile Audiobook","Nonfiction",
IF(D341="Teen Audiobook","Nonfiction",
IF(D341="Juvenile Nonfiction","Nonfiction",
IF(D341="Teen Nonfiction","Nonfiction",
IF(D341="Juvenile Biography","Biography",
IF(D341="Teen Biography","Biography",
IF(D341="ESL","Nonfiction",
IF(LEFT(B341,11)="INTL-VIE J ","International Juvenile",IF(LEFT(B341,11)="INTL-TAG J ","International Juvenile",IF(LEFT(B341,11)="INTL-RUS J ","International Juvenile",IF(LEFT(B341,11)="INTL-KOR J ","International Juvenile",IF(LEFT(B341,11)="INTL-JAP J ","International Juvenile",IF(LEFT(B341,11)="INTL-CHI J ","International Juvenile",IF(LEFT(B341,11)="INTL-SPA J ","International Juvenile",IF(LEFT(B341,14)="INTL-VIE TEEN ","International Teen",IF(LEFT(B341,14)="INTL-TAG TEEN ","International Teen",IF(LEFT(B341,14)="INTL-RUS TEEN ","International Teen",IF(LEFT(B341,14)="INTL-KOR TEEN ","International Teen",IF(LEFT(B341,14)="INTL-JAP TEEN ","International Teen",IF(LEFT(B341,14)="INTL-CHI TEEN ","International Teen",IF(LEFT(B341,14)="INTL-SPA TEEN ","International Teen",IF(LEFT(B341,11)="INTL-VIE E ","International Easy",IF(LEFT(B341,11)="INTL-TAG E ","International Easy",IF(LEFT(B341,11)="INTL-RUS E ","International Easy",IF(LEFT(B341,11)="INTL-JAP E ","International Easy",IF(LEFT(B341,11)="INTL-KOR E ","International Easy",IF(LEFT(B341,11)="INTL-CHI E ","International Easy",IF(LEFT(B341,11)="INTL-SPA E ","International Easy",
IF(D341="Teen Large Type","Teen Fiction",
IF(D341="Juvenile Large Type","Juvenile Fiction",
IF(LEFT(B341,6)="J CD O","Juvenile Compact Disc",
IF(AND(LEFT(B341,4)="TEEN",D341="Fiction"),"Teen Fiction",
IF(D341="DVD Educational","Nonfiction",
IF(D341="Juvenile DVD Educational","Nonfiction",
IF(D341="Reference","Nonfiction",
D341))))))))))))))))))))))))))))))))))))))))))</f>
        <v/>
      </c>
    </row>
    <row r="342" spans="1:14" ht="27" customHeight="1" x14ac:dyDescent="0.25">
      <c r="A342" s="10" t="str">
        <f ca="1">TEXT( INDIRECT( ADDRESS( ROW() + Row_Offset, INDIRECT( "Column_Number_" &amp; A$1), 4,1, tabname) ), "")</f>
        <v/>
      </c>
      <c r="B342" s="10" t="str">
        <f ca="1">TEXT(  IFERROR( VLOOKUP( $D342, CollName_Simplifier_Table[], 2, FALSE),"") &amp;
        INDIRECT( ADDRESS( ROW() + Row_Offset, INDIRECT( "Column_Number_" &amp; $B$1), 4,1, tabname) ), "")</f>
        <v/>
      </c>
      <c r="C342" s="10" t="str">
        <f ca="1">TEXT( INDIRECT( ADDRESS( ROW() + Row_Offset, INDIRECT( "Column_Number_" &amp; C$1), 4,1, tabname) ), "")</f>
        <v/>
      </c>
      <c r="D342" s="10" t="str">
        <f ca="1">TEXT( INDIRECT( ADDRESS( ROW() + Row_Offset, INDIRECT( "Column_Number_" &amp; D$1), 4,1, tabname) ), "")</f>
        <v/>
      </c>
      <c r="E342" s="10" t="str">
        <f ca="1">TEXT( INDIRECT( ADDRESS( ROW() + Row_Offset, INDIRECT( "Column_Number_" &amp; E$1), 4,1, tabname) ), "####")</f>
        <v/>
      </c>
      <c r="F342" s="15"/>
      <c r="G342" s="22" t="str">
        <f ca="1">IFERROR(INDEX(Rank_Table[],MATCH($D342&amp;$A342,Table4[Join],0)),"")</f>
        <v/>
      </c>
      <c r="H342" s="11" t="str">
        <f ca="1">IF(AND(D342="Juvenile Audiobook",LEFT(B342,8)="J CD BIO"),RIGHT(B342,LEN(B342)-9),
IF(AND(D342="Juvenile Audiobook",LEFT(B342,8)="J CD FIC"),B342,
IF(D342="Juvenile Audiobook",RIGHT(B342,LEN(B342)-5),
IF(AND(D342="Teen Audiobook",LEFT(B342,11)="TEEN CD BIO"),RIGHT(B342,LEN(B342)-12),
IF(AND(D342="Teen Audiobook",LEFT(B342,11)="TEEN CD FIC"),B342,
IF(D342="Juvenile Audiobook",RIGHT(B342,LEN(B342)-8),
IF(D342="Juvenile Nonfiction",RIGHT(B342,LEN(B342)-2),
IF(D342="Teen Nonfiction",RIGHT(B342,LEN(B342)-5),
IF(AND(D342="Audiobook",
              NOT(OR(Contains($B342,"CD BIO"),Contains($B342,"CD FIC")))),RIGHT(B342,LEN(B342)-3),
IF(D342="Juvenile Biography",RIGHT(B342,LEN(B342)-2),
IF(D342="Teen Biography",RIGHT(B342,LEN(B342)-5),
IF(AND(D342="Audiobook",
              IFERROR(FIND("BIO",$B342)&gt;0,FALSE)),RIGHT(B342,LEN(B342)-3),
IF(D342="Juvenile Large Type","J "&amp;RIGHT(B342,LEN(B342)-11),
IF(D342="Teen Large Type","TEEN "&amp;RIGHT(B342,LEN(B342)-14),
IF(D342="Reference",RIGHT(B342,LEN(B342)-4),
IF(D342="DVD Educational",RIGHT(B342,LEN(B342)-7),
IF(D342="Juvenile DVD Educational",RIGHT(B342,LEN(B342)-9),
B342)))))))))))))))))</f>
        <v/>
      </c>
      <c r="N342" s="11" t="str">
        <f ca="1">IF(IFERROR(FIND("New",$A342)&gt;0,FALSE),"New ","") &amp; IF(IFERROR(FIND("In Lib",$A342)&gt;0,FALSE),"Reference ","") &amp;
IF(AND(D342="Audiobook",LEFT(B342,6)="CD BIO"),"Biography",
IF(AND(D342="Teen Audiobook",LEFT(B342,11)="TEEN CD BIO"),"Biography",
IF(AND(D342="Juvenile Audiobook",LEFT(B342,8)="J CD BIO"),"Biography",
IF(AND(D342="Audiobook",LEFT(B342,6)="CD FIC"),"Audiobook Fiction",
IF(AND(D342="Teen Audiobook",LEFT(B342,11)="TEEN CD FIC"),"Teen Audiobook",
IF(AND(D342="Juvenile Audiobook",LEFT(B342,8)="J CD FIC"),"Juvenile Audiobook",
IF(D342="Audiobook","Nonfiction",
IF(D342="Juvenile Audiobook","Nonfiction",
IF(D342="Teen Audiobook","Nonfiction",
IF(D342="Juvenile Nonfiction","Nonfiction",
IF(D342="Teen Nonfiction","Nonfiction",
IF(D342="Juvenile Biography","Biography",
IF(D342="Teen Biography","Biography",
IF(D342="ESL","Nonfiction",
IF(LEFT(B342,11)="INTL-VIE J ","International Juvenile",IF(LEFT(B342,11)="INTL-TAG J ","International Juvenile",IF(LEFT(B342,11)="INTL-RUS J ","International Juvenile",IF(LEFT(B342,11)="INTL-KOR J ","International Juvenile",IF(LEFT(B342,11)="INTL-JAP J ","International Juvenile",IF(LEFT(B342,11)="INTL-CHI J ","International Juvenile",IF(LEFT(B342,11)="INTL-SPA J ","International Juvenile",IF(LEFT(B342,14)="INTL-VIE TEEN ","International Teen",IF(LEFT(B342,14)="INTL-TAG TEEN ","International Teen",IF(LEFT(B342,14)="INTL-RUS TEEN ","International Teen",IF(LEFT(B342,14)="INTL-KOR TEEN ","International Teen",IF(LEFT(B342,14)="INTL-JAP TEEN ","International Teen",IF(LEFT(B342,14)="INTL-CHI TEEN ","International Teen",IF(LEFT(B342,14)="INTL-SPA TEEN ","International Teen",IF(LEFT(B342,11)="INTL-VIE E ","International Easy",IF(LEFT(B342,11)="INTL-TAG E ","International Easy",IF(LEFT(B342,11)="INTL-RUS E ","International Easy",IF(LEFT(B342,11)="INTL-JAP E ","International Easy",IF(LEFT(B342,11)="INTL-KOR E ","International Easy",IF(LEFT(B342,11)="INTL-CHI E ","International Easy",IF(LEFT(B342,11)="INTL-SPA E ","International Easy",
IF(D342="Teen Large Type","Teen Fiction",
IF(D342="Juvenile Large Type","Juvenile Fiction",
IF(LEFT(B342,6)="J CD O","Juvenile Compact Disc",
IF(AND(LEFT(B342,4)="TEEN",D342="Fiction"),"Teen Fiction",
IF(D342="DVD Educational","Nonfiction",
IF(D342="Juvenile DVD Educational","Nonfiction",
IF(D342="Reference","Nonfiction",
D342))))))))))))))))))))))))))))))))))))))))))</f>
        <v/>
      </c>
    </row>
    <row r="343" spans="1:14" ht="27" customHeight="1" x14ac:dyDescent="0.25">
      <c r="A343" s="10" t="str">
        <f ca="1">TEXT( INDIRECT( ADDRESS( ROW() + Row_Offset, INDIRECT( "Column_Number_" &amp; A$1), 4,1, tabname) ), "")</f>
        <v/>
      </c>
      <c r="B343" s="10" t="str">
        <f ca="1">TEXT(  IFERROR( VLOOKUP( $D343, CollName_Simplifier_Table[], 2, FALSE),"") &amp;
        INDIRECT( ADDRESS( ROW() + Row_Offset, INDIRECT( "Column_Number_" &amp; $B$1), 4,1, tabname) ), "")</f>
        <v/>
      </c>
      <c r="C343" s="10" t="str">
        <f ca="1">TEXT( INDIRECT( ADDRESS( ROW() + Row_Offset, INDIRECT( "Column_Number_" &amp; C$1), 4,1, tabname) ), "")</f>
        <v/>
      </c>
      <c r="D343" s="10" t="str">
        <f ca="1">TEXT( INDIRECT( ADDRESS( ROW() + Row_Offset, INDIRECT( "Column_Number_" &amp; D$1), 4,1, tabname) ), "")</f>
        <v/>
      </c>
      <c r="E343" s="10" t="str">
        <f ca="1">TEXT( INDIRECT( ADDRESS( ROW() + Row_Offset, INDIRECT( "Column_Number_" &amp; E$1), 4,1, tabname) ), "####")</f>
        <v/>
      </c>
      <c r="F343" s="15"/>
      <c r="G343" s="22" t="str">
        <f ca="1">IFERROR(INDEX(Rank_Table[],MATCH($D343&amp;$A343,Table4[Join],0)),"")</f>
        <v/>
      </c>
      <c r="H343" s="11" t="str">
        <f ca="1">IF(AND(D343="Juvenile Audiobook",LEFT(B343,8)="J CD BIO"),RIGHT(B343,LEN(B343)-9),
IF(AND(D343="Juvenile Audiobook",LEFT(B343,8)="J CD FIC"),B343,
IF(D343="Juvenile Audiobook",RIGHT(B343,LEN(B343)-5),
IF(AND(D343="Teen Audiobook",LEFT(B343,11)="TEEN CD BIO"),RIGHT(B343,LEN(B343)-12),
IF(AND(D343="Teen Audiobook",LEFT(B343,11)="TEEN CD FIC"),B343,
IF(D343="Juvenile Audiobook",RIGHT(B343,LEN(B343)-8),
IF(D343="Juvenile Nonfiction",RIGHT(B343,LEN(B343)-2),
IF(D343="Teen Nonfiction",RIGHT(B343,LEN(B343)-5),
IF(AND(D343="Audiobook",
              NOT(OR(Contains($B343,"CD BIO"),Contains($B343,"CD FIC")))),RIGHT(B343,LEN(B343)-3),
IF(D343="Juvenile Biography",RIGHT(B343,LEN(B343)-2),
IF(D343="Teen Biography",RIGHT(B343,LEN(B343)-5),
IF(AND(D343="Audiobook",
              IFERROR(FIND("BIO",$B343)&gt;0,FALSE)),RIGHT(B343,LEN(B343)-3),
IF(D343="Juvenile Large Type","J "&amp;RIGHT(B343,LEN(B343)-11),
IF(D343="Teen Large Type","TEEN "&amp;RIGHT(B343,LEN(B343)-14),
IF(D343="Reference",RIGHT(B343,LEN(B343)-4),
IF(D343="DVD Educational",RIGHT(B343,LEN(B343)-7),
IF(D343="Juvenile DVD Educational",RIGHT(B343,LEN(B343)-9),
B343)))))))))))))))))</f>
        <v/>
      </c>
      <c r="N343" s="11" t="str">
        <f ca="1">IF(IFERROR(FIND("New",$A343)&gt;0,FALSE),"New ","") &amp; IF(IFERROR(FIND("In Lib",$A343)&gt;0,FALSE),"Reference ","") &amp;
IF(AND(D343="Audiobook",LEFT(B343,6)="CD BIO"),"Biography",
IF(AND(D343="Teen Audiobook",LEFT(B343,11)="TEEN CD BIO"),"Biography",
IF(AND(D343="Juvenile Audiobook",LEFT(B343,8)="J CD BIO"),"Biography",
IF(AND(D343="Audiobook",LEFT(B343,6)="CD FIC"),"Audiobook Fiction",
IF(AND(D343="Teen Audiobook",LEFT(B343,11)="TEEN CD FIC"),"Teen Audiobook",
IF(AND(D343="Juvenile Audiobook",LEFT(B343,8)="J CD FIC"),"Juvenile Audiobook",
IF(D343="Audiobook","Nonfiction",
IF(D343="Juvenile Audiobook","Nonfiction",
IF(D343="Teen Audiobook","Nonfiction",
IF(D343="Juvenile Nonfiction","Nonfiction",
IF(D343="Teen Nonfiction","Nonfiction",
IF(D343="Juvenile Biography","Biography",
IF(D343="Teen Biography","Biography",
IF(D343="ESL","Nonfiction",
IF(LEFT(B343,11)="INTL-VIE J ","International Juvenile",IF(LEFT(B343,11)="INTL-TAG J ","International Juvenile",IF(LEFT(B343,11)="INTL-RUS J ","International Juvenile",IF(LEFT(B343,11)="INTL-KOR J ","International Juvenile",IF(LEFT(B343,11)="INTL-JAP J ","International Juvenile",IF(LEFT(B343,11)="INTL-CHI J ","International Juvenile",IF(LEFT(B343,11)="INTL-SPA J ","International Juvenile",IF(LEFT(B343,14)="INTL-VIE TEEN ","International Teen",IF(LEFT(B343,14)="INTL-TAG TEEN ","International Teen",IF(LEFT(B343,14)="INTL-RUS TEEN ","International Teen",IF(LEFT(B343,14)="INTL-KOR TEEN ","International Teen",IF(LEFT(B343,14)="INTL-JAP TEEN ","International Teen",IF(LEFT(B343,14)="INTL-CHI TEEN ","International Teen",IF(LEFT(B343,14)="INTL-SPA TEEN ","International Teen",IF(LEFT(B343,11)="INTL-VIE E ","International Easy",IF(LEFT(B343,11)="INTL-TAG E ","International Easy",IF(LEFT(B343,11)="INTL-RUS E ","International Easy",IF(LEFT(B343,11)="INTL-JAP E ","International Easy",IF(LEFT(B343,11)="INTL-KOR E ","International Easy",IF(LEFT(B343,11)="INTL-CHI E ","International Easy",IF(LEFT(B343,11)="INTL-SPA E ","International Easy",
IF(D343="Teen Large Type","Teen Fiction",
IF(D343="Juvenile Large Type","Juvenile Fiction",
IF(LEFT(B343,6)="J CD O","Juvenile Compact Disc",
IF(AND(LEFT(B343,4)="TEEN",D343="Fiction"),"Teen Fiction",
IF(D343="DVD Educational","Nonfiction",
IF(D343="Juvenile DVD Educational","Nonfiction",
IF(D343="Reference","Nonfiction",
D343))))))))))))))))))))))))))))))))))))))))))</f>
        <v/>
      </c>
    </row>
    <row r="344" spans="1:14" ht="27" customHeight="1" x14ac:dyDescent="0.25">
      <c r="A344" s="10" t="str">
        <f ca="1">TEXT( INDIRECT( ADDRESS( ROW() + Row_Offset, INDIRECT( "Column_Number_" &amp; A$1), 4,1, tabname) ), "")</f>
        <v/>
      </c>
      <c r="B344" s="10" t="str">
        <f ca="1">TEXT(  IFERROR( VLOOKUP( $D344, CollName_Simplifier_Table[], 2, FALSE),"") &amp;
        INDIRECT( ADDRESS( ROW() + Row_Offset, INDIRECT( "Column_Number_" &amp; $B$1), 4,1, tabname) ), "")</f>
        <v/>
      </c>
      <c r="C344" s="10" t="str">
        <f ca="1">TEXT( INDIRECT( ADDRESS( ROW() + Row_Offset, INDIRECT( "Column_Number_" &amp; C$1), 4,1, tabname) ), "")</f>
        <v/>
      </c>
      <c r="D344" s="10" t="str">
        <f ca="1">TEXT( INDIRECT( ADDRESS( ROW() + Row_Offset, INDIRECT( "Column_Number_" &amp; D$1), 4,1, tabname) ), "")</f>
        <v/>
      </c>
      <c r="E344" s="10" t="str">
        <f ca="1">TEXT( INDIRECT( ADDRESS( ROW() + Row_Offset, INDIRECT( "Column_Number_" &amp; E$1), 4,1, tabname) ), "####")</f>
        <v/>
      </c>
      <c r="F344" s="15"/>
      <c r="G344" s="22" t="str">
        <f ca="1">IFERROR(INDEX(Rank_Table[],MATCH($D344&amp;$A344,Table4[Join],0)),"")</f>
        <v/>
      </c>
      <c r="H344" s="11" t="str">
        <f ca="1">IF(AND(D344="Juvenile Audiobook",LEFT(B344,8)="J CD BIO"),RIGHT(B344,LEN(B344)-9),
IF(AND(D344="Juvenile Audiobook",LEFT(B344,8)="J CD FIC"),B344,
IF(D344="Juvenile Audiobook",RIGHT(B344,LEN(B344)-5),
IF(AND(D344="Teen Audiobook",LEFT(B344,11)="TEEN CD BIO"),RIGHT(B344,LEN(B344)-12),
IF(AND(D344="Teen Audiobook",LEFT(B344,11)="TEEN CD FIC"),B344,
IF(D344="Juvenile Audiobook",RIGHT(B344,LEN(B344)-8),
IF(D344="Juvenile Nonfiction",RIGHT(B344,LEN(B344)-2),
IF(D344="Teen Nonfiction",RIGHT(B344,LEN(B344)-5),
IF(AND(D344="Audiobook",
              NOT(OR(Contains($B344,"CD BIO"),Contains($B344,"CD FIC")))),RIGHT(B344,LEN(B344)-3),
IF(D344="Juvenile Biography",RIGHT(B344,LEN(B344)-2),
IF(D344="Teen Biography",RIGHT(B344,LEN(B344)-5),
IF(AND(D344="Audiobook",
              IFERROR(FIND("BIO",$B344)&gt;0,FALSE)),RIGHT(B344,LEN(B344)-3),
IF(D344="Juvenile Large Type","J "&amp;RIGHT(B344,LEN(B344)-11),
IF(D344="Teen Large Type","TEEN "&amp;RIGHT(B344,LEN(B344)-14),
IF(D344="Reference",RIGHT(B344,LEN(B344)-4),
IF(D344="DVD Educational",RIGHT(B344,LEN(B344)-7),
IF(D344="Juvenile DVD Educational",RIGHT(B344,LEN(B344)-9),
B344)))))))))))))))))</f>
        <v/>
      </c>
      <c r="N344" s="11" t="str">
        <f ca="1">IF(IFERROR(FIND("New",$A344)&gt;0,FALSE),"New ","") &amp; IF(IFERROR(FIND("In Lib",$A344)&gt;0,FALSE),"Reference ","") &amp;
IF(AND(D344="Audiobook",LEFT(B344,6)="CD BIO"),"Biography",
IF(AND(D344="Teen Audiobook",LEFT(B344,11)="TEEN CD BIO"),"Biography",
IF(AND(D344="Juvenile Audiobook",LEFT(B344,8)="J CD BIO"),"Biography",
IF(AND(D344="Audiobook",LEFT(B344,6)="CD FIC"),"Audiobook Fiction",
IF(AND(D344="Teen Audiobook",LEFT(B344,11)="TEEN CD FIC"),"Teen Audiobook",
IF(AND(D344="Juvenile Audiobook",LEFT(B344,8)="J CD FIC"),"Juvenile Audiobook",
IF(D344="Audiobook","Nonfiction",
IF(D344="Juvenile Audiobook","Nonfiction",
IF(D344="Teen Audiobook","Nonfiction",
IF(D344="Juvenile Nonfiction","Nonfiction",
IF(D344="Teen Nonfiction","Nonfiction",
IF(D344="Juvenile Biography","Biography",
IF(D344="Teen Biography","Biography",
IF(D344="ESL","Nonfiction",
IF(LEFT(B344,11)="INTL-VIE J ","International Juvenile",IF(LEFT(B344,11)="INTL-TAG J ","International Juvenile",IF(LEFT(B344,11)="INTL-RUS J ","International Juvenile",IF(LEFT(B344,11)="INTL-KOR J ","International Juvenile",IF(LEFT(B344,11)="INTL-JAP J ","International Juvenile",IF(LEFT(B344,11)="INTL-CHI J ","International Juvenile",IF(LEFT(B344,11)="INTL-SPA J ","International Juvenile",IF(LEFT(B344,14)="INTL-VIE TEEN ","International Teen",IF(LEFT(B344,14)="INTL-TAG TEEN ","International Teen",IF(LEFT(B344,14)="INTL-RUS TEEN ","International Teen",IF(LEFT(B344,14)="INTL-KOR TEEN ","International Teen",IF(LEFT(B344,14)="INTL-JAP TEEN ","International Teen",IF(LEFT(B344,14)="INTL-CHI TEEN ","International Teen",IF(LEFT(B344,14)="INTL-SPA TEEN ","International Teen",IF(LEFT(B344,11)="INTL-VIE E ","International Easy",IF(LEFT(B344,11)="INTL-TAG E ","International Easy",IF(LEFT(B344,11)="INTL-RUS E ","International Easy",IF(LEFT(B344,11)="INTL-JAP E ","International Easy",IF(LEFT(B344,11)="INTL-KOR E ","International Easy",IF(LEFT(B344,11)="INTL-CHI E ","International Easy",IF(LEFT(B344,11)="INTL-SPA E ","International Easy",
IF(D344="Teen Large Type","Teen Fiction",
IF(D344="Juvenile Large Type","Juvenile Fiction",
IF(LEFT(B344,6)="J CD O","Juvenile Compact Disc",
IF(AND(LEFT(B344,4)="TEEN",D344="Fiction"),"Teen Fiction",
IF(D344="DVD Educational","Nonfiction",
IF(D344="Juvenile DVD Educational","Nonfiction",
IF(D344="Reference","Nonfiction",
D344))))))))))))))))))))))))))))))))))))))))))</f>
        <v/>
      </c>
    </row>
    <row r="345" spans="1:14" ht="27" customHeight="1" x14ac:dyDescent="0.25">
      <c r="A345" s="10" t="str">
        <f ca="1">TEXT( INDIRECT( ADDRESS( ROW() + Row_Offset, INDIRECT( "Column_Number_" &amp; A$1), 4,1, tabname) ), "")</f>
        <v/>
      </c>
      <c r="B345" s="10" t="str">
        <f ca="1">TEXT(  IFERROR( VLOOKUP( $D345, CollName_Simplifier_Table[], 2, FALSE),"") &amp;
        INDIRECT( ADDRESS( ROW() + Row_Offset, INDIRECT( "Column_Number_" &amp; $B$1), 4,1, tabname) ), "")</f>
        <v/>
      </c>
      <c r="C345" s="10" t="str">
        <f ca="1">TEXT( INDIRECT( ADDRESS( ROW() + Row_Offset, INDIRECT( "Column_Number_" &amp; C$1), 4,1, tabname) ), "")</f>
        <v/>
      </c>
      <c r="D345" s="10" t="str">
        <f ca="1">TEXT( INDIRECT( ADDRESS( ROW() + Row_Offset, INDIRECT( "Column_Number_" &amp; D$1), 4,1, tabname) ), "")</f>
        <v/>
      </c>
      <c r="E345" s="10" t="str">
        <f ca="1">TEXT( INDIRECT( ADDRESS( ROW() + Row_Offset, INDIRECT( "Column_Number_" &amp; E$1), 4,1, tabname) ), "####")</f>
        <v/>
      </c>
      <c r="F345" s="15"/>
      <c r="G345" s="22" t="str">
        <f ca="1">IFERROR(INDEX(Rank_Table[],MATCH($D345&amp;$A345,Table4[Join],0)),"")</f>
        <v/>
      </c>
      <c r="H345" s="11" t="str">
        <f ca="1">IF(AND(D345="Juvenile Audiobook",LEFT(B345,8)="J CD BIO"),RIGHT(B345,LEN(B345)-9),
IF(AND(D345="Juvenile Audiobook",LEFT(B345,8)="J CD FIC"),B345,
IF(D345="Juvenile Audiobook",RIGHT(B345,LEN(B345)-5),
IF(AND(D345="Teen Audiobook",LEFT(B345,11)="TEEN CD BIO"),RIGHT(B345,LEN(B345)-12),
IF(AND(D345="Teen Audiobook",LEFT(B345,11)="TEEN CD FIC"),B345,
IF(D345="Juvenile Audiobook",RIGHT(B345,LEN(B345)-8),
IF(D345="Juvenile Nonfiction",RIGHT(B345,LEN(B345)-2),
IF(D345="Teen Nonfiction",RIGHT(B345,LEN(B345)-5),
IF(AND(D345="Audiobook",
              NOT(OR(Contains($B345,"CD BIO"),Contains($B345,"CD FIC")))),RIGHT(B345,LEN(B345)-3),
IF(D345="Juvenile Biography",RIGHT(B345,LEN(B345)-2),
IF(D345="Teen Biography",RIGHT(B345,LEN(B345)-5),
IF(AND(D345="Audiobook",
              IFERROR(FIND("BIO",$B345)&gt;0,FALSE)),RIGHT(B345,LEN(B345)-3),
IF(D345="Juvenile Large Type","J "&amp;RIGHT(B345,LEN(B345)-11),
IF(D345="Teen Large Type","TEEN "&amp;RIGHT(B345,LEN(B345)-14),
IF(D345="Reference",RIGHT(B345,LEN(B345)-4),
IF(D345="DVD Educational",RIGHT(B345,LEN(B345)-7),
IF(D345="Juvenile DVD Educational",RIGHT(B345,LEN(B345)-9),
B345)))))))))))))))))</f>
        <v/>
      </c>
      <c r="N345" s="11" t="str">
        <f ca="1">IF(IFERROR(FIND("New",$A345)&gt;0,FALSE),"New ","") &amp; IF(IFERROR(FIND("In Lib",$A345)&gt;0,FALSE),"Reference ","") &amp;
IF(AND(D345="Audiobook",LEFT(B345,6)="CD BIO"),"Biography",
IF(AND(D345="Teen Audiobook",LEFT(B345,11)="TEEN CD BIO"),"Biography",
IF(AND(D345="Juvenile Audiobook",LEFT(B345,8)="J CD BIO"),"Biography",
IF(AND(D345="Audiobook",LEFT(B345,6)="CD FIC"),"Audiobook Fiction",
IF(AND(D345="Teen Audiobook",LEFT(B345,11)="TEEN CD FIC"),"Teen Audiobook",
IF(AND(D345="Juvenile Audiobook",LEFT(B345,8)="J CD FIC"),"Juvenile Audiobook",
IF(D345="Audiobook","Nonfiction",
IF(D345="Juvenile Audiobook","Nonfiction",
IF(D345="Teen Audiobook","Nonfiction",
IF(D345="Juvenile Nonfiction","Nonfiction",
IF(D345="Teen Nonfiction","Nonfiction",
IF(D345="Juvenile Biography","Biography",
IF(D345="Teen Biography","Biography",
IF(D345="ESL","Nonfiction",
IF(LEFT(B345,11)="INTL-VIE J ","International Juvenile",IF(LEFT(B345,11)="INTL-TAG J ","International Juvenile",IF(LEFT(B345,11)="INTL-RUS J ","International Juvenile",IF(LEFT(B345,11)="INTL-KOR J ","International Juvenile",IF(LEFT(B345,11)="INTL-JAP J ","International Juvenile",IF(LEFT(B345,11)="INTL-CHI J ","International Juvenile",IF(LEFT(B345,11)="INTL-SPA J ","International Juvenile",IF(LEFT(B345,14)="INTL-VIE TEEN ","International Teen",IF(LEFT(B345,14)="INTL-TAG TEEN ","International Teen",IF(LEFT(B345,14)="INTL-RUS TEEN ","International Teen",IF(LEFT(B345,14)="INTL-KOR TEEN ","International Teen",IF(LEFT(B345,14)="INTL-JAP TEEN ","International Teen",IF(LEFT(B345,14)="INTL-CHI TEEN ","International Teen",IF(LEFT(B345,14)="INTL-SPA TEEN ","International Teen",IF(LEFT(B345,11)="INTL-VIE E ","International Easy",IF(LEFT(B345,11)="INTL-TAG E ","International Easy",IF(LEFT(B345,11)="INTL-RUS E ","International Easy",IF(LEFT(B345,11)="INTL-JAP E ","International Easy",IF(LEFT(B345,11)="INTL-KOR E ","International Easy",IF(LEFT(B345,11)="INTL-CHI E ","International Easy",IF(LEFT(B345,11)="INTL-SPA E ","International Easy",
IF(D345="Teen Large Type","Teen Fiction",
IF(D345="Juvenile Large Type","Juvenile Fiction",
IF(LEFT(B345,6)="J CD O","Juvenile Compact Disc",
IF(AND(LEFT(B345,4)="TEEN",D345="Fiction"),"Teen Fiction",
IF(D345="DVD Educational","Nonfiction",
IF(D345="Juvenile DVD Educational","Nonfiction",
IF(D345="Reference","Nonfiction",
D345))))))))))))))))))))))))))))))))))))))))))</f>
        <v/>
      </c>
    </row>
    <row r="346" spans="1:14" ht="27" customHeight="1" x14ac:dyDescent="0.25">
      <c r="A346" s="10" t="str">
        <f ca="1">TEXT( INDIRECT( ADDRESS( ROW() + Row_Offset, INDIRECT( "Column_Number_" &amp; A$1), 4,1, tabname) ), "")</f>
        <v/>
      </c>
      <c r="B346" s="10" t="str">
        <f ca="1">TEXT(  IFERROR( VLOOKUP( $D346, CollName_Simplifier_Table[], 2, FALSE),"") &amp;
        INDIRECT( ADDRESS( ROW() + Row_Offset, INDIRECT( "Column_Number_" &amp; $B$1), 4,1, tabname) ), "")</f>
        <v/>
      </c>
      <c r="C346" s="10" t="str">
        <f ca="1">TEXT( INDIRECT( ADDRESS( ROW() + Row_Offset, INDIRECT( "Column_Number_" &amp; C$1), 4,1, tabname) ), "")</f>
        <v/>
      </c>
      <c r="D346" s="10" t="str">
        <f ca="1">TEXT( INDIRECT( ADDRESS( ROW() + Row_Offset, INDIRECT( "Column_Number_" &amp; D$1), 4,1, tabname) ), "")</f>
        <v/>
      </c>
      <c r="E346" s="10" t="str">
        <f ca="1">TEXT( INDIRECT( ADDRESS( ROW() + Row_Offset, INDIRECT( "Column_Number_" &amp; E$1), 4,1, tabname) ), "####")</f>
        <v/>
      </c>
      <c r="F346" s="15"/>
      <c r="G346" s="22" t="str">
        <f ca="1">IFERROR(INDEX(Rank_Table[],MATCH($D346&amp;$A346,Table4[Join],0)),"")</f>
        <v/>
      </c>
      <c r="H346" s="11" t="str">
        <f ca="1">IF(AND(D346="Juvenile Audiobook",LEFT(B346,8)="J CD BIO"),RIGHT(B346,LEN(B346)-9),
IF(AND(D346="Juvenile Audiobook",LEFT(B346,8)="J CD FIC"),B346,
IF(D346="Juvenile Audiobook",RIGHT(B346,LEN(B346)-5),
IF(AND(D346="Teen Audiobook",LEFT(B346,11)="TEEN CD BIO"),RIGHT(B346,LEN(B346)-12),
IF(AND(D346="Teen Audiobook",LEFT(B346,11)="TEEN CD FIC"),B346,
IF(D346="Juvenile Audiobook",RIGHT(B346,LEN(B346)-8),
IF(D346="Juvenile Nonfiction",RIGHT(B346,LEN(B346)-2),
IF(D346="Teen Nonfiction",RIGHT(B346,LEN(B346)-5),
IF(AND(D346="Audiobook",
              NOT(OR(Contains($B346,"CD BIO"),Contains($B346,"CD FIC")))),RIGHT(B346,LEN(B346)-3),
IF(D346="Juvenile Biography",RIGHT(B346,LEN(B346)-2),
IF(D346="Teen Biography",RIGHT(B346,LEN(B346)-5),
IF(AND(D346="Audiobook",
              IFERROR(FIND("BIO",$B346)&gt;0,FALSE)),RIGHT(B346,LEN(B346)-3),
IF(D346="Juvenile Large Type","J "&amp;RIGHT(B346,LEN(B346)-11),
IF(D346="Teen Large Type","TEEN "&amp;RIGHT(B346,LEN(B346)-14),
IF(D346="Reference",RIGHT(B346,LEN(B346)-4),
IF(D346="DVD Educational",RIGHT(B346,LEN(B346)-7),
IF(D346="Juvenile DVD Educational",RIGHT(B346,LEN(B346)-9),
B346)))))))))))))))))</f>
        <v/>
      </c>
      <c r="N346" s="11" t="str">
        <f ca="1">IF(IFERROR(FIND("New",$A346)&gt;0,FALSE),"New ","") &amp; IF(IFERROR(FIND("In Lib",$A346)&gt;0,FALSE),"Reference ","") &amp;
IF(AND(D346="Audiobook",LEFT(B346,6)="CD BIO"),"Biography",
IF(AND(D346="Teen Audiobook",LEFT(B346,11)="TEEN CD BIO"),"Biography",
IF(AND(D346="Juvenile Audiobook",LEFT(B346,8)="J CD BIO"),"Biography",
IF(AND(D346="Audiobook",LEFT(B346,6)="CD FIC"),"Audiobook Fiction",
IF(AND(D346="Teen Audiobook",LEFT(B346,11)="TEEN CD FIC"),"Teen Audiobook",
IF(AND(D346="Juvenile Audiobook",LEFT(B346,8)="J CD FIC"),"Juvenile Audiobook",
IF(D346="Audiobook","Nonfiction",
IF(D346="Juvenile Audiobook","Nonfiction",
IF(D346="Teen Audiobook","Nonfiction",
IF(D346="Juvenile Nonfiction","Nonfiction",
IF(D346="Teen Nonfiction","Nonfiction",
IF(D346="Juvenile Biography","Biography",
IF(D346="Teen Biography","Biography",
IF(D346="ESL","Nonfiction",
IF(LEFT(B346,11)="INTL-VIE J ","International Juvenile",IF(LEFT(B346,11)="INTL-TAG J ","International Juvenile",IF(LEFT(B346,11)="INTL-RUS J ","International Juvenile",IF(LEFT(B346,11)="INTL-KOR J ","International Juvenile",IF(LEFT(B346,11)="INTL-JAP J ","International Juvenile",IF(LEFT(B346,11)="INTL-CHI J ","International Juvenile",IF(LEFT(B346,11)="INTL-SPA J ","International Juvenile",IF(LEFT(B346,14)="INTL-VIE TEEN ","International Teen",IF(LEFT(B346,14)="INTL-TAG TEEN ","International Teen",IF(LEFT(B346,14)="INTL-RUS TEEN ","International Teen",IF(LEFT(B346,14)="INTL-KOR TEEN ","International Teen",IF(LEFT(B346,14)="INTL-JAP TEEN ","International Teen",IF(LEFT(B346,14)="INTL-CHI TEEN ","International Teen",IF(LEFT(B346,14)="INTL-SPA TEEN ","International Teen",IF(LEFT(B346,11)="INTL-VIE E ","International Easy",IF(LEFT(B346,11)="INTL-TAG E ","International Easy",IF(LEFT(B346,11)="INTL-RUS E ","International Easy",IF(LEFT(B346,11)="INTL-JAP E ","International Easy",IF(LEFT(B346,11)="INTL-KOR E ","International Easy",IF(LEFT(B346,11)="INTL-CHI E ","International Easy",IF(LEFT(B346,11)="INTL-SPA E ","International Easy",
IF(D346="Teen Large Type","Teen Fiction",
IF(D346="Juvenile Large Type","Juvenile Fiction",
IF(LEFT(B346,6)="J CD O","Juvenile Compact Disc",
IF(AND(LEFT(B346,4)="TEEN",D346="Fiction"),"Teen Fiction",
IF(D346="DVD Educational","Nonfiction",
IF(D346="Juvenile DVD Educational","Nonfiction",
IF(D346="Reference","Nonfiction",
D346))))))))))))))))))))))))))))))))))))))))))</f>
        <v/>
      </c>
    </row>
    <row r="347" spans="1:14" ht="27" customHeight="1" x14ac:dyDescent="0.25">
      <c r="A347" s="10" t="str">
        <f ca="1">TEXT( INDIRECT( ADDRESS( ROW() + Row_Offset, INDIRECT( "Column_Number_" &amp; A$1), 4,1, tabname) ), "")</f>
        <v/>
      </c>
      <c r="B347" s="10" t="str">
        <f ca="1">TEXT(  IFERROR( VLOOKUP( $D347, CollName_Simplifier_Table[], 2, FALSE),"") &amp;
        INDIRECT( ADDRESS( ROW() + Row_Offset, INDIRECT( "Column_Number_" &amp; $B$1), 4,1, tabname) ), "")</f>
        <v/>
      </c>
      <c r="C347" s="10" t="str">
        <f ca="1">TEXT( INDIRECT( ADDRESS( ROW() + Row_Offset, INDIRECT( "Column_Number_" &amp; C$1), 4,1, tabname) ), "")</f>
        <v/>
      </c>
      <c r="D347" s="10" t="str">
        <f ca="1">TEXT( INDIRECT( ADDRESS( ROW() + Row_Offset, INDIRECT( "Column_Number_" &amp; D$1), 4,1, tabname) ), "")</f>
        <v/>
      </c>
      <c r="E347" s="10" t="str">
        <f ca="1">TEXT( INDIRECT( ADDRESS( ROW() + Row_Offset, INDIRECT( "Column_Number_" &amp; E$1), 4,1, tabname) ), "####")</f>
        <v/>
      </c>
      <c r="F347" s="15"/>
      <c r="G347" s="22" t="str">
        <f ca="1">IFERROR(INDEX(Rank_Table[],MATCH($D347&amp;$A347,Table4[Join],0)),"")</f>
        <v/>
      </c>
      <c r="H347" s="11" t="str">
        <f ca="1">IF(AND(D347="Juvenile Audiobook",LEFT(B347,8)="J CD BIO"),RIGHT(B347,LEN(B347)-9),
IF(AND(D347="Juvenile Audiobook",LEFT(B347,8)="J CD FIC"),B347,
IF(D347="Juvenile Audiobook",RIGHT(B347,LEN(B347)-5),
IF(AND(D347="Teen Audiobook",LEFT(B347,11)="TEEN CD BIO"),RIGHT(B347,LEN(B347)-12),
IF(AND(D347="Teen Audiobook",LEFT(B347,11)="TEEN CD FIC"),B347,
IF(D347="Juvenile Audiobook",RIGHT(B347,LEN(B347)-8),
IF(D347="Juvenile Nonfiction",RIGHT(B347,LEN(B347)-2),
IF(D347="Teen Nonfiction",RIGHT(B347,LEN(B347)-5),
IF(AND(D347="Audiobook",
              NOT(OR(Contains($B347,"CD BIO"),Contains($B347,"CD FIC")))),RIGHT(B347,LEN(B347)-3),
IF(D347="Juvenile Biography",RIGHT(B347,LEN(B347)-2),
IF(D347="Teen Biography",RIGHT(B347,LEN(B347)-5),
IF(AND(D347="Audiobook",
              IFERROR(FIND("BIO",$B347)&gt;0,FALSE)),RIGHT(B347,LEN(B347)-3),
IF(D347="Juvenile Large Type","J "&amp;RIGHT(B347,LEN(B347)-11),
IF(D347="Teen Large Type","TEEN "&amp;RIGHT(B347,LEN(B347)-14),
IF(D347="Reference",RIGHT(B347,LEN(B347)-4),
IF(D347="DVD Educational",RIGHT(B347,LEN(B347)-7),
IF(D347="Juvenile DVD Educational",RIGHT(B347,LEN(B347)-9),
B347)))))))))))))))))</f>
        <v/>
      </c>
      <c r="N347" s="11" t="str">
        <f ca="1">IF(IFERROR(FIND("New",$A347)&gt;0,FALSE),"New ","") &amp; IF(IFERROR(FIND("In Lib",$A347)&gt;0,FALSE),"Reference ","") &amp;
IF(AND(D347="Audiobook",LEFT(B347,6)="CD BIO"),"Biography",
IF(AND(D347="Teen Audiobook",LEFT(B347,11)="TEEN CD BIO"),"Biography",
IF(AND(D347="Juvenile Audiobook",LEFT(B347,8)="J CD BIO"),"Biography",
IF(AND(D347="Audiobook",LEFT(B347,6)="CD FIC"),"Audiobook Fiction",
IF(AND(D347="Teen Audiobook",LEFT(B347,11)="TEEN CD FIC"),"Teen Audiobook",
IF(AND(D347="Juvenile Audiobook",LEFT(B347,8)="J CD FIC"),"Juvenile Audiobook",
IF(D347="Audiobook","Nonfiction",
IF(D347="Juvenile Audiobook","Nonfiction",
IF(D347="Teen Audiobook","Nonfiction",
IF(D347="Juvenile Nonfiction","Nonfiction",
IF(D347="Teen Nonfiction","Nonfiction",
IF(D347="Juvenile Biography","Biography",
IF(D347="Teen Biography","Biography",
IF(D347="ESL","Nonfiction",
IF(LEFT(B347,11)="INTL-VIE J ","International Juvenile",IF(LEFT(B347,11)="INTL-TAG J ","International Juvenile",IF(LEFT(B347,11)="INTL-RUS J ","International Juvenile",IF(LEFT(B347,11)="INTL-KOR J ","International Juvenile",IF(LEFT(B347,11)="INTL-JAP J ","International Juvenile",IF(LEFT(B347,11)="INTL-CHI J ","International Juvenile",IF(LEFT(B347,11)="INTL-SPA J ","International Juvenile",IF(LEFT(B347,14)="INTL-VIE TEEN ","International Teen",IF(LEFT(B347,14)="INTL-TAG TEEN ","International Teen",IF(LEFT(B347,14)="INTL-RUS TEEN ","International Teen",IF(LEFT(B347,14)="INTL-KOR TEEN ","International Teen",IF(LEFT(B347,14)="INTL-JAP TEEN ","International Teen",IF(LEFT(B347,14)="INTL-CHI TEEN ","International Teen",IF(LEFT(B347,14)="INTL-SPA TEEN ","International Teen",IF(LEFT(B347,11)="INTL-VIE E ","International Easy",IF(LEFT(B347,11)="INTL-TAG E ","International Easy",IF(LEFT(B347,11)="INTL-RUS E ","International Easy",IF(LEFT(B347,11)="INTL-JAP E ","International Easy",IF(LEFT(B347,11)="INTL-KOR E ","International Easy",IF(LEFT(B347,11)="INTL-CHI E ","International Easy",IF(LEFT(B347,11)="INTL-SPA E ","International Easy",
IF(D347="Teen Large Type","Teen Fiction",
IF(D347="Juvenile Large Type","Juvenile Fiction",
IF(LEFT(B347,6)="J CD O","Juvenile Compact Disc",
IF(AND(LEFT(B347,4)="TEEN",D347="Fiction"),"Teen Fiction",
IF(D347="DVD Educational","Nonfiction",
IF(D347="Juvenile DVD Educational","Nonfiction",
IF(D347="Reference","Nonfiction",
D347))))))))))))))))))))))))))))))))))))))))))</f>
        <v/>
      </c>
    </row>
    <row r="348" spans="1:14" ht="27" customHeight="1" x14ac:dyDescent="0.25">
      <c r="A348" s="10" t="str">
        <f ca="1">TEXT( INDIRECT( ADDRESS( ROW() + Row_Offset, INDIRECT( "Column_Number_" &amp; A$1), 4,1, tabname) ), "")</f>
        <v/>
      </c>
      <c r="B348" s="10" t="str">
        <f ca="1">TEXT(  IFERROR( VLOOKUP( $D348, CollName_Simplifier_Table[], 2, FALSE),"") &amp;
        INDIRECT( ADDRESS( ROW() + Row_Offset, INDIRECT( "Column_Number_" &amp; $B$1), 4,1, tabname) ), "")</f>
        <v/>
      </c>
      <c r="C348" s="10" t="str">
        <f ca="1">TEXT( INDIRECT( ADDRESS( ROW() + Row_Offset, INDIRECT( "Column_Number_" &amp; C$1), 4,1, tabname) ), "")</f>
        <v/>
      </c>
      <c r="D348" s="10" t="str">
        <f ca="1">TEXT( INDIRECT( ADDRESS( ROW() + Row_Offset, INDIRECT( "Column_Number_" &amp; D$1), 4,1, tabname) ), "")</f>
        <v/>
      </c>
      <c r="E348" s="10" t="str">
        <f ca="1">TEXT( INDIRECT( ADDRESS( ROW() + Row_Offset, INDIRECT( "Column_Number_" &amp; E$1), 4,1, tabname) ), "####")</f>
        <v/>
      </c>
      <c r="F348" s="15"/>
      <c r="G348" s="22" t="str">
        <f ca="1">IFERROR(INDEX(Rank_Table[],MATCH($D348&amp;$A348,Table4[Join],0)),"")</f>
        <v/>
      </c>
      <c r="H348" s="11" t="str">
        <f ca="1">IF(AND(D348="Juvenile Audiobook",LEFT(B348,8)="J CD BIO"),RIGHT(B348,LEN(B348)-9),
IF(AND(D348="Juvenile Audiobook",LEFT(B348,8)="J CD FIC"),B348,
IF(D348="Juvenile Audiobook",RIGHT(B348,LEN(B348)-5),
IF(AND(D348="Teen Audiobook",LEFT(B348,11)="TEEN CD BIO"),RIGHT(B348,LEN(B348)-12),
IF(AND(D348="Teen Audiobook",LEFT(B348,11)="TEEN CD FIC"),B348,
IF(D348="Juvenile Audiobook",RIGHT(B348,LEN(B348)-8),
IF(D348="Juvenile Nonfiction",RIGHT(B348,LEN(B348)-2),
IF(D348="Teen Nonfiction",RIGHT(B348,LEN(B348)-5),
IF(AND(D348="Audiobook",
              NOT(OR(Contains($B348,"CD BIO"),Contains($B348,"CD FIC")))),RIGHT(B348,LEN(B348)-3),
IF(D348="Juvenile Biography",RIGHT(B348,LEN(B348)-2),
IF(D348="Teen Biography",RIGHT(B348,LEN(B348)-5),
IF(AND(D348="Audiobook",
              IFERROR(FIND("BIO",$B348)&gt;0,FALSE)),RIGHT(B348,LEN(B348)-3),
IF(D348="Juvenile Large Type","J "&amp;RIGHT(B348,LEN(B348)-11),
IF(D348="Teen Large Type","TEEN "&amp;RIGHT(B348,LEN(B348)-14),
IF(D348="Reference",RIGHT(B348,LEN(B348)-4),
IF(D348="DVD Educational",RIGHT(B348,LEN(B348)-7),
IF(D348="Juvenile DVD Educational",RIGHT(B348,LEN(B348)-9),
B348)))))))))))))))))</f>
        <v/>
      </c>
      <c r="N348" s="11" t="str">
        <f ca="1">IF(IFERROR(FIND("New",$A348)&gt;0,FALSE),"New ","") &amp; IF(IFERROR(FIND("In Lib",$A348)&gt;0,FALSE),"Reference ","") &amp;
IF(AND(D348="Audiobook",LEFT(B348,6)="CD BIO"),"Biography",
IF(AND(D348="Teen Audiobook",LEFT(B348,11)="TEEN CD BIO"),"Biography",
IF(AND(D348="Juvenile Audiobook",LEFT(B348,8)="J CD BIO"),"Biography",
IF(AND(D348="Audiobook",LEFT(B348,6)="CD FIC"),"Audiobook Fiction",
IF(AND(D348="Teen Audiobook",LEFT(B348,11)="TEEN CD FIC"),"Teen Audiobook",
IF(AND(D348="Juvenile Audiobook",LEFT(B348,8)="J CD FIC"),"Juvenile Audiobook",
IF(D348="Audiobook","Nonfiction",
IF(D348="Juvenile Audiobook","Nonfiction",
IF(D348="Teen Audiobook","Nonfiction",
IF(D348="Juvenile Nonfiction","Nonfiction",
IF(D348="Teen Nonfiction","Nonfiction",
IF(D348="Juvenile Biography","Biography",
IF(D348="Teen Biography","Biography",
IF(D348="ESL","Nonfiction",
IF(LEFT(B348,11)="INTL-VIE J ","International Juvenile",IF(LEFT(B348,11)="INTL-TAG J ","International Juvenile",IF(LEFT(B348,11)="INTL-RUS J ","International Juvenile",IF(LEFT(B348,11)="INTL-KOR J ","International Juvenile",IF(LEFT(B348,11)="INTL-JAP J ","International Juvenile",IF(LEFT(B348,11)="INTL-CHI J ","International Juvenile",IF(LEFT(B348,11)="INTL-SPA J ","International Juvenile",IF(LEFT(B348,14)="INTL-VIE TEEN ","International Teen",IF(LEFT(B348,14)="INTL-TAG TEEN ","International Teen",IF(LEFT(B348,14)="INTL-RUS TEEN ","International Teen",IF(LEFT(B348,14)="INTL-KOR TEEN ","International Teen",IF(LEFT(B348,14)="INTL-JAP TEEN ","International Teen",IF(LEFT(B348,14)="INTL-CHI TEEN ","International Teen",IF(LEFT(B348,14)="INTL-SPA TEEN ","International Teen",IF(LEFT(B348,11)="INTL-VIE E ","International Easy",IF(LEFT(B348,11)="INTL-TAG E ","International Easy",IF(LEFT(B348,11)="INTL-RUS E ","International Easy",IF(LEFT(B348,11)="INTL-JAP E ","International Easy",IF(LEFT(B348,11)="INTL-KOR E ","International Easy",IF(LEFT(B348,11)="INTL-CHI E ","International Easy",IF(LEFT(B348,11)="INTL-SPA E ","International Easy",
IF(D348="Teen Large Type","Teen Fiction",
IF(D348="Juvenile Large Type","Juvenile Fiction",
IF(LEFT(B348,6)="J CD O","Juvenile Compact Disc",
IF(AND(LEFT(B348,4)="TEEN",D348="Fiction"),"Teen Fiction",
IF(D348="DVD Educational","Nonfiction",
IF(D348="Juvenile DVD Educational","Nonfiction",
IF(D348="Reference","Nonfiction",
D348))))))))))))))))))))))))))))))))))))))))))</f>
        <v/>
      </c>
    </row>
    <row r="349" spans="1:14" ht="27" customHeight="1" x14ac:dyDescent="0.25">
      <c r="A349" s="10" t="str">
        <f ca="1">TEXT( INDIRECT( ADDRESS( ROW() + Row_Offset, INDIRECT( "Column_Number_" &amp; A$1), 4,1, tabname) ), "")</f>
        <v/>
      </c>
      <c r="B349" s="10" t="str">
        <f ca="1">TEXT(  IFERROR( VLOOKUP( $D349, CollName_Simplifier_Table[], 2, FALSE),"") &amp;
        INDIRECT( ADDRESS( ROW() + Row_Offset, INDIRECT( "Column_Number_" &amp; $B$1), 4,1, tabname) ), "")</f>
        <v/>
      </c>
      <c r="C349" s="10" t="str">
        <f ca="1">TEXT( INDIRECT( ADDRESS( ROW() + Row_Offset, INDIRECT( "Column_Number_" &amp; C$1), 4,1, tabname) ), "")</f>
        <v/>
      </c>
      <c r="D349" s="10" t="str">
        <f ca="1">TEXT( INDIRECT( ADDRESS( ROW() + Row_Offset, INDIRECT( "Column_Number_" &amp; D$1), 4,1, tabname) ), "")</f>
        <v/>
      </c>
      <c r="E349" s="10" t="str">
        <f ca="1">TEXT( INDIRECT( ADDRESS( ROW() + Row_Offset, INDIRECT( "Column_Number_" &amp; E$1), 4,1, tabname) ), "####")</f>
        <v/>
      </c>
      <c r="F349" s="15"/>
      <c r="G349" s="22" t="str">
        <f ca="1">IFERROR(INDEX(Rank_Table[],MATCH($D349&amp;$A349,Table4[Join],0)),"")</f>
        <v/>
      </c>
      <c r="H349" s="11" t="str">
        <f ca="1">IF(AND(D349="Juvenile Audiobook",LEFT(B349,8)="J CD BIO"),RIGHT(B349,LEN(B349)-9),
IF(AND(D349="Juvenile Audiobook",LEFT(B349,8)="J CD FIC"),B349,
IF(D349="Juvenile Audiobook",RIGHT(B349,LEN(B349)-5),
IF(AND(D349="Teen Audiobook",LEFT(B349,11)="TEEN CD BIO"),RIGHT(B349,LEN(B349)-12),
IF(AND(D349="Teen Audiobook",LEFT(B349,11)="TEEN CD FIC"),B349,
IF(D349="Juvenile Audiobook",RIGHT(B349,LEN(B349)-8),
IF(D349="Juvenile Nonfiction",RIGHT(B349,LEN(B349)-2),
IF(D349="Teen Nonfiction",RIGHT(B349,LEN(B349)-5),
IF(AND(D349="Audiobook",
              NOT(OR(Contains($B349,"CD BIO"),Contains($B349,"CD FIC")))),RIGHT(B349,LEN(B349)-3),
IF(D349="Juvenile Biography",RIGHT(B349,LEN(B349)-2),
IF(D349="Teen Biography",RIGHT(B349,LEN(B349)-5),
IF(AND(D349="Audiobook",
              IFERROR(FIND("BIO",$B349)&gt;0,FALSE)),RIGHT(B349,LEN(B349)-3),
IF(D349="Juvenile Large Type","J "&amp;RIGHT(B349,LEN(B349)-11),
IF(D349="Teen Large Type","TEEN "&amp;RIGHT(B349,LEN(B349)-14),
IF(D349="Reference",RIGHT(B349,LEN(B349)-4),
IF(D349="DVD Educational",RIGHT(B349,LEN(B349)-7),
IF(D349="Juvenile DVD Educational",RIGHT(B349,LEN(B349)-9),
B349)))))))))))))))))</f>
        <v/>
      </c>
      <c r="N349" s="11" t="str">
        <f ca="1">IF(IFERROR(FIND("New",$A349)&gt;0,FALSE),"New ","") &amp; IF(IFERROR(FIND("In Lib",$A349)&gt;0,FALSE),"Reference ","") &amp;
IF(AND(D349="Audiobook",LEFT(B349,6)="CD BIO"),"Biography",
IF(AND(D349="Teen Audiobook",LEFT(B349,11)="TEEN CD BIO"),"Biography",
IF(AND(D349="Juvenile Audiobook",LEFT(B349,8)="J CD BIO"),"Biography",
IF(AND(D349="Audiobook",LEFT(B349,6)="CD FIC"),"Audiobook Fiction",
IF(AND(D349="Teen Audiobook",LEFT(B349,11)="TEEN CD FIC"),"Teen Audiobook",
IF(AND(D349="Juvenile Audiobook",LEFT(B349,8)="J CD FIC"),"Juvenile Audiobook",
IF(D349="Audiobook","Nonfiction",
IF(D349="Juvenile Audiobook","Nonfiction",
IF(D349="Teen Audiobook","Nonfiction",
IF(D349="Juvenile Nonfiction","Nonfiction",
IF(D349="Teen Nonfiction","Nonfiction",
IF(D349="Juvenile Biography","Biography",
IF(D349="Teen Biography","Biography",
IF(D349="ESL","Nonfiction",
IF(LEFT(B349,11)="INTL-VIE J ","International Juvenile",IF(LEFT(B349,11)="INTL-TAG J ","International Juvenile",IF(LEFT(B349,11)="INTL-RUS J ","International Juvenile",IF(LEFT(B349,11)="INTL-KOR J ","International Juvenile",IF(LEFT(B349,11)="INTL-JAP J ","International Juvenile",IF(LEFT(B349,11)="INTL-CHI J ","International Juvenile",IF(LEFT(B349,11)="INTL-SPA J ","International Juvenile",IF(LEFT(B349,14)="INTL-VIE TEEN ","International Teen",IF(LEFT(B349,14)="INTL-TAG TEEN ","International Teen",IF(LEFT(B349,14)="INTL-RUS TEEN ","International Teen",IF(LEFT(B349,14)="INTL-KOR TEEN ","International Teen",IF(LEFT(B349,14)="INTL-JAP TEEN ","International Teen",IF(LEFT(B349,14)="INTL-CHI TEEN ","International Teen",IF(LEFT(B349,14)="INTL-SPA TEEN ","International Teen",IF(LEFT(B349,11)="INTL-VIE E ","International Easy",IF(LEFT(B349,11)="INTL-TAG E ","International Easy",IF(LEFT(B349,11)="INTL-RUS E ","International Easy",IF(LEFT(B349,11)="INTL-JAP E ","International Easy",IF(LEFT(B349,11)="INTL-KOR E ","International Easy",IF(LEFT(B349,11)="INTL-CHI E ","International Easy",IF(LEFT(B349,11)="INTL-SPA E ","International Easy",
IF(D349="Teen Large Type","Teen Fiction",
IF(D349="Juvenile Large Type","Juvenile Fiction",
IF(LEFT(B349,6)="J CD O","Juvenile Compact Disc",
IF(AND(LEFT(B349,4)="TEEN",D349="Fiction"),"Teen Fiction",
IF(D349="DVD Educational","Nonfiction",
IF(D349="Juvenile DVD Educational","Nonfiction",
IF(D349="Reference","Nonfiction",
D349))))))))))))))))))))))))))))))))))))))))))</f>
        <v/>
      </c>
    </row>
    <row r="350" spans="1:14" ht="27" customHeight="1" x14ac:dyDescent="0.25">
      <c r="A350" s="10" t="str">
        <f ca="1">TEXT( INDIRECT( ADDRESS( ROW() + Row_Offset, INDIRECT( "Column_Number_" &amp; A$1), 4,1, tabname) ), "")</f>
        <v/>
      </c>
      <c r="B350" s="10" t="str">
        <f ca="1">TEXT(  IFERROR( VLOOKUP( $D350, CollName_Simplifier_Table[], 2, FALSE),"") &amp;
        INDIRECT( ADDRESS( ROW() + Row_Offset, INDIRECT( "Column_Number_" &amp; $B$1), 4,1, tabname) ), "")</f>
        <v/>
      </c>
      <c r="C350" s="10" t="str">
        <f ca="1">TEXT( INDIRECT( ADDRESS( ROW() + Row_Offset, INDIRECT( "Column_Number_" &amp; C$1), 4,1, tabname) ), "")</f>
        <v/>
      </c>
      <c r="D350" s="10" t="str">
        <f ca="1">TEXT( INDIRECT( ADDRESS( ROW() + Row_Offset, INDIRECT( "Column_Number_" &amp; D$1), 4,1, tabname) ), "")</f>
        <v/>
      </c>
      <c r="E350" s="10" t="str">
        <f ca="1">TEXT( INDIRECT( ADDRESS( ROW() + Row_Offset, INDIRECT( "Column_Number_" &amp; E$1), 4,1, tabname) ), "####")</f>
        <v/>
      </c>
      <c r="F350" s="15"/>
      <c r="G350" s="22" t="str">
        <f ca="1">IFERROR(INDEX(Rank_Table[],MATCH($D350&amp;$A350,Table4[Join],0)),"")</f>
        <v/>
      </c>
      <c r="H350" s="11" t="str">
        <f ca="1">IF(AND(D350="Juvenile Audiobook",LEFT(B350,8)="J CD BIO"),RIGHT(B350,LEN(B350)-9),
IF(AND(D350="Juvenile Audiobook",LEFT(B350,8)="J CD FIC"),B350,
IF(D350="Juvenile Audiobook",RIGHT(B350,LEN(B350)-5),
IF(AND(D350="Teen Audiobook",LEFT(B350,11)="TEEN CD BIO"),RIGHT(B350,LEN(B350)-12),
IF(AND(D350="Teen Audiobook",LEFT(B350,11)="TEEN CD FIC"),B350,
IF(D350="Juvenile Audiobook",RIGHT(B350,LEN(B350)-8),
IF(D350="Juvenile Nonfiction",RIGHT(B350,LEN(B350)-2),
IF(D350="Teen Nonfiction",RIGHT(B350,LEN(B350)-5),
IF(AND(D350="Audiobook",
              NOT(OR(Contains($B350,"CD BIO"),Contains($B350,"CD FIC")))),RIGHT(B350,LEN(B350)-3),
IF(D350="Juvenile Biography",RIGHT(B350,LEN(B350)-2),
IF(D350="Teen Biography",RIGHT(B350,LEN(B350)-5),
IF(AND(D350="Audiobook",
              IFERROR(FIND("BIO",$B350)&gt;0,FALSE)),RIGHT(B350,LEN(B350)-3),
IF(D350="Juvenile Large Type","J "&amp;RIGHT(B350,LEN(B350)-11),
IF(D350="Teen Large Type","TEEN "&amp;RIGHT(B350,LEN(B350)-14),
IF(D350="Reference",RIGHT(B350,LEN(B350)-4),
IF(D350="DVD Educational",RIGHT(B350,LEN(B350)-7),
IF(D350="Juvenile DVD Educational",RIGHT(B350,LEN(B350)-9),
B350)))))))))))))))))</f>
        <v/>
      </c>
      <c r="N350" s="11" t="str">
        <f ca="1">IF(IFERROR(FIND("New",$A350)&gt;0,FALSE),"New ","") &amp; IF(IFERROR(FIND("In Lib",$A350)&gt;0,FALSE),"Reference ","") &amp;
IF(AND(D350="Audiobook",LEFT(B350,6)="CD BIO"),"Biography",
IF(AND(D350="Teen Audiobook",LEFT(B350,11)="TEEN CD BIO"),"Biography",
IF(AND(D350="Juvenile Audiobook",LEFT(B350,8)="J CD BIO"),"Biography",
IF(AND(D350="Audiobook",LEFT(B350,6)="CD FIC"),"Audiobook Fiction",
IF(AND(D350="Teen Audiobook",LEFT(B350,11)="TEEN CD FIC"),"Teen Audiobook",
IF(AND(D350="Juvenile Audiobook",LEFT(B350,8)="J CD FIC"),"Juvenile Audiobook",
IF(D350="Audiobook","Nonfiction",
IF(D350="Juvenile Audiobook","Nonfiction",
IF(D350="Teen Audiobook","Nonfiction",
IF(D350="Juvenile Nonfiction","Nonfiction",
IF(D350="Teen Nonfiction","Nonfiction",
IF(D350="Juvenile Biography","Biography",
IF(D350="Teen Biography","Biography",
IF(D350="ESL","Nonfiction",
IF(LEFT(B350,11)="INTL-VIE J ","International Juvenile",IF(LEFT(B350,11)="INTL-TAG J ","International Juvenile",IF(LEFT(B350,11)="INTL-RUS J ","International Juvenile",IF(LEFT(B350,11)="INTL-KOR J ","International Juvenile",IF(LEFT(B350,11)="INTL-JAP J ","International Juvenile",IF(LEFT(B350,11)="INTL-CHI J ","International Juvenile",IF(LEFT(B350,11)="INTL-SPA J ","International Juvenile",IF(LEFT(B350,14)="INTL-VIE TEEN ","International Teen",IF(LEFT(B350,14)="INTL-TAG TEEN ","International Teen",IF(LEFT(B350,14)="INTL-RUS TEEN ","International Teen",IF(LEFT(B350,14)="INTL-KOR TEEN ","International Teen",IF(LEFT(B350,14)="INTL-JAP TEEN ","International Teen",IF(LEFT(B350,14)="INTL-CHI TEEN ","International Teen",IF(LEFT(B350,14)="INTL-SPA TEEN ","International Teen",IF(LEFT(B350,11)="INTL-VIE E ","International Easy",IF(LEFT(B350,11)="INTL-TAG E ","International Easy",IF(LEFT(B350,11)="INTL-RUS E ","International Easy",IF(LEFT(B350,11)="INTL-JAP E ","International Easy",IF(LEFT(B350,11)="INTL-KOR E ","International Easy",IF(LEFT(B350,11)="INTL-CHI E ","International Easy",IF(LEFT(B350,11)="INTL-SPA E ","International Easy",
IF(D350="Teen Large Type","Teen Fiction",
IF(D350="Juvenile Large Type","Juvenile Fiction",
IF(LEFT(B350,6)="J CD O","Juvenile Compact Disc",
IF(AND(LEFT(B350,4)="TEEN",D350="Fiction"),"Teen Fiction",
IF(D350="DVD Educational","Nonfiction",
IF(D350="Juvenile DVD Educational","Nonfiction",
IF(D350="Reference","Nonfiction",
D350))))))))))))))))))))))))))))))))))))))))))</f>
        <v/>
      </c>
    </row>
    <row r="351" spans="1:14" ht="27" customHeight="1" x14ac:dyDescent="0.25">
      <c r="A351" s="10" t="str">
        <f ca="1">TEXT( INDIRECT( ADDRESS( ROW() + Row_Offset, INDIRECT( "Column_Number_" &amp; A$1), 4,1, tabname) ), "")</f>
        <v/>
      </c>
      <c r="B351" s="10" t="str">
        <f ca="1">TEXT(  IFERROR( VLOOKUP( $D351, CollName_Simplifier_Table[], 2, FALSE),"") &amp;
        INDIRECT( ADDRESS( ROW() + Row_Offset, INDIRECT( "Column_Number_" &amp; $B$1), 4,1, tabname) ), "")</f>
        <v/>
      </c>
      <c r="C351" s="10" t="str">
        <f ca="1">TEXT( INDIRECT( ADDRESS( ROW() + Row_Offset, INDIRECT( "Column_Number_" &amp; C$1), 4,1, tabname) ), "")</f>
        <v/>
      </c>
      <c r="D351" s="10" t="str">
        <f ca="1">TEXT( INDIRECT( ADDRESS( ROW() + Row_Offset, INDIRECT( "Column_Number_" &amp; D$1), 4,1, tabname) ), "")</f>
        <v/>
      </c>
      <c r="E351" s="10" t="str">
        <f ca="1">TEXT( INDIRECT( ADDRESS( ROW() + Row_Offset, INDIRECT( "Column_Number_" &amp; E$1), 4,1, tabname) ), "####")</f>
        <v/>
      </c>
      <c r="F351" s="15"/>
      <c r="G351" s="22" t="str">
        <f ca="1">IFERROR(INDEX(Rank_Table[],MATCH($D351&amp;$A351,Table4[Join],0)),"")</f>
        <v/>
      </c>
      <c r="H351" s="11" t="str">
        <f ca="1">IF(AND(D351="Juvenile Audiobook",LEFT(B351,8)="J CD BIO"),RIGHT(B351,LEN(B351)-9),
IF(AND(D351="Juvenile Audiobook",LEFT(B351,8)="J CD FIC"),B351,
IF(D351="Juvenile Audiobook",RIGHT(B351,LEN(B351)-5),
IF(AND(D351="Teen Audiobook",LEFT(B351,11)="TEEN CD BIO"),RIGHT(B351,LEN(B351)-12),
IF(AND(D351="Teen Audiobook",LEFT(B351,11)="TEEN CD FIC"),B351,
IF(D351="Juvenile Audiobook",RIGHT(B351,LEN(B351)-8),
IF(D351="Juvenile Nonfiction",RIGHT(B351,LEN(B351)-2),
IF(D351="Teen Nonfiction",RIGHT(B351,LEN(B351)-5),
IF(AND(D351="Audiobook",
              NOT(OR(Contains($B351,"CD BIO"),Contains($B351,"CD FIC")))),RIGHT(B351,LEN(B351)-3),
IF(D351="Juvenile Biography",RIGHT(B351,LEN(B351)-2),
IF(D351="Teen Biography",RIGHT(B351,LEN(B351)-5),
IF(AND(D351="Audiobook",
              IFERROR(FIND("BIO",$B351)&gt;0,FALSE)),RIGHT(B351,LEN(B351)-3),
IF(D351="Juvenile Large Type","J "&amp;RIGHT(B351,LEN(B351)-11),
IF(D351="Teen Large Type","TEEN "&amp;RIGHT(B351,LEN(B351)-14),
IF(D351="Reference",RIGHT(B351,LEN(B351)-4),
IF(D351="DVD Educational",RIGHT(B351,LEN(B351)-7),
IF(D351="Juvenile DVD Educational",RIGHT(B351,LEN(B351)-9),
B351)))))))))))))))))</f>
        <v/>
      </c>
      <c r="N351" s="11" t="str">
        <f ca="1">IF(IFERROR(FIND("New",$A351)&gt;0,FALSE),"New ","") &amp; IF(IFERROR(FIND("In Lib",$A351)&gt;0,FALSE),"Reference ","") &amp;
IF(AND(D351="Audiobook",LEFT(B351,6)="CD BIO"),"Biography",
IF(AND(D351="Teen Audiobook",LEFT(B351,11)="TEEN CD BIO"),"Biography",
IF(AND(D351="Juvenile Audiobook",LEFT(B351,8)="J CD BIO"),"Biography",
IF(AND(D351="Audiobook",LEFT(B351,6)="CD FIC"),"Audiobook Fiction",
IF(AND(D351="Teen Audiobook",LEFT(B351,11)="TEEN CD FIC"),"Teen Audiobook",
IF(AND(D351="Juvenile Audiobook",LEFT(B351,8)="J CD FIC"),"Juvenile Audiobook",
IF(D351="Audiobook","Nonfiction",
IF(D351="Juvenile Audiobook","Nonfiction",
IF(D351="Teen Audiobook","Nonfiction",
IF(D351="Juvenile Nonfiction","Nonfiction",
IF(D351="Teen Nonfiction","Nonfiction",
IF(D351="Juvenile Biography","Biography",
IF(D351="Teen Biography","Biography",
IF(D351="ESL","Nonfiction",
IF(LEFT(B351,11)="INTL-VIE J ","International Juvenile",IF(LEFT(B351,11)="INTL-TAG J ","International Juvenile",IF(LEFT(B351,11)="INTL-RUS J ","International Juvenile",IF(LEFT(B351,11)="INTL-KOR J ","International Juvenile",IF(LEFT(B351,11)="INTL-JAP J ","International Juvenile",IF(LEFT(B351,11)="INTL-CHI J ","International Juvenile",IF(LEFT(B351,11)="INTL-SPA J ","International Juvenile",IF(LEFT(B351,14)="INTL-VIE TEEN ","International Teen",IF(LEFT(B351,14)="INTL-TAG TEEN ","International Teen",IF(LEFT(B351,14)="INTL-RUS TEEN ","International Teen",IF(LEFT(B351,14)="INTL-KOR TEEN ","International Teen",IF(LEFT(B351,14)="INTL-JAP TEEN ","International Teen",IF(LEFT(B351,14)="INTL-CHI TEEN ","International Teen",IF(LEFT(B351,14)="INTL-SPA TEEN ","International Teen",IF(LEFT(B351,11)="INTL-VIE E ","International Easy",IF(LEFT(B351,11)="INTL-TAG E ","International Easy",IF(LEFT(B351,11)="INTL-RUS E ","International Easy",IF(LEFT(B351,11)="INTL-JAP E ","International Easy",IF(LEFT(B351,11)="INTL-KOR E ","International Easy",IF(LEFT(B351,11)="INTL-CHI E ","International Easy",IF(LEFT(B351,11)="INTL-SPA E ","International Easy",
IF(D351="Teen Large Type","Teen Fiction",
IF(D351="Juvenile Large Type","Juvenile Fiction",
IF(LEFT(B351,6)="J CD O","Juvenile Compact Disc",
IF(AND(LEFT(B351,4)="TEEN",D351="Fiction"),"Teen Fiction",
IF(D351="DVD Educational","Nonfiction",
IF(D351="Juvenile DVD Educational","Nonfiction",
IF(D351="Reference","Nonfiction",
D351))))))))))))))))))))))))))))))))))))))))))</f>
        <v/>
      </c>
    </row>
    <row r="352" spans="1:14" ht="27" customHeight="1" x14ac:dyDescent="0.25">
      <c r="A352" s="10" t="str">
        <f ca="1">TEXT( INDIRECT( ADDRESS( ROW() + Row_Offset, INDIRECT( "Column_Number_" &amp; A$1), 4,1, tabname) ), "")</f>
        <v/>
      </c>
      <c r="B352" s="10" t="str">
        <f ca="1">TEXT(  IFERROR( VLOOKUP( $D352, CollName_Simplifier_Table[], 2, FALSE),"") &amp;
        INDIRECT( ADDRESS( ROW() + Row_Offset, INDIRECT( "Column_Number_" &amp; $B$1), 4,1, tabname) ), "")</f>
        <v/>
      </c>
      <c r="C352" s="10" t="str">
        <f ca="1">TEXT( INDIRECT( ADDRESS( ROW() + Row_Offset, INDIRECT( "Column_Number_" &amp; C$1), 4,1, tabname) ), "")</f>
        <v/>
      </c>
      <c r="D352" s="10" t="str">
        <f ca="1">TEXT( INDIRECT( ADDRESS( ROW() + Row_Offset, INDIRECT( "Column_Number_" &amp; D$1), 4,1, tabname) ), "")</f>
        <v/>
      </c>
      <c r="E352" s="10" t="str">
        <f ca="1">TEXT( INDIRECT( ADDRESS( ROW() + Row_Offset, INDIRECT( "Column_Number_" &amp; E$1), 4,1, tabname) ), "####")</f>
        <v/>
      </c>
      <c r="F352" s="15"/>
      <c r="G352" s="22" t="str">
        <f ca="1">IFERROR(INDEX(Rank_Table[],MATCH($D352&amp;$A352,Table4[Join],0)),"")</f>
        <v/>
      </c>
      <c r="H352" s="11" t="str">
        <f ca="1">IF(AND(D352="Juvenile Audiobook",LEFT(B352,8)="J CD BIO"),RIGHT(B352,LEN(B352)-9),
IF(AND(D352="Juvenile Audiobook",LEFT(B352,8)="J CD FIC"),B352,
IF(D352="Juvenile Audiobook",RIGHT(B352,LEN(B352)-5),
IF(AND(D352="Teen Audiobook",LEFT(B352,11)="TEEN CD BIO"),RIGHT(B352,LEN(B352)-12),
IF(AND(D352="Teen Audiobook",LEFT(B352,11)="TEEN CD FIC"),B352,
IF(D352="Juvenile Audiobook",RIGHT(B352,LEN(B352)-8),
IF(D352="Juvenile Nonfiction",RIGHT(B352,LEN(B352)-2),
IF(D352="Teen Nonfiction",RIGHT(B352,LEN(B352)-5),
IF(AND(D352="Audiobook",
              NOT(OR(Contains($B352,"CD BIO"),Contains($B352,"CD FIC")))),RIGHT(B352,LEN(B352)-3),
IF(D352="Juvenile Biography",RIGHT(B352,LEN(B352)-2),
IF(D352="Teen Biography",RIGHT(B352,LEN(B352)-5),
IF(AND(D352="Audiobook",
              IFERROR(FIND("BIO",$B352)&gt;0,FALSE)),RIGHT(B352,LEN(B352)-3),
IF(D352="Juvenile Large Type","J "&amp;RIGHT(B352,LEN(B352)-11),
IF(D352="Teen Large Type","TEEN "&amp;RIGHT(B352,LEN(B352)-14),
IF(D352="Reference",RIGHT(B352,LEN(B352)-4),
IF(D352="DVD Educational",RIGHT(B352,LEN(B352)-7),
IF(D352="Juvenile DVD Educational",RIGHT(B352,LEN(B352)-9),
B352)))))))))))))))))</f>
        <v/>
      </c>
      <c r="N352" s="11" t="str">
        <f ca="1">IF(IFERROR(FIND("New",$A352)&gt;0,FALSE),"New ","") &amp; IF(IFERROR(FIND("In Lib",$A352)&gt;0,FALSE),"Reference ","") &amp;
IF(AND(D352="Audiobook",LEFT(B352,6)="CD BIO"),"Biography",
IF(AND(D352="Teen Audiobook",LEFT(B352,11)="TEEN CD BIO"),"Biography",
IF(AND(D352="Juvenile Audiobook",LEFT(B352,8)="J CD BIO"),"Biography",
IF(AND(D352="Audiobook",LEFT(B352,6)="CD FIC"),"Audiobook Fiction",
IF(AND(D352="Teen Audiobook",LEFT(B352,11)="TEEN CD FIC"),"Teen Audiobook",
IF(AND(D352="Juvenile Audiobook",LEFT(B352,8)="J CD FIC"),"Juvenile Audiobook",
IF(D352="Audiobook","Nonfiction",
IF(D352="Juvenile Audiobook","Nonfiction",
IF(D352="Teen Audiobook","Nonfiction",
IF(D352="Juvenile Nonfiction","Nonfiction",
IF(D352="Teen Nonfiction","Nonfiction",
IF(D352="Juvenile Biography","Biography",
IF(D352="Teen Biography","Biography",
IF(D352="ESL","Nonfiction",
IF(LEFT(B352,11)="INTL-VIE J ","International Juvenile",IF(LEFT(B352,11)="INTL-TAG J ","International Juvenile",IF(LEFT(B352,11)="INTL-RUS J ","International Juvenile",IF(LEFT(B352,11)="INTL-KOR J ","International Juvenile",IF(LEFT(B352,11)="INTL-JAP J ","International Juvenile",IF(LEFT(B352,11)="INTL-CHI J ","International Juvenile",IF(LEFT(B352,11)="INTL-SPA J ","International Juvenile",IF(LEFT(B352,14)="INTL-VIE TEEN ","International Teen",IF(LEFT(B352,14)="INTL-TAG TEEN ","International Teen",IF(LEFT(B352,14)="INTL-RUS TEEN ","International Teen",IF(LEFT(B352,14)="INTL-KOR TEEN ","International Teen",IF(LEFT(B352,14)="INTL-JAP TEEN ","International Teen",IF(LEFT(B352,14)="INTL-CHI TEEN ","International Teen",IF(LEFT(B352,14)="INTL-SPA TEEN ","International Teen",IF(LEFT(B352,11)="INTL-VIE E ","International Easy",IF(LEFT(B352,11)="INTL-TAG E ","International Easy",IF(LEFT(B352,11)="INTL-RUS E ","International Easy",IF(LEFT(B352,11)="INTL-JAP E ","International Easy",IF(LEFT(B352,11)="INTL-KOR E ","International Easy",IF(LEFT(B352,11)="INTL-CHI E ","International Easy",IF(LEFT(B352,11)="INTL-SPA E ","International Easy",
IF(D352="Teen Large Type","Teen Fiction",
IF(D352="Juvenile Large Type","Juvenile Fiction",
IF(LEFT(B352,6)="J CD O","Juvenile Compact Disc",
IF(AND(LEFT(B352,4)="TEEN",D352="Fiction"),"Teen Fiction",
IF(D352="DVD Educational","Nonfiction",
IF(D352="Juvenile DVD Educational","Nonfiction",
IF(D352="Reference","Nonfiction",
D352))))))))))))))))))))))))))))))))))))))))))</f>
        <v/>
      </c>
    </row>
    <row r="353" spans="1:14" ht="27" customHeight="1" x14ac:dyDescent="0.25">
      <c r="A353" s="10" t="str">
        <f ca="1">TEXT( INDIRECT( ADDRESS( ROW() + Row_Offset, INDIRECT( "Column_Number_" &amp; A$1), 4,1, tabname) ), "")</f>
        <v/>
      </c>
      <c r="B353" s="10" t="str">
        <f ca="1">TEXT(  IFERROR( VLOOKUP( $D353, CollName_Simplifier_Table[], 2, FALSE),"") &amp;
        INDIRECT( ADDRESS( ROW() + Row_Offset, INDIRECT( "Column_Number_" &amp; $B$1), 4,1, tabname) ), "")</f>
        <v/>
      </c>
      <c r="C353" s="10" t="str">
        <f ca="1">TEXT( INDIRECT( ADDRESS( ROW() + Row_Offset, INDIRECT( "Column_Number_" &amp; C$1), 4,1, tabname) ), "")</f>
        <v/>
      </c>
      <c r="D353" s="10" t="str">
        <f ca="1">TEXT( INDIRECT( ADDRESS( ROW() + Row_Offset, INDIRECT( "Column_Number_" &amp; D$1), 4,1, tabname) ), "")</f>
        <v/>
      </c>
      <c r="E353" s="10" t="str">
        <f ca="1">TEXT( INDIRECT( ADDRESS( ROW() + Row_Offset, INDIRECT( "Column_Number_" &amp; E$1), 4,1, tabname) ), "####")</f>
        <v/>
      </c>
      <c r="F353" s="15"/>
      <c r="G353" s="22" t="str">
        <f ca="1">IFERROR(INDEX(Rank_Table[],MATCH($D353&amp;$A353,Table4[Join],0)),"")</f>
        <v/>
      </c>
      <c r="H353" s="11" t="str">
        <f ca="1">IF(AND(D353="Juvenile Audiobook",LEFT(B353,8)="J CD BIO"),RIGHT(B353,LEN(B353)-9),
IF(AND(D353="Juvenile Audiobook",LEFT(B353,8)="J CD FIC"),B353,
IF(D353="Juvenile Audiobook",RIGHT(B353,LEN(B353)-5),
IF(AND(D353="Teen Audiobook",LEFT(B353,11)="TEEN CD BIO"),RIGHT(B353,LEN(B353)-12),
IF(AND(D353="Teen Audiobook",LEFT(B353,11)="TEEN CD FIC"),B353,
IF(D353="Juvenile Audiobook",RIGHT(B353,LEN(B353)-8),
IF(D353="Juvenile Nonfiction",RIGHT(B353,LEN(B353)-2),
IF(D353="Teen Nonfiction",RIGHT(B353,LEN(B353)-5),
IF(AND(D353="Audiobook",
              NOT(OR(Contains($B353,"CD BIO"),Contains($B353,"CD FIC")))),RIGHT(B353,LEN(B353)-3),
IF(D353="Juvenile Biography",RIGHT(B353,LEN(B353)-2),
IF(D353="Teen Biography",RIGHT(B353,LEN(B353)-5),
IF(AND(D353="Audiobook",
              IFERROR(FIND("BIO",$B353)&gt;0,FALSE)),RIGHT(B353,LEN(B353)-3),
IF(D353="Juvenile Large Type","J "&amp;RIGHT(B353,LEN(B353)-11),
IF(D353="Teen Large Type","TEEN "&amp;RIGHT(B353,LEN(B353)-14),
IF(D353="Reference",RIGHT(B353,LEN(B353)-4),
IF(D353="DVD Educational",RIGHT(B353,LEN(B353)-7),
IF(D353="Juvenile DVD Educational",RIGHT(B353,LEN(B353)-9),
B353)))))))))))))))))</f>
        <v/>
      </c>
      <c r="N353" s="11" t="str">
        <f ca="1">IF(IFERROR(FIND("New",$A353)&gt;0,FALSE),"New ","") &amp; IF(IFERROR(FIND("In Lib",$A353)&gt;0,FALSE),"Reference ","") &amp;
IF(AND(D353="Audiobook",LEFT(B353,6)="CD BIO"),"Biography",
IF(AND(D353="Teen Audiobook",LEFT(B353,11)="TEEN CD BIO"),"Biography",
IF(AND(D353="Juvenile Audiobook",LEFT(B353,8)="J CD BIO"),"Biography",
IF(AND(D353="Audiobook",LEFT(B353,6)="CD FIC"),"Audiobook Fiction",
IF(AND(D353="Teen Audiobook",LEFT(B353,11)="TEEN CD FIC"),"Teen Audiobook",
IF(AND(D353="Juvenile Audiobook",LEFT(B353,8)="J CD FIC"),"Juvenile Audiobook",
IF(D353="Audiobook","Nonfiction",
IF(D353="Juvenile Audiobook","Nonfiction",
IF(D353="Teen Audiobook","Nonfiction",
IF(D353="Juvenile Nonfiction","Nonfiction",
IF(D353="Teen Nonfiction","Nonfiction",
IF(D353="Juvenile Biography","Biography",
IF(D353="Teen Biography","Biography",
IF(D353="ESL","Nonfiction",
IF(LEFT(B353,11)="INTL-VIE J ","International Juvenile",IF(LEFT(B353,11)="INTL-TAG J ","International Juvenile",IF(LEFT(B353,11)="INTL-RUS J ","International Juvenile",IF(LEFT(B353,11)="INTL-KOR J ","International Juvenile",IF(LEFT(B353,11)="INTL-JAP J ","International Juvenile",IF(LEFT(B353,11)="INTL-CHI J ","International Juvenile",IF(LEFT(B353,11)="INTL-SPA J ","International Juvenile",IF(LEFT(B353,14)="INTL-VIE TEEN ","International Teen",IF(LEFT(B353,14)="INTL-TAG TEEN ","International Teen",IF(LEFT(B353,14)="INTL-RUS TEEN ","International Teen",IF(LEFT(B353,14)="INTL-KOR TEEN ","International Teen",IF(LEFT(B353,14)="INTL-JAP TEEN ","International Teen",IF(LEFT(B353,14)="INTL-CHI TEEN ","International Teen",IF(LEFT(B353,14)="INTL-SPA TEEN ","International Teen",IF(LEFT(B353,11)="INTL-VIE E ","International Easy",IF(LEFT(B353,11)="INTL-TAG E ","International Easy",IF(LEFT(B353,11)="INTL-RUS E ","International Easy",IF(LEFT(B353,11)="INTL-JAP E ","International Easy",IF(LEFT(B353,11)="INTL-KOR E ","International Easy",IF(LEFT(B353,11)="INTL-CHI E ","International Easy",IF(LEFT(B353,11)="INTL-SPA E ","International Easy",
IF(D353="Teen Large Type","Teen Fiction",
IF(D353="Juvenile Large Type","Juvenile Fiction",
IF(LEFT(B353,6)="J CD O","Juvenile Compact Disc",
IF(AND(LEFT(B353,4)="TEEN",D353="Fiction"),"Teen Fiction",
IF(D353="DVD Educational","Nonfiction",
IF(D353="Juvenile DVD Educational","Nonfiction",
IF(D353="Reference","Nonfiction",
D353))))))))))))))))))))))))))))))))))))))))))</f>
        <v/>
      </c>
    </row>
    <row r="354" spans="1:14" ht="27" customHeight="1" x14ac:dyDescent="0.25">
      <c r="A354" s="10" t="str">
        <f ca="1">TEXT( INDIRECT( ADDRESS( ROW() + Row_Offset, INDIRECT( "Column_Number_" &amp; A$1), 4,1, tabname) ), "")</f>
        <v/>
      </c>
      <c r="B354" s="10" t="str">
        <f ca="1">TEXT(  IFERROR( VLOOKUP( $D354, CollName_Simplifier_Table[], 2, FALSE),"") &amp;
        INDIRECT( ADDRESS( ROW() + Row_Offset, INDIRECT( "Column_Number_" &amp; $B$1), 4,1, tabname) ), "")</f>
        <v/>
      </c>
      <c r="C354" s="10" t="str">
        <f ca="1">TEXT( INDIRECT( ADDRESS( ROW() + Row_Offset, INDIRECT( "Column_Number_" &amp; C$1), 4,1, tabname) ), "")</f>
        <v/>
      </c>
      <c r="D354" s="10" t="str">
        <f ca="1">TEXT( INDIRECT( ADDRESS( ROW() + Row_Offset, INDIRECT( "Column_Number_" &amp; D$1), 4,1, tabname) ), "")</f>
        <v/>
      </c>
      <c r="E354" s="10" t="str">
        <f ca="1">TEXT( INDIRECT( ADDRESS( ROW() + Row_Offset, INDIRECT( "Column_Number_" &amp; E$1), 4,1, tabname) ), "####")</f>
        <v/>
      </c>
      <c r="F354" s="15"/>
      <c r="G354" s="22" t="str">
        <f ca="1">IFERROR(INDEX(Rank_Table[],MATCH($D354&amp;$A354,Table4[Join],0)),"")</f>
        <v/>
      </c>
      <c r="H354" s="11" t="str">
        <f ca="1">IF(AND(D354="Juvenile Audiobook",LEFT(B354,8)="J CD BIO"),RIGHT(B354,LEN(B354)-9),
IF(AND(D354="Juvenile Audiobook",LEFT(B354,8)="J CD FIC"),B354,
IF(D354="Juvenile Audiobook",RIGHT(B354,LEN(B354)-5),
IF(AND(D354="Teen Audiobook",LEFT(B354,11)="TEEN CD BIO"),RIGHT(B354,LEN(B354)-12),
IF(AND(D354="Teen Audiobook",LEFT(B354,11)="TEEN CD FIC"),B354,
IF(D354="Juvenile Audiobook",RIGHT(B354,LEN(B354)-8),
IF(D354="Juvenile Nonfiction",RIGHT(B354,LEN(B354)-2),
IF(D354="Teen Nonfiction",RIGHT(B354,LEN(B354)-5),
IF(AND(D354="Audiobook",
              NOT(OR(Contains($B354,"CD BIO"),Contains($B354,"CD FIC")))),RIGHT(B354,LEN(B354)-3),
IF(D354="Juvenile Biography",RIGHT(B354,LEN(B354)-2),
IF(D354="Teen Biography",RIGHT(B354,LEN(B354)-5),
IF(AND(D354="Audiobook",
              IFERROR(FIND("BIO",$B354)&gt;0,FALSE)),RIGHT(B354,LEN(B354)-3),
IF(D354="Juvenile Large Type","J "&amp;RIGHT(B354,LEN(B354)-11),
IF(D354="Teen Large Type","TEEN "&amp;RIGHT(B354,LEN(B354)-14),
IF(D354="Reference",RIGHT(B354,LEN(B354)-4),
IF(D354="DVD Educational",RIGHT(B354,LEN(B354)-7),
IF(D354="Juvenile DVD Educational",RIGHT(B354,LEN(B354)-9),
B354)))))))))))))))))</f>
        <v/>
      </c>
      <c r="N354" s="11" t="str">
        <f ca="1">IF(IFERROR(FIND("New",$A354)&gt;0,FALSE),"New ","") &amp; IF(IFERROR(FIND("In Lib",$A354)&gt;0,FALSE),"Reference ","") &amp;
IF(AND(D354="Audiobook",LEFT(B354,6)="CD BIO"),"Biography",
IF(AND(D354="Teen Audiobook",LEFT(B354,11)="TEEN CD BIO"),"Biography",
IF(AND(D354="Juvenile Audiobook",LEFT(B354,8)="J CD BIO"),"Biography",
IF(AND(D354="Audiobook",LEFT(B354,6)="CD FIC"),"Audiobook Fiction",
IF(AND(D354="Teen Audiobook",LEFT(B354,11)="TEEN CD FIC"),"Teen Audiobook",
IF(AND(D354="Juvenile Audiobook",LEFT(B354,8)="J CD FIC"),"Juvenile Audiobook",
IF(D354="Audiobook","Nonfiction",
IF(D354="Juvenile Audiobook","Nonfiction",
IF(D354="Teen Audiobook","Nonfiction",
IF(D354="Juvenile Nonfiction","Nonfiction",
IF(D354="Teen Nonfiction","Nonfiction",
IF(D354="Juvenile Biography","Biography",
IF(D354="Teen Biography","Biography",
IF(D354="ESL","Nonfiction",
IF(LEFT(B354,11)="INTL-VIE J ","International Juvenile",IF(LEFT(B354,11)="INTL-TAG J ","International Juvenile",IF(LEFT(B354,11)="INTL-RUS J ","International Juvenile",IF(LEFT(B354,11)="INTL-KOR J ","International Juvenile",IF(LEFT(B354,11)="INTL-JAP J ","International Juvenile",IF(LEFT(B354,11)="INTL-CHI J ","International Juvenile",IF(LEFT(B354,11)="INTL-SPA J ","International Juvenile",IF(LEFT(B354,14)="INTL-VIE TEEN ","International Teen",IF(LEFT(B354,14)="INTL-TAG TEEN ","International Teen",IF(LEFT(B354,14)="INTL-RUS TEEN ","International Teen",IF(LEFT(B354,14)="INTL-KOR TEEN ","International Teen",IF(LEFT(B354,14)="INTL-JAP TEEN ","International Teen",IF(LEFT(B354,14)="INTL-CHI TEEN ","International Teen",IF(LEFT(B354,14)="INTL-SPA TEEN ","International Teen",IF(LEFT(B354,11)="INTL-VIE E ","International Easy",IF(LEFT(B354,11)="INTL-TAG E ","International Easy",IF(LEFT(B354,11)="INTL-RUS E ","International Easy",IF(LEFT(B354,11)="INTL-JAP E ","International Easy",IF(LEFT(B354,11)="INTL-KOR E ","International Easy",IF(LEFT(B354,11)="INTL-CHI E ","International Easy",IF(LEFT(B354,11)="INTL-SPA E ","International Easy",
IF(D354="Teen Large Type","Teen Fiction",
IF(D354="Juvenile Large Type","Juvenile Fiction",
IF(LEFT(B354,6)="J CD O","Juvenile Compact Disc",
IF(AND(LEFT(B354,4)="TEEN",D354="Fiction"),"Teen Fiction",
IF(D354="DVD Educational","Nonfiction",
IF(D354="Juvenile DVD Educational","Nonfiction",
IF(D354="Reference","Nonfiction",
D354))))))))))))))))))))))))))))))))))))))))))</f>
        <v/>
      </c>
    </row>
    <row r="355" spans="1:14" ht="27" customHeight="1" x14ac:dyDescent="0.25">
      <c r="A355" s="10" t="str">
        <f ca="1">TEXT( INDIRECT( ADDRESS( ROW() + Row_Offset, INDIRECT( "Column_Number_" &amp; A$1), 4,1, tabname) ), "")</f>
        <v/>
      </c>
      <c r="B355" s="10" t="str">
        <f ca="1">TEXT(  IFERROR( VLOOKUP( $D355, CollName_Simplifier_Table[], 2, FALSE),"") &amp;
        INDIRECT( ADDRESS( ROW() + Row_Offset, INDIRECT( "Column_Number_" &amp; $B$1), 4,1, tabname) ), "")</f>
        <v/>
      </c>
      <c r="C355" s="10" t="str">
        <f ca="1">TEXT( INDIRECT( ADDRESS( ROW() + Row_Offset, INDIRECT( "Column_Number_" &amp; C$1), 4,1, tabname) ), "")</f>
        <v/>
      </c>
      <c r="D355" s="10" t="str">
        <f ca="1">TEXT( INDIRECT( ADDRESS( ROW() + Row_Offset, INDIRECT( "Column_Number_" &amp; D$1), 4,1, tabname) ), "")</f>
        <v/>
      </c>
      <c r="E355" s="10" t="str">
        <f ca="1">TEXT( INDIRECT( ADDRESS( ROW() + Row_Offset, INDIRECT( "Column_Number_" &amp; E$1), 4,1, tabname) ), "####")</f>
        <v/>
      </c>
      <c r="F355" s="15"/>
      <c r="G355" s="22" t="str">
        <f ca="1">IFERROR(INDEX(Rank_Table[],MATCH($D355&amp;$A355,Table4[Join],0)),"")</f>
        <v/>
      </c>
      <c r="H355" s="11" t="str">
        <f ca="1">IF(AND(D355="Juvenile Audiobook",LEFT(B355,8)="J CD BIO"),RIGHT(B355,LEN(B355)-9),
IF(AND(D355="Juvenile Audiobook",LEFT(B355,8)="J CD FIC"),B355,
IF(D355="Juvenile Audiobook",RIGHT(B355,LEN(B355)-5),
IF(AND(D355="Teen Audiobook",LEFT(B355,11)="TEEN CD BIO"),RIGHT(B355,LEN(B355)-12),
IF(AND(D355="Teen Audiobook",LEFT(B355,11)="TEEN CD FIC"),B355,
IF(D355="Juvenile Audiobook",RIGHT(B355,LEN(B355)-8),
IF(D355="Juvenile Nonfiction",RIGHT(B355,LEN(B355)-2),
IF(D355="Teen Nonfiction",RIGHT(B355,LEN(B355)-5),
IF(AND(D355="Audiobook",
              NOT(OR(Contains($B355,"CD BIO"),Contains($B355,"CD FIC")))),RIGHT(B355,LEN(B355)-3),
IF(D355="Juvenile Biography",RIGHT(B355,LEN(B355)-2),
IF(D355="Teen Biography",RIGHT(B355,LEN(B355)-5),
IF(AND(D355="Audiobook",
              IFERROR(FIND("BIO",$B355)&gt;0,FALSE)),RIGHT(B355,LEN(B355)-3),
IF(D355="Juvenile Large Type","J "&amp;RIGHT(B355,LEN(B355)-11),
IF(D355="Teen Large Type","TEEN "&amp;RIGHT(B355,LEN(B355)-14),
IF(D355="Reference",RIGHT(B355,LEN(B355)-4),
IF(D355="DVD Educational",RIGHT(B355,LEN(B355)-7),
IF(D355="Juvenile DVD Educational",RIGHT(B355,LEN(B355)-9),
B355)))))))))))))))))</f>
        <v/>
      </c>
      <c r="N355" s="11" t="str">
        <f ca="1">IF(IFERROR(FIND("New",$A355)&gt;0,FALSE),"New ","") &amp; IF(IFERROR(FIND("In Lib",$A355)&gt;0,FALSE),"Reference ","") &amp;
IF(AND(D355="Audiobook",LEFT(B355,6)="CD BIO"),"Biography",
IF(AND(D355="Teen Audiobook",LEFT(B355,11)="TEEN CD BIO"),"Biography",
IF(AND(D355="Juvenile Audiobook",LEFT(B355,8)="J CD BIO"),"Biography",
IF(AND(D355="Audiobook",LEFT(B355,6)="CD FIC"),"Audiobook Fiction",
IF(AND(D355="Teen Audiobook",LEFT(B355,11)="TEEN CD FIC"),"Teen Audiobook",
IF(AND(D355="Juvenile Audiobook",LEFT(B355,8)="J CD FIC"),"Juvenile Audiobook",
IF(D355="Audiobook","Nonfiction",
IF(D355="Juvenile Audiobook","Nonfiction",
IF(D355="Teen Audiobook","Nonfiction",
IF(D355="Juvenile Nonfiction","Nonfiction",
IF(D355="Teen Nonfiction","Nonfiction",
IF(D355="Juvenile Biography","Biography",
IF(D355="Teen Biography","Biography",
IF(D355="ESL","Nonfiction",
IF(LEFT(B355,11)="INTL-VIE J ","International Juvenile",IF(LEFT(B355,11)="INTL-TAG J ","International Juvenile",IF(LEFT(B355,11)="INTL-RUS J ","International Juvenile",IF(LEFT(B355,11)="INTL-KOR J ","International Juvenile",IF(LEFT(B355,11)="INTL-JAP J ","International Juvenile",IF(LEFT(B355,11)="INTL-CHI J ","International Juvenile",IF(LEFT(B355,11)="INTL-SPA J ","International Juvenile",IF(LEFT(B355,14)="INTL-VIE TEEN ","International Teen",IF(LEFT(B355,14)="INTL-TAG TEEN ","International Teen",IF(LEFT(B355,14)="INTL-RUS TEEN ","International Teen",IF(LEFT(B355,14)="INTL-KOR TEEN ","International Teen",IF(LEFT(B355,14)="INTL-JAP TEEN ","International Teen",IF(LEFT(B355,14)="INTL-CHI TEEN ","International Teen",IF(LEFT(B355,14)="INTL-SPA TEEN ","International Teen",IF(LEFT(B355,11)="INTL-VIE E ","International Easy",IF(LEFT(B355,11)="INTL-TAG E ","International Easy",IF(LEFT(B355,11)="INTL-RUS E ","International Easy",IF(LEFT(B355,11)="INTL-JAP E ","International Easy",IF(LEFT(B355,11)="INTL-KOR E ","International Easy",IF(LEFT(B355,11)="INTL-CHI E ","International Easy",IF(LEFT(B355,11)="INTL-SPA E ","International Easy",
IF(D355="Teen Large Type","Teen Fiction",
IF(D355="Juvenile Large Type","Juvenile Fiction",
IF(LEFT(B355,6)="J CD O","Juvenile Compact Disc",
IF(AND(LEFT(B355,4)="TEEN",D355="Fiction"),"Teen Fiction",
IF(D355="DVD Educational","Nonfiction",
IF(D355="Juvenile DVD Educational","Nonfiction",
IF(D355="Reference","Nonfiction",
D355))))))))))))))))))))))))))))))))))))))))))</f>
        <v/>
      </c>
    </row>
    <row r="356" spans="1:14" ht="27" customHeight="1" x14ac:dyDescent="0.25">
      <c r="A356" s="10" t="str">
        <f ca="1">TEXT( INDIRECT( ADDRESS( ROW() + Row_Offset, INDIRECT( "Column_Number_" &amp; A$1), 4,1, tabname) ), "")</f>
        <v/>
      </c>
      <c r="B356" s="10" t="str">
        <f ca="1">TEXT(  IFERROR( VLOOKUP( $D356, CollName_Simplifier_Table[], 2, FALSE),"") &amp;
        INDIRECT( ADDRESS( ROW() + Row_Offset, INDIRECT( "Column_Number_" &amp; $B$1), 4,1, tabname) ), "")</f>
        <v/>
      </c>
      <c r="C356" s="10" t="str">
        <f ca="1">TEXT( INDIRECT( ADDRESS( ROW() + Row_Offset, INDIRECT( "Column_Number_" &amp; C$1), 4,1, tabname) ), "")</f>
        <v/>
      </c>
      <c r="D356" s="10" t="str">
        <f ca="1">TEXT( INDIRECT( ADDRESS( ROW() + Row_Offset, INDIRECT( "Column_Number_" &amp; D$1), 4,1, tabname) ), "")</f>
        <v/>
      </c>
      <c r="E356" s="10" t="str">
        <f ca="1">TEXT( INDIRECT( ADDRESS( ROW() + Row_Offset, INDIRECT( "Column_Number_" &amp; E$1), 4,1, tabname) ), "####")</f>
        <v/>
      </c>
      <c r="F356" s="15"/>
      <c r="G356" s="22" t="str">
        <f ca="1">IFERROR(INDEX(Rank_Table[],MATCH($D356&amp;$A356,Table4[Join],0)),"")</f>
        <v/>
      </c>
      <c r="H356" s="11" t="str">
        <f ca="1">IF(AND(D356="Juvenile Audiobook",LEFT(B356,8)="J CD BIO"),RIGHT(B356,LEN(B356)-9),
IF(AND(D356="Juvenile Audiobook",LEFT(B356,8)="J CD FIC"),B356,
IF(D356="Juvenile Audiobook",RIGHT(B356,LEN(B356)-5),
IF(AND(D356="Teen Audiobook",LEFT(B356,11)="TEEN CD BIO"),RIGHT(B356,LEN(B356)-12),
IF(AND(D356="Teen Audiobook",LEFT(B356,11)="TEEN CD FIC"),B356,
IF(D356="Juvenile Audiobook",RIGHT(B356,LEN(B356)-8),
IF(D356="Juvenile Nonfiction",RIGHT(B356,LEN(B356)-2),
IF(D356="Teen Nonfiction",RIGHT(B356,LEN(B356)-5),
IF(AND(D356="Audiobook",
              NOT(OR(Contains($B356,"CD BIO"),Contains($B356,"CD FIC")))),RIGHT(B356,LEN(B356)-3),
IF(D356="Juvenile Biography",RIGHT(B356,LEN(B356)-2),
IF(D356="Teen Biography",RIGHT(B356,LEN(B356)-5),
IF(AND(D356="Audiobook",
              IFERROR(FIND("BIO",$B356)&gt;0,FALSE)),RIGHT(B356,LEN(B356)-3),
IF(D356="Juvenile Large Type","J "&amp;RIGHT(B356,LEN(B356)-11),
IF(D356="Teen Large Type","TEEN "&amp;RIGHT(B356,LEN(B356)-14),
IF(D356="Reference",RIGHT(B356,LEN(B356)-4),
IF(D356="DVD Educational",RIGHT(B356,LEN(B356)-7),
IF(D356="Juvenile DVD Educational",RIGHT(B356,LEN(B356)-9),
B356)))))))))))))))))</f>
        <v/>
      </c>
      <c r="N356" s="11" t="str">
        <f ca="1">IF(IFERROR(FIND("New",$A356)&gt;0,FALSE),"New ","") &amp; IF(IFERROR(FIND("In Lib",$A356)&gt;0,FALSE),"Reference ","") &amp;
IF(AND(D356="Audiobook",LEFT(B356,6)="CD BIO"),"Biography",
IF(AND(D356="Teen Audiobook",LEFT(B356,11)="TEEN CD BIO"),"Biography",
IF(AND(D356="Juvenile Audiobook",LEFT(B356,8)="J CD BIO"),"Biography",
IF(AND(D356="Audiobook",LEFT(B356,6)="CD FIC"),"Audiobook Fiction",
IF(AND(D356="Teen Audiobook",LEFT(B356,11)="TEEN CD FIC"),"Teen Audiobook",
IF(AND(D356="Juvenile Audiobook",LEFT(B356,8)="J CD FIC"),"Juvenile Audiobook",
IF(D356="Audiobook","Nonfiction",
IF(D356="Juvenile Audiobook","Nonfiction",
IF(D356="Teen Audiobook","Nonfiction",
IF(D356="Juvenile Nonfiction","Nonfiction",
IF(D356="Teen Nonfiction","Nonfiction",
IF(D356="Juvenile Biography","Biography",
IF(D356="Teen Biography","Biography",
IF(D356="ESL","Nonfiction",
IF(LEFT(B356,11)="INTL-VIE J ","International Juvenile",IF(LEFT(B356,11)="INTL-TAG J ","International Juvenile",IF(LEFT(B356,11)="INTL-RUS J ","International Juvenile",IF(LEFT(B356,11)="INTL-KOR J ","International Juvenile",IF(LEFT(B356,11)="INTL-JAP J ","International Juvenile",IF(LEFT(B356,11)="INTL-CHI J ","International Juvenile",IF(LEFT(B356,11)="INTL-SPA J ","International Juvenile",IF(LEFT(B356,14)="INTL-VIE TEEN ","International Teen",IF(LEFT(B356,14)="INTL-TAG TEEN ","International Teen",IF(LEFT(B356,14)="INTL-RUS TEEN ","International Teen",IF(LEFT(B356,14)="INTL-KOR TEEN ","International Teen",IF(LEFT(B356,14)="INTL-JAP TEEN ","International Teen",IF(LEFT(B356,14)="INTL-CHI TEEN ","International Teen",IF(LEFT(B356,14)="INTL-SPA TEEN ","International Teen",IF(LEFT(B356,11)="INTL-VIE E ","International Easy",IF(LEFT(B356,11)="INTL-TAG E ","International Easy",IF(LEFT(B356,11)="INTL-RUS E ","International Easy",IF(LEFT(B356,11)="INTL-JAP E ","International Easy",IF(LEFT(B356,11)="INTL-KOR E ","International Easy",IF(LEFT(B356,11)="INTL-CHI E ","International Easy",IF(LEFT(B356,11)="INTL-SPA E ","International Easy",
IF(D356="Teen Large Type","Teen Fiction",
IF(D356="Juvenile Large Type","Juvenile Fiction",
IF(LEFT(B356,6)="J CD O","Juvenile Compact Disc",
IF(AND(LEFT(B356,4)="TEEN",D356="Fiction"),"Teen Fiction",
IF(D356="DVD Educational","Nonfiction",
IF(D356="Juvenile DVD Educational","Nonfiction",
IF(D356="Reference","Nonfiction",
D356))))))))))))))))))))))))))))))))))))))))))</f>
        <v/>
      </c>
    </row>
    <row r="357" spans="1:14" ht="27" customHeight="1" x14ac:dyDescent="0.25">
      <c r="A357" s="10" t="str">
        <f ca="1">TEXT( INDIRECT( ADDRESS( ROW() + Row_Offset, INDIRECT( "Column_Number_" &amp; A$1), 4,1, tabname) ), "")</f>
        <v/>
      </c>
      <c r="B357" s="10" t="str">
        <f ca="1">TEXT(  IFERROR( VLOOKUP( $D357, CollName_Simplifier_Table[], 2, FALSE),"") &amp;
        INDIRECT( ADDRESS( ROW() + Row_Offset, INDIRECT( "Column_Number_" &amp; $B$1), 4,1, tabname) ), "")</f>
        <v/>
      </c>
      <c r="C357" s="10" t="str">
        <f ca="1">TEXT( INDIRECT( ADDRESS( ROW() + Row_Offset, INDIRECT( "Column_Number_" &amp; C$1), 4,1, tabname) ), "")</f>
        <v/>
      </c>
      <c r="D357" s="10" t="str">
        <f ca="1">TEXT( INDIRECT( ADDRESS( ROW() + Row_Offset, INDIRECT( "Column_Number_" &amp; D$1), 4,1, tabname) ), "")</f>
        <v/>
      </c>
      <c r="E357" s="10" t="str">
        <f ca="1">TEXT( INDIRECT( ADDRESS( ROW() + Row_Offset, INDIRECT( "Column_Number_" &amp; E$1), 4,1, tabname) ), "####")</f>
        <v/>
      </c>
      <c r="F357" s="15"/>
      <c r="G357" s="22" t="str">
        <f ca="1">IFERROR(INDEX(Rank_Table[],MATCH($D357&amp;$A357,Table4[Join],0)),"")</f>
        <v/>
      </c>
      <c r="H357" s="11" t="str">
        <f ca="1">IF(AND(D357="Juvenile Audiobook",LEFT(B357,8)="J CD BIO"),RIGHT(B357,LEN(B357)-9),
IF(AND(D357="Juvenile Audiobook",LEFT(B357,8)="J CD FIC"),B357,
IF(D357="Juvenile Audiobook",RIGHT(B357,LEN(B357)-5),
IF(AND(D357="Teen Audiobook",LEFT(B357,11)="TEEN CD BIO"),RIGHT(B357,LEN(B357)-12),
IF(AND(D357="Teen Audiobook",LEFT(B357,11)="TEEN CD FIC"),B357,
IF(D357="Juvenile Audiobook",RIGHT(B357,LEN(B357)-8),
IF(D357="Juvenile Nonfiction",RIGHT(B357,LEN(B357)-2),
IF(D357="Teen Nonfiction",RIGHT(B357,LEN(B357)-5),
IF(AND(D357="Audiobook",
              NOT(OR(Contains($B357,"CD BIO"),Contains($B357,"CD FIC")))),RIGHT(B357,LEN(B357)-3),
IF(D357="Juvenile Biography",RIGHT(B357,LEN(B357)-2),
IF(D357="Teen Biography",RIGHT(B357,LEN(B357)-5),
IF(AND(D357="Audiobook",
              IFERROR(FIND("BIO",$B357)&gt;0,FALSE)),RIGHT(B357,LEN(B357)-3),
IF(D357="Juvenile Large Type","J "&amp;RIGHT(B357,LEN(B357)-11),
IF(D357="Teen Large Type","TEEN "&amp;RIGHT(B357,LEN(B357)-14),
IF(D357="Reference",RIGHT(B357,LEN(B357)-4),
IF(D357="DVD Educational",RIGHT(B357,LEN(B357)-7),
IF(D357="Juvenile DVD Educational",RIGHT(B357,LEN(B357)-9),
B357)))))))))))))))))</f>
        <v/>
      </c>
      <c r="N357" s="11" t="str">
        <f ca="1">IF(IFERROR(FIND("New",$A357)&gt;0,FALSE),"New ","") &amp; IF(IFERROR(FIND("In Lib",$A357)&gt;0,FALSE),"Reference ","") &amp;
IF(AND(D357="Audiobook",LEFT(B357,6)="CD BIO"),"Biography",
IF(AND(D357="Teen Audiobook",LEFT(B357,11)="TEEN CD BIO"),"Biography",
IF(AND(D357="Juvenile Audiobook",LEFT(B357,8)="J CD BIO"),"Biography",
IF(AND(D357="Audiobook",LEFT(B357,6)="CD FIC"),"Audiobook Fiction",
IF(AND(D357="Teen Audiobook",LEFT(B357,11)="TEEN CD FIC"),"Teen Audiobook",
IF(AND(D357="Juvenile Audiobook",LEFT(B357,8)="J CD FIC"),"Juvenile Audiobook",
IF(D357="Audiobook","Nonfiction",
IF(D357="Juvenile Audiobook","Nonfiction",
IF(D357="Teen Audiobook","Nonfiction",
IF(D357="Juvenile Nonfiction","Nonfiction",
IF(D357="Teen Nonfiction","Nonfiction",
IF(D357="Juvenile Biography","Biography",
IF(D357="Teen Biography","Biography",
IF(D357="ESL","Nonfiction",
IF(LEFT(B357,11)="INTL-VIE J ","International Juvenile",IF(LEFT(B357,11)="INTL-TAG J ","International Juvenile",IF(LEFT(B357,11)="INTL-RUS J ","International Juvenile",IF(LEFT(B357,11)="INTL-KOR J ","International Juvenile",IF(LEFT(B357,11)="INTL-JAP J ","International Juvenile",IF(LEFT(B357,11)="INTL-CHI J ","International Juvenile",IF(LEFT(B357,11)="INTL-SPA J ","International Juvenile",IF(LEFT(B357,14)="INTL-VIE TEEN ","International Teen",IF(LEFT(B357,14)="INTL-TAG TEEN ","International Teen",IF(LEFT(B357,14)="INTL-RUS TEEN ","International Teen",IF(LEFT(B357,14)="INTL-KOR TEEN ","International Teen",IF(LEFT(B357,14)="INTL-JAP TEEN ","International Teen",IF(LEFT(B357,14)="INTL-CHI TEEN ","International Teen",IF(LEFT(B357,14)="INTL-SPA TEEN ","International Teen",IF(LEFT(B357,11)="INTL-VIE E ","International Easy",IF(LEFT(B357,11)="INTL-TAG E ","International Easy",IF(LEFT(B357,11)="INTL-RUS E ","International Easy",IF(LEFT(B357,11)="INTL-JAP E ","International Easy",IF(LEFT(B357,11)="INTL-KOR E ","International Easy",IF(LEFT(B357,11)="INTL-CHI E ","International Easy",IF(LEFT(B357,11)="INTL-SPA E ","International Easy",
IF(D357="Teen Large Type","Teen Fiction",
IF(D357="Juvenile Large Type","Juvenile Fiction",
IF(LEFT(B357,6)="J CD O","Juvenile Compact Disc",
IF(AND(LEFT(B357,4)="TEEN",D357="Fiction"),"Teen Fiction",
IF(D357="DVD Educational","Nonfiction",
IF(D357="Juvenile DVD Educational","Nonfiction",
IF(D357="Reference","Nonfiction",
D357))))))))))))))))))))))))))))))))))))))))))</f>
        <v/>
      </c>
    </row>
    <row r="358" spans="1:14" ht="27" customHeight="1" x14ac:dyDescent="0.25">
      <c r="A358" s="10" t="str">
        <f ca="1">TEXT( INDIRECT( ADDRESS( ROW() + Row_Offset, INDIRECT( "Column_Number_" &amp; A$1), 4,1, tabname) ), "")</f>
        <v/>
      </c>
      <c r="B358" s="10" t="str">
        <f ca="1">TEXT(  IFERROR( VLOOKUP( $D358, CollName_Simplifier_Table[], 2, FALSE),"") &amp;
        INDIRECT( ADDRESS( ROW() + Row_Offset, INDIRECT( "Column_Number_" &amp; $B$1), 4,1, tabname) ), "")</f>
        <v/>
      </c>
      <c r="C358" s="10" t="str">
        <f ca="1">TEXT( INDIRECT( ADDRESS( ROW() + Row_Offset, INDIRECT( "Column_Number_" &amp; C$1), 4,1, tabname) ), "")</f>
        <v/>
      </c>
      <c r="D358" s="10" t="str">
        <f ca="1">TEXT( INDIRECT( ADDRESS( ROW() + Row_Offset, INDIRECT( "Column_Number_" &amp; D$1), 4,1, tabname) ), "")</f>
        <v/>
      </c>
      <c r="E358" s="10" t="str">
        <f ca="1">TEXT( INDIRECT( ADDRESS( ROW() + Row_Offset, INDIRECT( "Column_Number_" &amp; E$1), 4,1, tabname) ), "####")</f>
        <v/>
      </c>
      <c r="F358" s="15"/>
      <c r="G358" s="22" t="str">
        <f ca="1">IFERROR(INDEX(Rank_Table[],MATCH($D358&amp;$A358,Table4[Join],0)),"")</f>
        <v/>
      </c>
      <c r="H358" s="11" t="str">
        <f ca="1">IF(AND(D358="Juvenile Audiobook",LEFT(B358,8)="J CD BIO"),RIGHT(B358,LEN(B358)-9),
IF(AND(D358="Juvenile Audiobook",LEFT(B358,8)="J CD FIC"),B358,
IF(D358="Juvenile Audiobook",RIGHT(B358,LEN(B358)-5),
IF(AND(D358="Teen Audiobook",LEFT(B358,11)="TEEN CD BIO"),RIGHT(B358,LEN(B358)-12),
IF(AND(D358="Teen Audiobook",LEFT(B358,11)="TEEN CD FIC"),B358,
IF(D358="Juvenile Audiobook",RIGHT(B358,LEN(B358)-8),
IF(D358="Juvenile Nonfiction",RIGHT(B358,LEN(B358)-2),
IF(D358="Teen Nonfiction",RIGHT(B358,LEN(B358)-5),
IF(AND(D358="Audiobook",
              NOT(OR(Contains($B358,"CD BIO"),Contains($B358,"CD FIC")))),RIGHT(B358,LEN(B358)-3),
IF(D358="Juvenile Biography",RIGHT(B358,LEN(B358)-2),
IF(D358="Teen Biography",RIGHT(B358,LEN(B358)-5),
IF(AND(D358="Audiobook",
              IFERROR(FIND("BIO",$B358)&gt;0,FALSE)),RIGHT(B358,LEN(B358)-3),
IF(D358="Juvenile Large Type","J "&amp;RIGHT(B358,LEN(B358)-11),
IF(D358="Teen Large Type","TEEN "&amp;RIGHT(B358,LEN(B358)-14),
IF(D358="Reference",RIGHT(B358,LEN(B358)-4),
IF(D358="DVD Educational",RIGHT(B358,LEN(B358)-7),
IF(D358="Juvenile DVD Educational",RIGHT(B358,LEN(B358)-9),
B358)))))))))))))))))</f>
        <v/>
      </c>
      <c r="N358" s="11" t="str">
        <f ca="1">IF(IFERROR(FIND("New",$A358)&gt;0,FALSE),"New ","") &amp; IF(IFERROR(FIND("In Lib",$A358)&gt;0,FALSE),"Reference ","") &amp;
IF(AND(D358="Audiobook",LEFT(B358,6)="CD BIO"),"Biography",
IF(AND(D358="Teen Audiobook",LEFT(B358,11)="TEEN CD BIO"),"Biography",
IF(AND(D358="Juvenile Audiobook",LEFT(B358,8)="J CD BIO"),"Biography",
IF(AND(D358="Audiobook",LEFT(B358,6)="CD FIC"),"Audiobook Fiction",
IF(AND(D358="Teen Audiobook",LEFT(B358,11)="TEEN CD FIC"),"Teen Audiobook",
IF(AND(D358="Juvenile Audiobook",LEFT(B358,8)="J CD FIC"),"Juvenile Audiobook",
IF(D358="Audiobook","Nonfiction",
IF(D358="Juvenile Audiobook","Nonfiction",
IF(D358="Teen Audiobook","Nonfiction",
IF(D358="Juvenile Nonfiction","Nonfiction",
IF(D358="Teen Nonfiction","Nonfiction",
IF(D358="Juvenile Biography","Biography",
IF(D358="Teen Biography","Biography",
IF(D358="ESL","Nonfiction",
IF(LEFT(B358,11)="INTL-VIE J ","International Juvenile",IF(LEFT(B358,11)="INTL-TAG J ","International Juvenile",IF(LEFT(B358,11)="INTL-RUS J ","International Juvenile",IF(LEFT(B358,11)="INTL-KOR J ","International Juvenile",IF(LEFT(B358,11)="INTL-JAP J ","International Juvenile",IF(LEFT(B358,11)="INTL-CHI J ","International Juvenile",IF(LEFT(B358,11)="INTL-SPA J ","International Juvenile",IF(LEFT(B358,14)="INTL-VIE TEEN ","International Teen",IF(LEFT(B358,14)="INTL-TAG TEEN ","International Teen",IF(LEFT(B358,14)="INTL-RUS TEEN ","International Teen",IF(LEFT(B358,14)="INTL-KOR TEEN ","International Teen",IF(LEFT(B358,14)="INTL-JAP TEEN ","International Teen",IF(LEFT(B358,14)="INTL-CHI TEEN ","International Teen",IF(LEFT(B358,14)="INTL-SPA TEEN ","International Teen",IF(LEFT(B358,11)="INTL-VIE E ","International Easy",IF(LEFT(B358,11)="INTL-TAG E ","International Easy",IF(LEFT(B358,11)="INTL-RUS E ","International Easy",IF(LEFT(B358,11)="INTL-JAP E ","International Easy",IF(LEFT(B358,11)="INTL-KOR E ","International Easy",IF(LEFT(B358,11)="INTL-CHI E ","International Easy",IF(LEFT(B358,11)="INTL-SPA E ","International Easy",
IF(D358="Teen Large Type","Teen Fiction",
IF(D358="Juvenile Large Type","Juvenile Fiction",
IF(LEFT(B358,6)="J CD O","Juvenile Compact Disc",
IF(AND(LEFT(B358,4)="TEEN",D358="Fiction"),"Teen Fiction",
IF(D358="DVD Educational","Nonfiction",
IF(D358="Juvenile DVD Educational","Nonfiction",
IF(D358="Reference","Nonfiction",
D358))))))))))))))))))))))))))))))))))))))))))</f>
        <v/>
      </c>
    </row>
    <row r="359" spans="1:14" ht="27" customHeight="1" x14ac:dyDescent="0.25">
      <c r="A359" s="10" t="str">
        <f ca="1">TEXT( INDIRECT( ADDRESS( ROW() + Row_Offset, INDIRECT( "Column_Number_" &amp; A$1), 4,1, tabname) ), "")</f>
        <v/>
      </c>
      <c r="B359" s="10" t="str">
        <f ca="1">TEXT(  IFERROR( VLOOKUP( $D359, CollName_Simplifier_Table[], 2, FALSE),"") &amp;
        INDIRECT( ADDRESS( ROW() + Row_Offset, INDIRECT( "Column_Number_" &amp; $B$1), 4,1, tabname) ), "")</f>
        <v/>
      </c>
      <c r="C359" s="10" t="str">
        <f ca="1">TEXT( INDIRECT( ADDRESS( ROW() + Row_Offset, INDIRECT( "Column_Number_" &amp; C$1), 4,1, tabname) ), "")</f>
        <v/>
      </c>
      <c r="D359" s="10" t="str">
        <f ca="1">TEXT( INDIRECT( ADDRESS( ROW() + Row_Offset, INDIRECT( "Column_Number_" &amp; D$1), 4,1, tabname) ), "")</f>
        <v/>
      </c>
      <c r="E359" s="10" t="str">
        <f ca="1">TEXT( INDIRECT( ADDRESS( ROW() + Row_Offset, INDIRECT( "Column_Number_" &amp; E$1), 4,1, tabname) ), "####")</f>
        <v/>
      </c>
      <c r="F359" s="15"/>
      <c r="G359" s="22" t="str">
        <f ca="1">IFERROR(INDEX(Rank_Table[],MATCH($D359&amp;$A359,Table4[Join],0)),"")</f>
        <v/>
      </c>
      <c r="H359" s="11" t="str">
        <f ca="1">IF(AND(D359="Juvenile Audiobook",LEFT(B359,8)="J CD BIO"),RIGHT(B359,LEN(B359)-9),
IF(AND(D359="Juvenile Audiobook",LEFT(B359,8)="J CD FIC"),B359,
IF(D359="Juvenile Audiobook",RIGHT(B359,LEN(B359)-5),
IF(AND(D359="Teen Audiobook",LEFT(B359,11)="TEEN CD BIO"),RIGHT(B359,LEN(B359)-12),
IF(AND(D359="Teen Audiobook",LEFT(B359,11)="TEEN CD FIC"),B359,
IF(D359="Juvenile Audiobook",RIGHT(B359,LEN(B359)-8),
IF(D359="Juvenile Nonfiction",RIGHT(B359,LEN(B359)-2),
IF(D359="Teen Nonfiction",RIGHT(B359,LEN(B359)-5),
IF(AND(D359="Audiobook",
              NOT(OR(Contains($B359,"CD BIO"),Contains($B359,"CD FIC")))),RIGHT(B359,LEN(B359)-3),
IF(D359="Juvenile Biography",RIGHT(B359,LEN(B359)-2),
IF(D359="Teen Biography",RIGHT(B359,LEN(B359)-5),
IF(AND(D359="Audiobook",
              IFERROR(FIND("BIO",$B359)&gt;0,FALSE)),RIGHT(B359,LEN(B359)-3),
IF(D359="Juvenile Large Type","J "&amp;RIGHT(B359,LEN(B359)-11),
IF(D359="Teen Large Type","TEEN "&amp;RIGHT(B359,LEN(B359)-14),
IF(D359="Reference",RIGHT(B359,LEN(B359)-4),
IF(D359="DVD Educational",RIGHT(B359,LEN(B359)-7),
IF(D359="Juvenile DVD Educational",RIGHT(B359,LEN(B359)-9),
B359)))))))))))))))))</f>
        <v/>
      </c>
      <c r="N359" s="11" t="str">
        <f ca="1">IF(IFERROR(FIND("New",$A359)&gt;0,FALSE),"New ","") &amp; IF(IFERROR(FIND("In Lib",$A359)&gt;0,FALSE),"Reference ","") &amp;
IF(AND(D359="Audiobook",LEFT(B359,6)="CD BIO"),"Biography",
IF(AND(D359="Teen Audiobook",LEFT(B359,11)="TEEN CD BIO"),"Biography",
IF(AND(D359="Juvenile Audiobook",LEFT(B359,8)="J CD BIO"),"Biography",
IF(AND(D359="Audiobook",LEFT(B359,6)="CD FIC"),"Audiobook Fiction",
IF(AND(D359="Teen Audiobook",LEFT(B359,11)="TEEN CD FIC"),"Teen Audiobook",
IF(AND(D359="Juvenile Audiobook",LEFT(B359,8)="J CD FIC"),"Juvenile Audiobook",
IF(D359="Audiobook","Nonfiction",
IF(D359="Juvenile Audiobook","Nonfiction",
IF(D359="Teen Audiobook","Nonfiction",
IF(D359="Juvenile Nonfiction","Nonfiction",
IF(D359="Teen Nonfiction","Nonfiction",
IF(D359="Juvenile Biography","Biography",
IF(D359="Teen Biography","Biography",
IF(D359="ESL","Nonfiction",
IF(LEFT(B359,11)="INTL-VIE J ","International Juvenile",IF(LEFT(B359,11)="INTL-TAG J ","International Juvenile",IF(LEFT(B359,11)="INTL-RUS J ","International Juvenile",IF(LEFT(B359,11)="INTL-KOR J ","International Juvenile",IF(LEFT(B359,11)="INTL-JAP J ","International Juvenile",IF(LEFT(B359,11)="INTL-CHI J ","International Juvenile",IF(LEFT(B359,11)="INTL-SPA J ","International Juvenile",IF(LEFT(B359,14)="INTL-VIE TEEN ","International Teen",IF(LEFT(B359,14)="INTL-TAG TEEN ","International Teen",IF(LEFT(B359,14)="INTL-RUS TEEN ","International Teen",IF(LEFT(B359,14)="INTL-KOR TEEN ","International Teen",IF(LEFT(B359,14)="INTL-JAP TEEN ","International Teen",IF(LEFT(B359,14)="INTL-CHI TEEN ","International Teen",IF(LEFT(B359,14)="INTL-SPA TEEN ","International Teen",IF(LEFT(B359,11)="INTL-VIE E ","International Easy",IF(LEFT(B359,11)="INTL-TAG E ","International Easy",IF(LEFT(B359,11)="INTL-RUS E ","International Easy",IF(LEFT(B359,11)="INTL-JAP E ","International Easy",IF(LEFT(B359,11)="INTL-KOR E ","International Easy",IF(LEFT(B359,11)="INTL-CHI E ","International Easy",IF(LEFT(B359,11)="INTL-SPA E ","International Easy",
IF(D359="Teen Large Type","Teen Fiction",
IF(D359="Juvenile Large Type","Juvenile Fiction",
IF(LEFT(B359,6)="J CD O","Juvenile Compact Disc",
IF(AND(LEFT(B359,4)="TEEN",D359="Fiction"),"Teen Fiction",
IF(D359="DVD Educational","Nonfiction",
IF(D359="Juvenile DVD Educational","Nonfiction",
IF(D359="Reference","Nonfiction",
D359))))))))))))))))))))))))))))))))))))))))))</f>
        <v/>
      </c>
    </row>
    <row r="360" spans="1:14" ht="27" customHeight="1" x14ac:dyDescent="0.25">
      <c r="A360" s="10" t="str">
        <f ca="1">TEXT( INDIRECT( ADDRESS( ROW() + Row_Offset, INDIRECT( "Column_Number_" &amp; A$1), 4,1, tabname) ), "")</f>
        <v/>
      </c>
      <c r="B360" s="10" t="str">
        <f ca="1">TEXT(  IFERROR( VLOOKUP( $D360, CollName_Simplifier_Table[], 2, FALSE),"") &amp;
        INDIRECT( ADDRESS( ROW() + Row_Offset, INDIRECT( "Column_Number_" &amp; $B$1), 4,1, tabname) ), "")</f>
        <v/>
      </c>
      <c r="C360" s="10" t="str">
        <f ca="1">TEXT( INDIRECT( ADDRESS( ROW() + Row_Offset, INDIRECT( "Column_Number_" &amp; C$1), 4,1, tabname) ), "")</f>
        <v/>
      </c>
      <c r="D360" s="10" t="str">
        <f ca="1">TEXT( INDIRECT( ADDRESS( ROW() + Row_Offset, INDIRECT( "Column_Number_" &amp; D$1), 4,1, tabname) ), "")</f>
        <v/>
      </c>
      <c r="E360" s="10" t="str">
        <f ca="1">TEXT( INDIRECT( ADDRESS( ROW() + Row_Offset, INDIRECT( "Column_Number_" &amp; E$1), 4,1, tabname) ), "####")</f>
        <v/>
      </c>
      <c r="F360" s="15"/>
      <c r="G360" s="22" t="str">
        <f ca="1">IFERROR(INDEX(Rank_Table[],MATCH($D360&amp;$A360,Table4[Join],0)),"")</f>
        <v/>
      </c>
      <c r="H360" s="11" t="str">
        <f ca="1">IF(AND(D360="Juvenile Audiobook",LEFT(B360,8)="J CD BIO"),RIGHT(B360,LEN(B360)-9),
IF(AND(D360="Juvenile Audiobook",LEFT(B360,8)="J CD FIC"),B360,
IF(D360="Juvenile Audiobook",RIGHT(B360,LEN(B360)-5),
IF(AND(D360="Teen Audiobook",LEFT(B360,11)="TEEN CD BIO"),RIGHT(B360,LEN(B360)-12),
IF(AND(D360="Teen Audiobook",LEFT(B360,11)="TEEN CD FIC"),B360,
IF(D360="Juvenile Audiobook",RIGHT(B360,LEN(B360)-8),
IF(D360="Juvenile Nonfiction",RIGHT(B360,LEN(B360)-2),
IF(D360="Teen Nonfiction",RIGHT(B360,LEN(B360)-5),
IF(AND(D360="Audiobook",
              NOT(OR(Contains($B360,"CD BIO"),Contains($B360,"CD FIC")))),RIGHT(B360,LEN(B360)-3),
IF(D360="Juvenile Biography",RIGHT(B360,LEN(B360)-2),
IF(D360="Teen Biography",RIGHT(B360,LEN(B360)-5),
IF(AND(D360="Audiobook",
              IFERROR(FIND("BIO",$B360)&gt;0,FALSE)),RIGHT(B360,LEN(B360)-3),
IF(D360="Juvenile Large Type","J "&amp;RIGHT(B360,LEN(B360)-11),
IF(D360="Teen Large Type","TEEN "&amp;RIGHT(B360,LEN(B360)-14),
IF(D360="Reference",RIGHT(B360,LEN(B360)-4),
IF(D360="DVD Educational",RIGHT(B360,LEN(B360)-7),
IF(D360="Juvenile DVD Educational",RIGHT(B360,LEN(B360)-9),
B360)))))))))))))))))</f>
        <v/>
      </c>
      <c r="N360" s="11" t="str">
        <f ca="1">IF(IFERROR(FIND("New",$A360)&gt;0,FALSE),"New ","") &amp; IF(IFERROR(FIND("In Lib",$A360)&gt;0,FALSE),"Reference ","") &amp;
IF(AND(D360="Audiobook",LEFT(B360,6)="CD BIO"),"Biography",
IF(AND(D360="Teen Audiobook",LEFT(B360,11)="TEEN CD BIO"),"Biography",
IF(AND(D360="Juvenile Audiobook",LEFT(B360,8)="J CD BIO"),"Biography",
IF(AND(D360="Audiobook",LEFT(B360,6)="CD FIC"),"Audiobook Fiction",
IF(AND(D360="Teen Audiobook",LEFT(B360,11)="TEEN CD FIC"),"Teen Audiobook",
IF(AND(D360="Juvenile Audiobook",LEFT(B360,8)="J CD FIC"),"Juvenile Audiobook",
IF(D360="Audiobook","Nonfiction",
IF(D360="Juvenile Audiobook","Nonfiction",
IF(D360="Teen Audiobook","Nonfiction",
IF(D360="Juvenile Nonfiction","Nonfiction",
IF(D360="Teen Nonfiction","Nonfiction",
IF(D360="Juvenile Biography","Biography",
IF(D360="Teen Biography","Biography",
IF(D360="ESL","Nonfiction",
IF(LEFT(B360,11)="INTL-VIE J ","International Juvenile",IF(LEFT(B360,11)="INTL-TAG J ","International Juvenile",IF(LEFT(B360,11)="INTL-RUS J ","International Juvenile",IF(LEFT(B360,11)="INTL-KOR J ","International Juvenile",IF(LEFT(B360,11)="INTL-JAP J ","International Juvenile",IF(LEFT(B360,11)="INTL-CHI J ","International Juvenile",IF(LEFT(B360,11)="INTL-SPA J ","International Juvenile",IF(LEFT(B360,14)="INTL-VIE TEEN ","International Teen",IF(LEFT(B360,14)="INTL-TAG TEEN ","International Teen",IF(LEFT(B360,14)="INTL-RUS TEEN ","International Teen",IF(LEFT(B360,14)="INTL-KOR TEEN ","International Teen",IF(LEFT(B360,14)="INTL-JAP TEEN ","International Teen",IF(LEFT(B360,14)="INTL-CHI TEEN ","International Teen",IF(LEFT(B360,14)="INTL-SPA TEEN ","International Teen",IF(LEFT(B360,11)="INTL-VIE E ","International Easy",IF(LEFT(B360,11)="INTL-TAG E ","International Easy",IF(LEFT(B360,11)="INTL-RUS E ","International Easy",IF(LEFT(B360,11)="INTL-JAP E ","International Easy",IF(LEFT(B360,11)="INTL-KOR E ","International Easy",IF(LEFT(B360,11)="INTL-CHI E ","International Easy",IF(LEFT(B360,11)="INTL-SPA E ","International Easy",
IF(D360="Teen Large Type","Teen Fiction",
IF(D360="Juvenile Large Type","Juvenile Fiction",
IF(LEFT(B360,6)="J CD O","Juvenile Compact Disc",
IF(AND(LEFT(B360,4)="TEEN",D360="Fiction"),"Teen Fiction",
IF(D360="DVD Educational","Nonfiction",
IF(D360="Juvenile DVD Educational","Nonfiction",
IF(D360="Reference","Nonfiction",
D360))))))))))))))))))))))))))))))))))))))))))</f>
        <v/>
      </c>
    </row>
    <row r="361" spans="1:14" ht="27" customHeight="1" x14ac:dyDescent="0.25">
      <c r="A361" s="10" t="str">
        <f ca="1">TEXT( INDIRECT( ADDRESS( ROW() + Row_Offset, INDIRECT( "Column_Number_" &amp; A$1), 4,1, tabname) ), "")</f>
        <v/>
      </c>
      <c r="B361" s="10" t="str">
        <f ca="1">TEXT(  IFERROR( VLOOKUP( $D361, CollName_Simplifier_Table[], 2, FALSE),"") &amp;
        INDIRECT( ADDRESS( ROW() + Row_Offset, INDIRECT( "Column_Number_" &amp; $B$1), 4,1, tabname) ), "")</f>
        <v/>
      </c>
      <c r="C361" s="10" t="str">
        <f ca="1">TEXT( INDIRECT( ADDRESS( ROW() + Row_Offset, INDIRECT( "Column_Number_" &amp; C$1), 4,1, tabname) ), "")</f>
        <v/>
      </c>
      <c r="D361" s="10" t="str">
        <f ca="1">TEXT( INDIRECT( ADDRESS( ROW() + Row_Offset, INDIRECT( "Column_Number_" &amp; D$1), 4,1, tabname) ), "")</f>
        <v/>
      </c>
      <c r="E361" s="10" t="str">
        <f ca="1">TEXT( INDIRECT( ADDRESS( ROW() + Row_Offset, INDIRECT( "Column_Number_" &amp; E$1), 4,1, tabname) ), "####")</f>
        <v/>
      </c>
      <c r="F361" s="15"/>
      <c r="G361" s="22" t="str">
        <f ca="1">IFERROR(INDEX(Rank_Table[],MATCH($D361&amp;$A361,Table4[Join],0)),"")</f>
        <v/>
      </c>
      <c r="H361" s="11" t="str">
        <f ca="1">IF(AND(D361="Juvenile Audiobook",LEFT(B361,8)="J CD BIO"),RIGHT(B361,LEN(B361)-9),
IF(AND(D361="Juvenile Audiobook",LEFT(B361,8)="J CD FIC"),B361,
IF(D361="Juvenile Audiobook",RIGHT(B361,LEN(B361)-5),
IF(AND(D361="Teen Audiobook",LEFT(B361,11)="TEEN CD BIO"),RIGHT(B361,LEN(B361)-12),
IF(AND(D361="Teen Audiobook",LEFT(B361,11)="TEEN CD FIC"),B361,
IF(D361="Juvenile Audiobook",RIGHT(B361,LEN(B361)-8),
IF(D361="Juvenile Nonfiction",RIGHT(B361,LEN(B361)-2),
IF(D361="Teen Nonfiction",RIGHT(B361,LEN(B361)-5),
IF(AND(D361="Audiobook",
              NOT(OR(Contains($B361,"CD BIO"),Contains($B361,"CD FIC")))),RIGHT(B361,LEN(B361)-3),
IF(D361="Juvenile Biography",RIGHT(B361,LEN(B361)-2),
IF(D361="Teen Biography",RIGHT(B361,LEN(B361)-5),
IF(AND(D361="Audiobook",
              IFERROR(FIND("BIO",$B361)&gt;0,FALSE)),RIGHT(B361,LEN(B361)-3),
IF(D361="Juvenile Large Type","J "&amp;RIGHT(B361,LEN(B361)-11),
IF(D361="Teen Large Type","TEEN "&amp;RIGHT(B361,LEN(B361)-14),
IF(D361="Reference",RIGHT(B361,LEN(B361)-4),
IF(D361="DVD Educational",RIGHT(B361,LEN(B361)-7),
IF(D361="Juvenile DVD Educational",RIGHT(B361,LEN(B361)-9),
B361)))))))))))))))))</f>
        <v/>
      </c>
      <c r="N361" s="11" t="str">
        <f ca="1">IF(IFERROR(FIND("New",$A361)&gt;0,FALSE),"New ","") &amp; IF(IFERROR(FIND("In Lib",$A361)&gt;0,FALSE),"Reference ","") &amp;
IF(AND(D361="Audiobook",LEFT(B361,6)="CD BIO"),"Biography",
IF(AND(D361="Teen Audiobook",LEFT(B361,11)="TEEN CD BIO"),"Biography",
IF(AND(D361="Juvenile Audiobook",LEFT(B361,8)="J CD BIO"),"Biography",
IF(AND(D361="Audiobook",LEFT(B361,6)="CD FIC"),"Audiobook Fiction",
IF(AND(D361="Teen Audiobook",LEFT(B361,11)="TEEN CD FIC"),"Teen Audiobook",
IF(AND(D361="Juvenile Audiobook",LEFT(B361,8)="J CD FIC"),"Juvenile Audiobook",
IF(D361="Audiobook","Nonfiction",
IF(D361="Juvenile Audiobook","Nonfiction",
IF(D361="Teen Audiobook","Nonfiction",
IF(D361="Juvenile Nonfiction","Nonfiction",
IF(D361="Teen Nonfiction","Nonfiction",
IF(D361="Juvenile Biography","Biography",
IF(D361="Teen Biography","Biography",
IF(D361="ESL","Nonfiction",
IF(LEFT(B361,11)="INTL-VIE J ","International Juvenile",IF(LEFT(B361,11)="INTL-TAG J ","International Juvenile",IF(LEFT(B361,11)="INTL-RUS J ","International Juvenile",IF(LEFT(B361,11)="INTL-KOR J ","International Juvenile",IF(LEFT(B361,11)="INTL-JAP J ","International Juvenile",IF(LEFT(B361,11)="INTL-CHI J ","International Juvenile",IF(LEFT(B361,11)="INTL-SPA J ","International Juvenile",IF(LEFT(B361,14)="INTL-VIE TEEN ","International Teen",IF(LEFT(B361,14)="INTL-TAG TEEN ","International Teen",IF(LEFT(B361,14)="INTL-RUS TEEN ","International Teen",IF(LEFT(B361,14)="INTL-KOR TEEN ","International Teen",IF(LEFT(B361,14)="INTL-JAP TEEN ","International Teen",IF(LEFT(B361,14)="INTL-CHI TEEN ","International Teen",IF(LEFT(B361,14)="INTL-SPA TEEN ","International Teen",IF(LEFT(B361,11)="INTL-VIE E ","International Easy",IF(LEFT(B361,11)="INTL-TAG E ","International Easy",IF(LEFT(B361,11)="INTL-RUS E ","International Easy",IF(LEFT(B361,11)="INTL-JAP E ","International Easy",IF(LEFT(B361,11)="INTL-KOR E ","International Easy",IF(LEFT(B361,11)="INTL-CHI E ","International Easy",IF(LEFT(B361,11)="INTL-SPA E ","International Easy",
IF(D361="Teen Large Type","Teen Fiction",
IF(D361="Juvenile Large Type","Juvenile Fiction",
IF(LEFT(B361,6)="J CD O","Juvenile Compact Disc",
IF(AND(LEFT(B361,4)="TEEN",D361="Fiction"),"Teen Fiction",
IF(D361="DVD Educational","Nonfiction",
IF(D361="Juvenile DVD Educational","Nonfiction",
IF(D361="Reference","Nonfiction",
D361))))))))))))))))))))))))))))))))))))))))))</f>
        <v/>
      </c>
    </row>
    <row r="362" spans="1:14" ht="27" customHeight="1" x14ac:dyDescent="0.25">
      <c r="A362" s="10" t="str">
        <f ca="1">TEXT( INDIRECT( ADDRESS( ROW() + Row_Offset, INDIRECT( "Column_Number_" &amp; A$1), 4,1, tabname) ), "")</f>
        <v/>
      </c>
      <c r="B362" s="10" t="str">
        <f ca="1">TEXT(  IFERROR( VLOOKUP( $D362, CollName_Simplifier_Table[], 2, FALSE),"") &amp;
        INDIRECT( ADDRESS( ROW() + Row_Offset, INDIRECT( "Column_Number_" &amp; $B$1), 4,1, tabname) ), "")</f>
        <v/>
      </c>
      <c r="C362" s="10" t="str">
        <f ca="1">TEXT( INDIRECT( ADDRESS( ROW() + Row_Offset, INDIRECT( "Column_Number_" &amp; C$1), 4,1, tabname) ), "")</f>
        <v/>
      </c>
      <c r="D362" s="10" t="str">
        <f ca="1">TEXT( INDIRECT( ADDRESS( ROW() + Row_Offset, INDIRECT( "Column_Number_" &amp; D$1), 4,1, tabname) ), "")</f>
        <v/>
      </c>
      <c r="E362" s="10" t="str">
        <f ca="1">TEXT( INDIRECT( ADDRESS( ROW() + Row_Offset, INDIRECT( "Column_Number_" &amp; E$1), 4,1, tabname) ), "####")</f>
        <v/>
      </c>
      <c r="F362" s="15"/>
      <c r="G362" s="22" t="str">
        <f ca="1">IFERROR(INDEX(Rank_Table[],MATCH($D362&amp;$A362,Table4[Join],0)),"")</f>
        <v/>
      </c>
      <c r="H362" s="11" t="str">
        <f ca="1">IF(AND(D362="Juvenile Audiobook",LEFT(B362,8)="J CD BIO"),RIGHT(B362,LEN(B362)-9),
IF(AND(D362="Juvenile Audiobook",LEFT(B362,8)="J CD FIC"),B362,
IF(D362="Juvenile Audiobook",RIGHT(B362,LEN(B362)-5),
IF(AND(D362="Teen Audiobook",LEFT(B362,11)="TEEN CD BIO"),RIGHT(B362,LEN(B362)-12),
IF(AND(D362="Teen Audiobook",LEFT(B362,11)="TEEN CD FIC"),B362,
IF(D362="Juvenile Audiobook",RIGHT(B362,LEN(B362)-8),
IF(D362="Juvenile Nonfiction",RIGHT(B362,LEN(B362)-2),
IF(D362="Teen Nonfiction",RIGHT(B362,LEN(B362)-5),
IF(AND(D362="Audiobook",
              NOT(OR(Contains($B362,"CD BIO"),Contains($B362,"CD FIC")))),RIGHT(B362,LEN(B362)-3),
IF(D362="Juvenile Biography",RIGHT(B362,LEN(B362)-2),
IF(D362="Teen Biography",RIGHT(B362,LEN(B362)-5),
IF(AND(D362="Audiobook",
              IFERROR(FIND("BIO",$B362)&gt;0,FALSE)),RIGHT(B362,LEN(B362)-3),
IF(D362="Juvenile Large Type","J "&amp;RIGHT(B362,LEN(B362)-11),
IF(D362="Teen Large Type","TEEN "&amp;RIGHT(B362,LEN(B362)-14),
IF(D362="Reference",RIGHT(B362,LEN(B362)-4),
IF(D362="DVD Educational",RIGHT(B362,LEN(B362)-7),
IF(D362="Juvenile DVD Educational",RIGHT(B362,LEN(B362)-9),
B362)))))))))))))))))</f>
        <v/>
      </c>
      <c r="N362" s="11" t="str">
        <f ca="1">IF(IFERROR(FIND("New",$A362)&gt;0,FALSE),"New ","") &amp; IF(IFERROR(FIND("In Lib",$A362)&gt;0,FALSE),"Reference ","") &amp;
IF(AND(D362="Audiobook",LEFT(B362,6)="CD BIO"),"Biography",
IF(AND(D362="Teen Audiobook",LEFT(B362,11)="TEEN CD BIO"),"Biography",
IF(AND(D362="Juvenile Audiobook",LEFT(B362,8)="J CD BIO"),"Biography",
IF(AND(D362="Audiobook",LEFT(B362,6)="CD FIC"),"Audiobook Fiction",
IF(AND(D362="Teen Audiobook",LEFT(B362,11)="TEEN CD FIC"),"Teen Audiobook",
IF(AND(D362="Juvenile Audiobook",LEFT(B362,8)="J CD FIC"),"Juvenile Audiobook",
IF(D362="Audiobook","Nonfiction",
IF(D362="Juvenile Audiobook","Nonfiction",
IF(D362="Teen Audiobook","Nonfiction",
IF(D362="Juvenile Nonfiction","Nonfiction",
IF(D362="Teen Nonfiction","Nonfiction",
IF(D362="Juvenile Biography","Biography",
IF(D362="Teen Biography","Biography",
IF(D362="ESL","Nonfiction",
IF(LEFT(B362,11)="INTL-VIE J ","International Juvenile",IF(LEFT(B362,11)="INTL-TAG J ","International Juvenile",IF(LEFT(B362,11)="INTL-RUS J ","International Juvenile",IF(LEFT(B362,11)="INTL-KOR J ","International Juvenile",IF(LEFT(B362,11)="INTL-JAP J ","International Juvenile",IF(LEFT(B362,11)="INTL-CHI J ","International Juvenile",IF(LEFT(B362,11)="INTL-SPA J ","International Juvenile",IF(LEFT(B362,14)="INTL-VIE TEEN ","International Teen",IF(LEFT(B362,14)="INTL-TAG TEEN ","International Teen",IF(LEFT(B362,14)="INTL-RUS TEEN ","International Teen",IF(LEFT(B362,14)="INTL-KOR TEEN ","International Teen",IF(LEFT(B362,14)="INTL-JAP TEEN ","International Teen",IF(LEFT(B362,14)="INTL-CHI TEEN ","International Teen",IF(LEFT(B362,14)="INTL-SPA TEEN ","International Teen",IF(LEFT(B362,11)="INTL-VIE E ","International Easy",IF(LEFT(B362,11)="INTL-TAG E ","International Easy",IF(LEFT(B362,11)="INTL-RUS E ","International Easy",IF(LEFT(B362,11)="INTL-JAP E ","International Easy",IF(LEFT(B362,11)="INTL-KOR E ","International Easy",IF(LEFT(B362,11)="INTL-CHI E ","International Easy",IF(LEFT(B362,11)="INTL-SPA E ","International Easy",
IF(D362="Teen Large Type","Teen Fiction",
IF(D362="Juvenile Large Type","Juvenile Fiction",
IF(LEFT(B362,6)="J CD O","Juvenile Compact Disc",
IF(AND(LEFT(B362,4)="TEEN",D362="Fiction"),"Teen Fiction",
IF(D362="DVD Educational","Nonfiction",
IF(D362="Juvenile DVD Educational","Nonfiction",
IF(D362="Reference","Nonfiction",
D362))))))))))))))))))))))))))))))))))))))))))</f>
        <v/>
      </c>
    </row>
    <row r="363" spans="1:14" ht="27" customHeight="1" x14ac:dyDescent="0.25">
      <c r="A363" s="10" t="str">
        <f ca="1">TEXT( INDIRECT( ADDRESS( ROW() + Row_Offset, INDIRECT( "Column_Number_" &amp; A$1), 4,1, tabname) ), "")</f>
        <v/>
      </c>
      <c r="B363" s="10" t="str">
        <f ca="1">TEXT(  IFERROR( VLOOKUP( $D363, CollName_Simplifier_Table[], 2, FALSE),"") &amp;
        INDIRECT( ADDRESS( ROW() + Row_Offset, INDIRECT( "Column_Number_" &amp; $B$1), 4,1, tabname) ), "")</f>
        <v/>
      </c>
      <c r="C363" s="10" t="str">
        <f ca="1">TEXT( INDIRECT( ADDRESS( ROW() + Row_Offset, INDIRECT( "Column_Number_" &amp; C$1), 4,1, tabname) ), "")</f>
        <v/>
      </c>
      <c r="D363" s="10" t="str">
        <f ca="1">TEXT( INDIRECT( ADDRESS( ROW() + Row_Offset, INDIRECT( "Column_Number_" &amp; D$1), 4,1, tabname) ), "")</f>
        <v/>
      </c>
      <c r="E363" s="10" t="str">
        <f ca="1">TEXT( INDIRECT( ADDRESS( ROW() + Row_Offset, INDIRECT( "Column_Number_" &amp; E$1), 4,1, tabname) ), "####")</f>
        <v/>
      </c>
      <c r="F363" s="15"/>
      <c r="G363" s="22" t="str">
        <f ca="1">IFERROR(INDEX(Rank_Table[],MATCH($D363&amp;$A363,Table4[Join],0)),"")</f>
        <v/>
      </c>
      <c r="H363" s="11" t="str">
        <f ca="1">IF(AND(D363="Juvenile Audiobook",LEFT(B363,8)="J CD BIO"),RIGHT(B363,LEN(B363)-9),
IF(AND(D363="Juvenile Audiobook",LEFT(B363,8)="J CD FIC"),B363,
IF(D363="Juvenile Audiobook",RIGHT(B363,LEN(B363)-5),
IF(AND(D363="Teen Audiobook",LEFT(B363,11)="TEEN CD BIO"),RIGHT(B363,LEN(B363)-12),
IF(AND(D363="Teen Audiobook",LEFT(B363,11)="TEEN CD FIC"),B363,
IF(D363="Juvenile Audiobook",RIGHT(B363,LEN(B363)-8),
IF(D363="Juvenile Nonfiction",RIGHT(B363,LEN(B363)-2),
IF(D363="Teen Nonfiction",RIGHT(B363,LEN(B363)-5),
IF(AND(D363="Audiobook",
              NOT(OR(Contains($B363,"CD BIO"),Contains($B363,"CD FIC")))),RIGHT(B363,LEN(B363)-3),
IF(D363="Juvenile Biography",RIGHT(B363,LEN(B363)-2),
IF(D363="Teen Biography",RIGHT(B363,LEN(B363)-5),
IF(AND(D363="Audiobook",
              IFERROR(FIND("BIO",$B363)&gt;0,FALSE)),RIGHT(B363,LEN(B363)-3),
IF(D363="Juvenile Large Type","J "&amp;RIGHT(B363,LEN(B363)-11),
IF(D363="Teen Large Type","TEEN "&amp;RIGHT(B363,LEN(B363)-14),
IF(D363="Reference",RIGHT(B363,LEN(B363)-4),
IF(D363="DVD Educational",RIGHT(B363,LEN(B363)-7),
IF(D363="Juvenile DVD Educational",RIGHT(B363,LEN(B363)-9),
B363)))))))))))))))))</f>
        <v/>
      </c>
      <c r="N363" s="11" t="str">
        <f ca="1">IF(IFERROR(FIND("New",$A363)&gt;0,FALSE),"New ","") &amp; IF(IFERROR(FIND("In Lib",$A363)&gt;0,FALSE),"Reference ","") &amp;
IF(AND(D363="Audiobook",LEFT(B363,6)="CD BIO"),"Biography",
IF(AND(D363="Teen Audiobook",LEFT(B363,11)="TEEN CD BIO"),"Biography",
IF(AND(D363="Juvenile Audiobook",LEFT(B363,8)="J CD BIO"),"Biography",
IF(AND(D363="Audiobook",LEFT(B363,6)="CD FIC"),"Audiobook Fiction",
IF(AND(D363="Teen Audiobook",LEFT(B363,11)="TEEN CD FIC"),"Teen Audiobook",
IF(AND(D363="Juvenile Audiobook",LEFT(B363,8)="J CD FIC"),"Juvenile Audiobook",
IF(D363="Audiobook","Nonfiction",
IF(D363="Juvenile Audiobook","Nonfiction",
IF(D363="Teen Audiobook","Nonfiction",
IF(D363="Juvenile Nonfiction","Nonfiction",
IF(D363="Teen Nonfiction","Nonfiction",
IF(D363="Juvenile Biography","Biography",
IF(D363="Teen Biography","Biography",
IF(D363="ESL","Nonfiction",
IF(LEFT(B363,11)="INTL-VIE J ","International Juvenile",IF(LEFT(B363,11)="INTL-TAG J ","International Juvenile",IF(LEFT(B363,11)="INTL-RUS J ","International Juvenile",IF(LEFT(B363,11)="INTL-KOR J ","International Juvenile",IF(LEFT(B363,11)="INTL-JAP J ","International Juvenile",IF(LEFT(B363,11)="INTL-CHI J ","International Juvenile",IF(LEFT(B363,11)="INTL-SPA J ","International Juvenile",IF(LEFT(B363,14)="INTL-VIE TEEN ","International Teen",IF(LEFT(B363,14)="INTL-TAG TEEN ","International Teen",IF(LEFT(B363,14)="INTL-RUS TEEN ","International Teen",IF(LEFT(B363,14)="INTL-KOR TEEN ","International Teen",IF(LEFT(B363,14)="INTL-JAP TEEN ","International Teen",IF(LEFT(B363,14)="INTL-CHI TEEN ","International Teen",IF(LEFT(B363,14)="INTL-SPA TEEN ","International Teen",IF(LEFT(B363,11)="INTL-VIE E ","International Easy",IF(LEFT(B363,11)="INTL-TAG E ","International Easy",IF(LEFT(B363,11)="INTL-RUS E ","International Easy",IF(LEFT(B363,11)="INTL-JAP E ","International Easy",IF(LEFT(B363,11)="INTL-KOR E ","International Easy",IF(LEFT(B363,11)="INTL-CHI E ","International Easy",IF(LEFT(B363,11)="INTL-SPA E ","International Easy",
IF(D363="Teen Large Type","Teen Fiction",
IF(D363="Juvenile Large Type","Juvenile Fiction",
IF(LEFT(B363,6)="J CD O","Juvenile Compact Disc",
IF(AND(LEFT(B363,4)="TEEN",D363="Fiction"),"Teen Fiction",
IF(D363="DVD Educational","Nonfiction",
IF(D363="Juvenile DVD Educational","Nonfiction",
IF(D363="Reference","Nonfiction",
D363))))))))))))))))))))))))))))))))))))))))))</f>
        <v/>
      </c>
    </row>
    <row r="364" spans="1:14" ht="27" customHeight="1" x14ac:dyDescent="0.25">
      <c r="A364" s="10" t="str">
        <f ca="1">TEXT( INDIRECT( ADDRESS( ROW() + Row_Offset, INDIRECT( "Column_Number_" &amp; A$1), 4,1, tabname) ), "")</f>
        <v/>
      </c>
      <c r="B364" s="10" t="str">
        <f ca="1">TEXT(  IFERROR( VLOOKUP( $D364, CollName_Simplifier_Table[], 2, FALSE),"") &amp;
        INDIRECT( ADDRESS( ROW() + Row_Offset, INDIRECT( "Column_Number_" &amp; $B$1), 4,1, tabname) ), "")</f>
        <v/>
      </c>
      <c r="C364" s="10" t="str">
        <f ca="1">TEXT( INDIRECT( ADDRESS( ROW() + Row_Offset, INDIRECT( "Column_Number_" &amp; C$1), 4,1, tabname) ), "")</f>
        <v/>
      </c>
      <c r="D364" s="10" t="str">
        <f ca="1">TEXT( INDIRECT( ADDRESS( ROW() + Row_Offset, INDIRECT( "Column_Number_" &amp; D$1), 4,1, tabname) ), "")</f>
        <v/>
      </c>
      <c r="E364" s="10" t="str">
        <f ca="1">TEXT( INDIRECT( ADDRESS( ROW() + Row_Offset, INDIRECT( "Column_Number_" &amp; E$1), 4,1, tabname) ), "####")</f>
        <v/>
      </c>
      <c r="F364" s="15"/>
      <c r="G364" s="22" t="str">
        <f ca="1">IFERROR(INDEX(Rank_Table[],MATCH($D364&amp;$A364,Table4[Join],0)),"")</f>
        <v/>
      </c>
      <c r="H364" s="11" t="str">
        <f ca="1">IF(AND(D364="Juvenile Audiobook",LEFT(B364,8)="J CD BIO"),RIGHT(B364,LEN(B364)-9),
IF(AND(D364="Juvenile Audiobook",LEFT(B364,8)="J CD FIC"),B364,
IF(D364="Juvenile Audiobook",RIGHT(B364,LEN(B364)-5),
IF(AND(D364="Teen Audiobook",LEFT(B364,11)="TEEN CD BIO"),RIGHT(B364,LEN(B364)-12),
IF(AND(D364="Teen Audiobook",LEFT(B364,11)="TEEN CD FIC"),B364,
IF(D364="Juvenile Audiobook",RIGHT(B364,LEN(B364)-8),
IF(D364="Juvenile Nonfiction",RIGHT(B364,LEN(B364)-2),
IF(D364="Teen Nonfiction",RIGHT(B364,LEN(B364)-5),
IF(AND(D364="Audiobook",
              NOT(OR(Contains($B364,"CD BIO"),Contains($B364,"CD FIC")))),RIGHT(B364,LEN(B364)-3),
IF(D364="Juvenile Biography",RIGHT(B364,LEN(B364)-2),
IF(D364="Teen Biography",RIGHT(B364,LEN(B364)-5),
IF(AND(D364="Audiobook",
              IFERROR(FIND("BIO",$B364)&gt;0,FALSE)),RIGHT(B364,LEN(B364)-3),
IF(D364="Juvenile Large Type","J "&amp;RIGHT(B364,LEN(B364)-11),
IF(D364="Teen Large Type","TEEN "&amp;RIGHT(B364,LEN(B364)-14),
IF(D364="Reference",RIGHT(B364,LEN(B364)-4),
IF(D364="DVD Educational",RIGHT(B364,LEN(B364)-7),
IF(D364="Juvenile DVD Educational",RIGHT(B364,LEN(B364)-9),
B364)))))))))))))))))</f>
        <v/>
      </c>
      <c r="N364" s="11" t="str">
        <f ca="1">IF(IFERROR(FIND("New",$A364)&gt;0,FALSE),"New ","") &amp; IF(IFERROR(FIND("In Lib",$A364)&gt;0,FALSE),"Reference ","") &amp;
IF(AND(D364="Audiobook",LEFT(B364,6)="CD BIO"),"Biography",
IF(AND(D364="Teen Audiobook",LEFT(B364,11)="TEEN CD BIO"),"Biography",
IF(AND(D364="Juvenile Audiobook",LEFT(B364,8)="J CD BIO"),"Biography",
IF(AND(D364="Audiobook",LEFT(B364,6)="CD FIC"),"Audiobook Fiction",
IF(AND(D364="Teen Audiobook",LEFT(B364,11)="TEEN CD FIC"),"Teen Audiobook",
IF(AND(D364="Juvenile Audiobook",LEFT(B364,8)="J CD FIC"),"Juvenile Audiobook",
IF(D364="Audiobook","Nonfiction",
IF(D364="Juvenile Audiobook","Nonfiction",
IF(D364="Teen Audiobook","Nonfiction",
IF(D364="Juvenile Nonfiction","Nonfiction",
IF(D364="Teen Nonfiction","Nonfiction",
IF(D364="Juvenile Biography","Biography",
IF(D364="Teen Biography","Biography",
IF(D364="ESL","Nonfiction",
IF(LEFT(B364,11)="INTL-VIE J ","International Juvenile",IF(LEFT(B364,11)="INTL-TAG J ","International Juvenile",IF(LEFT(B364,11)="INTL-RUS J ","International Juvenile",IF(LEFT(B364,11)="INTL-KOR J ","International Juvenile",IF(LEFT(B364,11)="INTL-JAP J ","International Juvenile",IF(LEFT(B364,11)="INTL-CHI J ","International Juvenile",IF(LEFT(B364,11)="INTL-SPA J ","International Juvenile",IF(LEFT(B364,14)="INTL-VIE TEEN ","International Teen",IF(LEFT(B364,14)="INTL-TAG TEEN ","International Teen",IF(LEFT(B364,14)="INTL-RUS TEEN ","International Teen",IF(LEFT(B364,14)="INTL-KOR TEEN ","International Teen",IF(LEFT(B364,14)="INTL-JAP TEEN ","International Teen",IF(LEFT(B364,14)="INTL-CHI TEEN ","International Teen",IF(LEFT(B364,14)="INTL-SPA TEEN ","International Teen",IF(LEFT(B364,11)="INTL-VIE E ","International Easy",IF(LEFT(B364,11)="INTL-TAG E ","International Easy",IF(LEFT(B364,11)="INTL-RUS E ","International Easy",IF(LEFT(B364,11)="INTL-JAP E ","International Easy",IF(LEFT(B364,11)="INTL-KOR E ","International Easy",IF(LEFT(B364,11)="INTL-CHI E ","International Easy",IF(LEFT(B364,11)="INTL-SPA E ","International Easy",
IF(D364="Teen Large Type","Teen Fiction",
IF(D364="Juvenile Large Type","Juvenile Fiction",
IF(LEFT(B364,6)="J CD O","Juvenile Compact Disc",
IF(AND(LEFT(B364,4)="TEEN",D364="Fiction"),"Teen Fiction",
IF(D364="DVD Educational","Nonfiction",
IF(D364="Juvenile DVD Educational","Nonfiction",
IF(D364="Reference","Nonfiction",
D364))))))))))))))))))))))))))))))))))))))))))</f>
        <v/>
      </c>
    </row>
    <row r="365" spans="1:14" ht="27" customHeight="1" x14ac:dyDescent="0.25">
      <c r="A365" s="10" t="str">
        <f ca="1">TEXT( INDIRECT( ADDRESS( ROW() + Row_Offset, INDIRECT( "Column_Number_" &amp; A$1), 4,1, tabname) ), "")</f>
        <v/>
      </c>
      <c r="B365" s="10" t="str">
        <f ca="1">TEXT(  IFERROR( VLOOKUP( $D365, CollName_Simplifier_Table[], 2, FALSE),"") &amp;
        INDIRECT( ADDRESS( ROW() + Row_Offset, INDIRECT( "Column_Number_" &amp; $B$1), 4,1, tabname) ), "")</f>
        <v/>
      </c>
      <c r="C365" s="10" t="str">
        <f ca="1">TEXT( INDIRECT( ADDRESS( ROW() + Row_Offset, INDIRECT( "Column_Number_" &amp; C$1), 4,1, tabname) ), "")</f>
        <v/>
      </c>
      <c r="D365" s="10" t="str">
        <f ca="1">TEXT( INDIRECT( ADDRESS( ROW() + Row_Offset, INDIRECT( "Column_Number_" &amp; D$1), 4,1, tabname) ), "")</f>
        <v/>
      </c>
      <c r="E365" s="10" t="str">
        <f ca="1">TEXT( INDIRECT( ADDRESS( ROW() + Row_Offset, INDIRECT( "Column_Number_" &amp; E$1), 4,1, tabname) ), "####")</f>
        <v/>
      </c>
      <c r="F365" s="15"/>
      <c r="G365" s="22" t="str">
        <f ca="1">IFERROR(INDEX(Rank_Table[],MATCH($D365&amp;$A365,Table4[Join],0)),"")</f>
        <v/>
      </c>
      <c r="H365" s="11" t="str">
        <f ca="1">IF(AND(D365="Juvenile Audiobook",LEFT(B365,8)="J CD BIO"),RIGHT(B365,LEN(B365)-9),
IF(AND(D365="Juvenile Audiobook",LEFT(B365,8)="J CD FIC"),B365,
IF(D365="Juvenile Audiobook",RIGHT(B365,LEN(B365)-5),
IF(AND(D365="Teen Audiobook",LEFT(B365,11)="TEEN CD BIO"),RIGHT(B365,LEN(B365)-12),
IF(AND(D365="Teen Audiobook",LEFT(B365,11)="TEEN CD FIC"),B365,
IF(D365="Juvenile Audiobook",RIGHT(B365,LEN(B365)-8),
IF(D365="Juvenile Nonfiction",RIGHT(B365,LEN(B365)-2),
IF(D365="Teen Nonfiction",RIGHT(B365,LEN(B365)-5),
IF(AND(D365="Audiobook",
              NOT(OR(Contains($B365,"CD BIO"),Contains($B365,"CD FIC")))),RIGHT(B365,LEN(B365)-3),
IF(D365="Juvenile Biography",RIGHT(B365,LEN(B365)-2),
IF(D365="Teen Biography",RIGHT(B365,LEN(B365)-5),
IF(AND(D365="Audiobook",
              IFERROR(FIND("BIO",$B365)&gt;0,FALSE)),RIGHT(B365,LEN(B365)-3),
IF(D365="Juvenile Large Type","J "&amp;RIGHT(B365,LEN(B365)-11),
IF(D365="Teen Large Type","TEEN "&amp;RIGHT(B365,LEN(B365)-14),
IF(D365="Reference",RIGHT(B365,LEN(B365)-4),
IF(D365="DVD Educational",RIGHT(B365,LEN(B365)-7),
IF(D365="Juvenile DVD Educational",RIGHT(B365,LEN(B365)-9),
B365)))))))))))))))))</f>
        <v/>
      </c>
      <c r="N365" s="11" t="str">
        <f ca="1">IF(IFERROR(FIND("New",$A365)&gt;0,FALSE),"New ","") &amp; IF(IFERROR(FIND("In Lib",$A365)&gt;0,FALSE),"Reference ","") &amp;
IF(AND(D365="Audiobook",LEFT(B365,6)="CD BIO"),"Biography",
IF(AND(D365="Teen Audiobook",LEFT(B365,11)="TEEN CD BIO"),"Biography",
IF(AND(D365="Juvenile Audiobook",LEFT(B365,8)="J CD BIO"),"Biography",
IF(AND(D365="Audiobook",LEFT(B365,6)="CD FIC"),"Audiobook Fiction",
IF(AND(D365="Teen Audiobook",LEFT(B365,11)="TEEN CD FIC"),"Teen Audiobook",
IF(AND(D365="Juvenile Audiobook",LEFT(B365,8)="J CD FIC"),"Juvenile Audiobook",
IF(D365="Audiobook","Nonfiction",
IF(D365="Juvenile Audiobook","Nonfiction",
IF(D365="Teen Audiobook","Nonfiction",
IF(D365="Juvenile Nonfiction","Nonfiction",
IF(D365="Teen Nonfiction","Nonfiction",
IF(D365="Juvenile Biography","Biography",
IF(D365="Teen Biography","Biography",
IF(D365="ESL","Nonfiction",
IF(LEFT(B365,11)="INTL-VIE J ","International Juvenile",IF(LEFT(B365,11)="INTL-TAG J ","International Juvenile",IF(LEFT(B365,11)="INTL-RUS J ","International Juvenile",IF(LEFT(B365,11)="INTL-KOR J ","International Juvenile",IF(LEFT(B365,11)="INTL-JAP J ","International Juvenile",IF(LEFT(B365,11)="INTL-CHI J ","International Juvenile",IF(LEFT(B365,11)="INTL-SPA J ","International Juvenile",IF(LEFT(B365,14)="INTL-VIE TEEN ","International Teen",IF(LEFT(B365,14)="INTL-TAG TEEN ","International Teen",IF(LEFT(B365,14)="INTL-RUS TEEN ","International Teen",IF(LEFT(B365,14)="INTL-KOR TEEN ","International Teen",IF(LEFT(B365,14)="INTL-JAP TEEN ","International Teen",IF(LEFT(B365,14)="INTL-CHI TEEN ","International Teen",IF(LEFT(B365,14)="INTL-SPA TEEN ","International Teen",IF(LEFT(B365,11)="INTL-VIE E ","International Easy",IF(LEFT(B365,11)="INTL-TAG E ","International Easy",IF(LEFT(B365,11)="INTL-RUS E ","International Easy",IF(LEFT(B365,11)="INTL-JAP E ","International Easy",IF(LEFT(B365,11)="INTL-KOR E ","International Easy",IF(LEFT(B365,11)="INTL-CHI E ","International Easy",IF(LEFT(B365,11)="INTL-SPA E ","International Easy",
IF(D365="Teen Large Type","Teen Fiction",
IF(D365="Juvenile Large Type","Juvenile Fiction",
IF(LEFT(B365,6)="J CD O","Juvenile Compact Disc",
IF(AND(LEFT(B365,4)="TEEN",D365="Fiction"),"Teen Fiction",
IF(D365="DVD Educational","Nonfiction",
IF(D365="Juvenile DVD Educational","Nonfiction",
IF(D365="Reference","Nonfiction",
D365))))))))))))))))))))))))))))))))))))))))))</f>
        <v/>
      </c>
    </row>
    <row r="366" spans="1:14" ht="27" customHeight="1" x14ac:dyDescent="0.25">
      <c r="A366" s="10" t="str">
        <f ca="1">TEXT( INDIRECT( ADDRESS( ROW() + Row_Offset, INDIRECT( "Column_Number_" &amp; A$1), 4,1, tabname) ), "")</f>
        <v/>
      </c>
      <c r="B366" s="10" t="str">
        <f ca="1">TEXT(  IFERROR( VLOOKUP( $D366, CollName_Simplifier_Table[], 2, FALSE),"") &amp;
        INDIRECT( ADDRESS( ROW() + Row_Offset, INDIRECT( "Column_Number_" &amp; $B$1), 4,1, tabname) ), "")</f>
        <v/>
      </c>
      <c r="C366" s="10" t="str">
        <f ca="1">TEXT( INDIRECT( ADDRESS( ROW() + Row_Offset, INDIRECT( "Column_Number_" &amp; C$1), 4,1, tabname) ), "")</f>
        <v/>
      </c>
      <c r="D366" s="10" t="str">
        <f ca="1">TEXT( INDIRECT( ADDRESS( ROW() + Row_Offset, INDIRECT( "Column_Number_" &amp; D$1), 4,1, tabname) ), "")</f>
        <v/>
      </c>
      <c r="E366" s="10" t="str">
        <f ca="1">TEXT( INDIRECT( ADDRESS( ROW() + Row_Offset, INDIRECT( "Column_Number_" &amp; E$1), 4,1, tabname) ), "####")</f>
        <v/>
      </c>
      <c r="F366" s="15"/>
      <c r="G366" s="22" t="str">
        <f ca="1">IFERROR(INDEX(Rank_Table[],MATCH($D366&amp;$A366,Table4[Join],0)),"")</f>
        <v/>
      </c>
      <c r="H366" s="11" t="str">
        <f ca="1">IF(AND(D366="Juvenile Audiobook",LEFT(B366,8)="J CD BIO"),RIGHT(B366,LEN(B366)-9),
IF(AND(D366="Juvenile Audiobook",LEFT(B366,8)="J CD FIC"),B366,
IF(D366="Juvenile Audiobook",RIGHT(B366,LEN(B366)-5),
IF(AND(D366="Teen Audiobook",LEFT(B366,11)="TEEN CD BIO"),RIGHT(B366,LEN(B366)-12),
IF(AND(D366="Teen Audiobook",LEFT(B366,11)="TEEN CD FIC"),B366,
IF(D366="Juvenile Audiobook",RIGHT(B366,LEN(B366)-8),
IF(D366="Juvenile Nonfiction",RIGHT(B366,LEN(B366)-2),
IF(D366="Teen Nonfiction",RIGHT(B366,LEN(B366)-5),
IF(AND(D366="Audiobook",
              NOT(OR(Contains($B366,"CD BIO"),Contains($B366,"CD FIC")))),RIGHT(B366,LEN(B366)-3),
IF(D366="Juvenile Biography",RIGHT(B366,LEN(B366)-2),
IF(D366="Teen Biography",RIGHT(B366,LEN(B366)-5),
IF(AND(D366="Audiobook",
              IFERROR(FIND("BIO",$B366)&gt;0,FALSE)),RIGHT(B366,LEN(B366)-3),
IF(D366="Juvenile Large Type","J "&amp;RIGHT(B366,LEN(B366)-11),
IF(D366="Teen Large Type","TEEN "&amp;RIGHT(B366,LEN(B366)-14),
IF(D366="Reference",RIGHT(B366,LEN(B366)-4),
IF(D366="DVD Educational",RIGHT(B366,LEN(B366)-7),
IF(D366="Juvenile DVD Educational",RIGHT(B366,LEN(B366)-9),
B366)))))))))))))))))</f>
        <v/>
      </c>
      <c r="N366" s="11" t="str">
        <f ca="1">IF(IFERROR(FIND("New",$A366)&gt;0,FALSE),"New ","") &amp; IF(IFERROR(FIND("In Lib",$A366)&gt;0,FALSE),"Reference ","") &amp;
IF(AND(D366="Audiobook",LEFT(B366,6)="CD BIO"),"Biography",
IF(AND(D366="Teen Audiobook",LEFT(B366,11)="TEEN CD BIO"),"Biography",
IF(AND(D366="Juvenile Audiobook",LEFT(B366,8)="J CD BIO"),"Biography",
IF(AND(D366="Audiobook",LEFT(B366,6)="CD FIC"),"Audiobook Fiction",
IF(AND(D366="Teen Audiobook",LEFT(B366,11)="TEEN CD FIC"),"Teen Audiobook",
IF(AND(D366="Juvenile Audiobook",LEFT(B366,8)="J CD FIC"),"Juvenile Audiobook",
IF(D366="Audiobook","Nonfiction",
IF(D366="Juvenile Audiobook","Nonfiction",
IF(D366="Teen Audiobook","Nonfiction",
IF(D366="Juvenile Nonfiction","Nonfiction",
IF(D366="Teen Nonfiction","Nonfiction",
IF(D366="Juvenile Biography","Biography",
IF(D366="Teen Biography","Biography",
IF(D366="ESL","Nonfiction",
IF(LEFT(B366,11)="INTL-VIE J ","International Juvenile",IF(LEFT(B366,11)="INTL-TAG J ","International Juvenile",IF(LEFT(B366,11)="INTL-RUS J ","International Juvenile",IF(LEFT(B366,11)="INTL-KOR J ","International Juvenile",IF(LEFT(B366,11)="INTL-JAP J ","International Juvenile",IF(LEFT(B366,11)="INTL-CHI J ","International Juvenile",IF(LEFT(B366,11)="INTL-SPA J ","International Juvenile",IF(LEFT(B366,14)="INTL-VIE TEEN ","International Teen",IF(LEFT(B366,14)="INTL-TAG TEEN ","International Teen",IF(LEFT(B366,14)="INTL-RUS TEEN ","International Teen",IF(LEFT(B366,14)="INTL-KOR TEEN ","International Teen",IF(LEFT(B366,14)="INTL-JAP TEEN ","International Teen",IF(LEFT(B366,14)="INTL-CHI TEEN ","International Teen",IF(LEFT(B366,14)="INTL-SPA TEEN ","International Teen",IF(LEFT(B366,11)="INTL-VIE E ","International Easy",IF(LEFT(B366,11)="INTL-TAG E ","International Easy",IF(LEFT(B366,11)="INTL-RUS E ","International Easy",IF(LEFT(B366,11)="INTL-JAP E ","International Easy",IF(LEFT(B366,11)="INTL-KOR E ","International Easy",IF(LEFT(B366,11)="INTL-CHI E ","International Easy",IF(LEFT(B366,11)="INTL-SPA E ","International Easy",
IF(D366="Teen Large Type","Teen Fiction",
IF(D366="Juvenile Large Type","Juvenile Fiction",
IF(LEFT(B366,6)="J CD O","Juvenile Compact Disc",
IF(AND(LEFT(B366,4)="TEEN",D366="Fiction"),"Teen Fiction",
IF(D366="DVD Educational","Nonfiction",
IF(D366="Juvenile DVD Educational","Nonfiction",
IF(D366="Reference","Nonfiction",
D366))))))))))))))))))))))))))))))))))))))))))</f>
        <v/>
      </c>
    </row>
    <row r="367" spans="1:14" ht="27" customHeight="1" x14ac:dyDescent="0.25">
      <c r="A367" s="10" t="str">
        <f ca="1">TEXT( INDIRECT( ADDRESS( ROW() + Row_Offset, INDIRECT( "Column_Number_" &amp; A$1), 4,1, tabname) ), "")</f>
        <v/>
      </c>
      <c r="B367" s="10" t="str">
        <f ca="1">TEXT(  IFERROR( VLOOKUP( $D367, CollName_Simplifier_Table[], 2, FALSE),"") &amp;
        INDIRECT( ADDRESS( ROW() + Row_Offset, INDIRECT( "Column_Number_" &amp; $B$1), 4,1, tabname) ), "")</f>
        <v/>
      </c>
      <c r="C367" s="10" t="str">
        <f ca="1">TEXT( INDIRECT( ADDRESS( ROW() + Row_Offset, INDIRECT( "Column_Number_" &amp; C$1), 4,1, tabname) ), "")</f>
        <v/>
      </c>
      <c r="D367" s="10" t="str">
        <f ca="1">TEXT( INDIRECT( ADDRESS( ROW() + Row_Offset, INDIRECT( "Column_Number_" &amp; D$1), 4,1, tabname) ), "")</f>
        <v/>
      </c>
      <c r="E367" s="10" t="str">
        <f ca="1">TEXT( INDIRECT( ADDRESS( ROW() + Row_Offset, INDIRECT( "Column_Number_" &amp; E$1), 4,1, tabname) ), "####")</f>
        <v/>
      </c>
      <c r="F367" s="15"/>
      <c r="G367" s="22" t="str">
        <f ca="1">IFERROR(INDEX(Rank_Table[],MATCH($D367&amp;$A367,Table4[Join],0)),"")</f>
        <v/>
      </c>
      <c r="H367" s="11" t="str">
        <f ca="1">IF(AND(D367="Juvenile Audiobook",LEFT(B367,8)="J CD BIO"),RIGHT(B367,LEN(B367)-9),
IF(AND(D367="Juvenile Audiobook",LEFT(B367,8)="J CD FIC"),B367,
IF(D367="Juvenile Audiobook",RIGHT(B367,LEN(B367)-5),
IF(AND(D367="Teen Audiobook",LEFT(B367,11)="TEEN CD BIO"),RIGHT(B367,LEN(B367)-12),
IF(AND(D367="Teen Audiobook",LEFT(B367,11)="TEEN CD FIC"),B367,
IF(D367="Juvenile Audiobook",RIGHT(B367,LEN(B367)-8),
IF(D367="Juvenile Nonfiction",RIGHT(B367,LEN(B367)-2),
IF(D367="Teen Nonfiction",RIGHT(B367,LEN(B367)-5),
IF(AND(D367="Audiobook",
              NOT(OR(Contains($B367,"CD BIO"),Contains($B367,"CD FIC")))),RIGHT(B367,LEN(B367)-3),
IF(D367="Juvenile Biography",RIGHT(B367,LEN(B367)-2),
IF(D367="Teen Biography",RIGHT(B367,LEN(B367)-5),
IF(AND(D367="Audiobook",
              IFERROR(FIND("BIO",$B367)&gt;0,FALSE)),RIGHT(B367,LEN(B367)-3),
IF(D367="Juvenile Large Type","J "&amp;RIGHT(B367,LEN(B367)-11),
IF(D367="Teen Large Type","TEEN "&amp;RIGHT(B367,LEN(B367)-14),
IF(D367="Reference",RIGHT(B367,LEN(B367)-4),
IF(D367="DVD Educational",RIGHT(B367,LEN(B367)-7),
IF(D367="Juvenile DVD Educational",RIGHT(B367,LEN(B367)-9),
B367)))))))))))))))))</f>
        <v/>
      </c>
      <c r="N367" s="11" t="str">
        <f ca="1">IF(IFERROR(FIND("New",$A367)&gt;0,FALSE),"New ","") &amp; IF(IFERROR(FIND("In Lib",$A367)&gt;0,FALSE),"Reference ","") &amp;
IF(AND(D367="Audiobook",LEFT(B367,6)="CD BIO"),"Biography",
IF(AND(D367="Teen Audiobook",LEFT(B367,11)="TEEN CD BIO"),"Biography",
IF(AND(D367="Juvenile Audiobook",LEFT(B367,8)="J CD BIO"),"Biography",
IF(AND(D367="Audiobook",LEFT(B367,6)="CD FIC"),"Audiobook Fiction",
IF(AND(D367="Teen Audiobook",LEFT(B367,11)="TEEN CD FIC"),"Teen Audiobook",
IF(AND(D367="Juvenile Audiobook",LEFT(B367,8)="J CD FIC"),"Juvenile Audiobook",
IF(D367="Audiobook","Nonfiction",
IF(D367="Juvenile Audiobook","Nonfiction",
IF(D367="Teen Audiobook","Nonfiction",
IF(D367="Juvenile Nonfiction","Nonfiction",
IF(D367="Teen Nonfiction","Nonfiction",
IF(D367="Juvenile Biography","Biography",
IF(D367="Teen Biography","Biography",
IF(D367="ESL","Nonfiction",
IF(LEFT(B367,11)="INTL-VIE J ","International Juvenile",IF(LEFT(B367,11)="INTL-TAG J ","International Juvenile",IF(LEFT(B367,11)="INTL-RUS J ","International Juvenile",IF(LEFT(B367,11)="INTL-KOR J ","International Juvenile",IF(LEFT(B367,11)="INTL-JAP J ","International Juvenile",IF(LEFT(B367,11)="INTL-CHI J ","International Juvenile",IF(LEFT(B367,11)="INTL-SPA J ","International Juvenile",IF(LEFT(B367,14)="INTL-VIE TEEN ","International Teen",IF(LEFT(B367,14)="INTL-TAG TEEN ","International Teen",IF(LEFT(B367,14)="INTL-RUS TEEN ","International Teen",IF(LEFT(B367,14)="INTL-KOR TEEN ","International Teen",IF(LEFT(B367,14)="INTL-JAP TEEN ","International Teen",IF(LEFT(B367,14)="INTL-CHI TEEN ","International Teen",IF(LEFT(B367,14)="INTL-SPA TEEN ","International Teen",IF(LEFT(B367,11)="INTL-VIE E ","International Easy",IF(LEFT(B367,11)="INTL-TAG E ","International Easy",IF(LEFT(B367,11)="INTL-RUS E ","International Easy",IF(LEFT(B367,11)="INTL-JAP E ","International Easy",IF(LEFT(B367,11)="INTL-KOR E ","International Easy",IF(LEFT(B367,11)="INTL-CHI E ","International Easy",IF(LEFT(B367,11)="INTL-SPA E ","International Easy",
IF(D367="Teen Large Type","Teen Fiction",
IF(D367="Juvenile Large Type","Juvenile Fiction",
IF(LEFT(B367,6)="J CD O","Juvenile Compact Disc",
IF(AND(LEFT(B367,4)="TEEN",D367="Fiction"),"Teen Fiction",
IF(D367="DVD Educational","Nonfiction",
IF(D367="Juvenile DVD Educational","Nonfiction",
IF(D367="Reference","Nonfiction",
D367))))))))))))))))))))))))))))))))))))))))))</f>
        <v/>
      </c>
    </row>
    <row r="368" spans="1:14" ht="27" customHeight="1" x14ac:dyDescent="0.25">
      <c r="A368" s="10" t="str">
        <f ca="1">TEXT( INDIRECT( ADDRESS( ROW() + Row_Offset, INDIRECT( "Column_Number_" &amp; A$1), 4,1, tabname) ), "")</f>
        <v/>
      </c>
      <c r="B368" s="10" t="str">
        <f ca="1">TEXT(  IFERROR( VLOOKUP( $D368, CollName_Simplifier_Table[], 2, FALSE),"") &amp;
        INDIRECT( ADDRESS( ROW() + Row_Offset, INDIRECT( "Column_Number_" &amp; $B$1), 4,1, tabname) ), "")</f>
        <v/>
      </c>
      <c r="C368" s="10" t="str">
        <f ca="1">TEXT( INDIRECT( ADDRESS( ROW() + Row_Offset, INDIRECT( "Column_Number_" &amp; C$1), 4,1, tabname) ), "")</f>
        <v/>
      </c>
      <c r="D368" s="10" t="str">
        <f ca="1">TEXT( INDIRECT( ADDRESS( ROW() + Row_Offset, INDIRECT( "Column_Number_" &amp; D$1), 4,1, tabname) ), "")</f>
        <v/>
      </c>
      <c r="E368" s="10" t="str">
        <f ca="1">TEXT( INDIRECT( ADDRESS( ROW() + Row_Offset, INDIRECT( "Column_Number_" &amp; E$1), 4,1, tabname) ), "####")</f>
        <v/>
      </c>
      <c r="F368" s="15"/>
      <c r="G368" s="22" t="str">
        <f ca="1">IFERROR(INDEX(Rank_Table[],MATCH($D368&amp;$A368,Table4[Join],0)),"")</f>
        <v/>
      </c>
      <c r="H368" s="11" t="str">
        <f ca="1">IF(AND(D368="Juvenile Audiobook",LEFT(B368,8)="J CD BIO"),RIGHT(B368,LEN(B368)-9),
IF(AND(D368="Juvenile Audiobook",LEFT(B368,8)="J CD FIC"),B368,
IF(D368="Juvenile Audiobook",RIGHT(B368,LEN(B368)-5),
IF(AND(D368="Teen Audiobook",LEFT(B368,11)="TEEN CD BIO"),RIGHT(B368,LEN(B368)-12),
IF(AND(D368="Teen Audiobook",LEFT(B368,11)="TEEN CD FIC"),B368,
IF(D368="Juvenile Audiobook",RIGHT(B368,LEN(B368)-8),
IF(D368="Juvenile Nonfiction",RIGHT(B368,LEN(B368)-2),
IF(D368="Teen Nonfiction",RIGHT(B368,LEN(B368)-5),
IF(AND(D368="Audiobook",
              NOT(OR(Contains($B368,"CD BIO"),Contains($B368,"CD FIC")))),RIGHT(B368,LEN(B368)-3),
IF(D368="Juvenile Biography",RIGHT(B368,LEN(B368)-2),
IF(D368="Teen Biography",RIGHT(B368,LEN(B368)-5),
IF(AND(D368="Audiobook",
              IFERROR(FIND("BIO",$B368)&gt;0,FALSE)),RIGHT(B368,LEN(B368)-3),
IF(D368="Juvenile Large Type","J "&amp;RIGHT(B368,LEN(B368)-11),
IF(D368="Teen Large Type","TEEN "&amp;RIGHT(B368,LEN(B368)-14),
IF(D368="Reference",RIGHT(B368,LEN(B368)-4),
IF(D368="DVD Educational",RIGHT(B368,LEN(B368)-7),
IF(D368="Juvenile DVD Educational",RIGHT(B368,LEN(B368)-9),
B368)))))))))))))))))</f>
        <v/>
      </c>
      <c r="N368" s="11" t="str">
        <f ca="1">IF(IFERROR(FIND("New",$A368)&gt;0,FALSE),"New ","") &amp; IF(IFERROR(FIND("In Lib",$A368)&gt;0,FALSE),"Reference ","") &amp;
IF(AND(D368="Audiobook",LEFT(B368,6)="CD BIO"),"Biography",
IF(AND(D368="Teen Audiobook",LEFT(B368,11)="TEEN CD BIO"),"Biography",
IF(AND(D368="Juvenile Audiobook",LEFT(B368,8)="J CD BIO"),"Biography",
IF(AND(D368="Audiobook",LEFT(B368,6)="CD FIC"),"Audiobook Fiction",
IF(AND(D368="Teen Audiobook",LEFT(B368,11)="TEEN CD FIC"),"Teen Audiobook",
IF(AND(D368="Juvenile Audiobook",LEFT(B368,8)="J CD FIC"),"Juvenile Audiobook",
IF(D368="Audiobook","Nonfiction",
IF(D368="Juvenile Audiobook","Nonfiction",
IF(D368="Teen Audiobook","Nonfiction",
IF(D368="Juvenile Nonfiction","Nonfiction",
IF(D368="Teen Nonfiction","Nonfiction",
IF(D368="Juvenile Biography","Biography",
IF(D368="Teen Biography","Biography",
IF(D368="ESL","Nonfiction",
IF(LEFT(B368,11)="INTL-VIE J ","International Juvenile",IF(LEFT(B368,11)="INTL-TAG J ","International Juvenile",IF(LEFT(B368,11)="INTL-RUS J ","International Juvenile",IF(LEFT(B368,11)="INTL-KOR J ","International Juvenile",IF(LEFT(B368,11)="INTL-JAP J ","International Juvenile",IF(LEFT(B368,11)="INTL-CHI J ","International Juvenile",IF(LEFT(B368,11)="INTL-SPA J ","International Juvenile",IF(LEFT(B368,14)="INTL-VIE TEEN ","International Teen",IF(LEFT(B368,14)="INTL-TAG TEEN ","International Teen",IF(LEFT(B368,14)="INTL-RUS TEEN ","International Teen",IF(LEFT(B368,14)="INTL-KOR TEEN ","International Teen",IF(LEFT(B368,14)="INTL-JAP TEEN ","International Teen",IF(LEFT(B368,14)="INTL-CHI TEEN ","International Teen",IF(LEFT(B368,14)="INTL-SPA TEEN ","International Teen",IF(LEFT(B368,11)="INTL-VIE E ","International Easy",IF(LEFT(B368,11)="INTL-TAG E ","International Easy",IF(LEFT(B368,11)="INTL-RUS E ","International Easy",IF(LEFT(B368,11)="INTL-JAP E ","International Easy",IF(LEFT(B368,11)="INTL-KOR E ","International Easy",IF(LEFT(B368,11)="INTL-CHI E ","International Easy",IF(LEFT(B368,11)="INTL-SPA E ","International Easy",
IF(D368="Teen Large Type","Teen Fiction",
IF(D368="Juvenile Large Type","Juvenile Fiction",
IF(LEFT(B368,6)="J CD O","Juvenile Compact Disc",
IF(AND(LEFT(B368,4)="TEEN",D368="Fiction"),"Teen Fiction",
IF(D368="DVD Educational","Nonfiction",
IF(D368="Juvenile DVD Educational","Nonfiction",
IF(D368="Reference","Nonfiction",
D368))))))))))))))))))))))))))))))))))))))))))</f>
        <v/>
      </c>
    </row>
    <row r="369" spans="1:14" ht="27" customHeight="1" x14ac:dyDescent="0.25">
      <c r="A369" s="10" t="str">
        <f ca="1">TEXT( INDIRECT( ADDRESS( ROW() + Row_Offset, INDIRECT( "Column_Number_" &amp; A$1), 4,1, tabname) ), "")</f>
        <v/>
      </c>
      <c r="B369" s="10" t="str">
        <f ca="1">TEXT(  IFERROR( VLOOKUP( $D369, CollName_Simplifier_Table[], 2, FALSE),"") &amp;
        INDIRECT( ADDRESS( ROW() + Row_Offset, INDIRECT( "Column_Number_" &amp; $B$1), 4,1, tabname) ), "")</f>
        <v/>
      </c>
      <c r="C369" s="10" t="str">
        <f ca="1">TEXT( INDIRECT( ADDRESS( ROW() + Row_Offset, INDIRECT( "Column_Number_" &amp; C$1), 4,1, tabname) ), "")</f>
        <v/>
      </c>
      <c r="D369" s="10" t="str">
        <f ca="1">TEXT( INDIRECT( ADDRESS( ROW() + Row_Offset, INDIRECT( "Column_Number_" &amp; D$1), 4,1, tabname) ), "")</f>
        <v/>
      </c>
      <c r="E369" s="10" t="str">
        <f ca="1">TEXT( INDIRECT( ADDRESS( ROW() + Row_Offset, INDIRECT( "Column_Number_" &amp; E$1), 4,1, tabname) ), "####")</f>
        <v/>
      </c>
      <c r="F369" s="15"/>
      <c r="G369" s="22" t="str">
        <f ca="1">IFERROR(INDEX(Rank_Table[],MATCH($D369&amp;$A369,Table4[Join],0)),"")</f>
        <v/>
      </c>
      <c r="H369" s="11" t="str">
        <f ca="1">IF(AND(D369="Juvenile Audiobook",LEFT(B369,8)="J CD BIO"),RIGHT(B369,LEN(B369)-9),
IF(AND(D369="Juvenile Audiobook",LEFT(B369,8)="J CD FIC"),B369,
IF(D369="Juvenile Audiobook",RIGHT(B369,LEN(B369)-5),
IF(AND(D369="Teen Audiobook",LEFT(B369,11)="TEEN CD BIO"),RIGHT(B369,LEN(B369)-12),
IF(AND(D369="Teen Audiobook",LEFT(B369,11)="TEEN CD FIC"),B369,
IF(D369="Juvenile Audiobook",RIGHT(B369,LEN(B369)-8),
IF(D369="Juvenile Nonfiction",RIGHT(B369,LEN(B369)-2),
IF(D369="Teen Nonfiction",RIGHT(B369,LEN(B369)-5),
IF(AND(D369="Audiobook",
              NOT(OR(Contains($B369,"CD BIO"),Contains($B369,"CD FIC")))),RIGHT(B369,LEN(B369)-3),
IF(D369="Juvenile Biography",RIGHT(B369,LEN(B369)-2),
IF(D369="Teen Biography",RIGHT(B369,LEN(B369)-5),
IF(AND(D369="Audiobook",
              IFERROR(FIND("BIO",$B369)&gt;0,FALSE)),RIGHT(B369,LEN(B369)-3),
IF(D369="Juvenile Large Type","J "&amp;RIGHT(B369,LEN(B369)-11),
IF(D369="Teen Large Type","TEEN "&amp;RIGHT(B369,LEN(B369)-14),
IF(D369="Reference",RIGHT(B369,LEN(B369)-4),
IF(D369="DVD Educational",RIGHT(B369,LEN(B369)-7),
IF(D369="Juvenile DVD Educational",RIGHT(B369,LEN(B369)-9),
B369)))))))))))))))))</f>
        <v/>
      </c>
      <c r="N369" s="11" t="str">
        <f ca="1">IF(IFERROR(FIND("New",$A369)&gt;0,FALSE),"New ","") &amp; IF(IFERROR(FIND("In Lib",$A369)&gt;0,FALSE),"Reference ","") &amp;
IF(AND(D369="Audiobook",LEFT(B369,6)="CD BIO"),"Biography",
IF(AND(D369="Teen Audiobook",LEFT(B369,11)="TEEN CD BIO"),"Biography",
IF(AND(D369="Juvenile Audiobook",LEFT(B369,8)="J CD BIO"),"Biography",
IF(AND(D369="Audiobook",LEFT(B369,6)="CD FIC"),"Audiobook Fiction",
IF(AND(D369="Teen Audiobook",LEFT(B369,11)="TEEN CD FIC"),"Teen Audiobook",
IF(AND(D369="Juvenile Audiobook",LEFT(B369,8)="J CD FIC"),"Juvenile Audiobook",
IF(D369="Audiobook","Nonfiction",
IF(D369="Juvenile Audiobook","Nonfiction",
IF(D369="Teen Audiobook","Nonfiction",
IF(D369="Juvenile Nonfiction","Nonfiction",
IF(D369="Teen Nonfiction","Nonfiction",
IF(D369="Juvenile Biography","Biography",
IF(D369="Teen Biography","Biography",
IF(D369="ESL","Nonfiction",
IF(LEFT(B369,11)="INTL-VIE J ","International Juvenile",IF(LEFT(B369,11)="INTL-TAG J ","International Juvenile",IF(LEFT(B369,11)="INTL-RUS J ","International Juvenile",IF(LEFT(B369,11)="INTL-KOR J ","International Juvenile",IF(LEFT(B369,11)="INTL-JAP J ","International Juvenile",IF(LEFT(B369,11)="INTL-CHI J ","International Juvenile",IF(LEFT(B369,11)="INTL-SPA J ","International Juvenile",IF(LEFT(B369,14)="INTL-VIE TEEN ","International Teen",IF(LEFT(B369,14)="INTL-TAG TEEN ","International Teen",IF(LEFT(B369,14)="INTL-RUS TEEN ","International Teen",IF(LEFT(B369,14)="INTL-KOR TEEN ","International Teen",IF(LEFT(B369,14)="INTL-JAP TEEN ","International Teen",IF(LEFT(B369,14)="INTL-CHI TEEN ","International Teen",IF(LEFT(B369,14)="INTL-SPA TEEN ","International Teen",IF(LEFT(B369,11)="INTL-VIE E ","International Easy",IF(LEFT(B369,11)="INTL-TAG E ","International Easy",IF(LEFT(B369,11)="INTL-RUS E ","International Easy",IF(LEFT(B369,11)="INTL-JAP E ","International Easy",IF(LEFT(B369,11)="INTL-KOR E ","International Easy",IF(LEFT(B369,11)="INTL-CHI E ","International Easy",IF(LEFT(B369,11)="INTL-SPA E ","International Easy",
IF(D369="Teen Large Type","Teen Fiction",
IF(D369="Juvenile Large Type","Juvenile Fiction",
IF(LEFT(B369,6)="J CD O","Juvenile Compact Disc",
IF(AND(LEFT(B369,4)="TEEN",D369="Fiction"),"Teen Fiction",
IF(D369="DVD Educational","Nonfiction",
IF(D369="Juvenile DVD Educational","Nonfiction",
IF(D369="Reference","Nonfiction",
D369))))))))))))))))))))))))))))))))))))))))))</f>
        <v/>
      </c>
    </row>
    <row r="370" spans="1:14" ht="27" customHeight="1" x14ac:dyDescent="0.25">
      <c r="A370" s="10" t="str">
        <f ca="1">TEXT( INDIRECT( ADDRESS( ROW() + Row_Offset, INDIRECT( "Column_Number_" &amp; A$1), 4,1, tabname) ), "")</f>
        <v/>
      </c>
      <c r="B370" s="10" t="str">
        <f ca="1">TEXT(  IFERROR( VLOOKUP( $D370, CollName_Simplifier_Table[], 2, FALSE),"") &amp;
        INDIRECT( ADDRESS( ROW() + Row_Offset, INDIRECT( "Column_Number_" &amp; $B$1), 4,1, tabname) ), "")</f>
        <v/>
      </c>
      <c r="C370" s="10" t="str">
        <f ca="1">TEXT( INDIRECT( ADDRESS( ROW() + Row_Offset, INDIRECT( "Column_Number_" &amp; C$1), 4,1, tabname) ), "")</f>
        <v/>
      </c>
      <c r="D370" s="10" t="str">
        <f ca="1">TEXT( INDIRECT( ADDRESS( ROW() + Row_Offset, INDIRECT( "Column_Number_" &amp; D$1), 4,1, tabname) ), "")</f>
        <v/>
      </c>
      <c r="E370" s="10" t="str">
        <f ca="1">TEXT( INDIRECT( ADDRESS( ROW() + Row_Offset, INDIRECT( "Column_Number_" &amp; E$1), 4,1, tabname) ), "####")</f>
        <v/>
      </c>
      <c r="F370" s="15"/>
      <c r="G370" s="22" t="str">
        <f ca="1">IFERROR(INDEX(Rank_Table[],MATCH($D370&amp;$A370,Table4[Join],0)),"")</f>
        <v/>
      </c>
      <c r="H370" s="11" t="str">
        <f ca="1">IF(AND(D370="Juvenile Audiobook",LEFT(B370,8)="J CD BIO"),RIGHT(B370,LEN(B370)-9),
IF(AND(D370="Juvenile Audiobook",LEFT(B370,8)="J CD FIC"),B370,
IF(D370="Juvenile Audiobook",RIGHT(B370,LEN(B370)-5),
IF(AND(D370="Teen Audiobook",LEFT(B370,11)="TEEN CD BIO"),RIGHT(B370,LEN(B370)-12),
IF(AND(D370="Teen Audiobook",LEFT(B370,11)="TEEN CD FIC"),B370,
IF(D370="Juvenile Audiobook",RIGHT(B370,LEN(B370)-8),
IF(D370="Juvenile Nonfiction",RIGHT(B370,LEN(B370)-2),
IF(D370="Teen Nonfiction",RIGHT(B370,LEN(B370)-5),
IF(AND(D370="Audiobook",
              NOT(OR(Contains($B370,"CD BIO"),Contains($B370,"CD FIC")))),RIGHT(B370,LEN(B370)-3),
IF(D370="Juvenile Biography",RIGHT(B370,LEN(B370)-2),
IF(D370="Teen Biography",RIGHT(B370,LEN(B370)-5),
IF(AND(D370="Audiobook",
              IFERROR(FIND("BIO",$B370)&gt;0,FALSE)),RIGHT(B370,LEN(B370)-3),
IF(D370="Juvenile Large Type","J "&amp;RIGHT(B370,LEN(B370)-11),
IF(D370="Teen Large Type","TEEN "&amp;RIGHT(B370,LEN(B370)-14),
IF(D370="Reference",RIGHT(B370,LEN(B370)-4),
IF(D370="DVD Educational",RIGHT(B370,LEN(B370)-7),
IF(D370="Juvenile DVD Educational",RIGHT(B370,LEN(B370)-9),
B370)))))))))))))))))</f>
        <v/>
      </c>
      <c r="N370" s="11" t="str">
        <f ca="1">IF(IFERROR(FIND("New",$A370)&gt;0,FALSE),"New ","") &amp; IF(IFERROR(FIND("In Lib",$A370)&gt;0,FALSE),"Reference ","") &amp;
IF(AND(D370="Audiobook",LEFT(B370,6)="CD BIO"),"Biography",
IF(AND(D370="Teen Audiobook",LEFT(B370,11)="TEEN CD BIO"),"Biography",
IF(AND(D370="Juvenile Audiobook",LEFT(B370,8)="J CD BIO"),"Biography",
IF(AND(D370="Audiobook",LEFT(B370,6)="CD FIC"),"Audiobook Fiction",
IF(AND(D370="Teen Audiobook",LEFT(B370,11)="TEEN CD FIC"),"Teen Audiobook",
IF(AND(D370="Juvenile Audiobook",LEFT(B370,8)="J CD FIC"),"Juvenile Audiobook",
IF(D370="Audiobook","Nonfiction",
IF(D370="Juvenile Audiobook","Nonfiction",
IF(D370="Teen Audiobook","Nonfiction",
IF(D370="Juvenile Nonfiction","Nonfiction",
IF(D370="Teen Nonfiction","Nonfiction",
IF(D370="Juvenile Biography","Biography",
IF(D370="Teen Biography","Biography",
IF(D370="ESL","Nonfiction",
IF(LEFT(B370,11)="INTL-VIE J ","International Juvenile",IF(LEFT(B370,11)="INTL-TAG J ","International Juvenile",IF(LEFT(B370,11)="INTL-RUS J ","International Juvenile",IF(LEFT(B370,11)="INTL-KOR J ","International Juvenile",IF(LEFT(B370,11)="INTL-JAP J ","International Juvenile",IF(LEFT(B370,11)="INTL-CHI J ","International Juvenile",IF(LEFT(B370,11)="INTL-SPA J ","International Juvenile",IF(LEFT(B370,14)="INTL-VIE TEEN ","International Teen",IF(LEFT(B370,14)="INTL-TAG TEEN ","International Teen",IF(LEFT(B370,14)="INTL-RUS TEEN ","International Teen",IF(LEFT(B370,14)="INTL-KOR TEEN ","International Teen",IF(LEFT(B370,14)="INTL-JAP TEEN ","International Teen",IF(LEFT(B370,14)="INTL-CHI TEEN ","International Teen",IF(LEFT(B370,14)="INTL-SPA TEEN ","International Teen",IF(LEFT(B370,11)="INTL-VIE E ","International Easy",IF(LEFT(B370,11)="INTL-TAG E ","International Easy",IF(LEFT(B370,11)="INTL-RUS E ","International Easy",IF(LEFT(B370,11)="INTL-JAP E ","International Easy",IF(LEFT(B370,11)="INTL-KOR E ","International Easy",IF(LEFT(B370,11)="INTL-CHI E ","International Easy",IF(LEFT(B370,11)="INTL-SPA E ","International Easy",
IF(D370="Teen Large Type","Teen Fiction",
IF(D370="Juvenile Large Type","Juvenile Fiction",
IF(LEFT(B370,6)="J CD O","Juvenile Compact Disc",
IF(AND(LEFT(B370,4)="TEEN",D370="Fiction"),"Teen Fiction",
IF(D370="DVD Educational","Nonfiction",
IF(D370="Juvenile DVD Educational","Nonfiction",
IF(D370="Reference","Nonfiction",
D370))))))))))))))))))))))))))))))))))))))))))</f>
        <v/>
      </c>
    </row>
    <row r="371" spans="1:14" ht="27" customHeight="1" x14ac:dyDescent="0.25">
      <c r="A371" s="10" t="str">
        <f ca="1">TEXT( INDIRECT( ADDRESS( ROW() + Row_Offset, INDIRECT( "Column_Number_" &amp; A$1), 4,1, tabname) ), "")</f>
        <v/>
      </c>
      <c r="B371" s="10" t="str">
        <f ca="1">TEXT(  IFERROR( VLOOKUP( $D371, CollName_Simplifier_Table[], 2, FALSE),"") &amp;
        INDIRECT( ADDRESS( ROW() + Row_Offset, INDIRECT( "Column_Number_" &amp; $B$1), 4,1, tabname) ), "")</f>
        <v/>
      </c>
      <c r="C371" s="10" t="str">
        <f ca="1">TEXT( INDIRECT( ADDRESS( ROW() + Row_Offset, INDIRECT( "Column_Number_" &amp; C$1), 4,1, tabname) ), "")</f>
        <v/>
      </c>
      <c r="D371" s="10" t="str">
        <f ca="1">TEXT( INDIRECT( ADDRESS( ROW() + Row_Offset, INDIRECT( "Column_Number_" &amp; D$1), 4,1, tabname) ), "")</f>
        <v/>
      </c>
      <c r="E371" s="10" t="str">
        <f ca="1">TEXT( INDIRECT( ADDRESS( ROW() + Row_Offset, INDIRECT( "Column_Number_" &amp; E$1), 4,1, tabname) ), "####")</f>
        <v/>
      </c>
      <c r="F371" s="15"/>
      <c r="G371" s="22" t="str">
        <f ca="1">IFERROR(INDEX(Rank_Table[],MATCH($D371&amp;$A371,Table4[Join],0)),"")</f>
        <v/>
      </c>
      <c r="H371" s="11" t="str">
        <f ca="1">IF(AND(D371="Juvenile Audiobook",LEFT(B371,8)="J CD BIO"),RIGHT(B371,LEN(B371)-9),
IF(AND(D371="Juvenile Audiobook",LEFT(B371,8)="J CD FIC"),B371,
IF(D371="Juvenile Audiobook",RIGHT(B371,LEN(B371)-5),
IF(AND(D371="Teen Audiobook",LEFT(B371,11)="TEEN CD BIO"),RIGHT(B371,LEN(B371)-12),
IF(AND(D371="Teen Audiobook",LEFT(B371,11)="TEEN CD FIC"),B371,
IF(D371="Juvenile Audiobook",RIGHT(B371,LEN(B371)-8),
IF(D371="Juvenile Nonfiction",RIGHT(B371,LEN(B371)-2),
IF(D371="Teen Nonfiction",RIGHT(B371,LEN(B371)-5),
IF(AND(D371="Audiobook",
              NOT(OR(Contains($B371,"CD BIO"),Contains($B371,"CD FIC")))),RIGHT(B371,LEN(B371)-3),
IF(D371="Juvenile Biography",RIGHT(B371,LEN(B371)-2),
IF(D371="Teen Biography",RIGHT(B371,LEN(B371)-5),
IF(AND(D371="Audiobook",
              IFERROR(FIND("BIO",$B371)&gt;0,FALSE)),RIGHT(B371,LEN(B371)-3),
IF(D371="Juvenile Large Type","J "&amp;RIGHT(B371,LEN(B371)-11),
IF(D371="Teen Large Type","TEEN "&amp;RIGHT(B371,LEN(B371)-14),
IF(D371="Reference",RIGHT(B371,LEN(B371)-4),
IF(D371="DVD Educational",RIGHT(B371,LEN(B371)-7),
IF(D371="Juvenile DVD Educational",RIGHT(B371,LEN(B371)-9),
B371)))))))))))))))))</f>
        <v/>
      </c>
      <c r="N371" s="11" t="str">
        <f ca="1">IF(IFERROR(FIND("New",$A371)&gt;0,FALSE),"New ","") &amp; IF(IFERROR(FIND("In Lib",$A371)&gt;0,FALSE),"Reference ","") &amp;
IF(AND(D371="Audiobook",LEFT(B371,6)="CD BIO"),"Biography",
IF(AND(D371="Teen Audiobook",LEFT(B371,11)="TEEN CD BIO"),"Biography",
IF(AND(D371="Juvenile Audiobook",LEFT(B371,8)="J CD BIO"),"Biography",
IF(AND(D371="Audiobook",LEFT(B371,6)="CD FIC"),"Audiobook Fiction",
IF(AND(D371="Teen Audiobook",LEFT(B371,11)="TEEN CD FIC"),"Teen Audiobook",
IF(AND(D371="Juvenile Audiobook",LEFT(B371,8)="J CD FIC"),"Juvenile Audiobook",
IF(D371="Audiobook","Nonfiction",
IF(D371="Juvenile Audiobook","Nonfiction",
IF(D371="Teen Audiobook","Nonfiction",
IF(D371="Juvenile Nonfiction","Nonfiction",
IF(D371="Teen Nonfiction","Nonfiction",
IF(D371="Juvenile Biography","Biography",
IF(D371="Teen Biography","Biography",
IF(D371="ESL","Nonfiction",
IF(LEFT(B371,11)="INTL-VIE J ","International Juvenile",IF(LEFT(B371,11)="INTL-TAG J ","International Juvenile",IF(LEFT(B371,11)="INTL-RUS J ","International Juvenile",IF(LEFT(B371,11)="INTL-KOR J ","International Juvenile",IF(LEFT(B371,11)="INTL-JAP J ","International Juvenile",IF(LEFT(B371,11)="INTL-CHI J ","International Juvenile",IF(LEFT(B371,11)="INTL-SPA J ","International Juvenile",IF(LEFT(B371,14)="INTL-VIE TEEN ","International Teen",IF(LEFT(B371,14)="INTL-TAG TEEN ","International Teen",IF(LEFT(B371,14)="INTL-RUS TEEN ","International Teen",IF(LEFT(B371,14)="INTL-KOR TEEN ","International Teen",IF(LEFT(B371,14)="INTL-JAP TEEN ","International Teen",IF(LEFT(B371,14)="INTL-CHI TEEN ","International Teen",IF(LEFT(B371,14)="INTL-SPA TEEN ","International Teen",IF(LEFT(B371,11)="INTL-VIE E ","International Easy",IF(LEFT(B371,11)="INTL-TAG E ","International Easy",IF(LEFT(B371,11)="INTL-RUS E ","International Easy",IF(LEFT(B371,11)="INTL-JAP E ","International Easy",IF(LEFT(B371,11)="INTL-KOR E ","International Easy",IF(LEFT(B371,11)="INTL-CHI E ","International Easy",IF(LEFT(B371,11)="INTL-SPA E ","International Easy",
IF(D371="Teen Large Type","Teen Fiction",
IF(D371="Juvenile Large Type","Juvenile Fiction",
IF(LEFT(B371,6)="J CD O","Juvenile Compact Disc",
IF(AND(LEFT(B371,4)="TEEN",D371="Fiction"),"Teen Fiction",
IF(D371="DVD Educational","Nonfiction",
IF(D371="Juvenile DVD Educational","Nonfiction",
IF(D371="Reference","Nonfiction",
D371))))))))))))))))))))))))))))))))))))))))))</f>
        <v/>
      </c>
    </row>
    <row r="372" spans="1:14" ht="27" customHeight="1" x14ac:dyDescent="0.25">
      <c r="A372" s="10" t="str">
        <f ca="1">TEXT( INDIRECT( ADDRESS( ROW() + Row_Offset, INDIRECT( "Column_Number_" &amp; A$1), 4,1, tabname) ), "")</f>
        <v/>
      </c>
      <c r="B372" s="10" t="str">
        <f ca="1">TEXT(  IFERROR( VLOOKUP( $D372, CollName_Simplifier_Table[], 2, FALSE),"") &amp;
        INDIRECT( ADDRESS( ROW() + Row_Offset, INDIRECT( "Column_Number_" &amp; $B$1), 4,1, tabname) ), "")</f>
        <v/>
      </c>
      <c r="C372" s="10" t="str">
        <f ca="1">TEXT( INDIRECT( ADDRESS( ROW() + Row_Offset, INDIRECT( "Column_Number_" &amp; C$1), 4,1, tabname) ), "")</f>
        <v/>
      </c>
      <c r="D372" s="10" t="str">
        <f ca="1">TEXT( INDIRECT( ADDRESS( ROW() + Row_Offset, INDIRECT( "Column_Number_" &amp; D$1), 4,1, tabname) ), "")</f>
        <v/>
      </c>
      <c r="E372" s="10" t="str">
        <f ca="1">TEXT( INDIRECT( ADDRESS( ROW() + Row_Offset, INDIRECT( "Column_Number_" &amp; E$1), 4,1, tabname) ), "####")</f>
        <v/>
      </c>
      <c r="F372" s="15"/>
      <c r="G372" s="22" t="str">
        <f ca="1">IFERROR(INDEX(Rank_Table[],MATCH($D372&amp;$A372,Table4[Join],0)),"")</f>
        <v/>
      </c>
      <c r="H372" s="11" t="str">
        <f ca="1">IF(AND(D372="Juvenile Audiobook",LEFT(B372,8)="J CD BIO"),RIGHT(B372,LEN(B372)-9),
IF(AND(D372="Juvenile Audiobook",LEFT(B372,8)="J CD FIC"),B372,
IF(D372="Juvenile Audiobook",RIGHT(B372,LEN(B372)-5),
IF(AND(D372="Teen Audiobook",LEFT(B372,11)="TEEN CD BIO"),RIGHT(B372,LEN(B372)-12),
IF(AND(D372="Teen Audiobook",LEFT(B372,11)="TEEN CD FIC"),B372,
IF(D372="Juvenile Audiobook",RIGHT(B372,LEN(B372)-8),
IF(D372="Juvenile Nonfiction",RIGHT(B372,LEN(B372)-2),
IF(D372="Teen Nonfiction",RIGHT(B372,LEN(B372)-5),
IF(AND(D372="Audiobook",
              NOT(OR(Contains($B372,"CD BIO"),Contains($B372,"CD FIC")))),RIGHT(B372,LEN(B372)-3),
IF(D372="Juvenile Biography",RIGHT(B372,LEN(B372)-2),
IF(D372="Teen Biography",RIGHT(B372,LEN(B372)-5),
IF(AND(D372="Audiobook",
              IFERROR(FIND("BIO",$B372)&gt;0,FALSE)),RIGHT(B372,LEN(B372)-3),
IF(D372="Juvenile Large Type","J "&amp;RIGHT(B372,LEN(B372)-11),
IF(D372="Teen Large Type","TEEN "&amp;RIGHT(B372,LEN(B372)-14),
IF(D372="Reference",RIGHT(B372,LEN(B372)-4),
IF(D372="DVD Educational",RIGHT(B372,LEN(B372)-7),
IF(D372="Juvenile DVD Educational",RIGHT(B372,LEN(B372)-9),
B372)))))))))))))))))</f>
        <v/>
      </c>
      <c r="N372" s="11" t="str">
        <f ca="1">IF(IFERROR(FIND("New",$A372)&gt;0,FALSE),"New ","") &amp; IF(IFERROR(FIND("In Lib",$A372)&gt;0,FALSE),"Reference ","") &amp;
IF(AND(D372="Audiobook",LEFT(B372,6)="CD BIO"),"Biography",
IF(AND(D372="Teen Audiobook",LEFT(B372,11)="TEEN CD BIO"),"Biography",
IF(AND(D372="Juvenile Audiobook",LEFT(B372,8)="J CD BIO"),"Biography",
IF(AND(D372="Audiobook",LEFT(B372,6)="CD FIC"),"Audiobook Fiction",
IF(AND(D372="Teen Audiobook",LEFT(B372,11)="TEEN CD FIC"),"Teen Audiobook",
IF(AND(D372="Juvenile Audiobook",LEFT(B372,8)="J CD FIC"),"Juvenile Audiobook",
IF(D372="Audiobook","Nonfiction",
IF(D372="Juvenile Audiobook","Nonfiction",
IF(D372="Teen Audiobook","Nonfiction",
IF(D372="Juvenile Nonfiction","Nonfiction",
IF(D372="Teen Nonfiction","Nonfiction",
IF(D372="Juvenile Biography","Biography",
IF(D372="Teen Biography","Biography",
IF(D372="ESL","Nonfiction",
IF(LEFT(B372,11)="INTL-VIE J ","International Juvenile",IF(LEFT(B372,11)="INTL-TAG J ","International Juvenile",IF(LEFT(B372,11)="INTL-RUS J ","International Juvenile",IF(LEFT(B372,11)="INTL-KOR J ","International Juvenile",IF(LEFT(B372,11)="INTL-JAP J ","International Juvenile",IF(LEFT(B372,11)="INTL-CHI J ","International Juvenile",IF(LEFT(B372,11)="INTL-SPA J ","International Juvenile",IF(LEFT(B372,14)="INTL-VIE TEEN ","International Teen",IF(LEFT(B372,14)="INTL-TAG TEEN ","International Teen",IF(LEFT(B372,14)="INTL-RUS TEEN ","International Teen",IF(LEFT(B372,14)="INTL-KOR TEEN ","International Teen",IF(LEFT(B372,14)="INTL-JAP TEEN ","International Teen",IF(LEFT(B372,14)="INTL-CHI TEEN ","International Teen",IF(LEFT(B372,14)="INTL-SPA TEEN ","International Teen",IF(LEFT(B372,11)="INTL-VIE E ","International Easy",IF(LEFT(B372,11)="INTL-TAG E ","International Easy",IF(LEFT(B372,11)="INTL-RUS E ","International Easy",IF(LEFT(B372,11)="INTL-JAP E ","International Easy",IF(LEFT(B372,11)="INTL-KOR E ","International Easy",IF(LEFT(B372,11)="INTL-CHI E ","International Easy",IF(LEFT(B372,11)="INTL-SPA E ","International Easy",
IF(D372="Teen Large Type","Teen Fiction",
IF(D372="Juvenile Large Type","Juvenile Fiction",
IF(LEFT(B372,6)="J CD O","Juvenile Compact Disc",
IF(AND(LEFT(B372,4)="TEEN",D372="Fiction"),"Teen Fiction",
IF(D372="DVD Educational","Nonfiction",
IF(D372="Juvenile DVD Educational","Nonfiction",
IF(D372="Reference","Nonfiction",
D372))))))))))))))))))))))))))))))))))))))))))</f>
        <v/>
      </c>
    </row>
    <row r="373" spans="1:14" ht="27" customHeight="1" x14ac:dyDescent="0.25">
      <c r="A373" s="10" t="str">
        <f ca="1">TEXT( INDIRECT( ADDRESS( ROW() + Row_Offset, INDIRECT( "Column_Number_" &amp; A$1), 4,1, tabname) ), "")</f>
        <v/>
      </c>
      <c r="B373" s="10" t="str">
        <f ca="1">TEXT(  IFERROR( VLOOKUP( $D373, CollName_Simplifier_Table[], 2, FALSE),"") &amp;
        INDIRECT( ADDRESS( ROW() + Row_Offset, INDIRECT( "Column_Number_" &amp; $B$1), 4,1, tabname) ), "")</f>
        <v/>
      </c>
      <c r="C373" s="10" t="str">
        <f ca="1">TEXT( INDIRECT( ADDRESS( ROW() + Row_Offset, INDIRECT( "Column_Number_" &amp; C$1), 4,1, tabname) ), "")</f>
        <v/>
      </c>
      <c r="D373" s="10" t="str">
        <f ca="1">TEXT( INDIRECT( ADDRESS( ROW() + Row_Offset, INDIRECT( "Column_Number_" &amp; D$1), 4,1, tabname) ), "")</f>
        <v/>
      </c>
      <c r="E373" s="10" t="str">
        <f ca="1">TEXT( INDIRECT( ADDRESS( ROW() + Row_Offset, INDIRECT( "Column_Number_" &amp; E$1), 4,1, tabname) ), "####")</f>
        <v/>
      </c>
      <c r="F373" s="15"/>
      <c r="G373" s="22" t="str">
        <f ca="1">IFERROR(INDEX(Rank_Table[],MATCH($D373&amp;$A373,Table4[Join],0)),"")</f>
        <v/>
      </c>
      <c r="H373" s="11" t="str">
        <f ca="1">IF(AND(D373="Juvenile Audiobook",LEFT(B373,8)="J CD BIO"),RIGHT(B373,LEN(B373)-9),
IF(AND(D373="Juvenile Audiobook",LEFT(B373,8)="J CD FIC"),B373,
IF(D373="Juvenile Audiobook",RIGHT(B373,LEN(B373)-5),
IF(AND(D373="Teen Audiobook",LEFT(B373,11)="TEEN CD BIO"),RIGHT(B373,LEN(B373)-12),
IF(AND(D373="Teen Audiobook",LEFT(B373,11)="TEEN CD FIC"),B373,
IF(D373="Juvenile Audiobook",RIGHT(B373,LEN(B373)-8),
IF(D373="Juvenile Nonfiction",RIGHT(B373,LEN(B373)-2),
IF(D373="Teen Nonfiction",RIGHT(B373,LEN(B373)-5),
IF(AND(D373="Audiobook",
              NOT(OR(Contains($B373,"CD BIO"),Contains($B373,"CD FIC")))),RIGHT(B373,LEN(B373)-3),
IF(D373="Juvenile Biography",RIGHT(B373,LEN(B373)-2),
IF(D373="Teen Biography",RIGHT(B373,LEN(B373)-5),
IF(AND(D373="Audiobook",
              IFERROR(FIND("BIO",$B373)&gt;0,FALSE)),RIGHT(B373,LEN(B373)-3),
IF(D373="Juvenile Large Type","J "&amp;RIGHT(B373,LEN(B373)-11),
IF(D373="Teen Large Type","TEEN "&amp;RIGHT(B373,LEN(B373)-14),
IF(D373="Reference",RIGHT(B373,LEN(B373)-4),
IF(D373="DVD Educational",RIGHT(B373,LEN(B373)-7),
IF(D373="Juvenile DVD Educational",RIGHT(B373,LEN(B373)-9),
B373)))))))))))))))))</f>
        <v/>
      </c>
      <c r="N373" s="11" t="str">
        <f ca="1">IF(IFERROR(FIND("New",$A373)&gt;0,FALSE),"New ","") &amp; IF(IFERROR(FIND("In Lib",$A373)&gt;0,FALSE),"Reference ","") &amp;
IF(AND(D373="Audiobook",LEFT(B373,6)="CD BIO"),"Biography",
IF(AND(D373="Teen Audiobook",LEFT(B373,11)="TEEN CD BIO"),"Biography",
IF(AND(D373="Juvenile Audiobook",LEFT(B373,8)="J CD BIO"),"Biography",
IF(AND(D373="Audiobook",LEFT(B373,6)="CD FIC"),"Audiobook Fiction",
IF(AND(D373="Teen Audiobook",LEFT(B373,11)="TEEN CD FIC"),"Teen Audiobook",
IF(AND(D373="Juvenile Audiobook",LEFT(B373,8)="J CD FIC"),"Juvenile Audiobook",
IF(D373="Audiobook","Nonfiction",
IF(D373="Juvenile Audiobook","Nonfiction",
IF(D373="Teen Audiobook","Nonfiction",
IF(D373="Juvenile Nonfiction","Nonfiction",
IF(D373="Teen Nonfiction","Nonfiction",
IF(D373="Juvenile Biography","Biography",
IF(D373="Teen Biography","Biography",
IF(D373="ESL","Nonfiction",
IF(LEFT(B373,11)="INTL-VIE J ","International Juvenile",IF(LEFT(B373,11)="INTL-TAG J ","International Juvenile",IF(LEFT(B373,11)="INTL-RUS J ","International Juvenile",IF(LEFT(B373,11)="INTL-KOR J ","International Juvenile",IF(LEFT(B373,11)="INTL-JAP J ","International Juvenile",IF(LEFT(B373,11)="INTL-CHI J ","International Juvenile",IF(LEFT(B373,11)="INTL-SPA J ","International Juvenile",IF(LEFT(B373,14)="INTL-VIE TEEN ","International Teen",IF(LEFT(B373,14)="INTL-TAG TEEN ","International Teen",IF(LEFT(B373,14)="INTL-RUS TEEN ","International Teen",IF(LEFT(B373,14)="INTL-KOR TEEN ","International Teen",IF(LEFT(B373,14)="INTL-JAP TEEN ","International Teen",IF(LEFT(B373,14)="INTL-CHI TEEN ","International Teen",IF(LEFT(B373,14)="INTL-SPA TEEN ","International Teen",IF(LEFT(B373,11)="INTL-VIE E ","International Easy",IF(LEFT(B373,11)="INTL-TAG E ","International Easy",IF(LEFT(B373,11)="INTL-RUS E ","International Easy",IF(LEFT(B373,11)="INTL-JAP E ","International Easy",IF(LEFT(B373,11)="INTL-KOR E ","International Easy",IF(LEFT(B373,11)="INTL-CHI E ","International Easy",IF(LEFT(B373,11)="INTL-SPA E ","International Easy",
IF(D373="Teen Large Type","Teen Fiction",
IF(D373="Juvenile Large Type","Juvenile Fiction",
IF(LEFT(B373,6)="J CD O","Juvenile Compact Disc",
IF(AND(LEFT(B373,4)="TEEN",D373="Fiction"),"Teen Fiction",
IF(D373="DVD Educational","Nonfiction",
IF(D373="Juvenile DVD Educational","Nonfiction",
IF(D373="Reference","Nonfiction",
D373))))))))))))))))))))))))))))))))))))))))))</f>
        <v/>
      </c>
    </row>
    <row r="374" spans="1:14" ht="27" customHeight="1" x14ac:dyDescent="0.25">
      <c r="A374" s="10" t="str">
        <f ca="1">TEXT( INDIRECT( ADDRESS( ROW() + Row_Offset, INDIRECT( "Column_Number_" &amp; A$1), 4,1, tabname) ), "")</f>
        <v/>
      </c>
      <c r="B374" s="10" t="str">
        <f ca="1">TEXT(  IFERROR( VLOOKUP( $D374, CollName_Simplifier_Table[], 2, FALSE),"") &amp;
        INDIRECT( ADDRESS( ROW() + Row_Offset, INDIRECT( "Column_Number_" &amp; $B$1), 4,1, tabname) ), "")</f>
        <v/>
      </c>
      <c r="C374" s="10" t="str">
        <f ca="1">TEXT( INDIRECT( ADDRESS( ROW() + Row_Offset, INDIRECT( "Column_Number_" &amp; C$1), 4,1, tabname) ), "")</f>
        <v/>
      </c>
      <c r="D374" s="10" t="str">
        <f ca="1">TEXT( INDIRECT( ADDRESS( ROW() + Row_Offset, INDIRECT( "Column_Number_" &amp; D$1), 4,1, tabname) ), "")</f>
        <v/>
      </c>
      <c r="E374" s="10" t="str">
        <f ca="1">TEXT( INDIRECT( ADDRESS( ROW() + Row_Offset, INDIRECT( "Column_Number_" &amp; E$1), 4,1, tabname) ), "####")</f>
        <v/>
      </c>
      <c r="F374" s="15"/>
      <c r="G374" s="22" t="str">
        <f ca="1">IFERROR(INDEX(Rank_Table[],MATCH($D374&amp;$A374,Table4[Join],0)),"")</f>
        <v/>
      </c>
      <c r="H374" s="11" t="str">
        <f ca="1">IF(AND(D374="Juvenile Audiobook",LEFT(B374,8)="J CD BIO"),RIGHT(B374,LEN(B374)-9),
IF(AND(D374="Juvenile Audiobook",LEFT(B374,8)="J CD FIC"),B374,
IF(D374="Juvenile Audiobook",RIGHT(B374,LEN(B374)-5),
IF(AND(D374="Teen Audiobook",LEFT(B374,11)="TEEN CD BIO"),RIGHT(B374,LEN(B374)-12),
IF(AND(D374="Teen Audiobook",LEFT(B374,11)="TEEN CD FIC"),B374,
IF(D374="Juvenile Audiobook",RIGHT(B374,LEN(B374)-8),
IF(D374="Juvenile Nonfiction",RIGHT(B374,LEN(B374)-2),
IF(D374="Teen Nonfiction",RIGHT(B374,LEN(B374)-5),
IF(AND(D374="Audiobook",
              NOT(OR(Contains($B374,"CD BIO"),Contains($B374,"CD FIC")))),RIGHT(B374,LEN(B374)-3),
IF(D374="Juvenile Biography",RIGHT(B374,LEN(B374)-2),
IF(D374="Teen Biography",RIGHT(B374,LEN(B374)-5),
IF(AND(D374="Audiobook",
              IFERROR(FIND("BIO",$B374)&gt;0,FALSE)),RIGHT(B374,LEN(B374)-3),
IF(D374="Juvenile Large Type","J "&amp;RIGHT(B374,LEN(B374)-11),
IF(D374="Teen Large Type","TEEN "&amp;RIGHT(B374,LEN(B374)-14),
IF(D374="Reference",RIGHT(B374,LEN(B374)-4),
IF(D374="DVD Educational",RIGHT(B374,LEN(B374)-7),
IF(D374="Juvenile DVD Educational",RIGHT(B374,LEN(B374)-9),
B374)))))))))))))))))</f>
        <v/>
      </c>
      <c r="N374" s="11" t="str">
        <f ca="1">IF(IFERROR(FIND("New",$A374)&gt;0,FALSE),"New ","") &amp; IF(IFERROR(FIND("In Lib",$A374)&gt;0,FALSE),"Reference ","") &amp;
IF(AND(D374="Audiobook",LEFT(B374,6)="CD BIO"),"Biography",
IF(AND(D374="Teen Audiobook",LEFT(B374,11)="TEEN CD BIO"),"Biography",
IF(AND(D374="Juvenile Audiobook",LEFT(B374,8)="J CD BIO"),"Biography",
IF(AND(D374="Audiobook",LEFT(B374,6)="CD FIC"),"Audiobook Fiction",
IF(AND(D374="Teen Audiobook",LEFT(B374,11)="TEEN CD FIC"),"Teen Audiobook",
IF(AND(D374="Juvenile Audiobook",LEFT(B374,8)="J CD FIC"),"Juvenile Audiobook",
IF(D374="Audiobook","Nonfiction",
IF(D374="Juvenile Audiobook","Nonfiction",
IF(D374="Teen Audiobook","Nonfiction",
IF(D374="Juvenile Nonfiction","Nonfiction",
IF(D374="Teen Nonfiction","Nonfiction",
IF(D374="Juvenile Biography","Biography",
IF(D374="Teen Biography","Biography",
IF(D374="ESL","Nonfiction",
IF(LEFT(B374,11)="INTL-VIE J ","International Juvenile",IF(LEFT(B374,11)="INTL-TAG J ","International Juvenile",IF(LEFT(B374,11)="INTL-RUS J ","International Juvenile",IF(LEFT(B374,11)="INTL-KOR J ","International Juvenile",IF(LEFT(B374,11)="INTL-JAP J ","International Juvenile",IF(LEFT(B374,11)="INTL-CHI J ","International Juvenile",IF(LEFT(B374,11)="INTL-SPA J ","International Juvenile",IF(LEFT(B374,14)="INTL-VIE TEEN ","International Teen",IF(LEFT(B374,14)="INTL-TAG TEEN ","International Teen",IF(LEFT(B374,14)="INTL-RUS TEEN ","International Teen",IF(LEFT(B374,14)="INTL-KOR TEEN ","International Teen",IF(LEFT(B374,14)="INTL-JAP TEEN ","International Teen",IF(LEFT(B374,14)="INTL-CHI TEEN ","International Teen",IF(LEFT(B374,14)="INTL-SPA TEEN ","International Teen",IF(LEFT(B374,11)="INTL-VIE E ","International Easy",IF(LEFT(B374,11)="INTL-TAG E ","International Easy",IF(LEFT(B374,11)="INTL-RUS E ","International Easy",IF(LEFT(B374,11)="INTL-JAP E ","International Easy",IF(LEFT(B374,11)="INTL-KOR E ","International Easy",IF(LEFT(B374,11)="INTL-CHI E ","International Easy",IF(LEFT(B374,11)="INTL-SPA E ","International Easy",
IF(D374="Teen Large Type","Teen Fiction",
IF(D374="Juvenile Large Type","Juvenile Fiction",
IF(LEFT(B374,6)="J CD O","Juvenile Compact Disc",
IF(AND(LEFT(B374,4)="TEEN",D374="Fiction"),"Teen Fiction",
IF(D374="DVD Educational","Nonfiction",
IF(D374="Juvenile DVD Educational","Nonfiction",
IF(D374="Reference","Nonfiction",
D374))))))))))))))))))))))))))))))))))))))))))</f>
        <v/>
      </c>
    </row>
    <row r="375" spans="1:14" ht="27" customHeight="1" x14ac:dyDescent="0.25">
      <c r="A375" s="10" t="str">
        <f ca="1">TEXT( INDIRECT( ADDRESS( ROW() + Row_Offset, INDIRECT( "Column_Number_" &amp; A$1), 4,1, tabname) ), "")</f>
        <v/>
      </c>
      <c r="B375" s="10" t="str">
        <f ca="1">TEXT(  IFERROR( VLOOKUP( $D375, CollName_Simplifier_Table[], 2, FALSE),"") &amp;
        INDIRECT( ADDRESS( ROW() + Row_Offset, INDIRECT( "Column_Number_" &amp; $B$1), 4,1, tabname) ), "")</f>
        <v/>
      </c>
      <c r="C375" s="10" t="str">
        <f ca="1">TEXT( INDIRECT( ADDRESS( ROW() + Row_Offset, INDIRECT( "Column_Number_" &amp; C$1), 4,1, tabname) ), "")</f>
        <v/>
      </c>
      <c r="D375" s="10" t="str">
        <f ca="1">TEXT( INDIRECT( ADDRESS( ROW() + Row_Offset, INDIRECT( "Column_Number_" &amp; D$1), 4,1, tabname) ), "")</f>
        <v/>
      </c>
      <c r="E375" s="10" t="str">
        <f ca="1">TEXT( INDIRECT( ADDRESS( ROW() + Row_Offset, INDIRECT( "Column_Number_" &amp; E$1), 4,1, tabname) ), "####")</f>
        <v/>
      </c>
      <c r="F375" s="15"/>
      <c r="G375" s="22" t="str">
        <f ca="1">IFERROR(INDEX(Rank_Table[],MATCH($D375&amp;$A375,Table4[Join],0)),"")</f>
        <v/>
      </c>
      <c r="H375" s="11" t="str">
        <f ca="1">IF(AND(D375="Juvenile Audiobook",LEFT(B375,8)="J CD BIO"),RIGHT(B375,LEN(B375)-9),
IF(AND(D375="Juvenile Audiobook",LEFT(B375,8)="J CD FIC"),B375,
IF(D375="Juvenile Audiobook",RIGHT(B375,LEN(B375)-5),
IF(AND(D375="Teen Audiobook",LEFT(B375,11)="TEEN CD BIO"),RIGHT(B375,LEN(B375)-12),
IF(AND(D375="Teen Audiobook",LEFT(B375,11)="TEEN CD FIC"),B375,
IF(D375="Juvenile Audiobook",RIGHT(B375,LEN(B375)-8),
IF(D375="Juvenile Nonfiction",RIGHT(B375,LEN(B375)-2),
IF(D375="Teen Nonfiction",RIGHT(B375,LEN(B375)-5),
IF(AND(D375="Audiobook",
              NOT(OR(Contains($B375,"CD BIO"),Contains($B375,"CD FIC")))),RIGHT(B375,LEN(B375)-3),
IF(D375="Juvenile Biography",RIGHT(B375,LEN(B375)-2),
IF(D375="Teen Biography",RIGHT(B375,LEN(B375)-5),
IF(AND(D375="Audiobook",
              IFERROR(FIND("BIO",$B375)&gt;0,FALSE)),RIGHT(B375,LEN(B375)-3),
IF(D375="Juvenile Large Type","J "&amp;RIGHT(B375,LEN(B375)-11),
IF(D375="Teen Large Type","TEEN "&amp;RIGHT(B375,LEN(B375)-14),
IF(D375="Reference",RIGHT(B375,LEN(B375)-4),
IF(D375="DVD Educational",RIGHT(B375,LEN(B375)-7),
IF(D375="Juvenile DVD Educational",RIGHT(B375,LEN(B375)-9),
B375)))))))))))))))))</f>
        <v/>
      </c>
      <c r="N375" s="11" t="str">
        <f ca="1">IF(IFERROR(FIND("New",$A375)&gt;0,FALSE),"New ","") &amp; IF(IFERROR(FIND("In Lib",$A375)&gt;0,FALSE),"Reference ","") &amp;
IF(AND(D375="Audiobook",LEFT(B375,6)="CD BIO"),"Biography",
IF(AND(D375="Teen Audiobook",LEFT(B375,11)="TEEN CD BIO"),"Biography",
IF(AND(D375="Juvenile Audiobook",LEFT(B375,8)="J CD BIO"),"Biography",
IF(AND(D375="Audiobook",LEFT(B375,6)="CD FIC"),"Audiobook Fiction",
IF(AND(D375="Teen Audiobook",LEFT(B375,11)="TEEN CD FIC"),"Teen Audiobook",
IF(AND(D375="Juvenile Audiobook",LEFT(B375,8)="J CD FIC"),"Juvenile Audiobook",
IF(D375="Audiobook","Nonfiction",
IF(D375="Juvenile Audiobook","Nonfiction",
IF(D375="Teen Audiobook","Nonfiction",
IF(D375="Juvenile Nonfiction","Nonfiction",
IF(D375="Teen Nonfiction","Nonfiction",
IF(D375="Juvenile Biography","Biography",
IF(D375="Teen Biography","Biography",
IF(D375="ESL","Nonfiction",
IF(LEFT(B375,11)="INTL-VIE J ","International Juvenile",IF(LEFT(B375,11)="INTL-TAG J ","International Juvenile",IF(LEFT(B375,11)="INTL-RUS J ","International Juvenile",IF(LEFT(B375,11)="INTL-KOR J ","International Juvenile",IF(LEFT(B375,11)="INTL-JAP J ","International Juvenile",IF(LEFT(B375,11)="INTL-CHI J ","International Juvenile",IF(LEFT(B375,11)="INTL-SPA J ","International Juvenile",IF(LEFT(B375,14)="INTL-VIE TEEN ","International Teen",IF(LEFT(B375,14)="INTL-TAG TEEN ","International Teen",IF(LEFT(B375,14)="INTL-RUS TEEN ","International Teen",IF(LEFT(B375,14)="INTL-KOR TEEN ","International Teen",IF(LEFT(B375,14)="INTL-JAP TEEN ","International Teen",IF(LEFT(B375,14)="INTL-CHI TEEN ","International Teen",IF(LEFT(B375,14)="INTL-SPA TEEN ","International Teen",IF(LEFT(B375,11)="INTL-VIE E ","International Easy",IF(LEFT(B375,11)="INTL-TAG E ","International Easy",IF(LEFT(B375,11)="INTL-RUS E ","International Easy",IF(LEFT(B375,11)="INTL-JAP E ","International Easy",IF(LEFT(B375,11)="INTL-KOR E ","International Easy",IF(LEFT(B375,11)="INTL-CHI E ","International Easy",IF(LEFT(B375,11)="INTL-SPA E ","International Easy",
IF(D375="Teen Large Type","Teen Fiction",
IF(D375="Juvenile Large Type","Juvenile Fiction",
IF(LEFT(B375,6)="J CD O","Juvenile Compact Disc",
IF(AND(LEFT(B375,4)="TEEN",D375="Fiction"),"Teen Fiction",
IF(D375="DVD Educational","Nonfiction",
IF(D375="Juvenile DVD Educational","Nonfiction",
IF(D375="Reference","Nonfiction",
D375))))))))))))))))))))))))))))))))))))))))))</f>
        <v/>
      </c>
    </row>
    <row r="376" spans="1:14" ht="27" customHeight="1" x14ac:dyDescent="0.25">
      <c r="A376" s="10" t="str">
        <f ca="1">TEXT( INDIRECT( ADDRESS( ROW() + Row_Offset, INDIRECT( "Column_Number_" &amp; A$1), 4,1, tabname) ), "")</f>
        <v/>
      </c>
      <c r="B376" s="10" t="str">
        <f ca="1">TEXT(  IFERROR( VLOOKUP( $D376, CollName_Simplifier_Table[], 2, FALSE),"") &amp;
        INDIRECT( ADDRESS( ROW() + Row_Offset, INDIRECT( "Column_Number_" &amp; $B$1), 4,1, tabname) ), "")</f>
        <v/>
      </c>
      <c r="C376" s="10" t="str">
        <f ca="1">TEXT( INDIRECT( ADDRESS( ROW() + Row_Offset, INDIRECT( "Column_Number_" &amp; C$1), 4,1, tabname) ), "")</f>
        <v/>
      </c>
      <c r="D376" s="10" t="str">
        <f ca="1">TEXT( INDIRECT( ADDRESS( ROW() + Row_Offset, INDIRECT( "Column_Number_" &amp; D$1), 4,1, tabname) ), "")</f>
        <v/>
      </c>
      <c r="E376" s="10" t="str">
        <f ca="1">TEXT( INDIRECT( ADDRESS( ROW() + Row_Offset, INDIRECT( "Column_Number_" &amp; E$1), 4,1, tabname) ), "####")</f>
        <v/>
      </c>
      <c r="F376" s="15"/>
      <c r="G376" s="22" t="str">
        <f ca="1">IFERROR(INDEX(Rank_Table[],MATCH($D376&amp;$A376,Table4[Join],0)),"")</f>
        <v/>
      </c>
      <c r="H376" s="11" t="str">
        <f ca="1">IF(AND(D376="Juvenile Audiobook",LEFT(B376,8)="J CD BIO"),RIGHT(B376,LEN(B376)-9),
IF(AND(D376="Juvenile Audiobook",LEFT(B376,8)="J CD FIC"),B376,
IF(D376="Juvenile Audiobook",RIGHT(B376,LEN(B376)-5),
IF(AND(D376="Teen Audiobook",LEFT(B376,11)="TEEN CD BIO"),RIGHT(B376,LEN(B376)-12),
IF(AND(D376="Teen Audiobook",LEFT(B376,11)="TEEN CD FIC"),B376,
IF(D376="Juvenile Audiobook",RIGHT(B376,LEN(B376)-8),
IF(D376="Juvenile Nonfiction",RIGHT(B376,LEN(B376)-2),
IF(D376="Teen Nonfiction",RIGHT(B376,LEN(B376)-5),
IF(AND(D376="Audiobook",
              NOT(OR(Contains($B376,"CD BIO"),Contains($B376,"CD FIC")))),RIGHT(B376,LEN(B376)-3),
IF(D376="Juvenile Biography",RIGHT(B376,LEN(B376)-2),
IF(D376="Teen Biography",RIGHT(B376,LEN(B376)-5),
IF(AND(D376="Audiobook",
              IFERROR(FIND("BIO",$B376)&gt;0,FALSE)),RIGHT(B376,LEN(B376)-3),
IF(D376="Juvenile Large Type","J "&amp;RIGHT(B376,LEN(B376)-11),
IF(D376="Teen Large Type","TEEN "&amp;RIGHT(B376,LEN(B376)-14),
IF(D376="Reference",RIGHT(B376,LEN(B376)-4),
IF(D376="DVD Educational",RIGHT(B376,LEN(B376)-7),
IF(D376="Juvenile DVD Educational",RIGHT(B376,LEN(B376)-9),
B376)))))))))))))))))</f>
        <v/>
      </c>
      <c r="N376" s="11" t="str">
        <f ca="1">IF(IFERROR(FIND("New",$A376)&gt;0,FALSE),"New ","") &amp; IF(IFERROR(FIND("In Lib",$A376)&gt;0,FALSE),"Reference ","") &amp;
IF(AND(D376="Audiobook",LEFT(B376,6)="CD BIO"),"Biography",
IF(AND(D376="Teen Audiobook",LEFT(B376,11)="TEEN CD BIO"),"Biography",
IF(AND(D376="Juvenile Audiobook",LEFT(B376,8)="J CD BIO"),"Biography",
IF(AND(D376="Audiobook",LEFT(B376,6)="CD FIC"),"Audiobook Fiction",
IF(AND(D376="Teen Audiobook",LEFT(B376,11)="TEEN CD FIC"),"Teen Audiobook",
IF(AND(D376="Juvenile Audiobook",LEFT(B376,8)="J CD FIC"),"Juvenile Audiobook",
IF(D376="Audiobook","Nonfiction",
IF(D376="Juvenile Audiobook","Nonfiction",
IF(D376="Teen Audiobook","Nonfiction",
IF(D376="Juvenile Nonfiction","Nonfiction",
IF(D376="Teen Nonfiction","Nonfiction",
IF(D376="Juvenile Biography","Biography",
IF(D376="Teen Biography","Biography",
IF(D376="ESL","Nonfiction",
IF(LEFT(B376,11)="INTL-VIE J ","International Juvenile",IF(LEFT(B376,11)="INTL-TAG J ","International Juvenile",IF(LEFT(B376,11)="INTL-RUS J ","International Juvenile",IF(LEFT(B376,11)="INTL-KOR J ","International Juvenile",IF(LEFT(B376,11)="INTL-JAP J ","International Juvenile",IF(LEFT(B376,11)="INTL-CHI J ","International Juvenile",IF(LEFT(B376,11)="INTL-SPA J ","International Juvenile",IF(LEFT(B376,14)="INTL-VIE TEEN ","International Teen",IF(LEFT(B376,14)="INTL-TAG TEEN ","International Teen",IF(LEFT(B376,14)="INTL-RUS TEEN ","International Teen",IF(LEFT(B376,14)="INTL-KOR TEEN ","International Teen",IF(LEFT(B376,14)="INTL-JAP TEEN ","International Teen",IF(LEFT(B376,14)="INTL-CHI TEEN ","International Teen",IF(LEFT(B376,14)="INTL-SPA TEEN ","International Teen",IF(LEFT(B376,11)="INTL-VIE E ","International Easy",IF(LEFT(B376,11)="INTL-TAG E ","International Easy",IF(LEFT(B376,11)="INTL-RUS E ","International Easy",IF(LEFT(B376,11)="INTL-JAP E ","International Easy",IF(LEFT(B376,11)="INTL-KOR E ","International Easy",IF(LEFT(B376,11)="INTL-CHI E ","International Easy",IF(LEFT(B376,11)="INTL-SPA E ","International Easy",
IF(D376="Teen Large Type","Teen Fiction",
IF(D376="Juvenile Large Type","Juvenile Fiction",
IF(LEFT(B376,6)="J CD O","Juvenile Compact Disc",
IF(AND(LEFT(B376,4)="TEEN",D376="Fiction"),"Teen Fiction",
IF(D376="DVD Educational","Nonfiction",
IF(D376="Juvenile DVD Educational","Nonfiction",
IF(D376="Reference","Nonfiction",
D376))))))))))))))))))))))))))))))))))))))))))</f>
        <v/>
      </c>
    </row>
    <row r="377" spans="1:14" ht="27" customHeight="1" x14ac:dyDescent="0.25">
      <c r="A377" s="10" t="str">
        <f ca="1">TEXT( INDIRECT( ADDRESS( ROW() + Row_Offset, INDIRECT( "Column_Number_" &amp; A$1), 4,1, tabname) ), "")</f>
        <v/>
      </c>
      <c r="B377" s="10" t="str">
        <f ca="1">TEXT(  IFERROR( VLOOKUP( $D377, CollName_Simplifier_Table[], 2, FALSE),"") &amp;
        INDIRECT( ADDRESS( ROW() + Row_Offset, INDIRECT( "Column_Number_" &amp; $B$1), 4,1, tabname) ), "")</f>
        <v/>
      </c>
      <c r="C377" s="10" t="str">
        <f ca="1">TEXT( INDIRECT( ADDRESS( ROW() + Row_Offset, INDIRECT( "Column_Number_" &amp; C$1), 4,1, tabname) ), "")</f>
        <v/>
      </c>
      <c r="D377" s="10" t="str">
        <f ca="1">TEXT( INDIRECT( ADDRESS( ROW() + Row_Offset, INDIRECT( "Column_Number_" &amp; D$1), 4,1, tabname) ), "")</f>
        <v/>
      </c>
      <c r="E377" s="10" t="str">
        <f ca="1">TEXT( INDIRECT( ADDRESS( ROW() + Row_Offset, INDIRECT( "Column_Number_" &amp; E$1), 4,1, tabname) ), "####")</f>
        <v/>
      </c>
      <c r="F377" s="15"/>
      <c r="G377" s="22" t="str">
        <f ca="1">IFERROR(INDEX(Rank_Table[],MATCH($D377&amp;$A377,Table4[Join],0)),"")</f>
        <v/>
      </c>
      <c r="H377" s="11" t="str">
        <f ca="1">IF(AND(D377="Juvenile Audiobook",LEFT(B377,8)="J CD BIO"),RIGHT(B377,LEN(B377)-9),
IF(AND(D377="Juvenile Audiobook",LEFT(B377,8)="J CD FIC"),B377,
IF(D377="Juvenile Audiobook",RIGHT(B377,LEN(B377)-5),
IF(AND(D377="Teen Audiobook",LEFT(B377,11)="TEEN CD BIO"),RIGHT(B377,LEN(B377)-12),
IF(AND(D377="Teen Audiobook",LEFT(B377,11)="TEEN CD FIC"),B377,
IF(D377="Juvenile Audiobook",RIGHT(B377,LEN(B377)-8),
IF(D377="Juvenile Nonfiction",RIGHT(B377,LEN(B377)-2),
IF(D377="Teen Nonfiction",RIGHT(B377,LEN(B377)-5),
IF(AND(D377="Audiobook",
              NOT(OR(Contains($B377,"CD BIO"),Contains($B377,"CD FIC")))),RIGHT(B377,LEN(B377)-3),
IF(D377="Juvenile Biography",RIGHT(B377,LEN(B377)-2),
IF(D377="Teen Biography",RIGHT(B377,LEN(B377)-5),
IF(AND(D377="Audiobook",
              IFERROR(FIND("BIO",$B377)&gt;0,FALSE)),RIGHT(B377,LEN(B377)-3),
IF(D377="Juvenile Large Type","J "&amp;RIGHT(B377,LEN(B377)-11),
IF(D377="Teen Large Type","TEEN "&amp;RIGHT(B377,LEN(B377)-14),
IF(D377="Reference",RIGHT(B377,LEN(B377)-4),
IF(D377="DVD Educational",RIGHT(B377,LEN(B377)-7),
IF(D377="Juvenile DVD Educational",RIGHT(B377,LEN(B377)-9),
B377)))))))))))))))))</f>
        <v/>
      </c>
      <c r="N377" s="11" t="str">
        <f ca="1">IF(IFERROR(FIND("New",$A377)&gt;0,FALSE),"New ","") &amp; IF(IFERROR(FIND("In Lib",$A377)&gt;0,FALSE),"Reference ","") &amp;
IF(AND(D377="Audiobook",LEFT(B377,6)="CD BIO"),"Biography",
IF(AND(D377="Teen Audiobook",LEFT(B377,11)="TEEN CD BIO"),"Biography",
IF(AND(D377="Juvenile Audiobook",LEFT(B377,8)="J CD BIO"),"Biography",
IF(AND(D377="Audiobook",LEFT(B377,6)="CD FIC"),"Audiobook Fiction",
IF(AND(D377="Teen Audiobook",LEFT(B377,11)="TEEN CD FIC"),"Teen Audiobook",
IF(AND(D377="Juvenile Audiobook",LEFT(B377,8)="J CD FIC"),"Juvenile Audiobook",
IF(D377="Audiobook","Nonfiction",
IF(D377="Juvenile Audiobook","Nonfiction",
IF(D377="Teen Audiobook","Nonfiction",
IF(D377="Juvenile Nonfiction","Nonfiction",
IF(D377="Teen Nonfiction","Nonfiction",
IF(D377="Juvenile Biography","Biography",
IF(D377="Teen Biography","Biography",
IF(D377="ESL","Nonfiction",
IF(LEFT(B377,11)="INTL-VIE J ","International Juvenile",IF(LEFT(B377,11)="INTL-TAG J ","International Juvenile",IF(LEFT(B377,11)="INTL-RUS J ","International Juvenile",IF(LEFT(B377,11)="INTL-KOR J ","International Juvenile",IF(LEFT(B377,11)="INTL-JAP J ","International Juvenile",IF(LEFT(B377,11)="INTL-CHI J ","International Juvenile",IF(LEFT(B377,11)="INTL-SPA J ","International Juvenile",IF(LEFT(B377,14)="INTL-VIE TEEN ","International Teen",IF(LEFT(B377,14)="INTL-TAG TEEN ","International Teen",IF(LEFT(B377,14)="INTL-RUS TEEN ","International Teen",IF(LEFT(B377,14)="INTL-KOR TEEN ","International Teen",IF(LEFT(B377,14)="INTL-JAP TEEN ","International Teen",IF(LEFT(B377,14)="INTL-CHI TEEN ","International Teen",IF(LEFT(B377,14)="INTL-SPA TEEN ","International Teen",IF(LEFT(B377,11)="INTL-VIE E ","International Easy",IF(LEFT(B377,11)="INTL-TAG E ","International Easy",IF(LEFT(B377,11)="INTL-RUS E ","International Easy",IF(LEFT(B377,11)="INTL-JAP E ","International Easy",IF(LEFT(B377,11)="INTL-KOR E ","International Easy",IF(LEFT(B377,11)="INTL-CHI E ","International Easy",IF(LEFT(B377,11)="INTL-SPA E ","International Easy",
IF(D377="Teen Large Type","Teen Fiction",
IF(D377="Juvenile Large Type","Juvenile Fiction",
IF(LEFT(B377,6)="J CD O","Juvenile Compact Disc",
IF(AND(LEFT(B377,4)="TEEN",D377="Fiction"),"Teen Fiction",
IF(D377="DVD Educational","Nonfiction",
IF(D377="Juvenile DVD Educational","Nonfiction",
IF(D377="Reference","Nonfiction",
D377))))))))))))))))))))))))))))))))))))))))))</f>
        <v/>
      </c>
    </row>
    <row r="378" spans="1:14" ht="27" customHeight="1" x14ac:dyDescent="0.25">
      <c r="A378" s="10" t="str">
        <f ca="1">TEXT( INDIRECT( ADDRESS( ROW() + Row_Offset, INDIRECT( "Column_Number_" &amp; A$1), 4,1, tabname) ), "")</f>
        <v/>
      </c>
      <c r="B378" s="10" t="str">
        <f ca="1">TEXT(  IFERROR( VLOOKUP( $D378, CollName_Simplifier_Table[], 2, FALSE),"") &amp;
        INDIRECT( ADDRESS( ROW() + Row_Offset, INDIRECT( "Column_Number_" &amp; $B$1), 4,1, tabname) ), "")</f>
        <v/>
      </c>
      <c r="C378" s="10" t="str">
        <f ca="1">TEXT( INDIRECT( ADDRESS( ROW() + Row_Offset, INDIRECT( "Column_Number_" &amp; C$1), 4,1, tabname) ), "")</f>
        <v/>
      </c>
      <c r="D378" s="10" t="str">
        <f ca="1">TEXT( INDIRECT( ADDRESS( ROW() + Row_Offset, INDIRECT( "Column_Number_" &amp; D$1), 4,1, tabname) ), "")</f>
        <v/>
      </c>
      <c r="E378" s="10" t="str">
        <f ca="1">TEXT( INDIRECT( ADDRESS( ROW() + Row_Offset, INDIRECT( "Column_Number_" &amp; E$1), 4,1, tabname) ), "####")</f>
        <v/>
      </c>
      <c r="F378" s="15"/>
      <c r="G378" s="22" t="str">
        <f ca="1">IFERROR(INDEX(Rank_Table[],MATCH($D378&amp;$A378,Table4[Join],0)),"")</f>
        <v/>
      </c>
      <c r="H378" s="11" t="str">
        <f ca="1">IF(AND(D378="Juvenile Audiobook",LEFT(B378,8)="J CD BIO"),RIGHT(B378,LEN(B378)-9),
IF(AND(D378="Juvenile Audiobook",LEFT(B378,8)="J CD FIC"),B378,
IF(D378="Juvenile Audiobook",RIGHT(B378,LEN(B378)-5),
IF(AND(D378="Teen Audiobook",LEFT(B378,11)="TEEN CD BIO"),RIGHT(B378,LEN(B378)-12),
IF(AND(D378="Teen Audiobook",LEFT(B378,11)="TEEN CD FIC"),B378,
IF(D378="Juvenile Audiobook",RIGHT(B378,LEN(B378)-8),
IF(D378="Juvenile Nonfiction",RIGHT(B378,LEN(B378)-2),
IF(D378="Teen Nonfiction",RIGHT(B378,LEN(B378)-5),
IF(AND(D378="Audiobook",
              NOT(OR(Contains($B378,"CD BIO"),Contains($B378,"CD FIC")))),RIGHT(B378,LEN(B378)-3),
IF(D378="Juvenile Biography",RIGHT(B378,LEN(B378)-2),
IF(D378="Teen Biography",RIGHT(B378,LEN(B378)-5),
IF(AND(D378="Audiobook",
              IFERROR(FIND("BIO",$B378)&gt;0,FALSE)),RIGHT(B378,LEN(B378)-3),
IF(D378="Juvenile Large Type","J "&amp;RIGHT(B378,LEN(B378)-11),
IF(D378="Teen Large Type","TEEN "&amp;RIGHT(B378,LEN(B378)-14),
IF(D378="Reference",RIGHT(B378,LEN(B378)-4),
IF(D378="DVD Educational",RIGHT(B378,LEN(B378)-7),
IF(D378="Juvenile DVD Educational",RIGHT(B378,LEN(B378)-9),
B378)))))))))))))))))</f>
        <v/>
      </c>
      <c r="N378" s="11" t="str">
        <f ca="1">IF(IFERROR(FIND("New",$A378)&gt;0,FALSE),"New ","") &amp; IF(IFERROR(FIND("In Lib",$A378)&gt;0,FALSE),"Reference ","") &amp;
IF(AND(D378="Audiobook",LEFT(B378,6)="CD BIO"),"Biography",
IF(AND(D378="Teen Audiobook",LEFT(B378,11)="TEEN CD BIO"),"Biography",
IF(AND(D378="Juvenile Audiobook",LEFT(B378,8)="J CD BIO"),"Biography",
IF(AND(D378="Audiobook",LEFT(B378,6)="CD FIC"),"Audiobook Fiction",
IF(AND(D378="Teen Audiobook",LEFT(B378,11)="TEEN CD FIC"),"Teen Audiobook",
IF(AND(D378="Juvenile Audiobook",LEFT(B378,8)="J CD FIC"),"Juvenile Audiobook",
IF(D378="Audiobook","Nonfiction",
IF(D378="Juvenile Audiobook","Nonfiction",
IF(D378="Teen Audiobook","Nonfiction",
IF(D378="Juvenile Nonfiction","Nonfiction",
IF(D378="Teen Nonfiction","Nonfiction",
IF(D378="Juvenile Biography","Biography",
IF(D378="Teen Biography","Biography",
IF(D378="ESL","Nonfiction",
IF(LEFT(B378,11)="INTL-VIE J ","International Juvenile",IF(LEFT(B378,11)="INTL-TAG J ","International Juvenile",IF(LEFT(B378,11)="INTL-RUS J ","International Juvenile",IF(LEFT(B378,11)="INTL-KOR J ","International Juvenile",IF(LEFT(B378,11)="INTL-JAP J ","International Juvenile",IF(LEFT(B378,11)="INTL-CHI J ","International Juvenile",IF(LEFT(B378,11)="INTL-SPA J ","International Juvenile",IF(LEFT(B378,14)="INTL-VIE TEEN ","International Teen",IF(LEFT(B378,14)="INTL-TAG TEEN ","International Teen",IF(LEFT(B378,14)="INTL-RUS TEEN ","International Teen",IF(LEFT(B378,14)="INTL-KOR TEEN ","International Teen",IF(LEFT(B378,14)="INTL-JAP TEEN ","International Teen",IF(LEFT(B378,14)="INTL-CHI TEEN ","International Teen",IF(LEFT(B378,14)="INTL-SPA TEEN ","International Teen",IF(LEFT(B378,11)="INTL-VIE E ","International Easy",IF(LEFT(B378,11)="INTL-TAG E ","International Easy",IF(LEFT(B378,11)="INTL-RUS E ","International Easy",IF(LEFT(B378,11)="INTL-JAP E ","International Easy",IF(LEFT(B378,11)="INTL-KOR E ","International Easy",IF(LEFT(B378,11)="INTL-CHI E ","International Easy",IF(LEFT(B378,11)="INTL-SPA E ","International Easy",
IF(D378="Teen Large Type","Teen Fiction",
IF(D378="Juvenile Large Type","Juvenile Fiction",
IF(LEFT(B378,6)="J CD O","Juvenile Compact Disc",
IF(AND(LEFT(B378,4)="TEEN",D378="Fiction"),"Teen Fiction",
IF(D378="DVD Educational","Nonfiction",
IF(D378="Juvenile DVD Educational","Nonfiction",
IF(D378="Reference","Nonfiction",
D378))))))))))))))))))))))))))))))))))))))))))</f>
        <v/>
      </c>
    </row>
    <row r="379" spans="1:14" ht="27" customHeight="1" x14ac:dyDescent="0.25">
      <c r="A379" s="10" t="str">
        <f ca="1">TEXT( INDIRECT( ADDRESS( ROW() + Row_Offset, INDIRECT( "Column_Number_" &amp; A$1), 4,1, tabname) ), "")</f>
        <v/>
      </c>
      <c r="B379" s="10" t="str">
        <f ca="1">TEXT(  IFERROR( VLOOKUP( $D379, CollName_Simplifier_Table[], 2, FALSE),"") &amp;
        INDIRECT( ADDRESS( ROW() + Row_Offset, INDIRECT( "Column_Number_" &amp; $B$1), 4,1, tabname) ), "")</f>
        <v/>
      </c>
      <c r="C379" s="10" t="str">
        <f ca="1">TEXT( INDIRECT( ADDRESS( ROW() + Row_Offset, INDIRECT( "Column_Number_" &amp; C$1), 4,1, tabname) ), "")</f>
        <v/>
      </c>
      <c r="D379" s="10" t="str">
        <f ca="1">TEXT( INDIRECT( ADDRESS( ROW() + Row_Offset, INDIRECT( "Column_Number_" &amp; D$1), 4,1, tabname) ), "")</f>
        <v/>
      </c>
      <c r="E379" s="10" t="str">
        <f ca="1">TEXT( INDIRECT( ADDRESS( ROW() + Row_Offset, INDIRECT( "Column_Number_" &amp; E$1), 4,1, tabname) ), "####")</f>
        <v/>
      </c>
      <c r="F379" s="15"/>
      <c r="G379" s="22" t="str">
        <f ca="1">IFERROR(INDEX(Rank_Table[],MATCH($D379&amp;$A379,Table4[Join],0)),"")</f>
        <v/>
      </c>
      <c r="H379" s="11" t="str">
        <f ca="1">IF(AND(D379="Juvenile Audiobook",LEFT(B379,8)="J CD BIO"),RIGHT(B379,LEN(B379)-9),
IF(AND(D379="Juvenile Audiobook",LEFT(B379,8)="J CD FIC"),B379,
IF(D379="Juvenile Audiobook",RIGHT(B379,LEN(B379)-5),
IF(AND(D379="Teen Audiobook",LEFT(B379,11)="TEEN CD BIO"),RIGHT(B379,LEN(B379)-12),
IF(AND(D379="Teen Audiobook",LEFT(B379,11)="TEEN CD FIC"),B379,
IF(D379="Juvenile Audiobook",RIGHT(B379,LEN(B379)-8),
IF(D379="Juvenile Nonfiction",RIGHT(B379,LEN(B379)-2),
IF(D379="Teen Nonfiction",RIGHT(B379,LEN(B379)-5),
IF(AND(D379="Audiobook",
              NOT(OR(Contains($B379,"CD BIO"),Contains($B379,"CD FIC")))),RIGHT(B379,LEN(B379)-3),
IF(D379="Juvenile Biography",RIGHT(B379,LEN(B379)-2),
IF(D379="Teen Biography",RIGHT(B379,LEN(B379)-5),
IF(AND(D379="Audiobook",
              IFERROR(FIND("BIO",$B379)&gt;0,FALSE)),RIGHT(B379,LEN(B379)-3),
IF(D379="Juvenile Large Type","J "&amp;RIGHT(B379,LEN(B379)-11),
IF(D379="Teen Large Type","TEEN "&amp;RIGHT(B379,LEN(B379)-14),
IF(D379="Reference",RIGHT(B379,LEN(B379)-4),
IF(D379="DVD Educational",RIGHT(B379,LEN(B379)-7),
IF(D379="Juvenile DVD Educational",RIGHT(B379,LEN(B379)-9),
B379)))))))))))))))))</f>
        <v/>
      </c>
      <c r="N379" s="11" t="str">
        <f ca="1">IF(IFERROR(FIND("New",$A379)&gt;0,FALSE),"New ","") &amp; IF(IFERROR(FIND("In Lib",$A379)&gt;0,FALSE),"Reference ","") &amp;
IF(AND(D379="Audiobook",LEFT(B379,6)="CD BIO"),"Biography",
IF(AND(D379="Teen Audiobook",LEFT(B379,11)="TEEN CD BIO"),"Biography",
IF(AND(D379="Juvenile Audiobook",LEFT(B379,8)="J CD BIO"),"Biography",
IF(AND(D379="Audiobook",LEFT(B379,6)="CD FIC"),"Audiobook Fiction",
IF(AND(D379="Teen Audiobook",LEFT(B379,11)="TEEN CD FIC"),"Teen Audiobook",
IF(AND(D379="Juvenile Audiobook",LEFT(B379,8)="J CD FIC"),"Juvenile Audiobook",
IF(D379="Audiobook","Nonfiction",
IF(D379="Juvenile Audiobook","Nonfiction",
IF(D379="Teen Audiobook","Nonfiction",
IF(D379="Juvenile Nonfiction","Nonfiction",
IF(D379="Teen Nonfiction","Nonfiction",
IF(D379="Juvenile Biography","Biography",
IF(D379="Teen Biography","Biography",
IF(D379="ESL","Nonfiction",
IF(LEFT(B379,11)="INTL-VIE J ","International Juvenile",IF(LEFT(B379,11)="INTL-TAG J ","International Juvenile",IF(LEFT(B379,11)="INTL-RUS J ","International Juvenile",IF(LEFT(B379,11)="INTL-KOR J ","International Juvenile",IF(LEFT(B379,11)="INTL-JAP J ","International Juvenile",IF(LEFT(B379,11)="INTL-CHI J ","International Juvenile",IF(LEFT(B379,11)="INTL-SPA J ","International Juvenile",IF(LEFT(B379,14)="INTL-VIE TEEN ","International Teen",IF(LEFT(B379,14)="INTL-TAG TEEN ","International Teen",IF(LEFT(B379,14)="INTL-RUS TEEN ","International Teen",IF(LEFT(B379,14)="INTL-KOR TEEN ","International Teen",IF(LEFT(B379,14)="INTL-JAP TEEN ","International Teen",IF(LEFT(B379,14)="INTL-CHI TEEN ","International Teen",IF(LEFT(B379,14)="INTL-SPA TEEN ","International Teen",IF(LEFT(B379,11)="INTL-VIE E ","International Easy",IF(LEFT(B379,11)="INTL-TAG E ","International Easy",IF(LEFT(B379,11)="INTL-RUS E ","International Easy",IF(LEFT(B379,11)="INTL-JAP E ","International Easy",IF(LEFT(B379,11)="INTL-KOR E ","International Easy",IF(LEFT(B379,11)="INTL-CHI E ","International Easy",IF(LEFT(B379,11)="INTL-SPA E ","International Easy",
IF(D379="Teen Large Type","Teen Fiction",
IF(D379="Juvenile Large Type","Juvenile Fiction",
IF(LEFT(B379,6)="J CD O","Juvenile Compact Disc",
IF(AND(LEFT(B379,4)="TEEN",D379="Fiction"),"Teen Fiction",
IF(D379="DVD Educational","Nonfiction",
IF(D379="Juvenile DVD Educational","Nonfiction",
IF(D379="Reference","Nonfiction",
D379))))))))))))))))))))))))))))))))))))))))))</f>
        <v/>
      </c>
    </row>
    <row r="380" spans="1:14" ht="27" customHeight="1" x14ac:dyDescent="0.25">
      <c r="A380" s="10" t="str">
        <f ca="1">TEXT( INDIRECT( ADDRESS( ROW() + Row_Offset, INDIRECT( "Column_Number_" &amp; A$1), 4,1, tabname) ), "")</f>
        <v/>
      </c>
      <c r="B380" s="10" t="str">
        <f ca="1">TEXT(  IFERROR( VLOOKUP( $D380, CollName_Simplifier_Table[], 2, FALSE),"") &amp;
        INDIRECT( ADDRESS( ROW() + Row_Offset, INDIRECT( "Column_Number_" &amp; $B$1), 4,1, tabname) ), "")</f>
        <v/>
      </c>
      <c r="C380" s="10" t="str">
        <f ca="1">TEXT( INDIRECT( ADDRESS( ROW() + Row_Offset, INDIRECT( "Column_Number_" &amp; C$1), 4,1, tabname) ), "")</f>
        <v/>
      </c>
      <c r="D380" s="10" t="str">
        <f ca="1">TEXT( INDIRECT( ADDRESS( ROW() + Row_Offset, INDIRECT( "Column_Number_" &amp; D$1), 4,1, tabname) ), "")</f>
        <v/>
      </c>
      <c r="E380" s="10" t="str">
        <f ca="1">TEXT( INDIRECT( ADDRESS( ROW() + Row_Offset, INDIRECT( "Column_Number_" &amp; E$1), 4,1, tabname) ), "####")</f>
        <v/>
      </c>
      <c r="F380" s="15"/>
      <c r="G380" s="22" t="str">
        <f ca="1">IFERROR(INDEX(Rank_Table[],MATCH($D380&amp;$A380,Table4[Join],0)),"")</f>
        <v/>
      </c>
      <c r="H380" s="11" t="str">
        <f ca="1">IF(AND(D380="Juvenile Audiobook",LEFT(B380,8)="J CD BIO"),RIGHT(B380,LEN(B380)-9),
IF(AND(D380="Juvenile Audiobook",LEFT(B380,8)="J CD FIC"),B380,
IF(D380="Juvenile Audiobook",RIGHT(B380,LEN(B380)-5),
IF(AND(D380="Teen Audiobook",LEFT(B380,11)="TEEN CD BIO"),RIGHT(B380,LEN(B380)-12),
IF(AND(D380="Teen Audiobook",LEFT(B380,11)="TEEN CD FIC"),B380,
IF(D380="Juvenile Audiobook",RIGHT(B380,LEN(B380)-8),
IF(D380="Juvenile Nonfiction",RIGHT(B380,LEN(B380)-2),
IF(D380="Teen Nonfiction",RIGHT(B380,LEN(B380)-5),
IF(AND(D380="Audiobook",
              NOT(OR(Contains($B380,"CD BIO"),Contains($B380,"CD FIC")))),RIGHT(B380,LEN(B380)-3),
IF(D380="Juvenile Biography",RIGHT(B380,LEN(B380)-2),
IF(D380="Teen Biography",RIGHT(B380,LEN(B380)-5),
IF(AND(D380="Audiobook",
              IFERROR(FIND("BIO",$B380)&gt;0,FALSE)),RIGHT(B380,LEN(B380)-3),
IF(D380="Juvenile Large Type","J "&amp;RIGHT(B380,LEN(B380)-11),
IF(D380="Teen Large Type","TEEN "&amp;RIGHT(B380,LEN(B380)-14),
IF(D380="Reference",RIGHT(B380,LEN(B380)-4),
IF(D380="DVD Educational",RIGHT(B380,LEN(B380)-7),
IF(D380="Juvenile DVD Educational",RIGHT(B380,LEN(B380)-9),
B380)))))))))))))))))</f>
        <v/>
      </c>
      <c r="N380" s="11" t="str">
        <f ca="1">IF(IFERROR(FIND("New",$A380)&gt;0,FALSE),"New ","") &amp; IF(IFERROR(FIND("In Lib",$A380)&gt;0,FALSE),"Reference ","") &amp;
IF(AND(D380="Audiobook",LEFT(B380,6)="CD BIO"),"Biography",
IF(AND(D380="Teen Audiobook",LEFT(B380,11)="TEEN CD BIO"),"Biography",
IF(AND(D380="Juvenile Audiobook",LEFT(B380,8)="J CD BIO"),"Biography",
IF(AND(D380="Audiobook",LEFT(B380,6)="CD FIC"),"Audiobook Fiction",
IF(AND(D380="Teen Audiobook",LEFT(B380,11)="TEEN CD FIC"),"Teen Audiobook",
IF(AND(D380="Juvenile Audiobook",LEFT(B380,8)="J CD FIC"),"Juvenile Audiobook",
IF(D380="Audiobook","Nonfiction",
IF(D380="Juvenile Audiobook","Nonfiction",
IF(D380="Teen Audiobook","Nonfiction",
IF(D380="Juvenile Nonfiction","Nonfiction",
IF(D380="Teen Nonfiction","Nonfiction",
IF(D380="Juvenile Biography","Biography",
IF(D380="Teen Biography","Biography",
IF(D380="ESL","Nonfiction",
IF(LEFT(B380,11)="INTL-VIE J ","International Juvenile",IF(LEFT(B380,11)="INTL-TAG J ","International Juvenile",IF(LEFT(B380,11)="INTL-RUS J ","International Juvenile",IF(LEFT(B380,11)="INTL-KOR J ","International Juvenile",IF(LEFT(B380,11)="INTL-JAP J ","International Juvenile",IF(LEFT(B380,11)="INTL-CHI J ","International Juvenile",IF(LEFT(B380,11)="INTL-SPA J ","International Juvenile",IF(LEFT(B380,14)="INTL-VIE TEEN ","International Teen",IF(LEFT(B380,14)="INTL-TAG TEEN ","International Teen",IF(LEFT(B380,14)="INTL-RUS TEEN ","International Teen",IF(LEFT(B380,14)="INTL-KOR TEEN ","International Teen",IF(LEFT(B380,14)="INTL-JAP TEEN ","International Teen",IF(LEFT(B380,14)="INTL-CHI TEEN ","International Teen",IF(LEFT(B380,14)="INTL-SPA TEEN ","International Teen",IF(LEFT(B380,11)="INTL-VIE E ","International Easy",IF(LEFT(B380,11)="INTL-TAG E ","International Easy",IF(LEFT(B380,11)="INTL-RUS E ","International Easy",IF(LEFT(B380,11)="INTL-JAP E ","International Easy",IF(LEFT(B380,11)="INTL-KOR E ","International Easy",IF(LEFT(B380,11)="INTL-CHI E ","International Easy",IF(LEFT(B380,11)="INTL-SPA E ","International Easy",
IF(D380="Teen Large Type","Teen Fiction",
IF(D380="Juvenile Large Type","Juvenile Fiction",
IF(LEFT(B380,6)="J CD O","Juvenile Compact Disc",
IF(AND(LEFT(B380,4)="TEEN",D380="Fiction"),"Teen Fiction",
IF(D380="DVD Educational","Nonfiction",
IF(D380="Juvenile DVD Educational","Nonfiction",
IF(D380="Reference","Nonfiction",
D380))))))))))))))))))))))))))))))))))))))))))</f>
        <v/>
      </c>
    </row>
    <row r="381" spans="1:14" ht="27" customHeight="1" x14ac:dyDescent="0.25">
      <c r="A381" s="10" t="str">
        <f ca="1">TEXT( INDIRECT( ADDRESS( ROW() + Row_Offset, INDIRECT( "Column_Number_" &amp; A$1), 4,1, tabname) ), "")</f>
        <v/>
      </c>
      <c r="B381" s="10" t="str">
        <f ca="1">TEXT(  IFERROR( VLOOKUP( $D381, CollName_Simplifier_Table[], 2, FALSE),"") &amp;
        INDIRECT( ADDRESS( ROW() + Row_Offset, INDIRECT( "Column_Number_" &amp; $B$1), 4,1, tabname) ), "")</f>
        <v/>
      </c>
      <c r="C381" s="10" t="str">
        <f ca="1">TEXT( INDIRECT( ADDRESS( ROW() + Row_Offset, INDIRECT( "Column_Number_" &amp; C$1), 4,1, tabname) ), "")</f>
        <v/>
      </c>
      <c r="D381" s="10" t="str">
        <f ca="1">TEXT( INDIRECT( ADDRESS( ROW() + Row_Offset, INDIRECT( "Column_Number_" &amp; D$1), 4,1, tabname) ), "")</f>
        <v/>
      </c>
      <c r="E381" s="10" t="str">
        <f ca="1">TEXT( INDIRECT( ADDRESS( ROW() + Row_Offset, INDIRECT( "Column_Number_" &amp; E$1), 4,1, tabname) ), "####")</f>
        <v/>
      </c>
      <c r="F381" s="15"/>
      <c r="G381" s="22" t="str">
        <f ca="1">IFERROR(INDEX(Rank_Table[],MATCH($D381&amp;$A381,Table4[Join],0)),"")</f>
        <v/>
      </c>
      <c r="H381" s="11" t="str">
        <f ca="1">IF(AND(D381="Juvenile Audiobook",LEFT(B381,8)="J CD BIO"),RIGHT(B381,LEN(B381)-9),
IF(AND(D381="Juvenile Audiobook",LEFT(B381,8)="J CD FIC"),B381,
IF(D381="Juvenile Audiobook",RIGHT(B381,LEN(B381)-5),
IF(AND(D381="Teen Audiobook",LEFT(B381,11)="TEEN CD BIO"),RIGHT(B381,LEN(B381)-12),
IF(AND(D381="Teen Audiobook",LEFT(B381,11)="TEEN CD FIC"),B381,
IF(D381="Juvenile Audiobook",RIGHT(B381,LEN(B381)-8),
IF(D381="Juvenile Nonfiction",RIGHT(B381,LEN(B381)-2),
IF(D381="Teen Nonfiction",RIGHT(B381,LEN(B381)-5),
IF(AND(D381="Audiobook",
              NOT(OR(Contains($B381,"CD BIO"),Contains($B381,"CD FIC")))),RIGHT(B381,LEN(B381)-3),
IF(D381="Juvenile Biography",RIGHT(B381,LEN(B381)-2),
IF(D381="Teen Biography",RIGHT(B381,LEN(B381)-5),
IF(AND(D381="Audiobook",
              IFERROR(FIND("BIO",$B381)&gt;0,FALSE)),RIGHT(B381,LEN(B381)-3),
IF(D381="Juvenile Large Type","J "&amp;RIGHT(B381,LEN(B381)-11),
IF(D381="Teen Large Type","TEEN "&amp;RIGHT(B381,LEN(B381)-14),
IF(D381="Reference",RIGHT(B381,LEN(B381)-4),
IF(D381="DVD Educational",RIGHT(B381,LEN(B381)-7),
IF(D381="Juvenile DVD Educational",RIGHT(B381,LEN(B381)-9),
B381)))))))))))))))))</f>
        <v/>
      </c>
      <c r="N381" s="11" t="str">
        <f ca="1">IF(IFERROR(FIND("New",$A381)&gt;0,FALSE),"New ","") &amp; IF(IFERROR(FIND("In Lib",$A381)&gt;0,FALSE),"Reference ","") &amp;
IF(AND(D381="Audiobook",LEFT(B381,6)="CD BIO"),"Biography",
IF(AND(D381="Teen Audiobook",LEFT(B381,11)="TEEN CD BIO"),"Biography",
IF(AND(D381="Juvenile Audiobook",LEFT(B381,8)="J CD BIO"),"Biography",
IF(AND(D381="Audiobook",LEFT(B381,6)="CD FIC"),"Audiobook Fiction",
IF(AND(D381="Teen Audiobook",LEFT(B381,11)="TEEN CD FIC"),"Teen Audiobook",
IF(AND(D381="Juvenile Audiobook",LEFT(B381,8)="J CD FIC"),"Juvenile Audiobook",
IF(D381="Audiobook","Nonfiction",
IF(D381="Juvenile Audiobook","Nonfiction",
IF(D381="Teen Audiobook","Nonfiction",
IF(D381="Juvenile Nonfiction","Nonfiction",
IF(D381="Teen Nonfiction","Nonfiction",
IF(D381="Juvenile Biography","Biography",
IF(D381="Teen Biography","Biography",
IF(D381="ESL","Nonfiction",
IF(LEFT(B381,11)="INTL-VIE J ","International Juvenile",IF(LEFT(B381,11)="INTL-TAG J ","International Juvenile",IF(LEFT(B381,11)="INTL-RUS J ","International Juvenile",IF(LEFT(B381,11)="INTL-KOR J ","International Juvenile",IF(LEFT(B381,11)="INTL-JAP J ","International Juvenile",IF(LEFT(B381,11)="INTL-CHI J ","International Juvenile",IF(LEFT(B381,11)="INTL-SPA J ","International Juvenile",IF(LEFT(B381,14)="INTL-VIE TEEN ","International Teen",IF(LEFT(B381,14)="INTL-TAG TEEN ","International Teen",IF(LEFT(B381,14)="INTL-RUS TEEN ","International Teen",IF(LEFT(B381,14)="INTL-KOR TEEN ","International Teen",IF(LEFT(B381,14)="INTL-JAP TEEN ","International Teen",IF(LEFT(B381,14)="INTL-CHI TEEN ","International Teen",IF(LEFT(B381,14)="INTL-SPA TEEN ","International Teen",IF(LEFT(B381,11)="INTL-VIE E ","International Easy",IF(LEFT(B381,11)="INTL-TAG E ","International Easy",IF(LEFT(B381,11)="INTL-RUS E ","International Easy",IF(LEFT(B381,11)="INTL-JAP E ","International Easy",IF(LEFT(B381,11)="INTL-KOR E ","International Easy",IF(LEFT(B381,11)="INTL-CHI E ","International Easy",IF(LEFT(B381,11)="INTL-SPA E ","International Easy",
IF(D381="Teen Large Type","Teen Fiction",
IF(D381="Juvenile Large Type","Juvenile Fiction",
IF(LEFT(B381,6)="J CD O","Juvenile Compact Disc",
IF(AND(LEFT(B381,4)="TEEN",D381="Fiction"),"Teen Fiction",
IF(D381="DVD Educational","Nonfiction",
IF(D381="Juvenile DVD Educational","Nonfiction",
IF(D381="Reference","Nonfiction",
D381))))))))))))))))))))))))))))))))))))))))))</f>
        <v/>
      </c>
    </row>
    <row r="382" spans="1:14" ht="27" customHeight="1" x14ac:dyDescent="0.25">
      <c r="A382" s="10" t="str">
        <f ca="1">TEXT( INDIRECT( ADDRESS( ROW() + Row_Offset, INDIRECT( "Column_Number_" &amp; A$1), 4,1, tabname) ), "")</f>
        <v/>
      </c>
      <c r="B382" s="10" t="str">
        <f ca="1">TEXT(  IFERROR( VLOOKUP( $D382, CollName_Simplifier_Table[], 2, FALSE),"") &amp;
        INDIRECT( ADDRESS( ROW() + Row_Offset, INDIRECT( "Column_Number_" &amp; $B$1), 4,1, tabname) ), "")</f>
        <v/>
      </c>
      <c r="C382" s="10" t="str">
        <f ca="1">TEXT( INDIRECT( ADDRESS( ROW() + Row_Offset, INDIRECT( "Column_Number_" &amp; C$1), 4,1, tabname) ), "")</f>
        <v/>
      </c>
      <c r="D382" s="10" t="str">
        <f ca="1">TEXT( INDIRECT( ADDRESS( ROW() + Row_Offset, INDIRECT( "Column_Number_" &amp; D$1), 4,1, tabname) ), "")</f>
        <v/>
      </c>
      <c r="E382" s="10" t="str">
        <f ca="1">TEXT( INDIRECT( ADDRESS( ROW() + Row_Offset, INDIRECT( "Column_Number_" &amp; E$1), 4,1, tabname) ), "####")</f>
        <v/>
      </c>
      <c r="F382" s="15"/>
      <c r="G382" s="22" t="str">
        <f ca="1">IFERROR(INDEX(Rank_Table[],MATCH($D382&amp;$A382,Table4[Join],0)),"")</f>
        <v/>
      </c>
      <c r="H382" s="11" t="str">
        <f ca="1">IF(AND(D382="Juvenile Audiobook",LEFT(B382,8)="J CD BIO"),RIGHT(B382,LEN(B382)-9),
IF(AND(D382="Juvenile Audiobook",LEFT(B382,8)="J CD FIC"),B382,
IF(D382="Juvenile Audiobook",RIGHT(B382,LEN(B382)-5),
IF(AND(D382="Teen Audiobook",LEFT(B382,11)="TEEN CD BIO"),RIGHT(B382,LEN(B382)-12),
IF(AND(D382="Teen Audiobook",LEFT(B382,11)="TEEN CD FIC"),B382,
IF(D382="Juvenile Audiobook",RIGHT(B382,LEN(B382)-8),
IF(D382="Juvenile Nonfiction",RIGHT(B382,LEN(B382)-2),
IF(D382="Teen Nonfiction",RIGHT(B382,LEN(B382)-5),
IF(AND(D382="Audiobook",
              NOT(OR(Contains($B382,"CD BIO"),Contains($B382,"CD FIC")))),RIGHT(B382,LEN(B382)-3),
IF(D382="Juvenile Biography",RIGHT(B382,LEN(B382)-2),
IF(D382="Teen Biography",RIGHT(B382,LEN(B382)-5),
IF(AND(D382="Audiobook",
              IFERROR(FIND("BIO",$B382)&gt;0,FALSE)),RIGHT(B382,LEN(B382)-3),
IF(D382="Juvenile Large Type","J "&amp;RIGHT(B382,LEN(B382)-11),
IF(D382="Teen Large Type","TEEN "&amp;RIGHT(B382,LEN(B382)-14),
IF(D382="Reference",RIGHT(B382,LEN(B382)-4),
IF(D382="DVD Educational",RIGHT(B382,LEN(B382)-7),
IF(D382="Juvenile DVD Educational",RIGHT(B382,LEN(B382)-9),
B382)))))))))))))))))</f>
        <v/>
      </c>
      <c r="N382" s="11" t="str">
        <f ca="1">IF(IFERROR(FIND("New",$A382)&gt;0,FALSE),"New ","") &amp; IF(IFERROR(FIND("In Lib",$A382)&gt;0,FALSE),"Reference ","") &amp;
IF(AND(D382="Audiobook",LEFT(B382,6)="CD BIO"),"Biography",
IF(AND(D382="Teen Audiobook",LEFT(B382,11)="TEEN CD BIO"),"Biography",
IF(AND(D382="Juvenile Audiobook",LEFT(B382,8)="J CD BIO"),"Biography",
IF(AND(D382="Audiobook",LEFT(B382,6)="CD FIC"),"Audiobook Fiction",
IF(AND(D382="Teen Audiobook",LEFT(B382,11)="TEEN CD FIC"),"Teen Audiobook",
IF(AND(D382="Juvenile Audiobook",LEFT(B382,8)="J CD FIC"),"Juvenile Audiobook",
IF(D382="Audiobook","Nonfiction",
IF(D382="Juvenile Audiobook","Nonfiction",
IF(D382="Teen Audiobook","Nonfiction",
IF(D382="Juvenile Nonfiction","Nonfiction",
IF(D382="Teen Nonfiction","Nonfiction",
IF(D382="Juvenile Biography","Biography",
IF(D382="Teen Biography","Biography",
IF(D382="ESL","Nonfiction",
IF(LEFT(B382,11)="INTL-VIE J ","International Juvenile",IF(LEFT(B382,11)="INTL-TAG J ","International Juvenile",IF(LEFT(B382,11)="INTL-RUS J ","International Juvenile",IF(LEFT(B382,11)="INTL-KOR J ","International Juvenile",IF(LEFT(B382,11)="INTL-JAP J ","International Juvenile",IF(LEFT(B382,11)="INTL-CHI J ","International Juvenile",IF(LEFT(B382,11)="INTL-SPA J ","International Juvenile",IF(LEFT(B382,14)="INTL-VIE TEEN ","International Teen",IF(LEFT(B382,14)="INTL-TAG TEEN ","International Teen",IF(LEFT(B382,14)="INTL-RUS TEEN ","International Teen",IF(LEFT(B382,14)="INTL-KOR TEEN ","International Teen",IF(LEFT(B382,14)="INTL-JAP TEEN ","International Teen",IF(LEFT(B382,14)="INTL-CHI TEEN ","International Teen",IF(LEFT(B382,14)="INTL-SPA TEEN ","International Teen",IF(LEFT(B382,11)="INTL-VIE E ","International Easy",IF(LEFT(B382,11)="INTL-TAG E ","International Easy",IF(LEFT(B382,11)="INTL-RUS E ","International Easy",IF(LEFT(B382,11)="INTL-JAP E ","International Easy",IF(LEFT(B382,11)="INTL-KOR E ","International Easy",IF(LEFT(B382,11)="INTL-CHI E ","International Easy",IF(LEFT(B382,11)="INTL-SPA E ","International Easy",
IF(D382="Teen Large Type","Teen Fiction",
IF(D382="Juvenile Large Type","Juvenile Fiction",
IF(LEFT(B382,6)="J CD O","Juvenile Compact Disc",
IF(AND(LEFT(B382,4)="TEEN",D382="Fiction"),"Teen Fiction",
IF(D382="DVD Educational","Nonfiction",
IF(D382="Juvenile DVD Educational","Nonfiction",
IF(D382="Reference","Nonfiction",
D382))))))))))))))))))))))))))))))))))))))))))</f>
        <v/>
      </c>
    </row>
    <row r="383" spans="1:14" ht="27" customHeight="1" x14ac:dyDescent="0.25">
      <c r="A383" s="10" t="str">
        <f ca="1">TEXT( INDIRECT( ADDRESS( ROW() + Row_Offset, INDIRECT( "Column_Number_" &amp; A$1), 4,1, tabname) ), "")</f>
        <v/>
      </c>
      <c r="B383" s="10" t="str">
        <f ca="1">TEXT(  IFERROR( VLOOKUP( $D383, CollName_Simplifier_Table[], 2, FALSE),"") &amp;
        INDIRECT( ADDRESS( ROW() + Row_Offset, INDIRECT( "Column_Number_" &amp; $B$1), 4,1, tabname) ), "")</f>
        <v/>
      </c>
      <c r="C383" s="10" t="str">
        <f ca="1">TEXT( INDIRECT( ADDRESS( ROW() + Row_Offset, INDIRECT( "Column_Number_" &amp; C$1), 4,1, tabname) ), "")</f>
        <v/>
      </c>
      <c r="D383" s="10" t="str">
        <f ca="1">TEXT( INDIRECT( ADDRESS( ROW() + Row_Offset, INDIRECT( "Column_Number_" &amp; D$1), 4,1, tabname) ), "")</f>
        <v/>
      </c>
      <c r="E383" s="10" t="str">
        <f ca="1">TEXT( INDIRECT( ADDRESS( ROW() + Row_Offset, INDIRECT( "Column_Number_" &amp; E$1), 4,1, tabname) ), "####")</f>
        <v/>
      </c>
      <c r="F383" s="15"/>
      <c r="G383" s="22" t="str">
        <f ca="1">IFERROR(INDEX(Rank_Table[],MATCH($D383&amp;$A383,Table4[Join],0)),"")</f>
        <v/>
      </c>
      <c r="H383" s="11" t="str">
        <f ca="1">IF(AND(D383="Juvenile Audiobook",LEFT(B383,8)="J CD BIO"),RIGHT(B383,LEN(B383)-9),
IF(AND(D383="Juvenile Audiobook",LEFT(B383,8)="J CD FIC"),B383,
IF(D383="Juvenile Audiobook",RIGHT(B383,LEN(B383)-5),
IF(AND(D383="Teen Audiobook",LEFT(B383,11)="TEEN CD BIO"),RIGHT(B383,LEN(B383)-12),
IF(AND(D383="Teen Audiobook",LEFT(B383,11)="TEEN CD FIC"),B383,
IF(D383="Juvenile Audiobook",RIGHT(B383,LEN(B383)-8),
IF(D383="Juvenile Nonfiction",RIGHT(B383,LEN(B383)-2),
IF(D383="Teen Nonfiction",RIGHT(B383,LEN(B383)-5),
IF(AND(D383="Audiobook",
              NOT(OR(Contains($B383,"CD BIO"),Contains($B383,"CD FIC")))),RIGHT(B383,LEN(B383)-3),
IF(D383="Juvenile Biography",RIGHT(B383,LEN(B383)-2),
IF(D383="Teen Biography",RIGHT(B383,LEN(B383)-5),
IF(AND(D383="Audiobook",
              IFERROR(FIND("BIO",$B383)&gt;0,FALSE)),RIGHT(B383,LEN(B383)-3),
IF(D383="Juvenile Large Type","J "&amp;RIGHT(B383,LEN(B383)-11),
IF(D383="Teen Large Type","TEEN "&amp;RIGHT(B383,LEN(B383)-14),
IF(D383="Reference",RIGHT(B383,LEN(B383)-4),
IF(D383="DVD Educational",RIGHT(B383,LEN(B383)-7),
IF(D383="Juvenile DVD Educational",RIGHT(B383,LEN(B383)-9),
B383)))))))))))))))))</f>
        <v/>
      </c>
      <c r="N383" s="11" t="str">
        <f ca="1">IF(IFERROR(FIND("New",$A383)&gt;0,FALSE),"New ","") &amp; IF(IFERROR(FIND("In Lib",$A383)&gt;0,FALSE),"Reference ","") &amp;
IF(AND(D383="Audiobook",LEFT(B383,6)="CD BIO"),"Biography",
IF(AND(D383="Teen Audiobook",LEFT(B383,11)="TEEN CD BIO"),"Biography",
IF(AND(D383="Juvenile Audiobook",LEFT(B383,8)="J CD BIO"),"Biography",
IF(AND(D383="Audiobook",LEFT(B383,6)="CD FIC"),"Audiobook Fiction",
IF(AND(D383="Teen Audiobook",LEFT(B383,11)="TEEN CD FIC"),"Teen Audiobook",
IF(AND(D383="Juvenile Audiobook",LEFT(B383,8)="J CD FIC"),"Juvenile Audiobook",
IF(D383="Audiobook","Nonfiction",
IF(D383="Juvenile Audiobook","Nonfiction",
IF(D383="Teen Audiobook","Nonfiction",
IF(D383="Juvenile Nonfiction","Nonfiction",
IF(D383="Teen Nonfiction","Nonfiction",
IF(D383="Juvenile Biography","Biography",
IF(D383="Teen Biography","Biography",
IF(D383="ESL","Nonfiction",
IF(LEFT(B383,11)="INTL-VIE J ","International Juvenile",IF(LEFT(B383,11)="INTL-TAG J ","International Juvenile",IF(LEFT(B383,11)="INTL-RUS J ","International Juvenile",IF(LEFT(B383,11)="INTL-KOR J ","International Juvenile",IF(LEFT(B383,11)="INTL-JAP J ","International Juvenile",IF(LEFT(B383,11)="INTL-CHI J ","International Juvenile",IF(LEFT(B383,11)="INTL-SPA J ","International Juvenile",IF(LEFT(B383,14)="INTL-VIE TEEN ","International Teen",IF(LEFT(B383,14)="INTL-TAG TEEN ","International Teen",IF(LEFT(B383,14)="INTL-RUS TEEN ","International Teen",IF(LEFT(B383,14)="INTL-KOR TEEN ","International Teen",IF(LEFT(B383,14)="INTL-JAP TEEN ","International Teen",IF(LEFT(B383,14)="INTL-CHI TEEN ","International Teen",IF(LEFT(B383,14)="INTL-SPA TEEN ","International Teen",IF(LEFT(B383,11)="INTL-VIE E ","International Easy",IF(LEFT(B383,11)="INTL-TAG E ","International Easy",IF(LEFT(B383,11)="INTL-RUS E ","International Easy",IF(LEFT(B383,11)="INTL-JAP E ","International Easy",IF(LEFT(B383,11)="INTL-KOR E ","International Easy",IF(LEFT(B383,11)="INTL-CHI E ","International Easy",IF(LEFT(B383,11)="INTL-SPA E ","International Easy",
IF(D383="Teen Large Type","Teen Fiction",
IF(D383="Juvenile Large Type","Juvenile Fiction",
IF(LEFT(B383,6)="J CD O","Juvenile Compact Disc",
IF(AND(LEFT(B383,4)="TEEN",D383="Fiction"),"Teen Fiction",
IF(D383="DVD Educational","Nonfiction",
IF(D383="Juvenile DVD Educational","Nonfiction",
IF(D383="Reference","Nonfiction",
D383))))))))))))))))))))))))))))))))))))))))))</f>
        <v/>
      </c>
    </row>
    <row r="384" spans="1:14" ht="27" customHeight="1" x14ac:dyDescent="0.25">
      <c r="A384" s="10" t="str">
        <f ca="1">TEXT( INDIRECT( ADDRESS( ROW() + Row_Offset, INDIRECT( "Column_Number_" &amp; A$1), 4,1, tabname) ), "")</f>
        <v/>
      </c>
      <c r="B384" s="10" t="str">
        <f ca="1">TEXT(  IFERROR( VLOOKUP( $D384, CollName_Simplifier_Table[], 2, FALSE),"") &amp;
        INDIRECT( ADDRESS( ROW() + Row_Offset, INDIRECT( "Column_Number_" &amp; $B$1), 4,1, tabname) ), "")</f>
        <v/>
      </c>
      <c r="C384" s="10" t="str">
        <f ca="1">TEXT( INDIRECT( ADDRESS( ROW() + Row_Offset, INDIRECT( "Column_Number_" &amp; C$1), 4,1, tabname) ), "")</f>
        <v/>
      </c>
      <c r="D384" s="10" t="str">
        <f ca="1">TEXT( INDIRECT( ADDRESS( ROW() + Row_Offset, INDIRECT( "Column_Number_" &amp; D$1), 4,1, tabname) ), "")</f>
        <v/>
      </c>
      <c r="E384" s="10" t="str">
        <f ca="1">TEXT( INDIRECT( ADDRESS( ROW() + Row_Offset, INDIRECT( "Column_Number_" &amp; E$1), 4,1, tabname) ), "####")</f>
        <v/>
      </c>
      <c r="F384" s="15"/>
      <c r="G384" s="22" t="str">
        <f ca="1">IFERROR(INDEX(Rank_Table[],MATCH($D384&amp;$A384,Table4[Join],0)),"")</f>
        <v/>
      </c>
      <c r="H384" s="11" t="str">
        <f ca="1">IF(AND(D384="Juvenile Audiobook",LEFT(B384,8)="J CD BIO"),RIGHT(B384,LEN(B384)-9),
IF(AND(D384="Juvenile Audiobook",LEFT(B384,8)="J CD FIC"),B384,
IF(D384="Juvenile Audiobook",RIGHT(B384,LEN(B384)-5),
IF(AND(D384="Teen Audiobook",LEFT(B384,11)="TEEN CD BIO"),RIGHT(B384,LEN(B384)-12),
IF(AND(D384="Teen Audiobook",LEFT(B384,11)="TEEN CD FIC"),B384,
IF(D384="Juvenile Audiobook",RIGHT(B384,LEN(B384)-8),
IF(D384="Juvenile Nonfiction",RIGHT(B384,LEN(B384)-2),
IF(D384="Teen Nonfiction",RIGHT(B384,LEN(B384)-5),
IF(AND(D384="Audiobook",
              NOT(OR(Contains($B384,"CD BIO"),Contains($B384,"CD FIC")))),RIGHT(B384,LEN(B384)-3),
IF(D384="Juvenile Biography",RIGHT(B384,LEN(B384)-2),
IF(D384="Teen Biography",RIGHT(B384,LEN(B384)-5),
IF(AND(D384="Audiobook",
              IFERROR(FIND("BIO",$B384)&gt;0,FALSE)),RIGHT(B384,LEN(B384)-3),
IF(D384="Juvenile Large Type","J "&amp;RIGHT(B384,LEN(B384)-11),
IF(D384="Teen Large Type","TEEN "&amp;RIGHT(B384,LEN(B384)-14),
IF(D384="Reference",RIGHT(B384,LEN(B384)-4),
IF(D384="DVD Educational",RIGHT(B384,LEN(B384)-7),
IF(D384="Juvenile DVD Educational",RIGHT(B384,LEN(B384)-9),
B384)))))))))))))))))</f>
        <v/>
      </c>
      <c r="N384" s="11" t="str">
        <f ca="1">IF(IFERROR(FIND("New",$A384)&gt;0,FALSE),"New ","") &amp; IF(IFERROR(FIND("In Lib",$A384)&gt;0,FALSE),"Reference ","") &amp;
IF(AND(D384="Audiobook",LEFT(B384,6)="CD BIO"),"Biography",
IF(AND(D384="Teen Audiobook",LEFT(B384,11)="TEEN CD BIO"),"Biography",
IF(AND(D384="Juvenile Audiobook",LEFT(B384,8)="J CD BIO"),"Biography",
IF(AND(D384="Audiobook",LEFT(B384,6)="CD FIC"),"Audiobook Fiction",
IF(AND(D384="Teen Audiobook",LEFT(B384,11)="TEEN CD FIC"),"Teen Audiobook",
IF(AND(D384="Juvenile Audiobook",LEFT(B384,8)="J CD FIC"),"Juvenile Audiobook",
IF(D384="Audiobook","Nonfiction",
IF(D384="Juvenile Audiobook","Nonfiction",
IF(D384="Teen Audiobook","Nonfiction",
IF(D384="Juvenile Nonfiction","Nonfiction",
IF(D384="Teen Nonfiction","Nonfiction",
IF(D384="Juvenile Biography","Biography",
IF(D384="Teen Biography","Biography",
IF(D384="ESL","Nonfiction",
IF(LEFT(B384,11)="INTL-VIE J ","International Juvenile",IF(LEFT(B384,11)="INTL-TAG J ","International Juvenile",IF(LEFT(B384,11)="INTL-RUS J ","International Juvenile",IF(LEFT(B384,11)="INTL-KOR J ","International Juvenile",IF(LEFT(B384,11)="INTL-JAP J ","International Juvenile",IF(LEFT(B384,11)="INTL-CHI J ","International Juvenile",IF(LEFT(B384,11)="INTL-SPA J ","International Juvenile",IF(LEFT(B384,14)="INTL-VIE TEEN ","International Teen",IF(LEFT(B384,14)="INTL-TAG TEEN ","International Teen",IF(LEFT(B384,14)="INTL-RUS TEEN ","International Teen",IF(LEFT(B384,14)="INTL-KOR TEEN ","International Teen",IF(LEFT(B384,14)="INTL-JAP TEEN ","International Teen",IF(LEFT(B384,14)="INTL-CHI TEEN ","International Teen",IF(LEFT(B384,14)="INTL-SPA TEEN ","International Teen",IF(LEFT(B384,11)="INTL-VIE E ","International Easy",IF(LEFT(B384,11)="INTL-TAG E ","International Easy",IF(LEFT(B384,11)="INTL-RUS E ","International Easy",IF(LEFT(B384,11)="INTL-JAP E ","International Easy",IF(LEFT(B384,11)="INTL-KOR E ","International Easy",IF(LEFT(B384,11)="INTL-CHI E ","International Easy",IF(LEFT(B384,11)="INTL-SPA E ","International Easy",
IF(D384="Teen Large Type","Teen Fiction",
IF(D384="Juvenile Large Type","Juvenile Fiction",
IF(LEFT(B384,6)="J CD O","Juvenile Compact Disc",
IF(AND(LEFT(B384,4)="TEEN",D384="Fiction"),"Teen Fiction",
IF(D384="DVD Educational","Nonfiction",
IF(D384="Juvenile DVD Educational","Nonfiction",
IF(D384="Reference","Nonfiction",
D384))))))))))))))))))))))))))))))))))))))))))</f>
        <v/>
      </c>
    </row>
    <row r="385" spans="1:14" ht="27" customHeight="1" x14ac:dyDescent="0.25">
      <c r="A385" s="10" t="str">
        <f ca="1">TEXT( INDIRECT( ADDRESS( ROW() + Row_Offset, INDIRECT( "Column_Number_" &amp; A$1), 4,1, tabname) ), "")</f>
        <v/>
      </c>
      <c r="B385" s="10" t="str">
        <f ca="1">TEXT(  IFERROR( VLOOKUP( $D385, CollName_Simplifier_Table[], 2, FALSE),"") &amp;
        INDIRECT( ADDRESS( ROW() + Row_Offset, INDIRECT( "Column_Number_" &amp; $B$1), 4,1, tabname) ), "")</f>
        <v/>
      </c>
      <c r="C385" s="10" t="str">
        <f ca="1">TEXT( INDIRECT( ADDRESS( ROW() + Row_Offset, INDIRECT( "Column_Number_" &amp; C$1), 4,1, tabname) ), "")</f>
        <v/>
      </c>
      <c r="D385" s="10" t="str">
        <f ca="1">TEXT( INDIRECT( ADDRESS( ROW() + Row_Offset, INDIRECT( "Column_Number_" &amp; D$1), 4,1, tabname) ), "")</f>
        <v/>
      </c>
      <c r="E385" s="10" t="str">
        <f ca="1">TEXT( INDIRECT( ADDRESS( ROW() + Row_Offset, INDIRECT( "Column_Number_" &amp; E$1), 4,1, tabname) ), "####")</f>
        <v/>
      </c>
      <c r="F385" s="15"/>
      <c r="G385" s="22" t="str">
        <f ca="1">IFERROR(INDEX(Rank_Table[],MATCH($D385&amp;$A385,Table4[Join],0)),"")</f>
        <v/>
      </c>
      <c r="H385" s="11" t="str">
        <f ca="1">IF(AND(D385="Juvenile Audiobook",LEFT(B385,8)="J CD BIO"),RIGHT(B385,LEN(B385)-9),
IF(AND(D385="Juvenile Audiobook",LEFT(B385,8)="J CD FIC"),B385,
IF(D385="Juvenile Audiobook",RIGHT(B385,LEN(B385)-5),
IF(AND(D385="Teen Audiobook",LEFT(B385,11)="TEEN CD BIO"),RIGHT(B385,LEN(B385)-12),
IF(AND(D385="Teen Audiobook",LEFT(B385,11)="TEEN CD FIC"),B385,
IF(D385="Juvenile Audiobook",RIGHT(B385,LEN(B385)-8),
IF(D385="Juvenile Nonfiction",RIGHT(B385,LEN(B385)-2),
IF(D385="Teen Nonfiction",RIGHT(B385,LEN(B385)-5),
IF(AND(D385="Audiobook",
              NOT(OR(Contains($B385,"CD BIO"),Contains($B385,"CD FIC")))),RIGHT(B385,LEN(B385)-3),
IF(D385="Juvenile Biography",RIGHT(B385,LEN(B385)-2),
IF(D385="Teen Biography",RIGHT(B385,LEN(B385)-5),
IF(AND(D385="Audiobook",
              IFERROR(FIND("BIO",$B385)&gt;0,FALSE)),RIGHT(B385,LEN(B385)-3),
IF(D385="Juvenile Large Type","J "&amp;RIGHT(B385,LEN(B385)-11),
IF(D385="Teen Large Type","TEEN "&amp;RIGHT(B385,LEN(B385)-14),
IF(D385="Reference",RIGHT(B385,LEN(B385)-4),
IF(D385="DVD Educational",RIGHT(B385,LEN(B385)-7),
IF(D385="Juvenile DVD Educational",RIGHT(B385,LEN(B385)-9),
B385)))))))))))))))))</f>
        <v/>
      </c>
      <c r="N385" s="11" t="str">
        <f ca="1">IF(IFERROR(FIND("New",$A385)&gt;0,FALSE),"New ","") &amp; IF(IFERROR(FIND("In Lib",$A385)&gt;0,FALSE),"Reference ","") &amp;
IF(AND(D385="Audiobook",LEFT(B385,6)="CD BIO"),"Biography",
IF(AND(D385="Teen Audiobook",LEFT(B385,11)="TEEN CD BIO"),"Biography",
IF(AND(D385="Juvenile Audiobook",LEFT(B385,8)="J CD BIO"),"Biography",
IF(AND(D385="Audiobook",LEFT(B385,6)="CD FIC"),"Audiobook Fiction",
IF(AND(D385="Teen Audiobook",LEFT(B385,11)="TEEN CD FIC"),"Teen Audiobook",
IF(AND(D385="Juvenile Audiobook",LEFT(B385,8)="J CD FIC"),"Juvenile Audiobook",
IF(D385="Audiobook","Nonfiction",
IF(D385="Juvenile Audiobook","Nonfiction",
IF(D385="Teen Audiobook","Nonfiction",
IF(D385="Juvenile Nonfiction","Nonfiction",
IF(D385="Teen Nonfiction","Nonfiction",
IF(D385="Juvenile Biography","Biography",
IF(D385="Teen Biography","Biography",
IF(D385="ESL","Nonfiction",
IF(LEFT(B385,11)="INTL-VIE J ","International Juvenile",IF(LEFT(B385,11)="INTL-TAG J ","International Juvenile",IF(LEFT(B385,11)="INTL-RUS J ","International Juvenile",IF(LEFT(B385,11)="INTL-KOR J ","International Juvenile",IF(LEFT(B385,11)="INTL-JAP J ","International Juvenile",IF(LEFT(B385,11)="INTL-CHI J ","International Juvenile",IF(LEFT(B385,11)="INTL-SPA J ","International Juvenile",IF(LEFT(B385,14)="INTL-VIE TEEN ","International Teen",IF(LEFT(B385,14)="INTL-TAG TEEN ","International Teen",IF(LEFT(B385,14)="INTL-RUS TEEN ","International Teen",IF(LEFT(B385,14)="INTL-KOR TEEN ","International Teen",IF(LEFT(B385,14)="INTL-JAP TEEN ","International Teen",IF(LEFT(B385,14)="INTL-CHI TEEN ","International Teen",IF(LEFT(B385,14)="INTL-SPA TEEN ","International Teen",IF(LEFT(B385,11)="INTL-VIE E ","International Easy",IF(LEFT(B385,11)="INTL-TAG E ","International Easy",IF(LEFT(B385,11)="INTL-RUS E ","International Easy",IF(LEFT(B385,11)="INTL-JAP E ","International Easy",IF(LEFT(B385,11)="INTL-KOR E ","International Easy",IF(LEFT(B385,11)="INTL-CHI E ","International Easy",IF(LEFT(B385,11)="INTL-SPA E ","International Easy",
IF(D385="Teen Large Type","Teen Fiction",
IF(D385="Juvenile Large Type","Juvenile Fiction",
IF(LEFT(B385,6)="J CD O","Juvenile Compact Disc",
IF(AND(LEFT(B385,4)="TEEN",D385="Fiction"),"Teen Fiction",
IF(D385="DVD Educational","Nonfiction",
IF(D385="Juvenile DVD Educational","Nonfiction",
IF(D385="Reference","Nonfiction",
D385))))))))))))))))))))))))))))))))))))))))))</f>
        <v/>
      </c>
    </row>
    <row r="386" spans="1:14" ht="27" customHeight="1" x14ac:dyDescent="0.25">
      <c r="A386" s="10" t="str">
        <f ca="1">TEXT( INDIRECT( ADDRESS( ROW() + Row_Offset, INDIRECT( "Column_Number_" &amp; A$1), 4,1, tabname) ), "")</f>
        <v/>
      </c>
      <c r="B386" s="10" t="str">
        <f ca="1">TEXT(  IFERROR( VLOOKUP( $D386, CollName_Simplifier_Table[], 2, FALSE),"") &amp;
        INDIRECT( ADDRESS( ROW() + Row_Offset, INDIRECT( "Column_Number_" &amp; $B$1), 4,1, tabname) ), "")</f>
        <v/>
      </c>
      <c r="C386" s="10" t="str">
        <f ca="1">TEXT( INDIRECT( ADDRESS( ROW() + Row_Offset, INDIRECT( "Column_Number_" &amp; C$1), 4,1, tabname) ), "")</f>
        <v/>
      </c>
      <c r="D386" s="10" t="str">
        <f ca="1">TEXT( INDIRECT( ADDRESS( ROW() + Row_Offset, INDIRECT( "Column_Number_" &amp; D$1), 4,1, tabname) ), "")</f>
        <v/>
      </c>
      <c r="E386" s="10" t="str">
        <f ca="1">TEXT( INDIRECT( ADDRESS( ROW() + Row_Offset, INDIRECT( "Column_Number_" &amp; E$1), 4,1, tabname) ), "####")</f>
        <v/>
      </c>
      <c r="F386" s="15"/>
      <c r="G386" s="22" t="str">
        <f ca="1">IFERROR(INDEX(Rank_Table[],MATCH($D386&amp;$A386,Table4[Join],0)),"")</f>
        <v/>
      </c>
      <c r="H386" s="11" t="str">
        <f ca="1">IF(AND(D386="Juvenile Audiobook",LEFT(B386,8)="J CD BIO"),RIGHT(B386,LEN(B386)-9),
IF(AND(D386="Juvenile Audiobook",LEFT(B386,8)="J CD FIC"),B386,
IF(D386="Juvenile Audiobook",RIGHT(B386,LEN(B386)-5),
IF(AND(D386="Teen Audiobook",LEFT(B386,11)="TEEN CD BIO"),RIGHT(B386,LEN(B386)-12),
IF(AND(D386="Teen Audiobook",LEFT(B386,11)="TEEN CD FIC"),B386,
IF(D386="Juvenile Audiobook",RIGHT(B386,LEN(B386)-8),
IF(D386="Juvenile Nonfiction",RIGHT(B386,LEN(B386)-2),
IF(D386="Teen Nonfiction",RIGHT(B386,LEN(B386)-5),
IF(AND(D386="Audiobook",
              NOT(OR(Contains($B386,"CD BIO"),Contains($B386,"CD FIC")))),RIGHT(B386,LEN(B386)-3),
IF(D386="Juvenile Biography",RIGHT(B386,LEN(B386)-2),
IF(D386="Teen Biography",RIGHT(B386,LEN(B386)-5),
IF(AND(D386="Audiobook",
              IFERROR(FIND("BIO",$B386)&gt;0,FALSE)),RIGHT(B386,LEN(B386)-3),
IF(D386="Juvenile Large Type","J "&amp;RIGHT(B386,LEN(B386)-11),
IF(D386="Teen Large Type","TEEN "&amp;RIGHT(B386,LEN(B386)-14),
IF(D386="Reference",RIGHT(B386,LEN(B386)-4),
IF(D386="DVD Educational",RIGHT(B386,LEN(B386)-7),
IF(D386="Juvenile DVD Educational",RIGHT(B386,LEN(B386)-9),
B386)))))))))))))))))</f>
        <v/>
      </c>
      <c r="N386" s="11" t="str">
        <f ca="1">IF(IFERROR(FIND("New",$A386)&gt;0,FALSE),"New ","") &amp; IF(IFERROR(FIND("In Lib",$A386)&gt;0,FALSE),"Reference ","") &amp;
IF(AND(D386="Audiobook",LEFT(B386,6)="CD BIO"),"Biography",
IF(AND(D386="Teen Audiobook",LEFT(B386,11)="TEEN CD BIO"),"Biography",
IF(AND(D386="Juvenile Audiobook",LEFT(B386,8)="J CD BIO"),"Biography",
IF(AND(D386="Audiobook",LEFT(B386,6)="CD FIC"),"Audiobook Fiction",
IF(AND(D386="Teen Audiobook",LEFT(B386,11)="TEEN CD FIC"),"Teen Audiobook",
IF(AND(D386="Juvenile Audiobook",LEFT(B386,8)="J CD FIC"),"Juvenile Audiobook",
IF(D386="Audiobook","Nonfiction",
IF(D386="Juvenile Audiobook","Nonfiction",
IF(D386="Teen Audiobook","Nonfiction",
IF(D386="Juvenile Nonfiction","Nonfiction",
IF(D386="Teen Nonfiction","Nonfiction",
IF(D386="Juvenile Biography","Biography",
IF(D386="Teen Biography","Biography",
IF(D386="ESL","Nonfiction",
IF(LEFT(B386,11)="INTL-VIE J ","International Juvenile",IF(LEFT(B386,11)="INTL-TAG J ","International Juvenile",IF(LEFT(B386,11)="INTL-RUS J ","International Juvenile",IF(LEFT(B386,11)="INTL-KOR J ","International Juvenile",IF(LEFT(B386,11)="INTL-JAP J ","International Juvenile",IF(LEFT(B386,11)="INTL-CHI J ","International Juvenile",IF(LEFT(B386,11)="INTL-SPA J ","International Juvenile",IF(LEFT(B386,14)="INTL-VIE TEEN ","International Teen",IF(LEFT(B386,14)="INTL-TAG TEEN ","International Teen",IF(LEFT(B386,14)="INTL-RUS TEEN ","International Teen",IF(LEFT(B386,14)="INTL-KOR TEEN ","International Teen",IF(LEFT(B386,14)="INTL-JAP TEEN ","International Teen",IF(LEFT(B386,14)="INTL-CHI TEEN ","International Teen",IF(LEFT(B386,14)="INTL-SPA TEEN ","International Teen",IF(LEFT(B386,11)="INTL-VIE E ","International Easy",IF(LEFT(B386,11)="INTL-TAG E ","International Easy",IF(LEFT(B386,11)="INTL-RUS E ","International Easy",IF(LEFT(B386,11)="INTL-JAP E ","International Easy",IF(LEFT(B386,11)="INTL-KOR E ","International Easy",IF(LEFT(B386,11)="INTL-CHI E ","International Easy",IF(LEFT(B386,11)="INTL-SPA E ","International Easy",
IF(D386="Teen Large Type","Teen Fiction",
IF(D386="Juvenile Large Type","Juvenile Fiction",
IF(LEFT(B386,6)="J CD O","Juvenile Compact Disc",
IF(AND(LEFT(B386,4)="TEEN",D386="Fiction"),"Teen Fiction",
IF(D386="DVD Educational","Nonfiction",
IF(D386="Juvenile DVD Educational","Nonfiction",
IF(D386="Reference","Nonfiction",
D386))))))))))))))))))))))))))))))))))))))))))</f>
        <v/>
      </c>
    </row>
    <row r="387" spans="1:14" ht="27" customHeight="1" x14ac:dyDescent="0.25">
      <c r="A387" s="10" t="str">
        <f ca="1">TEXT( INDIRECT( ADDRESS( ROW() + Row_Offset, INDIRECT( "Column_Number_" &amp; A$1), 4,1, tabname) ), "")</f>
        <v/>
      </c>
      <c r="B387" s="10" t="str">
        <f ca="1">TEXT(  IFERROR( VLOOKUP( $D387, CollName_Simplifier_Table[], 2, FALSE),"") &amp;
        INDIRECT( ADDRESS( ROW() + Row_Offset, INDIRECT( "Column_Number_" &amp; $B$1), 4,1, tabname) ), "")</f>
        <v/>
      </c>
      <c r="C387" s="10" t="str">
        <f ca="1">TEXT( INDIRECT( ADDRESS( ROW() + Row_Offset, INDIRECT( "Column_Number_" &amp; C$1), 4,1, tabname) ), "")</f>
        <v/>
      </c>
      <c r="D387" s="10" t="str">
        <f ca="1">TEXT( INDIRECT( ADDRESS( ROW() + Row_Offset, INDIRECT( "Column_Number_" &amp; D$1), 4,1, tabname) ), "")</f>
        <v/>
      </c>
      <c r="E387" s="10" t="str">
        <f ca="1">TEXT( INDIRECT( ADDRESS( ROW() + Row_Offset, INDIRECT( "Column_Number_" &amp; E$1), 4,1, tabname) ), "####")</f>
        <v/>
      </c>
      <c r="F387" s="15"/>
      <c r="G387" s="22" t="str">
        <f ca="1">IFERROR(INDEX(Rank_Table[],MATCH($D387&amp;$A387,Table4[Join],0)),"")</f>
        <v/>
      </c>
      <c r="H387" s="11" t="str">
        <f ca="1">IF(AND(D387="Juvenile Audiobook",LEFT(B387,8)="J CD BIO"),RIGHT(B387,LEN(B387)-9),
IF(AND(D387="Juvenile Audiobook",LEFT(B387,8)="J CD FIC"),B387,
IF(D387="Juvenile Audiobook",RIGHT(B387,LEN(B387)-5),
IF(AND(D387="Teen Audiobook",LEFT(B387,11)="TEEN CD BIO"),RIGHT(B387,LEN(B387)-12),
IF(AND(D387="Teen Audiobook",LEFT(B387,11)="TEEN CD FIC"),B387,
IF(D387="Juvenile Audiobook",RIGHT(B387,LEN(B387)-8),
IF(D387="Juvenile Nonfiction",RIGHT(B387,LEN(B387)-2),
IF(D387="Teen Nonfiction",RIGHT(B387,LEN(B387)-5),
IF(AND(D387="Audiobook",
              NOT(OR(Contains($B387,"CD BIO"),Contains($B387,"CD FIC")))),RIGHT(B387,LEN(B387)-3),
IF(D387="Juvenile Biography",RIGHT(B387,LEN(B387)-2),
IF(D387="Teen Biography",RIGHT(B387,LEN(B387)-5),
IF(AND(D387="Audiobook",
              IFERROR(FIND("BIO",$B387)&gt;0,FALSE)),RIGHT(B387,LEN(B387)-3),
IF(D387="Juvenile Large Type","J "&amp;RIGHT(B387,LEN(B387)-11),
IF(D387="Teen Large Type","TEEN "&amp;RIGHT(B387,LEN(B387)-14),
IF(D387="Reference",RIGHT(B387,LEN(B387)-4),
IF(D387="DVD Educational",RIGHT(B387,LEN(B387)-7),
IF(D387="Juvenile DVD Educational",RIGHT(B387,LEN(B387)-9),
B387)))))))))))))))))</f>
        <v/>
      </c>
      <c r="N387" s="11" t="str">
        <f ca="1">IF(IFERROR(FIND("New",$A387)&gt;0,FALSE),"New ","") &amp; IF(IFERROR(FIND("In Lib",$A387)&gt;0,FALSE),"Reference ","") &amp;
IF(AND(D387="Audiobook",LEFT(B387,6)="CD BIO"),"Biography",
IF(AND(D387="Teen Audiobook",LEFT(B387,11)="TEEN CD BIO"),"Biography",
IF(AND(D387="Juvenile Audiobook",LEFT(B387,8)="J CD BIO"),"Biography",
IF(AND(D387="Audiobook",LEFT(B387,6)="CD FIC"),"Audiobook Fiction",
IF(AND(D387="Teen Audiobook",LEFT(B387,11)="TEEN CD FIC"),"Teen Audiobook",
IF(AND(D387="Juvenile Audiobook",LEFT(B387,8)="J CD FIC"),"Juvenile Audiobook",
IF(D387="Audiobook","Nonfiction",
IF(D387="Juvenile Audiobook","Nonfiction",
IF(D387="Teen Audiobook","Nonfiction",
IF(D387="Juvenile Nonfiction","Nonfiction",
IF(D387="Teen Nonfiction","Nonfiction",
IF(D387="Juvenile Biography","Biography",
IF(D387="Teen Biography","Biography",
IF(D387="ESL","Nonfiction",
IF(LEFT(B387,11)="INTL-VIE J ","International Juvenile",IF(LEFT(B387,11)="INTL-TAG J ","International Juvenile",IF(LEFT(B387,11)="INTL-RUS J ","International Juvenile",IF(LEFT(B387,11)="INTL-KOR J ","International Juvenile",IF(LEFT(B387,11)="INTL-JAP J ","International Juvenile",IF(LEFT(B387,11)="INTL-CHI J ","International Juvenile",IF(LEFT(B387,11)="INTL-SPA J ","International Juvenile",IF(LEFT(B387,14)="INTL-VIE TEEN ","International Teen",IF(LEFT(B387,14)="INTL-TAG TEEN ","International Teen",IF(LEFT(B387,14)="INTL-RUS TEEN ","International Teen",IF(LEFT(B387,14)="INTL-KOR TEEN ","International Teen",IF(LEFT(B387,14)="INTL-JAP TEEN ","International Teen",IF(LEFT(B387,14)="INTL-CHI TEEN ","International Teen",IF(LEFT(B387,14)="INTL-SPA TEEN ","International Teen",IF(LEFT(B387,11)="INTL-VIE E ","International Easy",IF(LEFT(B387,11)="INTL-TAG E ","International Easy",IF(LEFT(B387,11)="INTL-RUS E ","International Easy",IF(LEFT(B387,11)="INTL-JAP E ","International Easy",IF(LEFT(B387,11)="INTL-KOR E ","International Easy",IF(LEFT(B387,11)="INTL-CHI E ","International Easy",IF(LEFT(B387,11)="INTL-SPA E ","International Easy",
IF(D387="Teen Large Type","Teen Fiction",
IF(D387="Juvenile Large Type","Juvenile Fiction",
IF(LEFT(B387,6)="J CD O","Juvenile Compact Disc",
IF(AND(LEFT(B387,4)="TEEN",D387="Fiction"),"Teen Fiction",
IF(D387="DVD Educational","Nonfiction",
IF(D387="Juvenile DVD Educational","Nonfiction",
IF(D387="Reference","Nonfiction",
D387))))))))))))))))))))))))))))))))))))))))))</f>
        <v/>
      </c>
    </row>
    <row r="388" spans="1:14" ht="27" customHeight="1" x14ac:dyDescent="0.25">
      <c r="A388" s="10" t="str">
        <f ca="1">TEXT( INDIRECT( ADDRESS( ROW() + Row_Offset, INDIRECT( "Column_Number_" &amp; A$1), 4,1, tabname) ), "")</f>
        <v/>
      </c>
      <c r="B388" s="10" t="str">
        <f ca="1">TEXT(  IFERROR( VLOOKUP( $D388, CollName_Simplifier_Table[], 2, FALSE),"") &amp;
        INDIRECT( ADDRESS( ROW() + Row_Offset, INDIRECT( "Column_Number_" &amp; $B$1), 4,1, tabname) ), "")</f>
        <v/>
      </c>
      <c r="C388" s="10" t="str">
        <f ca="1">TEXT( INDIRECT( ADDRESS( ROW() + Row_Offset, INDIRECT( "Column_Number_" &amp; C$1), 4,1, tabname) ), "")</f>
        <v/>
      </c>
      <c r="D388" s="10" t="str">
        <f ca="1">TEXT( INDIRECT( ADDRESS( ROW() + Row_Offset, INDIRECT( "Column_Number_" &amp; D$1), 4,1, tabname) ), "")</f>
        <v/>
      </c>
      <c r="E388" s="10" t="str">
        <f ca="1">TEXT( INDIRECT( ADDRESS( ROW() + Row_Offset, INDIRECT( "Column_Number_" &amp; E$1), 4,1, tabname) ), "####")</f>
        <v/>
      </c>
      <c r="F388" s="15"/>
      <c r="G388" s="22" t="str">
        <f ca="1">IFERROR(INDEX(Rank_Table[],MATCH($D388&amp;$A388,Table4[Join],0)),"")</f>
        <v/>
      </c>
      <c r="H388" s="11" t="str">
        <f ca="1">IF(AND(D388="Juvenile Audiobook",LEFT(B388,8)="J CD BIO"),RIGHT(B388,LEN(B388)-9),
IF(AND(D388="Juvenile Audiobook",LEFT(B388,8)="J CD FIC"),B388,
IF(D388="Juvenile Audiobook",RIGHT(B388,LEN(B388)-5),
IF(AND(D388="Teen Audiobook",LEFT(B388,11)="TEEN CD BIO"),RIGHT(B388,LEN(B388)-12),
IF(AND(D388="Teen Audiobook",LEFT(B388,11)="TEEN CD FIC"),B388,
IF(D388="Juvenile Audiobook",RIGHT(B388,LEN(B388)-8),
IF(D388="Juvenile Nonfiction",RIGHT(B388,LEN(B388)-2),
IF(D388="Teen Nonfiction",RIGHT(B388,LEN(B388)-5),
IF(AND(D388="Audiobook",
              NOT(OR(Contains($B388,"CD BIO"),Contains($B388,"CD FIC")))),RIGHT(B388,LEN(B388)-3),
IF(D388="Juvenile Biography",RIGHT(B388,LEN(B388)-2),
IF(D388="Teen Biography",RIGHT(B388,LEN(B388)-5),
IF(AND(D388="Audiobook",
              IFERROR(FIND("BIO",$B388)&gt;0,FALSE)),RIGHT(B388,LEN(B388)-3),
IF(D388="Juvenile Large Type","J "&amp;RIGHT(B388,LEN(B388)-11),
IF(D388="Teen Large Type","TEEN "&amp;RIGHT(B388,LEN(B388)-14),
IF(D388="Reference",RIGHT(B388,LEN(B388)-4),
IF(D388="DVD Educational",RIGHT(B388,LEN(B388)-7),
IF(D388="Juvenile DVD Educational",RIGHT(B388,LEN(B388)-9),
B388)))))))))))))))))</f>
        <v/>
      </c>
      <c r="N388" s="11" t="str">
        <f ca="1">IF(IFERROR(FIND("New",$A388)&gt;0,FALSE),"New ","") &amp; IF(IFERROR(FIND("In Lib",$A388)&gt;0,FALSE),"Reference ","") &amp;
IF(AND(D388="Audiobook",LEFT(B388,6)="CD BIO"),"Biography",
IF(AND(D388="Teen Audiobook",LEFT(B388,11)="TEEN CD BIO"),"Biography",
IF(AND(D388="Juvenile Audiobook",LEFT(B388,8)="J CD BIO"),"Biography",
IF(AND(D388="Audiobook",LEFT(B388,6)="CD FIC"),"Audiobook Fiction",
IF(AND(D388="Teen Audiobook",LEFT(B388,11)="TEEN CD FIC"),"Teen Audiobook",
IF(AND(D388="Juvenile Audiobook",LEFT(B388,8)="J CD FIC"),"Juvenile Audiobook",
IF(D388="Audiobook","Nonfiction",
IF(D388="Juvenile Audiobook","Nonfiction",
IF(D388="Teen Audiobook","Nonfiction",
IF(D388="Juvenile Nonfiction","Nonfiction",
IF(D388="Teen Nonfiction","Nonfiction",
IF(D388="Juvenile Biography","Biography",
IF(D388="Teen Biography","Biography",
IF(D388="ESL","Nonfiction",
IF(LEFT(B388,11)="INTL-VIE J ","International Juvenile",IF(LEFT(B388,11)="INTL-TAG J ","International Juvenile",IF(LEFT(B388,11)="INTL-RUS J ","International Juvenile",IF(LEFT(B388,11)="INTL-KOR J ","International Juvenile",IF(LEFT(B388,11)="INTL-JAP J ","International Juvenile",IF(LEFT(B388,11)="INTL-CHI J ","International Juvenile",IF(LEFT(B388,11)="INTL-SPA J ","International Juvenile",IF(LEFT(B388,14)="INTL-VIE TEEN ","International Teen",IF(LEFT(B388,14)="INTL-TAG TEEN ","International Teen",IF(LEFT(B388,14)="INTL-RUS TEEN ","International Teen",IF(LEFT(B388,14)="INTL-KOR TEEN ","International Teen",IF(LEFT(B388,14)="INTL-JAP TEEN ","International Teen",IF(LEFT(B388,14)="INTL-CHI TEEN ","International Teen",IF(LEFT(B388,14)="INTL-SPA TEEN ","International Teen",IF(LEFT(B388,11)="INTL-VIE E ","International Easy",IF(LEFT(B388,11)="INTL-TAG E ","International Easy",IF(LEFT(B388,11)="INTL-RUS E ","International Easy",IF(LEFT(B388,11)="INTL-JAP E ","International Easy",IF(LEFT(B388,11)="INTL-KOR E ","International Easy",IF(LEFT(B388,11)="INTL-CHI E ","International Easy",IF(LEFT(B388,11)="INTL-SPA E ","International Easy",
IF(D388="Teen Large Type","Teen Fiction",
IF(D388="Juvenile Large Type","Juvenile Fiction",
IF(LEFT(B388,6)="J CD O","Juvenile Compact Disc",
IF(AND(LEFT(B388,4)="TEEN",D388="Fiction"),"Teen Fiction",
IF(D388="DVD Educational","Nonfiction",
IF(D388="Juvenile DVD Educational","Nonfiction",
IF(D388="Reference","Nonfiction",
D388))))))))))))))))))))))))))))))))))))))))))</f>
        <v/>
      </c>
    </row>
    <row r="389" spans="1:14" ht="27" customHeight="1" x14ac:dyDescent="0.25">
      <c r="A389" s="10" t="str">
        <f ca="1">TEXT( INDIRECT( ADDRESS( ROW() + Row_Offset, INDIRECT( "Column_Number_" &amp; A$1), 4,1, tabname) ), "")</f>
        <v/>
      </c>
      <c r="B389" s="10" t="str">
        <f ca="1">TEXT(  IFERROR( VLOOKUP( $D389, CollName_Simplifier_Table[], 2, FALSE),"") &amp;
        INDIRECT( ADDRESS( ROW() + Row_Offset, INDIRECT( "Column_Number_" &amp; $B$1), 4,1, tabname) ), "")</f>
        <v/>
      </c>
      <c r="C389" s="10" t="str">
        <f ca="1">TEXT( INDIRECT( ADDRESS( ROW() + Row_Offset, INDIRECT( "Column_Number_" &amp; C$1), 4,1, tabname) ), "")</f>
        <v/>
      </c>
      <c r="D389" s="10" t="str">
        <f ca="1">TEXT( INDIRECT( ADDRESS( ROW() + Row_Offset, INDIRECT( "Column_Number_" &amp; D$1), 4,1, tabname) ), "")</f>
        <v/>
      </c>
      <c r="E389" s="10" t="str">
        <f ca="1">TEXT( INDIRECT( ADDRESS( ROW() + Row_Offset, INDIRECT( "Column_Number_" &amp; E$1), 4,1, tabname) ), "####")</f>
        <v/>
      </c>
      <c r="F389" s="15"/>
      <c r="G389" s="22" t="str">
        <f ca="1">IFERROR(INDEX(Rank_Table[],MATCH($D389&amp;$A389,Table4[Join],0)),"")</f>
        <v/>
      </c>
      <c r="H389" s="11" t="str">
        <f ca="1">IF(AND(D389="Juvenile Audiobook",LEFT(B389,8)="J CD BIO"),RIGHT(B389,LEN(B389)-9),
IF(AND(D389="Juvenile Audiobook",LEFT(B389,8)="J CD FIC"),B389,
IF(D389="Juvenile Audiobook",RIGHT(B389,LEN(B389)-5),
IF(AND(D389="Teen Audiobook",LEFT(B389,11)="TEEN CD BIO"),RIGHT(B389,LEN(B389)-12),
IF(AND(D389="Teen Audiobook",LEFT(B389,11)="TEEN CD FIC"),B389,
IF(D389="Juvenile Audiobook",RIGHT(B389,LEN(B389)-8),
IF(D389="Juvenile Nonfiction",RIGHT(B389,LEN(B389)-2),
IF(D389="Teen Nonfiction",RIGHT(B389,LEN(B389)-5),
IF(AND(D389="Audiobook",
              NOT(OR(Contains($B389,"CD BIO"),Contains($B389,"CD FIC")))),RIGHT(B389,LEN(B389)-3),
IF(D389="Juvenile Biography",RIGHT(B389,LEN(B389)-2),
IF(D389="Teen Biography",RIGHT(B389,LEN(B389)-5),
IF(AND(D389="Audiobook",
              IFERROR(FIND("BIO",$B389)&gt;0,FALSE)),RIGHT(B389,LEN(B389)-3),
IF(D389="Juvenile Large Type","J "&amp;RIGHT(B389,LEN(B389)-11),
IF(D389="Teen Large Type","TEEN "&amp;RIGHT(B389,LEN(B389)-14),
IF(D389="Reference",RIGHT(B389,LEN(B389)-4),
IF(D389="DVD Educational",RIGHT(B389,LEN(B389)-7),
IF(D389="Juvenile DVD Educational",RIGHT(B389,LEN(B389)-9),
B389)))))))))))))))))</f>
        <v/>
      </c>
      <c r="N389" s="11" t="str">
        <f ca="1">IF(IFERROR(FIND("New",$A389)&gt;0,FALSE),"New ","") &amp; IF(IFERROR(FIND("In Lib",$A389)&gt;0,FALSE),"Reference ","") &amp;
IF(AND(D389="Audiobook",LEFT(B389,6)="CD BIO"),"Biography",
IF(AND(D389="Teen Audiobook",LEFT(B389,11)="TEEN CD BIO"),"Biography",
IF(AND(D389="Juvenile Audiobook",LEFT(B389,8)="J CD BIO"),"Biography",
IF(AND(D389="Audiobook",LEFT(B389,6)="CD FIC"),"Audiobook Fiction",
IF(AND(D389="Teen Audiobook",LEFT(B389,11)="TEEN CD FIC"),"Teen Audiobook",
IF(AND(D389="Juvenile Audiobook",LEFT(B389,8)="J CD FIC"),"Juvenile Audiobook",
IF(D389="Audiobook","Nonfiction",
IF(D389="Juvenile Audiobook","Nonfiction",
IF(D389="Teen Audiobook","Nonfiction",
IF(D389="Juvenile Nonfiction","Nonfiction",
IF(D389="Teen Nonfiction","Nonfiction",
IF(D389="Juvenile Biography","Biography",
IF(D389="Teen Biography","Biography",
IF(D389="ESL","Nonfiction",
IF(LEFT(B389,11)="INTL-VIE J ","International Juvenile",IF(LEFT(B389,11)="INTL-TAG J ","International Juvenile",IF(LEFT(B389,11)="INTL-RUS J ","International Juvenile",IF(LEFT(B389,11)="INTL-KOR J ","International Juvenile",IF(LEFT(B389,11)="INTL-JAP J ","International Juvenile",IF(LEFT(B389,11)="INTL-CHI J ","International Juvenile",IF(LEFT(B389,11)="INTL-SPA J ","International Juvenile",IF(LEFT(B389,14)="INTL-VIE TEEN ","International Teen",IF(LEFT(B389,14)="INTL-TAG TEEN ","International Teen",IF(LEFT(B389,14)="INTL-RUS TEEN ","International Teen",IF(LEFT(B389,14)="INTL-KOR TEEN ","International Teen",IF(LEFT(B389,14)="INTL-JAP TEEN ","International Teen",IF(LEFT(B389,14)="INTL-CHI TEEN ","International Teen",IF(LEFT(B389,14)="INTL-SPA TEEN ","International Teen",IF(LEFT(B389,11)="INTL-VIE E ","International Easy",IF(LEFT(B389,11)="INTL-TAG E ","International Easy",IF(LEFT(B389,11)="INTL-RUS E ","International Easy",IF(LEFT(B389,11)="INTL-JAP E ","International Easy",IF(LEFT(B389,11)="INTL-KOR E ","International Easy",IF(LEFT(B389,11)="INTL-CHI E ","International Easy",IF(LEFT(B389,11)="INTL-SPA E ","International Easy",
IF(D389="Teen Large Type","Teen Fiction",
IF(D389="Juvenile Large Type","Juvenile Fiction",
IF(LEFT(B389,6)="J CD O","Juvenile Compact Disc",
IF(AND(LEFT(B389,4)="TEEN",D389="Fiction"),"Teen Fiction",
IF(D389="DVD Educational","Nonfiction",
IF(D389="Juvenile DVD Educational","Nonfiction",
IF(D389="Reference","Nonfiction",
D389))))))))))))))))))))))))))))))))))))))))))</f>
        <v/>
      </c>
    </row>
    <row r="390" spans="1:14" ht="27" customHeight="1" x14ac:dyDescent="0.25">
      <c r="A390" s="10" t="str">
        <f ca="1">TEXT( INDIRECT( ADDRESS( ROW() + Row_Offset, INDIRECT( "Column_Number_" &amp; A$1), 4,1, tabname) ), "")</f>
        <v/>
      </c>
      <c r="B390" s="10" t="str">
        <f ca="1">TEXT(  IFERROR( VLOOKUP( $D390, CollName_Simplifier_Table[], 2, FALSE),"") &amp;
        INDIRECT( ADDRESS( ROW() + Row_Offset, INDIRECT( "Column_Number_" &amp; $B$1), 4,1, tabname) ), "")</f>
        <v/>
      </c>
      <c r="C390" s="10" t="str">
        <f ca="1">TEXT( INDIRECT( ADDRESS( ROW() + Row_Offset, INDIRECT( "Column_Number_" &amp; C$1), 4,1, tabname) ), "")</f>
        <v/>
      </c>
      <c r="D390" s="10" t="str">
        <f ca="1">TEXT( INDIRECT( ADDRESS( ROW() + Row_Offset, INDIRECT( "Column_Number_" &amp; D$1), 4,1, tabname) ), "")</f>
        <v/>
      </c>
      <c r="E390" s="10" t="str">
        <f ca="1">TEXT( INDIRECT( ADDRESS( ROW() + Row_Offset, INDIRECT( "Column_Number_" &amp; E$1), 4,1, tabname) ), "####")</f>
        <v/>
      </c>
      <c r="F390" s="15"/>
      <c r="G390" s="22" t="str">
        <f ca="1">IFERROR(INDEX(Rank_Table[],MATCH($D390&amp;$A390,Table4[Join],0)),"")</f>
        <v/>
      </c>
      <c r="H390" s="11" t="str">
        <f ca="1">IF(AND(D390="Juvenile Audiobook",LEFT(B390,8)="J CD BIO"),RIGHT(B390,LEN(B390)-9),
IF(AND(D390="Juvenile Audiobook",LEFT(B390,8)="J CD FIC"),B390,
IF(D390="Juvenile Audiobook",RIGHT(B390,LEN(B390)-5),
IF(AND(D390="Teen Audiobook",LEFT(B390,11)="TEEN CD BIO"),RIGHT(B390,LEN(B390)-12),
IF(AND(D390="Teen Audiobook",LEFT(B390,11)="TEEN CD FIC"),B390,
IF(D390="Juvenile Audiobook",RIGHT(B390,LEN(B390)-8),
IF(D390="Juvenile Nonfiction",RIGHT(B390,LEN(B390)-2),
IF(D390="Teen Nonfiction",RIGHT(B390,LEN(B390)-5),
IF(AND(D390="Audiobook",
              NOT(OR(Contains($B390,"CD BIO"),Contains($B390,"CD FIC")))),RIGHT(B390,LEN(B390)-3),
IF(D390="Juvenile Biography",RIGHT(B390,LEN(B390)-2),
IF(D390="Teen Biography",RIGHT(B390,LEN(B390)-5),
IF(AND(D390="Audiobook",
              IFERROR(FIND("BIO",$B390)&gt;0,FALSE)),RIGHT(B390,LEN(B390)-3),
IF(D390="Juvenile Large Type","J "&amp;RIGHT(B390,LEN(B390)-11),
IF(D390="Teen Large Type","TEEN "&amp;RIGHT(B390,LEN(B390)-14),
IF(D390="Reference",RIGHT(B390,LEN(B390)-4),
IF(D390="DVD Educational",RIGHT(B390,LEN(B390)-7),
IF(D390="Juvenile DVD Educational",RIGHT(B390,LEN(B390)-9),
B390)))))))))))))))))</f>
        <v/>
      </c>
      <c r="N390" s="11" t="str">
        <f ca="1">IF(IFERROR(FIND("New",$A390)&gt;0,FALSE),"New ","") &amp; IF(IFERROR(FIND("In Lib",$A390)&gt;0,FALSE),"Reference ","") &amp;
IF(AND(D390="Audiobook",LEFT(B390,6)="CD BIO"),"Biography",
IF(AND(D390="Teen Audiobook",LEFT(B390,11)="TEEN CD BIO"),"Biography",
IF(AND(D390="Juvenile Audiobook",LEFT(B390,8)="J CD BIO"),"Biography",
IF(AND(D390="Audiobook",LEFT(B390,6)="CD FIC"),"Audiobook Fiction",
IF(AND(D390="Teen Audiobook",LEFT(B390,11)="TEEN CD FIC"),"Teen Audiobook",
IF(AND(D390="Juvenile Audiobook",LEFT(B390,8)="J CD FIC"),"Juvenile Audiobook",
IF(D390="Audiobook","Nonfiction",
IF(D390="Juvenile Audiobook","Nonfiction",
IF(D390="Teen Audiobook","Nonfiction",
IF(D390="Juvenile Nonfiction","Nonfiction",
IF(D390="Teen Nonfiction","Nonfiction",
IF(D390="Juvenile Biography","Biography",
IF(D390="Teen Biography","Biography",
IF(D390="ESL","Nonfiction",
IF(LEFT(B390,11)="INTL-VIE J ","International Juvenile",IF(LEFT(B390,11)="INTL-TAG J ","International Juvenile",IF(LEFT(B390,11)="INTL-RUS J ","International Juvenile",IF(LEFT(B390,11)="INTL-KOR J ","International Juvenile",IF(LEFT(B390,11)="INTL-JAP J ","International Juvenile",IF(LEFT(B390,11)="INTL-CHI J ","International Juvenile",IF(LEFT(B390,11)="INTL-SPA J ","International Juvenile",IF(LEFT(B390,14)="INTL-VIE TEEN ","International Teen",IF(LEFT(B390,14)="INTL-TAG TEEN ","International Teen",IF(LEFT(B390,14)="INTL-RUS TEEN ","International Teen",IF(LEFT(B390,14)="INTL-KOR TEEN ","International Teen",IF(LEFT(B390,14)="INTL-JAP TEEN ","International Teen",IF(LEFT(B390,14)="INTL-CHI TEEN ","International Teen",IF(LEFT(B390,14)="INTL-SPA TEEN ","International Teen",IF(LEFT(B390,11)="INTL-VIE E ","International Easy",IF(LEFT(B390,11)="INTL-TAG E ","International Easy",IF(LEFT(B390,11)="INTL-RUS E ","International Easy",IF(LEFT(B390,11)="INTL-JAP E ","International Easy",IF(LEFT(B390,11)="INTL-KOR E ","International Easy",IF(LEFT(B390,11)="INTL-CHI E ","International Easy",IF(LEFT(B390,11)="INTL-SPA E ","International Easy",
IF(D390="Teen Large Type","Teen Fiction",
IF(D390="Juvenile Large Type","Juvenile Fiction",
IF(LEFT(B390,6)="J CD O","Juvenile Compact Disc",
IF(AND(LEFT(B390,4)="TEEN",D390="Fiction"),"Teen Fiction",
IF(D390="DVD Educational","Nonfiction",
IF(D390="Juvenile DVD Educational","Nonfiction",
IF(D390="Reference","Nonfiction",
D390))))))))))))))))))))))))))))))))))))))))))</f>
        <v/>
      </c>
    </row>
    <row r="391" spans="1:14" ht="27" customHeight="1" x14ac:dyDescent="0.25">
      <c r="A391" s="10" t="str">
        <f ca="1">TEXT( INDIRECT( ADDRESS( ROW() + Row_Offset, INDIRECT( "Column_Number_" &amp; A$1), 4,1, tabname) ), "")</f>
        <v/>
      </c>
      <c r="B391" s="10" t="str">
        <f ca="1">TEXT(  IFERROR( VLOOKUP( $D391, CollName_Simplifier_Table[], 2, FALSE),"") &amp;
        INDIRECT( ADDRESS( ROW() + Row_Offset, INDIRECT( "Column_Number_" &amp; $B$1), 4,1, tabname) ), "")</f>
        <v/>
      </c>
      <c r="C391" s="10" t="str">
        <f ca="1">TEXT( INDIRECT( ADDRESS( ROW() + Row_Offset, INDIRECT( "Column_Number_" &amp; C$1), 4,1, tabname) ), "")</f>
        <v/>
      </c>
      <c r="D391" s="10" t="str">
        <f ca="1">TEXT( INDIRECT( ADDRESS( ROW() + Row_Offset, INDIRECT( "Column_Number_" &amp; D$1), 4,1, tabname) ), "")</f>
        <v/>
      </c>
      <c r="E391" s="10" t="str">
        <f ca="1">TEXT( INDIRECT( ADDRESS( ROW() + Row_Offset, INDIRECT( "Column_Number_" &amp; E$1), 4,1, tabname) ), "####")</f>
        <v/>
      </c>
      <c r="F391" s="15"/>
      <c r="G391" s="22" t="str">
        <f ca="1">IFERROR(INDEX(Rank_Table[],MATCH($D391&amp;$A391,Table4[Join],0)),"")</f>
        <v/>
      </c>
      <c r="H391" s="11" t="str">
        <f ca="1">IF(AND(D391="Juvenile Audiobook",LEFT(B391,8)="J CD BIO"),RIGHT(B391,LEN(B391)-9),
IF(AND(D391="Juvenile Audiobook",LEFT(B391,8)="J CD FIC"),B391,
IF(D391="Juvenile Audiobook",RIGHT(B391,LEN(B391)-5),
IF(AND(D391="Teen Audiobook",LEFT(B391,11)="TEEN CD BIO"),RIGHT(B391,LEN(B391)-12),
IF(AND(D391="Teen Audiobook",LEFT(B391,11)="TEEN CD FIC"),B391,
IF(D391="Juvenile Audiobook",RIGHT(B391,LEN(B391)-8),
IF(D391="Juvenile Nonfiction",RIGHT(B391,LEN(B391)-2),
IF(D391="Teen Nonfiction",RIGHT(B391,LEN(B391)-5),
IF(AND(D391="Audiobook",
              NOT(OR(Contains($B391,"CD BIO"),Contains($B391,"CD FIC")))),RIGHT(B391,LEN(B391)-3),
IF(D391="Juvenile Biography",RIGHT(B391,LEN(B391)-2),
IF(D391="Teen Biography",RIGHT(B391,LEN(B391)-5),
IF(AND(D391="Audiobook",
              IFERROR(FIND("BIO",$B391)&gt;0,FALSE)),RIGHT(B391,LEN(B391)-3),
IF(D391="Juvenile Large Type","J "&amp;RIGHT(B391,LEN(B391)-11),
IF(D391="Teen Large Type","TEEN "&amp;RIGHT(B391,LEN(B391)-14),
IF(D391="Reference",RIGHT(B391,LEN(B391)-4),
IF(D391="DVD Educational",RIGHT(B391,LEN(B391)-7),
IF(D391="Juvenile DVD Educational",RIGHT(B391,LEN(B391)-9),
B391)))))))))))))))))</f>
        <v/>
      </c>
      <c r="N391" s="11" t="str">
        <f ca="1">IF(IFERROR(FIND("New",$A391)&gt;0,FALSE),"New ","") &amp; IF(IFERROR(FIND("In Lib",$A391)&gt;0,FALSE),"Reference ","") &amp;
IF(AND(D391="Audiobook",LEFT(B391,6)="CD BIO"),"Biography",
IF(AND(D391="Teen Audiobook",LEFT(B391,11)="TEEN CD BIO"),"Biography",
IF(AND(D391="Juvenile Audiobook",LEFT(B391,8)="J CD BIO"),"Biography",
IF(AND(D391="Audiobook",LEFT(B391,6)="CD FIC"),"Audiobook Fiction",
IF(AND(D391="Teen Audiobook",LEFT(B391,11)="TEEN CD FIC"),"Teen Audiobook",
IF(AND(D391="Juvenile Audiobook",LEFT(B391,8)="J CD FIC"),"Juvenile Audiobook",
IF(D391="Audiobook","Nonfiction",
IF(D391="Juvenile Audiobook","Nonfiction",
IF(D391="Teen Audiobook","Nonfiction",
IF(D391="Juvenile Nonfiction","Nonfiction",
IF(D391="Teen Nonfiction","Nonfiction",
IF(D391="Juvenile Biography","Biography",
IF(D391="Teen Biography","Biography",
IF(D391="ESL","Nonfiction",
IF(LEFT(B391,11)="INTL-VIE J ","International Juvenile",IF(LEFT(B391,11)="INTL-TAG J ","International Juvenile",IF(LEFT(B391,11)="INTL-RUS J ","International Juvenile",IF(LEFT(B391,11)="INTL-KOR J ","International Juvenile",IF(LEFT(B391,11)="INTL-JAP J ","International Juvenile",IF(LEFT(B391,11)="INTL-CHI J ","International Juvenile",IF(LEFT(B391,11)="INTL-SPA J ","International Juvenile",IF(LEFT(B391,14)="INTL-VIE TEEN ","International Teen",IF(LEFT(B391,14)="INTL-TAG TEEN ","International Teen",IF(LEFT(B391,14)="INTL-RUS TEEN ","International Teen",IF(LEFT(B391,14)="INTL-KOR TEEN ","International Teen",IF(LEFT(B391,14)="INTL-JAP TEEN ","International Teen",IF(LEFT(B391,14)="INTL-CHI TEEN ","International Teen",IF(LEFT(B391,14)="INTL-SPA TEEN ","International Teen",IF(LEFT(B391,11)="INTL-VIE E ","International Easy",IF(LEFT(B391,11)="INTL-TAG E ","International Easy",IF(LEFT(B391,11)="INTL-RUS E ","International Easy",IF(LEFT(B391,11)="INTL-JAP E ","International Easy",IF(LEFT(B391,11)="INTL-KOR E ","International Easy",IF(LEFT(B391,11)="INTL-CHI E ","International Easy",IF(LEFT(B391,11)="INTL-SPA E ","International Easy",
IF(D391="Teen Large Type","Teen Fiction",
IF(D391="Juvenile Large Type","Juvenile Fiction",
IF(LEFT(B391,6)="J CD O","Juvenile Compact Disc",
IF(AND(LEFT(B391,4)="TEEN",D391="Fiction"),"Teen Fiction",
IF(D391="DVD Educational","Nonfiction",
IF(D391="Juvenile DVD Educational","Nonfiction",
IF(D391="Reference","Nonfiction",
D391))))))))))))))))))))))))))))))))))))))))))</f>
        <v/>
      </c>
    </row>
    <row r="392" spans="1:14" ht="27" customHeight="1" x14ac:dyDescent="0.25">
      <c r="A392" s="10" t="str">
        <f ca="1">TEXT( INDIRECT( ADDRESS( ROW() + Row_Offset, INDIRECT( "Column_Number_" &amp; A$1), 4,1, tabname) ), "")</f>
        <v/>
      </c>
      <c r="B392" s="10" t="str">
        <f ca="1">TEXT(  IFERROR( VLOOKUP( $D392, CollName_Simplifier_Table[], 2, FALSE),"") &amp;
        INDIRECT( ADDRESS( ROW() + Row_Offset, INDIRECT( "Column_Number_" &amp; $B$1), 4,1, tabname) ), "")</f>
        <v/>
      </c>
      <c r="C392" s="10" t="str">
        <f ca="1">TEXT( INDIRECT( ADDRESS( ROW() + Row_Offset, INDIRECT( "Column_Number_" &amp; C$1), 4,1, tabname) ), "")</f>
        <v/>
      </c>
      <c r="D392" s="10" t="str">
        <f ca="1">TEXT( INDIRECT( ADDRESS( ROW() + Row_Offset, INDIRECT( "Column_Number_" &amp; D$1), 4,1, tabname) ), "")</f>
        <v/>
      </c>
      <c r="E392" s="10" t="str">
        <f ca="1">TEXT( INDIRECT( ADDRESS( ROW() + Row_Offset, INDIRECT( "Column_Number_" &amp; E$1), 4,1, tabname) ), "####")</f>
        <v/>
      </c>
      <c r="F392" s="15"/>
      <c r="G392" s="22" t="str">
        <f ca="1">IFERROR(INDEX(Rank_Table[],MATCH($D392&amp;$A392,Table4[Join],0)),"")</f>
        <v/>
      </c>
      <c r="H392" s="11" t="str">
        <f ca="1">IF(AND(D392="Juvenile Audiobook",LEFT(B392,8)="J CD BIO"),RIGHT(B392,LEN(B392)-9),
IF(AND(D392="Juvenile Audiobook",LEFT(B392,8)="J CD FIC"),B392,
IF(D392="Juvenile Audiobook",RIGHT(B392,LEN(B392)-5),
IF(AND(D392="Teen Audiobook",LEFT(B392,11)="TEEN CD BIO"),RIGHT(B392,LEN(B392)-12),
IF(AND(D392="Teen Audiobook",LEFT(B392,11)="TEEN CD FIC"),B392,
IF(D392="Juvenile Audiobook",RIGHT(B392,LEN(B392)-8),
IF(D392="Juvenile Nonfiction",RIGHT(B392,LEN(B392)-2),
IF(D392="Teen Nonfiction",RIGHT(B392,LEN(B392)-5),
IF(AND(D392="Audiobook",
              NOT(OR(Contains($B392,"CD BIO"),Contains($B392,"CD FIC")))),RIGHT(B392,LEN(B392)-3),
IF(D392="Juvenile Biography",RIGHT(B392,LEN(B392)-2),
IF(D392="Teen Biography",RIGHT(B392,LEN(B392)-5),
IF(AND(D392="Audiobook",
              IFERROR(FIND("BIO",$B392)&gt;0,FALSE)),RIGHT(B392,LEN(B392)-3),
IF(D392="Juvenile Large Type","J "&amp;RIGHT(B392,LEN(B392)-11),
IF(D392="Teen Large Type","TEEN "&amp;RIGHT(B392,LEN(B392)-14),
IF(D392="Reference",RIGHT(B392,LEN(B392)-4),
IF(D392="DVD Educational",RIGHT(B392,LEN(B392)-7),
IF(D392="Juvenile DVD Educational",RIGHT(B392,LEN(B392)-9),
B392)))))))))))))))))</f>
        <v/>
      </c>
      <c r="N392" s="11" t="str">
        <f ca="1">IF(IFERROR(FIND("New",$A392)&gt;0,FALSE),"New ","") &amp; IF(IFERROR(FIND("In Lib",$A392)&gt;0,FALSE),"Reference ","") &amp;
IF(AND(D392="Audiobook",LEFT(B392,6)="CD BIO"),"Biography",
IF(AND(D392="Teen Audiobook",LEFT(B392,11)="TEEN CD BIO"),"Biography",
IF(AND(D392="Juvenile Audiobook",LEFT(B392,8)="J CD BIO"),"Biography",
IF(AND(D392="Audiobook",LEFT(B392,6)="CD FIC"),"Audiobook Fiction",
IF(AND(D392="Teen Audiobook",LEFT(B392,11)="TEEN CD FIC"),"Teen Audiobook",
IF(AND(D392="Juvenile Audiobook",LEFT(B392,8)="J CD FIC"),"Juvenile Audiobook",
IF(D392="Audiobook","Nonfiction",
IF(D392="Juvenile Audiobook","Nonfiction",
IF(D392="Teen Audiobook","Nonfiction",
IF(D392="Juvenile Nonfiction","Nonfiction",
IF(D392="Teen Nonfiction","Nonfiction",
IF(D392="Juvenile Biography","Biography",
IF(D392="Teen Biography","Biography",
IF(D392="ESL","Nonfiction",
IF(LEFT(B392,11)="INTL-VIE J ","International Juvenile",IF(LEFT(B392,11)="INTL-TAG J ","International Juvenile",IF(LEFT(B392,11)="INTL-RUS J ","International Juvenile",IF(LEFT(B392,11)="INTL-KOR J ","International Juvenile",IF(LEFT(B392,11)="INTL-JAP J ","International Juvenile",IF(LEFT(B392,11)="INTL-CHI J ","International Juvenile",IF(LEFT(B392,11)="INTL-SPA J ","International Juvenile",IF(LEFT(B392,14)="INTL-VIE TEEN ","International Teen",IF(LEFT(B392,14)="INTL-TAG TEEN ","International Teen",IF(LEFT(B392,14)="INTL-RUS TEEN ","International Teen",IF(LEFT(B392,14)="INTL-KOR TEEN ","International Teen",IF(LEFT(B392,14)="INTL-JAP TEEN ","International Teen",IF(LEFT(B392,14)="INTL-CHI TEEN ","International Teen",IF(LEFT(B392,14)="INTL-SPA TEEN ","International Teen",IF(LEFT(B392,11)="INTL-VIE E ","International Easy",IF(LEFT(B392,11)="INTL-TAG E ","International Easy",IF(LEFT(B392,11)="INTL-RUS E ","International Easy",IF(LEFT(B392,11)="INTL-JAP E ","International Easy",IF(LEFT(B392,11)="INTL-KOR E ","International Easy",IF(LEFT(B392,11)="INTL-CHI E ","International Easy",IF(LEFT(B392,11)="INTL-SPA E ","International Easy",
IF(D392="Teen Large Type","Teen Fiction",
IF(D392="Juvenile Large Type","Juvenile Fiction",
IF(LEFT(B392,6)="J CD O","Juvenile Compact Disc",
IF(AND(LEFT(B392,4)="TEEN",D392="Fiction"),"Teen Fiction",
IF(D392="DVD Educational","Nonfiction",
IF(D392="Juvenile DVD Educational","Nonfiction",
IF(D392="Reference","Nonfiction",
D392))))))))))))))))))))))))))))))))))))))))))</f>
        <v/>
      </c>
    </row>
    <row r="393" spans="1:14" ht="27" customHeight="1" x14ac:dyDescent="0.25">
      <c r="A393" s="10" t="str">
        <f ca="1">TEXT( INDIRECT( ADDRESS( ROW() + Row_Offset, INDIRECT( "Column_Number_" &amp; A$1), 4,1, tabname) ), "")</f>
        <v/>
      </c>
      <c r="B393" s="10" t="str">
        <f ca="1">TEXT(  IFERROR( VLOOKUP( $D393, CollName_Simplifier_Table[], 2, FALSE),"") &amp;
        INDIRECT( ADDRESS( ROW() + Row_Offset, INDIRECT( "Column_Number_" &amp; $B$1), 4,1, tabname) ), "")</f>
        <v/>
      </c>
      <c r="C393" s="10" t="str">
        <f ca="1">TEXT( INDIRECT( ADDRESS( ROW() + Row_Offset, INDIRECT( "Column_Number_" &amp; C$1), 4,1, tabname) ), "")</f>
        <v/>
      </c>
      <c r="D393" s="10" t="str">
        <f ca="1">TEXT( INDIRECT( ADDRESS( ROW() + Row_Offset, INDIRECT( "Column_Number_" &amp; D$1), 4,1, tabname) ), "")</f>
        <v/>
      </c>
      <c r="E393" s="10" t="str">
        <f ca="1">TEXT( INDIRECT( ADDRESS( ROW() + Row_Offset, INDIRECT( "Column_Number_" &amp; E$1), 4,1, tabname) ), "####")</f>
        <v/>
      </c>
      <c r="F393" s="15"/>
      <c r="G393" s="22" t="str">
        <f ca="1">IFERROR(INDEX(Rank_Table[],MATCH($D393&amp;$A393,Table4[Join],0)),"")</f>
        <v/>
      </c>
      <c r="H393" s="11" t="str">
        <f ca="1">IF(AND(D393="Juvenile Audiobook",LEFT(B393,8)="J CD BIO"),RIGHT(B393,LEN(B393)-9),
IF(AND(D393="Juvenile Audiobook",LEFT(B393,8)="J CD FIC"),B393,
IF(D393="Juvenile Audiobook",RIGHT(B393,LEN(B393)-5),
IF(AND(D393="Teen Audiobook",LEFT(B393,11)="TEEN CD BIO"),RIGHT(B393,LEN(B393)-12),
IF(AND(D393="Teen Audiobook",LEFT(B393,11)="TEEN CD FIC"),B393,
IF(D393="Juvenile Audiobook",RIGHT(B393,LEN(B393)-8),
IF(D393="Juvenile Nonfiction",RIGHT(B393,LEN(B393)-2),
IF(D393="Teen Nonfiction",RIGHT(B393,LEN(B393)-5),
IF(AND(D393="Audiobook",
              NOT(OR(Contains($B393,"CD BIO"),Contains($B393,"CD FIC")))),RIGHT(B393,LEN(B393)-3),
IF(D393="Juvenile Biography",RIGHT(B393,LEN(B393)-2),
IF(D393="Teen Biography",RIGHT(B393,LEN(B393)-5),
IF(AND(D393="Audiobook",
              IFERROR(FIND("BIO",$B393)&gt;0,FALSE)),RIGHT(B393,LEN(B393)-3),
IF(D393="Juvenile Large Type","J "&amp;RIGHT(B393,LEN(B393)-11),
IF(D393="Teen Large Type","TEEN "&amp;RIGHT(B393,LEN(B393)-14),
IF(D393="Reference",RIGHT(B393,LEN(B393)-4),
IF(D393="DVD Educational",RIGHT(B393,LEN(B393)-7),
IF(D393="Juvenile DVD Educational",RIGHT(B393,LEN(B393)-9),
B393)))))))))))))))))</f>
        <v/>
      </c>
      <c r="N393" s="11" t="str">
        <f ca="1">IF(IFERROR(FIND("New",$A393)&gt;0,FALSE),"New ","") &amp; IF(IFERROR(FIND("In Lib",$A393)&gt;0,FALSE),"Reference ","") &amp;
IF(AND(D393="Audiobook",LEFT(B393,6)="CD BIO"),"Biography",
IF(AND(D393="Teen Audiobook",LEFT(B393,11)="TEEN CD BIO"),"Biography",
IF(AND(D393="Juvenile Audiobook",LEFT(B393,8)="J CD BIO"),"Biography",
IF(AND(D393="Audiobook",LEFT(B393,6)="CD FIC"),"Audiobook Fiction",
IF(AND(D393="Teen Audiobook",LEFT(B393,11)="TEEN CD FIC"),"Teen Audiobook",
IF(AND(D393="Juvenile Audiobook",LEFT(B393,8)="J CD FIC"),"Juvenile Audiobook",
IF(D393="Audiobook","Nonfiction",
IF(D393="Juvenile Audiobook","Nonfiction",
IF(D393="Teen Audiobook","Nonfiction",
IF(D393="Juvenile Nonfiction","Nonfiction",
IF(D393="Teen Nonfiction","Nonfiction",
IF(D393="Juvenile Biography","Biography",
IF(D393="Teen Biography","Biography",
IF(D393="ESL","Nonfiction",
IF(LEFT(B393,11)="INTL-VIE J ","International Juvenile",IF(LEFT(B393,11)="INTL-TAG J ","International Juvenile",IF(LEFT(B393,11)="INTL-RUS J ","International Juvenile",IF(LEFT(B393,11)="INTL-KOR J ","International Juvenile",IF(LEFT(B393,11)="INTL-JAP J ","International Juvenile",IF(LEFT(B393,11)="INTL-CHI J ","International Juvenile",IF(LEFT(B393,11)="INTL-SPA J ","International Juvenile",IF(LEFT(B393,14)="INTL-VIE TEEN ","International Teen",IF(LEFT(B393,14)="INTL-TAG TEEN ","International Teen",IF(LEFT(B393,14)="INTL-RUS TEEN ","International Teen",IF(LEFT(B393,14)="INTL-KOR TEEN ","International Teen",IF(LEFT(B393,14)="INTL-JAP TEEN ","International Teen",IF(LEFT(B393,14)="INTL-CHI TEEN ","International Teen",IF(LEFT(B393,14)="INTL-SPA TEEN ","International Teen",IF(LEFT(B393,11)="INTL-VIE E ","International Easy",IF(LEFT(B393,11)="INTL-TAG E ","International Easy",IF(LEFT(B393,11)="INTL-RUS E ","International Easy",IF(LEFT(B393,11)="INTL-JAP E ","International Easy",IF(LEFT(B393,11)="INTL-KOR E ","International Easy",IF(LEFT(B393,11)="INTL-CHI E ","International Easy",IF(LEFT(B393,11)="INTL-SPA E ","International Easy",
IF(D393="Teen Large Type","Teen Fiction",
IF(D393="Juvenile Large Type","Juvenile Fiction",
IF(LEFT(B393,6)="J CD O","Juvenile Compact Disc",
IF(AND(LEFT(B393,4)="TEEN",D393="Fiction"),"Teen Fiction",
IF(D393="DVD Educational","Nonfiction",
IF(D393="Juvenile DVD Educational","Nonfiction",
IF(D393="Reference","Nonfiction",
D393))))))))))))))))))))))))))))))))))))))))))</f>
        <v/>
      </c>
    </row>
    <row r="394" spans="1:14" ht="27" customHeight="1" x14ac:dyDescent="0.25">
      <c r="A394" s="10" t="str">
        <f ca="1">TEXT( INDIRECT( ADDRESS( ROW() + Row_Offset, INDIRECT( "Column_Number_" &amp; A$1), 4,1, tabname) ), "")</f>
        <v/>
      </c>
      <c r="B394" s="10" t="str">
        <f ca="1">TEXT(  IFERROR( VLOOKUP( $D394, CollName_Simplifier_Table[], 2, FALSE),"") &amp;
        INDIRECT( ADDRESS( ROW() + Row_Offset, INDIRECT( "Column_Number_" &amp; $B$1), 4,1, tabname) ), "")</f>
        <v/>
      </c>
      <c r="C394" s="10" t="str">
        <f ca="1">TEXT( INDIRECT( ADDRESS( ROW() + Row_Offset, INDIRECT( "Column_Number_" &amp; C$1), 4,1, tabname) ), "")</f>
        <v/>
      </c>
      <c r="D394" s="10" t="str">
        <f ca="1">TEXT( INDIRECT( ADDRESS( ROW() + Row_Offset, INDIRECT( "Column_Number_" &amp; D$1), 4,1, tabname) ), "")</f>
        <v/>
      </c>
      <c r="E394" s="10" t="str">
        <f ca="1">TEXT( INDIRECT( ADDRESS( ROW() + Row_Offset, INDIRECT( "Column_Number_" &amp; E$1), 4,1, tabname) ), "####")</f>
        <v/>
      </c>
      <c r="F394" s="15"/>
      <c r="G394" s="22" t="str">
        <f ca="1">IFERROR(INDEX(Rank_Table[],MATCH($D394&amp;$A394,Table4[Join],0)),"")</f>
        <v/>
      </c>
      <c r="H394" s="11" t="str">
        <f ca="1">IF(AND(D394="Juvenile Audiobook",LEFT(B394,8)="J CD BIO"),RIGHT(B394,LEN(B394)-9),
IF(AND(D394="Juvenile Audiobook",LEFT(B394,8)="J CD FIC"),B394,
IF(D394="Juvenile Audiobook",RIGHT(B394,LEN(B394)-5),
IF(AND(D394="Teen Audiobook",LEFT(B394,11)="TEEN CD BIO"),RIGHT(B394,LEN(B394)-12),
IF(AND(D394="Teen Audiobook",LEFT(B394,11)="TEEN CD FIC"),B394,
IF(D394="Juvenile Audiobook",RIGHT(B394,LEN(B394)-8),
IF(D394="Juvenile Nonfiction",RIGHT(B394,LEN(B394)-2),
IF(D394="Teen Nonfiction",RIGHT(B394,LEN(B394)-5),
IF(AND(D394="Audiobook",
              NOT(OR(Contains($B394,"CD BIO"),Contains($B394,"CD FIC")))),RIGHT(B394,LEN(B394)-3),
IF(D394="Juvenile Biography",RIGHT(B394,LEN(B394)-2),
IF(D394="Teen Biography",RIGHT(B394,LEN(B394)-5),
IF(AND(D394="Audiobook",
              IFERROR(FIND("BIO",$B394)&gt;0,FALSE)),RIGHT(B394,LEN(B394)-3),
IF(D394="Juvenile Large Type","J "&amp;RIGHT(B394,LEN(B394)-11),
IF(D394="Teen Large Type","TEEN "&amp;RIGHT(B394,LEN(B394)-14),
IF(D394="Reference",RIGHT(B394,LEN(B394)-4),
IF(D394="DVD Educational",RIGHT(B394,LEN(B394)-7),
IF(D394="Juvenile DVD Educational",RIGHT(B394,LEN(B394)-9),
B394)))))))))))))))))</f>
        <v/>
      </c>
      <c r="N394" s="11" t="str">
        <f ca="1">IF(IFERROR(FIND("New",$A394)&gt;0,FALSE),"New ","") &amp; IF(IFERROR(FIND("In Lib",$A394)&gt;0,FALSE),"Reference ","") &amp;
IF(AND(D394="Audiobook",LEFT(B394,6)="CD BIO"),"Biography",
IF(AND(D394="Teen Audiobook",LEFT(B394,11)="TEEN CD BIO"),"Biography",
IF(AND(D394="Juvenile Audiobook",LEFT(B394,8)="J CD BIO"),"Biography",
IF(AND(D394="Audiobook",LEFT(B394,6)="CD FIC"),"Audiobook Fiction",
IF(AND(D394="Teen Audiobook",LEFT(B394,11)="TEEN CD FIC"),"Teen Audiobook",
IF(AND(D394="Juvenile Audiobook",LEFT(B394,8)="J CD FIC"),"Juvenile Audiobook",
IF(D394="Audiobook","Nonfiction",
IF(D394="Juvenile Audiobook","Nonfiction",
IF(D394="Teen Audiobook","Nonfiction",
IF(D394="Juvenile Nonfiction","Nonfiction",
IF(D394="Teen Nonfiction","Nonfiction",
IF(D394="Juvenile Biography","Biography",
IF(D394="Teen Biography","Biography",
IF(D394="ESL","Nonfiction",
IF(LEFT(B394,11)="INTL-VIE J ","International Juvenile",IF(LEFT(B394,11)="INTL-TAG J ","International Juvenile",IF(LEFT(B394,11)="INTL-RUS J ","International Juvenile",IF(LEFT(B394,11)="INTL-KOR J ","International Juvenile",IF(LEFT(B394,11)="INTL-JAP J ","International Juvenile",IF(LEFT(B394,11)="INTL-CHI J ","International Juvenile",IF(LEFT(B394,11)="INTL-SPA J ","International Juvenile",IF(LEFT(B394,14)="INTL-VIE TEEN ","International Teen",IF(LEFT(B394,14)="INTL-TAG TEEN ","International Teen",IF(LEFT(B394,14)="INTL-RUS TEEN ","International Teen",IF(LEFT(B394,14)="INTL-KOR TEEN ","International Teen",IF(LEFT(B394,14)="INTL-JAP TEEN ","International Teen",IF(LEFT(B394,14)="INTL-CHI TEEN ","International Teen",IF(LEFT(B394,14)="INTL-SPA TEEN ","International Teen",IF(LEFT(B394,11)="INTL-VIE E ","International Easy",IF(LEFT(B394,11)="INTL-TAG E ","International Easy",IF(LEFT(B394,11)="INTL-RUS E ","International Easy",IF(LEFT(B394,11)="INTL-JAP E ","International Easy",IF(LEFT(B394,11)="INTL-KOR E ","International Easy",IF(LEFT(B394,11)="INTL-CHI E ","International Easy",IF(LEFT(B394,11)="INTL-SPA E ","International Easy",
IF(D394="Teen Large Type","Teen Fiction",
IF(D394="Juvenile Large Type","Juvenile Fiction",
IF(LEFT(B394,6)="J CD O","Juvenile Compact Disc",
IF(AND(LEFT(B394,4)="TEEN",D394="Fiction"),"Teen Fiction",
IF(D394="DVD Educational","Nonfiction",
IF(D394="Juvenile DVD Educational","Nonfiction",
IF(D394="Reference","Nonfiction",
D394))))))))))))))))))))))))))))))))))))))))))</f>
        <v/>
      </c>
    </row>
    <row r="395" spans="1:14" ht="27" customHeight="1" x14ac:dyDescent="0.25">
      <c r="A395" s="10" t="str">
        <f ca="1">TEXT( INDIRECT( ADDRESS( ROW() + Row_Offset, INDIRECT( "Column_Number_" &amp; A$1), 4,1, tabname) ), "")</f>
        <v/>
      </c>
      <c r="B395" s="10" t="str">
        <f ca="1">TEXT(  IFERROR( VLOOKUP( $D395, CollName_Simplifier_Table[], 2, FALSE),"") &amp;
        INDIRECT( ADDRESS( ROW() + Row_Offset, INDIRECT( "Column_Number_" &amp; $B$1), 4,1, tabname) ), "")</f>
        <v/>
      </c>
      <c r="C395" s="10" t="str">
        <f ca="1">TEXT( INDIRECT( ADDRESS( ROW() + Row_Offset, INDIRECT( "Column_Number_" &amp; C$1), 4,1, tabname) ), "")</f>
        <v/>
      </c>
      <c r="D395" s="10" t="str">
        <f ca="1">TEXT( INDIRECT( ADDRESS( ROW() + Row_Offset, INDIRECT( "Column_Number_" &amp; D$1), 4,1, tabname) ), "")</f>
        <v/>
      </c>
      <c r="E395" s="10" t="str">
        <f ca="1">TEXT( INDIRECT( ADDRESS( ROW() + Row_Offset, INDIRECT( "Column_Number_" &amp; E$1), 4,1, tabname) ), "####")</f>
        <v/>
      </c>
      <c r="F395" s="15"/>
      <c r="G395" s="22" t="str">
        <f ca="1">IFERROR(INDEX(Rank_Table[],MATCH($D395&amp;$A395,Table4[Join],0)),"")</f>
        <v/>
      </c>
      <c r="H395" s="11" t="str">
        <f ca="1">IF(AND(D395="Juvenile Audiobook",LEFT(B395,8)="J CD BIO"),RIGHT(B395,LEN(B395)-9),
IF(AND(D395="Juvenile Audiobook",LEFT(B395,8)="J CD FIC"),B395,
IF(D395="Juvenile Audiobook",RIGHT(B395,LEN(B395)-5),
IF(AND(D395="Teen Audiobook",LEFT(B395,11)="TEEN CD BIO"),RIGHT(B395,LEN(B395)-12),
IF(AND(D395="Teen Audiobook",LEFT(B395,11)="TEEN CD FIC"),B395,
IF(D395="Juvenile Audiobook",RIGHT(B395,LEN(B395)-8),
IF(D395="Juvenile Nonfiction",RIGHT(B395,LEN(B395)-2),
IF(D395="Teen Nonfiction",RIGHT(B395,LEN(B395)-5),
IF(AND(D395="Audiobook",
              NOT(OR(Contains($B395,"CD BIO"),Contains($B395,"CD FIC")))),RIGHT(B395,LEN(B395)-3),
IF(D395="Juvenile Biography",RIGHT(B395,LEN(B395)-2),
IF(D395="Teen Biography",RIGHT(B395,LEN(B395)-5),
IF(AND(D395="Audiobook",
              IFERROR(FIND("BIO",$B395)&gt;0,FALSE)),RIGHT(B395,LEN(B395)-3),
IF(D395="Juvenile Large Type","J "&amp;RIGHT(B395,LEN(B395)-11),
IF(D395="Teen Large Type","TEEN "&amp;RIGHT(B395,LEN(B395)-14),
IF(D395="Reference",RIGHT(B395,LEN(B395)-4),
IF(D395="DVD Educational",RIGHT(B395,LEN(B395)-7),
IF(D395="Juvenile DVD Educational",RIGHT(B395,LEN(B395)-9),
B395)))))))))))))))))</f>
        <v/>
      </c>
      <c r="N395" s="11" t="str">
        <f ca="1">IF(IFERROR(FIND("New",$A395)&gt;0,FALSE),"New ","") &amp; IF(IFERROR(FIND("In Lib",$A395)&gt;0,FALSE),"Reference ","") &amp;
IF(AND(D395="Audiobook",LEFT(B395,6)="CD BIO"),"Biography",
IF(AND(D395="Teen Audiobook",LEFT(B395,11)="TEEN CD BIO"),"Biography",
IF(AND(D395="Juvenile Audiobook",LEFT(B395,8)="J CD BIO"),"Biography",
IF(AND(D395="Audiobook",LEFT(B395,6)="CD FIC"),"Audiobook Fiction",
IF(AND(D395="Teen Audiobook",LEFT(B395,11)="TEEN CD FIC"),"Teen Audiobook",
IF(AND(D395="Juvenile Audiobook",LEFT(B395,8)="J CD FIC"),"Juvenile Audiobook",
IF(D395="Audiobook","Nonfiction",
IF(D395="Juvenile Audiobook","Nonfiction",
IF(D395="Teen Audiobook","Nonfiction",
IF(D395="Juvenile Nonfiction","Nonfiction",
IF(D395="Teen Nonfiction","Nonfiction",
IF(D395="Juvenile Biography","Biography",
IF(D395="Teen Biography","Biography",
IF(D395="ESL","Nonfiction",
IF(LEFT(B395,11)="INTL-VIE J ","International Juvenile",IF(LEFT(B395,11)="INTL-TAG J ","International Juvenile",IF(LEFT(B395,11)="INTL-RUS J ","International Juvenile",IF(LEFT(B395,11)="INTL-KOR J ","International Juvenile",IF(LEFT(B395,11)="INTL-JAP J ","International Juvenile",IF(LEFT(B395,11)="INTL-CHI J ","International Juvenile",IF(LEFT(B395,11)="INTL-SPA J ","International Juvenile",IF(LEFT(B395,14)="INTL-VIE TEEN ","International Teen",IF(LEFT(B395,14)="INTL-TAG TEEN ","International Teen",IF(LEFT(B395,14)="INTL-RUS TEEN ","International Teen",IF(LEFT(B395,14)="INTL-KOR TEEN ","International Teen",IF(LEFT(B395,14)="INTL-JAP TEEN ","International Teen",IF(LEFT(B395,14)="INTL-CHI TEEN ","International Teen",IF(LEFT(B395,14)="INTL-SPA TEEN ","International Teen",IF(LEFT(B395,11)="INTL-VIE E ","International Easy",IF(LEFT(B395,11)="INTL-TAG E ","International Easy",IF(LEFT(B395,11)="INTL-RUS E ","International Easy",IF(LEFT(B395,11)="INTL-JAP E ","International Easy",IF(LEFT(B395,11)="INTL-KOR E ","International Easy",IF(LEFT(B395,11)="INTL-CHI E ","International Easy",IF(LEFT(B395,11)="INTL-SPA E ","International Easy",
IF(D395="Teen Large Type","Teen Fiction",
IF(D395="Juvenile Large Type","Juvenile Fiction",
IF(LEFT(B395,6)="J CD O","Juvenile Compact Disc",
IF(AND(LEFT(B395,4)="TEEN",D395="Fiction"),"Teen Fiction",
IF(D395="DVD Educational","Nonfiction",
IF(D395="Juvenile DVD Educational","Nonfiction",
IF(D395="Reference","Nonfiction",
D395))))))))))))))))))))))))))))))))))))))))))</f>
        <v/>
      </c>
    </row>
    <row r="396" spans="1:14" ht="27" customHeight="1" x14ac:dyDescent="0.25">
      <c r="A396" s="10" t="str">
        <f ca="1">TEXT( INDIRECT( ADDRESS( ROW() + Row_Offset, INDIRECT( "Column_Number_" &amp; A$1), 4,1, tabname) ), "")</f>
        <v/>
      </c>
      <c r="B396" s="10" t="str">
        <f ca="1">TEXT(  IFERROR( VLOOKUP( $D396, CollName_Simplifier_Table[], 2, FALSE),"") &amp;
        INDIRECT( ADDRESS( ROW() + Row_Offset, INDIRECT( "Column_Number_" &amp; $B$1), 4,1, tabname) ), "")</f>
        <v/>
      </c>
      <c r="C396" s="10" t="str">
        <f ca="1">TEXT( INDIRECT( ADDRESS( ROW() + Row_Offset, INDIRECT( "Column_Number_" &amp; C$1), 4,1, tabname) ), "")</f>
        <v/>
      </c>
      <c r="D396" s="10" t="str">
        <f ca="1">TEXT( INDIRECT( ADDRESS( ROW() + Row_Offset, INDIRECT( "Column_Number_" &amp; D$1), 4,1, tabname) ), "")</f>
        <v/>
      </c>
      <c r="E396" s="10" t="str">
        <f ca="1">TEXT( INDIRECT( ADDRESS( ROW() + Row_Offset, INDIRECT( "Column_Number_" &amp; E$1), 4,1, tabname) ), "####")</f>
        <v/>
      </c>
      <c r="F396" s="15"/>
      <c r="G396" s="22" t="str">
        <f ca="1">IFERROR(INDEX(Rank_Table[],MATCH($D396&amp;$A396,Table4[Join],0)),"")</f>
        <v/>
      </c>
      <c r="H396" s="11" t="str">
        <f ca="1">IF(AND(D396="Juvenile Audiobook",LEFT(B396,8)="J CD BIO"),RIGHT(B396,LEN(B396)-9),
IF(AND(D396="Juvenile Audiobook",LEFT(B396,8)="J CD FIC"),B396,
IF(D396="Juvenile Audiobook",RIGHT(B396,LEN(B396)-5),
IF(AND(D396="Teen Audiobook",LEFT(B396,11)="TEEN CD BIO"),RIGHT(B396,LEN(B396)-12),
IF(AND(D396="Teen Audiobook",LEFT(B396,11)="TEEN CD FIC"),B396,
IF(D396="Juvenile Audiobook",RIGHT(B396,LEN(B396)-8),
IF(D396="Juvenile Nonfiction",RIGHT(B396,LEN(B396)-2),
IF(D396="Teen Nonfiction",RIGHT(B396,LEN(B396)-5),
IF(AND(D396="Audiobook",
              NOT(OR(Contains($B396,"CD BIO"),Contains($B396,"CD FIC")))),RIGHT(B396,LEN(B396)-3),
IF(D396="Juvenile Biography",RIGHT(B396,LEN(B396)-2),
IF(D396="Teen Biography",RIGHT(B396,LEN(B396)-5),
IF(AND(D396="Audiobook",
              IFERROR(FIND("BIO",$B396)&gt;0,FALSE)),RIGHT(B396,LEN(B396)-3),
IF(D396="Juvenile Large Type","J "&amp;RIGHT(B396,LEN(B396)-11),
IF(D396="Teen Large Type","TEEN "&amp;RIGHT(B396,LEN(B396)-14),
IF(D396="Reference",RIGHT(B396,LEN(B396)-4),
IF(D396="DVD Educational",RIGHT(B396,LEN(B396)-7),
IF(D396="Juvenile DVD Educational",RIGHT(B396,LEN(B396)-9),
B396)))))))))))))))))</f>
        <v/>
      </c>
      <c r="N396" s="11" t="str">
        <f ca="1">IF(IFERROR(FIND("New",$A396)&gt;0,FALSE),"New ","") &amp; IF(IFERROR(FIND("In Lib",$A396)&gt;0,FALSE),"Reference ","") &amp;
IF(AND(D396="Audiobook",LEFT(B396,6)="CD BIO"),"Biography",
IF(AND(D396="Teen Audiobook",LEFT(B396,11)="TEEN CD BIO"),"Biography",
IF(AND(D396="Juvenile Audiobook",LEFT(B396,8)="J CD BIO"),"Biography",
IF(AND(D396="Audiobook",LEFT(B396,6)="CD FIC"),"Audiobook Fiction",
IF(AND(D396="Teen Audiobook",LEFT(B396,11)="TEEN CD FIC"),"Teen Audiobook",
IF(AND(D396="Juvenile Audiobook",LEFT(B396,8)="J CD FIC"),"Juvenile Audiobook",
IF(D396="Audiobook","Nonfiction",
IF(D396="Juvenile Audiobook","Nonfiction",
IF(D396="Teen Audiobook","Nonfiction",
IF(D396="Juvenile Nonfiction","Nonfiction",
IF(D396="Teen Nonfiction","Nonfiction",
IF(D396="Juvenile Biography","Biography",
IF(D396="Teen Biography","Biography",
IF(D396="ESL","Nonfiction",
IF(LEFT(B396,11)="INTL-VIE J ","International Juvenile",IF(LEFT(B396,11)="INTL-TAG J ","International Juvenile",IF(LEFT(B396,11)="INTL-RUS J ","International Juvenile",IF(LEFT(B396,11)="INTL-KOR J ","International Juvenile",IF(LEFT(B396,11)="INTL-JAP J ","International Juvenile",IF(LEFT(B396,11)="INTL-CHI J ","International Juvenile",IF(LEFT(B396,11)="INTL-SPA J ","International Juvenile",IF(LEFT(B396,14)="INTL-VIE TEEN ","International Teen",IF(LEFT(B396,14)="INTL-TAG TEEN ","International Teen",IF(LEFT(B396,14)="INTL-RUS TEEN ","International Teen",IF(LEFT(B396,14)="INTL-KOR TEEN ","International Teen",IF(LEFT(B396,14)="INTL-JAP TEEN ","International Teen",IF(LEFT(B396,14)="INTL-CHI TEEN ","International Teen",IF(LEFT(B396,14)="INTL-SPA TEEN ","International Teen",IF(LEFT(B396,11)="INTL-VIE E ","International Easy",IF(LEFT(B396,11)="INTL-TAG E ","International Easy",IF(LEFT(B396,11)="INTL-RUS E ","International Easy",IF(LEFT(B396,11)="INTL-JAP E ","International Easy",IF(LEFT(B396,11)="INTL-KOR E ","International Easy",IF(LEFT(B396,11)="INTL-CHI E ","International Easy",IF(LEFT(B396,11)="INTL-SPA E ","International Easy",
IF(D396="Teen Large Type","Teen Fiction",
IF(D396="Juvenile Large Type","Juvenile Fiction",
IF(LEFT(B396,6)="J CD O","Juvenile Compact Disc",
IF(AND(LEFT(B396,4)="TEEN",D396="Fiction"),"Teen Fiction",
IF(D396="DVD Educational","Nonfiction",
IF(D396="Juvenile DVD Educational","Nonfiction",
IF(D396="Reference","Nonfiction",
D396))))))))))))))))))))))))))))))))))))))))))</f>
        <v/>
      </c>
    </row>
    <row r="397" spans="1:14" ht="27" customHeight="1" x14ac:dyDescent="0.25">
      <c r="A397" s="10" t="str">
        <f ca="1">TEXT( INDIRECT( ADDRESS( ROW() + Row_Offset, INDIRECT( "Column_Number_" &amp; A$1), 4,1, tabname) ), "")</f>
        <v/>
      </c>
      <c r="B397" s="10" t="str">
        <f ca="1">TEXT(  IFERROR( VLOOKUP( $D397, CollName_Simplifier_Table[], 2, FALSE),"") &amp;
        INDIRECT( ADDRESS( ROW() + Row_Offset, INDIRECT( "Column_Number_" &amp; $B$1), 4,1, tabname) ), "")</f>
        <v/>
      </c>
      <c r="C397" s="10" t="str">
        <f ca="1">TEXT( INDIRECT( ADDRESS( ROW() + Row_Offset, INDIRECT( "Column_Number_" &amp; C$1), 4,1, tabname) ), "")</f>
        <v/>
      </c>
      <c r="D397" s="10" t="str">
        <f ca="1">TEXT( INDIRECT( ADDRESS( ROW() + Row_Offset, INDIRECT( "Column_Number_" &amp; D$1), 4,1, tabname) ), "")</f>
        <v/>
      </c>
      <c r="E397" s="10" t="str">
        <f ca="1">TEXT( INDIRECT( ADDRESS( ROW() + Row_Offset, INDIRECT( "Column_Number_" &amp; E$1), 4,1, tabname) ), "####")</f>
        <v/>
      </c>
      <c r="F397" s="15"/>
      <c r="G397" s="22" t="str">
        <f ca="1">IFERROR(INDEX(Rank_Table[],MATCH($D397&amp;$A397,Table4[Join],0)),"")</f>
        <v/>
      </c>
      <c r="H397" s="11" t="str">
        <f ca="1">IF(AND(D397="Juvenile Audiobook",LEFT(B397,8)="J CD BIO"),RIGHT(B397,LEN(B397)-9),
IF(AND(D397="Juvenile Audiobook",LEFT(B397,8)="J CD FIC"),B397,
IF(D397="Juvenile Audiobook",RIGHT(B397,LEN(B397)-5),
IF(AND(D397="Teen Audiobook",LEFT(B397,11)="TEEN CD BIO"),RIGHT(B397,LEN(B397)-12),
IF(AND(D397="Teen Audiobook",LEFT(B397,11)="TEEN CD FIC"),B397,
IF(D397="Juvenile Audiobook",RIGHT(B397,LEN(B397)-8),
IF(D397="Juvenile Nonfiction",RIGHT(B397,LEN(B397)-2),
IF(D397="Teen Nonfiction",RIGHT(B397,LEN(B397)-5),
IF(AND(D397="Audiobook",
              NOT(OR(Contains($B397,"CD BIO"),Contains($B397,"CD FIC")))),RIGHT(B397,LEN(B397)-3),
IF(D397="Juvenile Biography",RIGHT(B397,LEN(B397)-2),
IF(D397="Teen Biography",RIGHT(B397,LEN(B397)-5),
IF(AND(D397="Audiobook",
              IFERROR(FIND("BIO",$B397)&gt;0,FALSE)),RIGHT(B397,LEN(B397)-3),
IF(D397="Juvenile Large Type","J "&amp;RIGHT(B397,LEN(B397)-11),
IF(D397="Teen Large Type","TEEN "&amp;RIGHT(B397,LEN(B397)-14),
IF(D397="Reference",RIGHT(B397,LEN(B397)-4),
IF(D397="DVD Educational",RIGHT(B397,LEN(B397)-7),
IF(D397="Juvenile DVD Educational",RIGHT(B397,LEN(B397)-9),
B397)))))))))))))))))</f>
        <v/>
      </c>
      <c r="N397" s="11" t="str">
        <f ca="1">IF(IFERROR(FIND("New",$A397)&gt;0,FALSE),"New ","") &amp; IF(IFERROR(FIND("In Lib",$A397)&gt;0,FALSE),"Reference ","") &amp;
IF(AND(D397="Audiobook",LEFT(B397,6)="CD BIO"),"Biography",
IF(AND(D397="Teen Audiobook",LEFT(B397,11)="TEEN CD BIO"),"Biography",
IF(AND(D397="Juvenile Audiobook",LEFT(B397,8)="J CD BIO"),"Biography",
IF(AND(D397="Audiobook",LEFT(B397,6)="CD FIC"),"Audiobook Fiction",
IF(AND(D397="Teen Audiobook",LEFT(B397,11)="TEEN CD FIC"),"Teen Audiobook",
IF(AND(D397="Juvenile Audiobook",LEFT(B397,8)="J CD FIC"),"Juvenile Audiobook",
IF(D397="Audiobook","Nonfiction",
IF(D397="Juvenile Audiobook","Nonfiction",
IF(D397="Teen Audiobook","Nonfiction",
IF(D397="Juvenile Nonfiction","Nonfiction",
IF(D397="Teen Nonfiction","Nonfiction",
IF(D397="Juvenile Biography","Biography",
IF(D397="Teen Biography","Biography",
IF(D397="ESL","Nonfiction",
IF(LEFT(B397,11)="INTL-VIE J ","International Juvenile",IF(LEFT(B397,11)="INTL-TAG J ","International Juvenile",IF(LEFT(B397,11)="INTL-RUS J ","International Juvenile",IF(LEFT(B397,11)="INTL-KOR J ","International Juvenile",IF(LEFT(B397,11)="INTL-JAP J ","International Juvenile",IF(LEFT(B397,11)="INTL-CHI J ","International Juvenile",IF(LEFT(B397,11)="INTL-SPA J ","International Juvenile",IF(LEFT(B397,14)="INTL-VIE TEEN ","International Teen",IF(LEFT(B397,14)="INTL-TAG TEEN ","International Teen",IF(LEFT(B397,14)="INTL-RUS TEEN ","International Teen",IF(LEFT(B397,14)="INTL-KOR TEEN ","International Teen",IF(LEFT(B397,14)="INTL-JAP TEEN ","International Teen",IF(LEFT(B397,14)="INTL-CHI TEEN ","International Teen",IF(LEFT(B397,14)="INTL-SPA TEEN ","International Teen",IF(LEFT(B397,11)="INTL-VIE E ","International Easy",IF(LEFT(B397,11)="INTL-TAG E ","International Easy",IF(LEFT(B397,11)="INTL-RUS E ","International Easy",IF(LEFT(B397,11)="INTL-JAP E ","International Easy",IF(LEFT(B397,11)="INTL-KOR E ","International Easy",IF(LEFT(B397,11)="INTL-CHI E ","International Easy",IF(LEFT(B397,11)="INTL-SPA E ","International Easy",
IF(D397="Teen Large Type","Teen Fiction",
IF(D397="Juvenile Large Type","Juvenile Fiction",
IF(LEFT(B397,6)="J CD O","Juvenile Compact Disc",
IF(AND(LEFT(B397,4)="TEEN",D397="Fiction"),"Teen Fiction",
IF(D397="DVD Educational","Nonfiction",
IF(D397="Juvenile DVD Educational","Nonfiction",
IF(D397="Reference","Nonfiction",
D397))))))))))))))))))))))))))))))))))))))))))</f>
        <v/>
      </c>
    </row>
    <row r="398" spans="1:14" ht="27" customHeight="1" x14ac:dyDescent="0.25">
      <c r="A398" s="10" t="str">
        <f ca="1">TEXT( INDIRECT( ADDRESS( ROW() + Row_Offset, INDIRECT( "Column_Number_" &amp; A$1), 4,1, tabname) ), "")</f>
        <v/>
      </c>
      <c r="B398" s="10" t="str">
        <f ca="1">TEXT(  IFERROR( VLOOKUP( $D398, CollName_Simplifier_Table[], 2, FALSE),"") &amp;
        INDIRECT( ADDRESS( ROW() + Row_Offset, INDIRECT( "Column_Number_" &amp; $B$1), 4,1, tabname) ), "")</f>
        <v/>
      </c>
      <c r="C398" s="10" t="str">
        <f ca="1">TEXT( INDIRECT( ADDRESS( ROW() + Row_Offset, INDIRECT( "Column_Number_" &amp; C$1), 4,1, tabname) ), "")</f>
        <v/>
      </c>
      <c r="D398" s="10" t="str">
        <f ca="1">TEXT( INDIRECT( ADDRESS( ROW() + Row_Offset, INDIRECT( "Column_Number_" &amp; D$1), 4,1, tabname) ), "")</f>
        <v/>
      </c>
      <c r="E398" s="10" t="str">
        <f ca="1">TEXT( INDIRECT( ADDRESS( ROW() + Row_Offset, INDIRECT( "Column_Number_" &amp; E$1), 4,1, tabname) ), "####")</f>
        <v/>
      </c>
      <c r="F398" s="15"/>
      <c r="G398" s="22" t="str">
        <f ca="1">IFERROR(INDEX(Rank_Table[],MATCH($D398&amp;$A398,Table4[Join],0)),"")</f>
        <v/>
      </c>
      <c r="H398" s="11" t="str">
        <f ca="1">IF(AND(D398="Juvenile Audiobook",LEFT(B398,8)="J CD BIO"),RIGHT(B398,LEN(B398)-9),
IF(AND(D398="Juvenile Audiobook",LEFT(B398,8)="J CD FIC"),B398,
IF(D398="Juvenile Audiobook",RIGHT(B398,LEN(B398)-5),
IF(AND(D398="Teen Audiobook",LEFT(B398,11)="TEEN CD BIO"),RIGHT(B398,LEN(B398)-12),
IF(AND(D398="Teen Audiobook",LEFT(B398,11)="TEEN CD FIC"),B398,
IF(D398="Juvenile Audiobook",RIGHT(B398,LEN(B398)-8),
IF(D398="Juvenile Nonfiction",RIGHT(B398,LEN(B398)-2),
IF(D398="Teen Nonfiction",RIGHT(B398,LEN(B398)-5),
IF(AND(D398="Audiobook",
              NOT(OR(Contains($B398,"CD BIO"),Contains($B398,"CD FIC")))),RIGHT(B398,LEN(B398)-3),
IF(D398="Juvenile Biography",RIGHT(B398,LEN(B398)-2),
IF(D398="Teen Biography",RIGHT(B398,LEN(B398)-5),
IF(AND(D398="Audiobook",
              IFERROR(FIND("BIO",$B398)&gt;0,FALSE)),RIGHT(B398,LEN(B398)-3),
IF(D398="Juvenile Large Type","J "&amp;RIGHT(B398,LEN(B398)-11),
IF(D398="Teen Large Type","TEEN "&amp;RIGHT(B398,LEN(B398)-14),
IF(D398="Reference",RIGHT(B398,LEN(B398)-4),
IF(D398="DVD Educational",RIGHT(B398,LEN(B398)-7),
IF(D398="Juvenile DVD Educational",RIGHT(B398,LEN(B398)-9),
B398)))))))))))))))))</f>
        <v/>
      </c>
      <c r="N398" s="11" t="str">
        <f ca="1">IF(IFERROR(FIND("New",$A398)&gt;0,FALSE),"New ","") &amp; IF(IFERROR(FIND("In Lib",$A398)&gt;0,FALSE),"Reference ","") &amp;
IF(AND(D398="Audiobook",LEFT(B398,6)="CD BIO"),"Biography",
IF(AND(D398="Teen Audiobook",LEFT(B398,11)="TEEN CD BIO"),"Biography",
IF(AND(D398="Juvenile Audiobook",LEFT(B398,8)="J CD BIO"),"Biography",
IF(AND(D398="Audiobook",LEFT(B398,6)="CD FIC"),"Audiobook Fiction",
IF(AND(D398="Teen Audiobook",LEFT(B398,11)="TEEN CD FIC"),"Teen Audiobook",
IF(AND(D398="Juvenile Audiobook",LEFT(B398,8)="J CD FIC"),"Juvenile Audiobook",
IF(D398="Audiobook","Nonfiction",
IF(D398="Juvenile Audiobook","Nonfiction",
IF(D398="Teen Audiobook","Nonfiction",
IF(D398="Juvenile Nonfiction","Nonfiction",
IF(D398="Teen Nonfiction","Nonfiction",
IF(D398="Juvenile Biography","Biography",
IF(D398="Teen Biography","Biography",
IF(D398="ESL","Nonfiction",
IF(LEFT(B398,11)="INTL-VIE J ","International Juvenile",IF(LEFT(B398,11)="INTL-TAG J ","International Juvenile",IF(LEFT(B398,11)="INTL-RUS J ","International Juvenile",IF(LEFT(B398,11)="INTL-KOR J ","International Juvenile",IF(LEFT(B398,11)="INTL-JAP J ","International Juvenile",IF(LEFT(B398,11)="INTL-CHI J ","International Juvenile",IF(LEFT(B398,11)="INTL-SPA J ","International Juvenile",IF(LEFT(B398,14)="INTL-VIE TEEN ","International Teen",IF(LEFT(B398,14)="INTL-TAG TEEN ","International Teen",IF(LEFT(B398,14)="INTL-RUS TEEN ","International Teen",IF(LEFT(B398,14)="INTL-KOR TEEN ","International Teen",IF(LEFT(B398,14)="INTL-JAP TEEN ","International Teen",IF(LEFT(B398,14)="INTL-CHI TEEN ","International Teen",IF(LEFT(B398,14)="INTL-SPA TEEN ","International Teen",IF(LEFT(B398,11)="INTL-VIE E ","International Easy",IF(LEFT(B398,11)="INTL-TAG E ","International Easy",IF(LEFT(B398,11)="INTL-RUS E ","International Easy",IF(LEFT(B398,11)="INTL-JAP E ","International Easy",IF(LEFT(B398,11)="INTL-KOR E ","International Easy",IF(LEFT(B398,11)="INTL-CHI E ","International Easy",IF(LEFT(B398,11)="INTL-SPA E ","International Easy",
IF(D398="Teen Large Type","Teen Fiction",
IF(D398="Juvenile Large Type","Juvenile Fiction",
IF(LEFT(B398,6)="J CD O","Juvenile Compact Disc",
IF(AND(LEFT(B398,4)="TEEN",D398="Fiction"),"Teen Fiction",
IF(D398="DVD Educational","Nonfiction",
IF(D398="Juvenile DVD Educational","Nonfiction",
IF(D398="Reference","Nonfiction",
D398))))))))))))))))))))))))))))))))))))))))))</f>
        <v/>
      </c>
    </row>
    <row r="399" spans="1:14" ht="27" customHeight="1" x14ac:dyDescent="0.25">
      <c r="A399" s="10" t="str">
        <f ca="1">TEXT( INDIRECT( ADDRESS( ROW() + Row_Offset, INDIRECT( "Column_Number_" &amp; A$1), 4,1, tabname) ), "")</f>
        <v/>
      </c>
      <c r="B399" s="10" t="str">
        <f ca="1">TEXT(  IFERROR( VLOOKUP( $D399, CollName_Simplifier_Table[], 2, FALSE),"") &amp;
        INDIRECT( ADDRESS( ROW() + Row_Offset, INDIRECT( "Column_Number_" &amp; $B$1), 4,1, tabname) ), "")</f>
        <v/>
      </c>
      <c r="C399" s="10" t="str">
        <f ca="1">TEXT( INDIRECT( ADDRESS( ROW() + Row_Offset, INDIRECT( "Column_Number_" &amp; C$1), 4,1, tabname) ), "")</f>
        <v/>
      </c>
      <c r="D399" s="10" t="str">
        <f ca="1">TEXT( INDIRECT( ADDRESS( ROW() + Row_Offset, INDIRECT( "Column_Number_" &amp; D$1), 4,1, tabname) ), "")</f>
        <v/>
      </c>
      <c r="E399" s="10" t="str">
        <f ca="1">TEXT( INDIRECT( ADDRESS( ROW() + Row_Offset, INDIRECT( "Column_Number_" &amp; E$1), 4,1, tabname) ), "####")</f>
        <v/>
      </c>
      <c r="F399" s="15"/>
      <c r="G399" s="22" t="str">
        <f ca="1">IFERROR(INDEX(Rank_Table[],MATCH($D399&amp;$A399,Table4[Join],0)),"")</f>
        <v/>
      </c>
      <c r="H399" s="11" t="str">
        <f ca="1">IF(AND(D399="Juvenile Audiobook",LEFT(B399,8)="J CD BIO"),RIGHT(B399,LEN(B399)-9),
IF(AND(D399="Juvenile Audiobook",LEFT(B399,8)="J CD FIC"),B399,
IF(D399="Juvenile Audiobook",RIGHT(B399,LEN(B399)-5),
IF(AND(D399="Teen Audiobook",LEFT(B399,11)="TEEN CD BIO"),RIGHT(B399,LEN(B399)-12),
IF(AND(D399="Teen Audiobook",LEFT(B399,11)="TEEN CD FIC"),B399,
IF(D399="Juvenile Audiobook",RIGHT(B399,LEN(B399)-8),
IF(D399="Juvenile Nonfiction",RIGHT(B399,LEN(B399)-2),
IF(D399="Teen Nonfiction",RIGHT(B399,LEN(B399)-5),
IF(AND(D399="Audiobook",
              NOT(OR(Contains($B399,"CD BIO"),Contains($B399,"CD FIC")))),RIGHT(B399,LEN(B399)-3),
IF(D399="Juvenile Biography",RIGHT(B399,LEN(B399)-2),
IF(D399="Teen Biography",RIGHT(B399,LEN(B399)-5),
IF(AND(D399="Audiobook",
              IFERROR(FIND("BIO",$B399)&gt;0,FALSE)),RIGHT(B399,LEN(B399)-3),
IF(D399="Juvenile Large Type","J "&amp;RIGHT(B399,LEN(B399)-11),
IF(D399="Teen Large Type","TEEN "&amp;RIGHT(B399,LEN(B399)-14),
IF(D399="Reference",RIGHT(B399,LEN(B399)-4),
IF(D399="DVD Educational",RIGHT(B399,LEN(B399)-7),
IF(D399="Juvenile DVD Educational",RIGHT(B399,LEN(B399)-9),
B399)))))))))))))))))</f>
        <v/>
      </c>
      <c r="N399" s="11" t="str">
        <f ca="1">IF(IFERROR(FIND("New",$A399)&gt;0,FALSE),"New ","") &amp; IF(IFERROR(FIND("In Lib",$A399)&gt;0,FALSE),"Reference ","") &amp;
IF(AND(D399="Audiobook",LEFT(B399,6)="CD BIO"),"Biography",
IF(AND(D399="Teen Audiobook",LEFT(B399,11)="TEEN CD BIO"),"Biography",
IF(AND(D399="Juvenile Audiobook",LEFT(B399,8)="J CD BIO"),"Biography",
IF(AND(D399="Audiobook",LEFT(B399,6)="CD FIC"),"Audiobook Fiction",
IF(AND(D399="Teen Audiobook",LEFT(B399,11)="TEEN CD FIC"),"Teen Audiobook",
IF(AND(D399="Juvenile Audiobook",LEFT(B399,8)="J CD FIC"),"Juvenile Audiobook",
IF(D399="Audiobook","Nonfiction",
IF(D399="Juvenile Audiobook","Nonfiction",
IF(D399="Teen Audiobook","Nonfiction",
IF(D399="Juvenile Nonfiction","Nonfiction",
IF(D399="Teen Nonfiction","Nonfiction",
IF(D399="Juvenile Biography","Biography",
IF(D399="Teen Biography","Biography",
IF(D399="ESL","Nonfiction",
IF(LEFT(B399,11)="INTL-VIE J ","International Juvenile",IF(LEFT(B399,11)="INTL-TAG J ","International Juvenile",IF(LEFT(B399,11)="INTL-RUS J ","International Juvenile",IF(LEFT(B399,11)="INTL-KOR J ","International Juvenile",IF(LEFT(B399,11)="INTL-JAP J ","International Juvenile",IF(LEFT(B399,11)="INTL-CHI J ","International Juvenile",IF(LEFT(B399,11)="INTL-SPA J ","International Juvenile",IF(LEFT(B399,14)="INTL-VIE TEEN ","International Teen",IF(LEFT(B399,14)="INTL-TAG TEEN ","International Teen",IF(LEFT(B399,14)="INTL-RUS TEEN ","International Teen",IF(LEFT(B399,14)="INTL-KOR TEEN ","International Teen",IF(LEFT(B399,14)="INTL-JAP TEEN ","International Teen",IF(LEFT(B399,14)="INTL-CHI TEEN ","International Teen",IF(LEFT(B399,14)="INTL-SPA TEEN ","International Teen",IF(LEFT(B399,11)="INTL-VIE E ","International Easy",IF(LEFT(B399,11)="INTL-TAG E ","International Easy",IF(LEFT(B399,11)="INTL-RUS E ","International Easy",IF(LEFT(B399,11)="INTL-JAP E ","International Easy",IF(LEFT(B399,11)="INTL-KOR E ","International Easy",IF(LEFT(B399,11)="INTL-CHI E ","International Easy",IF(LEFT(B399,11)="INTL-SPA E ","International Easy",
IF(D399="Teen Large Type","Teen Fiction",
IF(D399="Juvenile Large Type","Juvenile Fiction",
IF(LEFT(B399,6)="J CD O","Juvenile Compact Disc",
IF(AND(LEFT(B399,4)="TEEN",D399="Fiction"),"Teen Fiction",
IF(D399="DVD Educational","Nonfiction",
IF(D399="Juvenile DVD Educational","Nonfiction",
IF(D399="Reference","Nonfiction",
D399))))))))))))))))))))))))))))))))))))))))))</f>
        <v/>
      </c>
    </row>
    <row r="400" spans="1:14" ht="27" customHeight="1" x14ac:dyDescent="0.25">
      <c r="A400" s="10" t="str">
        <f ca="1">TEXT( INDIRECT( ADDRESS( ROW() + Row_Offset, INDIRECT( "Column_Number_" &amp; A$1), 4,1, tabname) ), "")</f>
        <v/>
      </c>
      <c r="B400" s="10" t="str">
        <f ca="1">TEXT(  IFERROR( VLOOKUP( $D400, CollName_Simplifier_Table[], 2, FALSE),"") &amp;
        INDIRECT( ADDRESS( ROW() + Row_Offset, INDIRECT( "Column_Number_" &amp; $B$1), 4,1, tabname) ), "")</f>
        <v/>
      </c>
      <c r="C400" s="10" t="str">
        <f ca="1">TEXT( INDIRECT( ADDRESS( ROW() + Row_Offset, INDIRECT( "Column_Number_" &amp; C$1), 4,1, tabname) ), "")</f>
        <v/>
      </c>
      <c r="D400" s="10" t="str">
        <f ca="1">TEXT( INDIRECT( ADDRESS( ROW() + Row_Offset, INDIRECT( "Column_Number_" &amp; D$1), 4,1, tabname) ), "")</f>
        <v/>
      </c>
      <c r="E400" s="10" t="str">
        <f ca="1">TEXT( INDIRECT( ADDRESS( ROW() + Row_Offset, INDIRECT( "Column_Number_" &amp; E$1), 4,1, tabname) ), "####")</f>
        <v/>
      </c>
      <c r="F400" s="15"/>
      <c r="G400" s="22" t="str">
        <f ca="1">IFERROR(INDEX(Rank_Table[],MATCH($D400&amp;$A400,Table4[Join],0)),"")</f>
        <v/>
      </c>
      <c r="H400" s="11" t="str">
        <f ca="1">IF(AND(D400="Juvenile Audiobook",LEFT(B400,8)="J CD BIO"),RIGHT(B400,LEN(B400)-9),
IF(AND(D400="Juvenile Audiobook",LEFT(B400,8)="J CD FIC"),B400,
IF(D400="Juvenile Audiobook",RIGHT(B400,LEN(B400)-5),
IF(AND(D400="Teen Audiobook",LEFT(B400,11)="TEEN CD BIO"),RIGHT(B400,LEN(B400)-12),
IF(AND(D400="Teen Audiobook",LEFT(B400,11)="TEEN CD FIC"),B400,
IF(D400="Juvenile Audiobook",RIGHT(B400,LEN(B400)-8),
IF(D400="Juvenile Nonfiction",RIGHT(B400,LEN(B400)-2),
IF(D400="Teen Nonfiction",RIGHT(B400,LEN(B400)-5),
IF(AND(D400="Audiobook",
              NOT(OR(Contains($B400,"CD BIO"),Contains($B400,"CD FIC")))),RIGHT(B400,LEN(B400)-3),
IF(D400="Juvenile Biography",RIGHT(B400,LEN(B400)-2),
IF(D400="Teen Biography",RIGHT(B400,LEN(B400)-5),
IF(AND(D400="Audiobook",
              IFERROR(FIND("BIO",$B400)&gt;0,FALSE)),RIGHT(B400,LEN(B400)-3),
IF(D400="Juvenile Large Type","J "&amp;RIGHT(B400,LEN(B400)-11),
IF(D400="Teen Large Type","TEEN "&amp;RIGHT(B400,LEN(B400)-14),
IF(D400="Reference",RIGHT(B400,LEN(B400)-4),
IF(D400="DVD Educational",RIGHT(B400,LEN(B400)-7),
IF(D400="Juvenile DVD Educational",RIGHT(B400,LEN(B400)-9),
B400)))))))))))))))))</f>
        <v/>
      </c>
      <c r="N400" s="11" t="str">
        <f ca="1">IF(IFERROR(FIND("New",$A400)&gt;0,FALSE),"New ","") &amp; IF(IFERROR(FIND("In Lib",$A400)&gt;0,FALSE),"Reference ","") &amp;
IF(AND(D400="Audiobook",LEFT(B400,6)="CD BIO"),"Biography",
IF(AND(D400="Teen Audiobook",LEFT(B400,11)="TEEN CD BIO"),"Biography",
IF(AND(D400="Juvenile Audiobook",LEFT(B400,8)="J CD BIO"),"Biography",
IF(AND(D400="Audiobook",LEFT(B400,6)="CD FIC"),"Audiobook Fiction",
IF(AND(D400="Teen Audiobook",LEFT(B400,11)="TEEN CD FIC"),"Teen Audiobook",
IF(AND(D400="Juvenile Audiobook",LEFT(B400,8)="J CD FIC"),"Juvenile Audiobook",
IF(D400="Audiobook","Nonfiction",
IF(D400="Juvenile Audiobook","Nonfiction",
IF(D400="Teen Audiobook","Nonfiction",
IF(D400="Juvenile Nonfiction","Nonfiction",
IF(D400="Teen Nonfiction","Nonfiction",
IF(D400="Juvenile Biography","Biography",
IF(D400="Teen Biography","Biography",
IF(D400="ESL","Nonfiction",
IF(LEFT(B400,11)="INTL-VIE J ","International Juvenile",IF(LEFT(B400,11)="INTL-TAG J ","International Juvenile",IF(LEFT(B400,11)="INTL-RUS J ","International Juvenile",IF(LEFT(B400,11)="INTL-KOR J ","International Juvenile",IF(LEFT(B400,11)="INTL-JAP J ","International Juvenile",IF(LEFT(B400,11)="INTL-CHI J ","International Juvenile",IF(LEFT(B400,11)="INTL-SPA J ","International Juvenile",IF(LEFT(B400,14)="INTL-VIE TEEN ","International Teen",IF(LEFT(B400,14)="INTL-TAG TEEN ","International Teen",IF(LEFT(B400,14)="INTL-RUS TEEN ","International Teen",IF(LEFT(B400,14)="INTL-KOR TEEN ","International Teen",IF(LEFT(B400,14)="INTL-JAP TEEN ","International Teen",IF(LEFT(B400,14)="INTL-CHI TEEN ","International Teen",IF(LEFT(B400,14)="INTL-SPA TEEN ","International Teen",IF(LEFT(B400,11)="INTL-VIE E ","International Easy",IF(LEFT(B400,11)="INTL-TAG E ","International Easy",IF(LEFT(B400,11)="INTL-RUS E ","International Easy",IF(LEFT(B400,11)="INTL-JAP E ","International Easy",IF(LEFT(B400,11)="INTL-KOR E ","International Easy",IF(LEFT(B400,11)="INTL-CHI E ","International Easy",IF(LEFT(B400,11)="INTL-SPA E ","International Easy",
IF(D400="Teen Large Type","Teen Fiction",
IF(D400="Juvenile Large Type","Juvenile Fiction",
IF(LEFT(B400,6)="J CD O","Juvenile Compact Disc",
IF(AND(LEFT(B400,4)="TEEN",D400="Fiction"),"Teen Fiction",
IF(D400="DVD Educational","Nonfiction",
IF(D400="Juvenile DVD Educational","Nonfiction",
IF(D400="Reference","Nonfiction",
D400))))))))))))))))))))))))))))))))))))))))))</f>
        <v/>
      </c>
    </row>
    <row r="401" spans="1:14" ht="27" customHeight="1" x14ac:dyDescent="0.25">
      <c r="A401" s="10" t="str">
        <f ca="1">TEXT( INDIRECT( ADDRESS( ROW() + Row_Offset, INDIRECT( "Column_Number_" &amp; A$1), 4,1, tabname) ), "")</f>
        <v/>
      </c>
      <c r="B401" s="10" t="str">
        <f ca="1">TEXT(  IFERROR( VLOOKUP( $D401, CollName_Simplifier_Table[], 2, FALSE),"") &amp;
        INDIRECT( ADDRESS( ROW() + Row_Offset, INDIRECT( "Column_Number_" &amp; $B$1), 4,1, tabname) ), "")</f>
        <v/>
      </c>
      <c r="C401" s="10" t="str">
        <f ca="1">TEXT( INDIRECT( ADDRESS( ROW() + Row_Offset, INDIRECT( "Column_Number_" &amp; C$1), 4,1, tabname) ), "")</f>
        <v/>
      </c>
      <c r="D401" s="10" t="str">
        <f ca="1">TEXT( INDIRECT( ADDRESS( ROW() + Row_Offset, INDIRECT( "Column_Number_" &amp; D$1), 4,1, tabname) ), "")</f>
        <v/>
      </c>
      <c r="E401" s="10" t="str">
        <f ca="1">TEXT( INDIRECT( ADDRESS( ROW() + Row_Offset, INDIRECT( "Column_Number_" &amp; E$1), 4,1, tabname) ), "####")</f>
        <v/>
      </c>
      <c r="F401" s="15"/>
      <c r="G401" s="22" t="str">
        <f ca="1">IFERROR(INDEX(Rank_Table[],MATCH($D401&amp;$A401,Table4[Join],0)),"")</f>
        <v/>
      </c>
      <c r="H401" s="11" t="str">
        <f ca="1">IF(AND(D401="Juvenile Audiobook",LEFT(B401,8)="J CD BIO"),RIGHT(B401,LEN(B401)-9),
IF(AND(D401="Juvenile Audiobook",LEFT(B401,8)="J CD FIC"),B401,
IF(D401="Juvenile Audiobook",RIGHT(B401,LEN(B401)-5),
IF(AND(D401="Teen Audiobook",LEFT(B401,11)="TEEN CD BIO"),RIGHT(B401,LEN(B401)-12),
IF(AND(D401="Teen Audiobook",LEFT(B401,11)="TEEN CD FIC"),B401,
IF(D401="Juvenile Audiobook",RIGHT(B401,LEN(B401)-8),
IF(D401="Juvenile Nonfiction",RIGHT(B401,LEN(B401)-2),
IF(D401="Teen Nonfiction",RIGHT(B401,LEN(B401)-5),
IF(AND(D401="Audiobook",
              NOT(OR(Contains($B401,"CD BIO"),Contains($B401,"CD FIC")))),RIGHT(B401,LEN(B401)-3),
IF(D401="Juvenile Biography",RIGHT(B401,LEN(B401)-2),
IF(D401="Teen Biography",RIGHT(B401,LEN(B401)-5),
IF(AND(D401="Audiobook",
              IFERROR(FIND("BIO",$B401)&gt;0,FALSE)),RIGHT(B401,LEN(B401)-3),
IF(D401="Juvenile Large Type","J "&amp;RIGHT(B401,LEN(B401)-11),
IF(D401="Teen Large Type","TEEN "&amp;RIGHT(B401,LEN(B401)-14),
IF(D401="Reference",RIGHT(B401,LEN(B401)-4),
IF(D401="DVD Educational",RIGHT(B401,LEN(B401)-7),
IF(D401="Juvenile DVD Educational",RIGHT(B401,LEN(B401)-9),
B401)))))))))))))))))</f>
        <v/>
      </c>
      <c r="N401" s="11" t="str">
        <f ca="1">IF(IFERROR(FIND("New",$A401)&gt;0,FALSE),"New ","") &amp; IF(IFERROR(FIND("In Lib",$A401)&gt;0,FALSE),"Reference ","") &amp;
IF(AND(D401="Audiobook",LEFT(B401,6)="CD BIO"),"Biography",
IF(AND(D401="Teen Audiobook",LEFT(B401,11)="TEEN CD BIO"),"Biography",
IF(AND(D401="Juvenile Audiobook",LEFT(B401,8)="J CD BIO"),"Biography",
IF(AND(D401="Audiobook",LEFT(B401,6)="CD FIC"),"Audiobook Fiction",
IF(AND(D401="Teen Audiobook",LEFT(B401,11)="TEEN CD FIC"),"Teen Audiobook",
IF(AND(D401="Juvenile Audiobook",LEFT(B401,8)="J CD FIC"),"Juvenile Audiobook",
IF(D401="Audiobook","Nonfiction",
IF(D401="Juvenile Audiobook","Nonfiction",
IF(D401="Teen Audiobook","Nonfiction",
IF(D401="Juvenile Nonfiction","Nonfiction",
IF(D401="Teen Nonfiction","Nonfiction",
IF(D401="Juvenile Biography","Biography",
IF(D401="Teen Biography","Biography",
IF(D401="ESL","Nonfiction",
IF(LEFT(B401,11)="INTL-VIE J ","International Juvenile",IF(LEFT(B401,11)="INTL-TAG J ","International Juvenile",IF(LEFT(B401,11)="INTL-RUS J ","International Juvenile",IF(LEFT(B401,11)="INTL-KOR J ","International Juvenile",IF(LEFT(B401,11)="INTL-JAP J ","International Juvenile",IF(LEFT(B401,11)="INTL-CHI J ","International Juvenile",IF(LEFT(B401,11)="INTL-SPA J ","International Juvenile",IF(LEFT(B401,14)="INTL-VIE TEEN ","International Teen",IF(LEFT(B401,14)="INTL-TAG TEEN ","International Teen",IF(LEFT(B401,14)="INTL-RUS TEEN ","International Teen",IF(LEFT(B401,14)="INTL-KOR TEEN ","International Teen",IF(LEFT(B401,14)="INTL-JAP TEEN ","International Teen",IF(LEFT(B401,14)="INTL-CHI TEEN ","International Teen",IF(LEFT(B401,14)="INTL-SPA TEEN ","International Teen",IF(LEFT(B401,11)="INTL-VIE E ","International Easy",IF(LEFT(B401,11)="INTL-TAG E ","International Easy",IF(LEFT(B401,11)="INTL-RUS E ","International Easy",IF(LEFT(B401,11)="INTL-JAP E ","International Easy",IF(LEFT(B401,11)="INTL-KOR E ","International Easy",IF(LEFT(B401,11)="INTL-CHI E ","International Easy",IF(LEFT(B401,11)="INTL-SPA E ","International Easy",
IF(D401="Teen Large Type","Teen Fiction",
IF(D401="Juvenile Large Type","Juvenile Fiction",
IF(LEFT(B401,6)="J CD O","Juvenile Compact Disc",
IF(AND(LEFT(B401,4)="TEEN",D401="Fiction"),"Teen Fiction",
IF(D401="DVD Educational","Nonfiction",
IF(D401="Juvenile DVD Educational","Nonfiction",
IF(D401="Reference","Nonfiction",
D401))))))))))))))))))))))))))))))))))))))))))</f>
        <v/>
      </c>
    </row>
    <row r="402" spans="1:14" ht="27" customHeight="1" x14ac:dyDescent="0.25">
      <c r="A402" s="10" t="str">
        <f ca="1">TEXT( INDIRECT( ADDRESS( ROW() + Row_Offset, INDIRECT( "Column_Number_" &amp; A$1), 4,1, tabname) ), "")</f>
        <v/>
      </c>
      <c r="B402" s="10" t="str">
        <f ca="1">TEXT(  IFERROR( VLOOKUP( $D402, CollName_Simplifier_Table[], 2, FALSE),"") &amp;
        INDIRECT( ADDRESS( ROW() + Row_Offset, INDIRECT( "Column_Number_" &amp; $B$1), 4,1, tabname) ), "")</f>
        <v/>
      </c>
      <c r="C402" s="10" t="str">
        <f ca="1">TEXT( INDIRECT( ADDRESS( ROW() + Row_Offset, INDIRECT( "Column_Number_" &amp; C$1), 4,1, tabname) ), "")</f>
        <v/>
      </c>
      <c r="D402" s="10" t="str">
        <f ca="1">TEXT( INDIRECT( ADDRESS( ROW() + Row_Offset, INDIRECT( "Column_Number_" &amp; D$1), 4,1, tabname) ), "")</f>
        <v/>
      </c>
      <c r="E402" s="10" t="str">
        <f ca="1">TEXT( INDIRECT( ADDRESS( ROW() + Row_Offset, INDIRECT( "Column_Number_" &amp; E$1), 4,1, tabname) ), "####")</f>
        <v/>
      </c>
      <c r="F402" s="15"/>
      <c r="G402" s="22" t="str">
        <f ca="1">IFERROR(INDEX(Rank_Table[],MATCH($D402&amp;$A402,Table4[Join],0)),"")</f>
        <v/>
      </c>
      <c r="H402" s="11" t="str">
        <f ca="1">IF(AND(D402="Juvenile Audiobook",LEFT(B402,8)="J CD BIO"),RIGHT(B402,LEN(B402)-9),
IF(AND(D402="Juvenile Audiobook",LEFT(B402,8)="J CD FIC"),B402,
IF(D402="Juvenile Audiobook",RIGHT(B402,LEN(B402)-5),
IF(AND(D402="Teen Audiobook",LEFT(B402,11)="TEEN CD BIO"),RIGHT(B402,LEN(B402)-12),
IF(AND(D402="Teen Audiobook",LEFT(B402,11)="TEEN CD FIC"),B402,
IF(D402="Juvenile Audiobook",RIGHT(B402,LEN(B402)-8),
IF(D402="Juvenile Nonfiction",RIGHT(B402,LEN(B402)-2),
IF(D402="Teen Nonfiction",RIGHT(B402,LEN(B402)-5),
IF(AND(D402="Audiobook",
              NOT(OR(Contains($B402,"CD BIO"),Contains($B402,"CD FIC")))),RIGHT(B402,LEN(B402)-3),
IF(D402="Juvenile Biography",RIGHT(B402,LEN(B402)-2),
IF(D402="Teen Biography",RIGHT(B402,LEN(B402)-5),
IF(AND(D402="Audiobook",
              IFERROR(FIND("BIO",$B402)&gt;0,FALSE)),RIGHT(B402,LEN(B402)-3),
IF(D402="Juvenile Large Type","J "&amp;RIGHT(B402,LEN(B402)-11),
IF(D402="Teen Large Type","TEEN "&amp;RIGHT(B402,LEN(B402)-14),
IF(D402="Reference",RIGHT(B402,LEN(B402)-4),
IF(D402="DVD Educational",RIGHT(B402,LEN(B402)-7),
IF(D402="Juvenile DVD Educational",RIGHT(B402,LEN(B402)-9),
B402)))))))))))))))))</f>
        <v/>
      </c>
      <c r="N402" s="11" t="str">
        <f ca="1">IF(IFERROR(FIND("New",$A402)&gt;0,FALSE),"New ","") &amp; IF(IFERROR(FIND("In Lib",$A402)&gt;0,FALSE),"Reference ","") &amp;
IF(AND(D402="Audiobook",LEFT(B402,6)="CD BIO"),"Biography",
IF(AND(D402="Teen Audiobook",LEFT(B402,11)="TEEN CD BIO"),"Biography",
IF(AND(D402="Juvenile Audiobook",LEFT(B402,8)="J CD BIO"),"Biography",
IF(AND(D402="Audiobook",LEFT(B402,6)="CD FIC"),"Audiobook Fiction",
IF(AND(D402="Teen Audiobook",LEFT(B402,11)="TEEN CD FIC"),"Teen Audiobook",
IF(AND(D402="Juvenile Audiobook",LEFT(B402,8)="J CD FIC"),"Juvenile Audiobook",
IF(D402="Audiobook","Nonfiction",
IF(D402="Juvenile Audiobook","Nonfiction",
IF(D402="Teen Audiobook","Nonfiction",
IF(D402="Juvenile Nonfiction","Nonfiction",
IF(D402="Teen Nonfiction","Nonfiction",
IF(D402="Juvenile Biography","Biography",
IF(D402="Teen Biography","Biography",
IF(D402="ESL","Nonfiction",
IF(LEFT(B402,11)="INTL-VIE J ","International Juvenile",IF(LEFT(B402,11)="INTL-TAG J ","International Juvenile",IF(LEFT(B402,11)="INTL-RUS J ","International Juvenile",IF(LEFT(B402,11)="INTL-KOR J ","International Juvenile",IF(LEFT(B402,11)="INTL-JAP J ","International Juvenile",IF(LEFT(B402,11)="INTL-CHI J ","International Juvenile",IF(LEFT(B402,11)="INTL-SPA J ","International Juvenile",IF(LEFT(B402,14)="INTL-VIE TEEN ","International Teen",IF(LEFT(B402,14)="INTL-TAG TEEN ","International Teen",IF(LEFT(B402,14)="INTL-RUS TEEN ","International Teen",IF(LEFT(B402,14)="INTL-KOR TEEN ","International Teen",IF(LEFT(B402,14)="INTL-JAP TEEN ","International Teen",IF(LEFT(B402,14)="INTL-CHI TEEN ","International Teen",IF(LEFT(B402,14)="INTL-SPA TEEN ","International Teen",IF(LEFT(B402,11)="INTL-VIE E ","International Easy",IF(LEFT(B402,11)="INTL-TAG E ","International Easy",IF(LEFT(B402,11)="INTL-RUS E ","International Easy",IF(LEFT(B402,11)="INTL-JAP E ","International Easy",IF(LEFT(B402,11)="INTL-KOR E ","International Easy",IF(LEFT(B402,11)="INTL-CHI E ","International Easy",IF(LEFT(B402,11)="INTL-SPA E ","International Easy",
IF(D402="Teen Large Type","Teen Fiction",
IF(D402="Juvenile Large Type","Juvenile Fiction",
IF(LEFT(B402,6)="J CD O","Juvenile Compact Disc",
IF(AND(LEFT(B402,4)="TEEN",D402="Fiction"),"Teen Fiction",
IF(D402="DVD Educational","Nonfiction",
IF(D402="Juvenile DVD Educational","Nonfiction",
IF(D402="Reference","Nonfiction",
D402))))))))))))))))))))))))))))))))))))))))))</f>
        <v/>
      </c>
    </row>
    <row r="403" spans="1:14" ht="27" customHeight="1" x14ac:dyDescent="0.25">
      <c r="A403" s="10" t="str">
        <f ca="1">TEXT( INDIRECT( ADDRESS( ROW() + Row_Offset, INDIRECT( "Column_Number_" &amp; A$1), 4,1, tabname) ), "")</f>
        <v/>
      </c>
      <c r="B403" s="10" t="str">
        <f ca="1">TEXT(  IFERROR( VLOOKUP( $D403, CollName_Simplifier_Table[], 2, FALSE),"") &amp;
        INDIRECT( ADDRESS( ROW() + Row_Offset, INDIRECT( "Column_Number_" &amp; $B$1), 4,1, tabname) ), "")</f>
        <v/>
      </c>
      <c r="C403" s="10" t="str">
        <f ca="1">TEXT( INDIRECT( ADDRESS( ROW() + Row_Offset, INDIRECT( "Column_Number_" &amp; C$1), 4,1, tabname) ), "")</f>
        <v/>
      </c>
      <c r="D403" s="10" t="str">
        <f ca="1">TEXT( INDIRECT( ADDRESS( ROW() + Row_Offset, INDIRECT( "Column_Number_" &amp; D$1), 4,1, tabname) ), "")</f>
        <v/>
      </c>
      <c r="E403" s="10" t="str">
        <f ca="1">TEXT( INDIRECT( ADDRESS( ROW() + Row_Offset, INDIRECT( "Column_Number_" &amp; E$1), 4,1, tabname) ), "####")</f>
        <v/>
      </c>
      <c r="F403" s="15"/>
      <c r="G403" s="22" t="str">
        <f ca="1">IFERROR(INDEX(Rank_Table[],MATCH($D403&amp;$A403,Table4[Join],0)),"")</f>
        <v/>
      </c>
      <c r="H403" s="11" t="str">
        <f ca="1">IF(AND(D403="Juvenile Audiobook",LEFT(B403,8)="J CD BIO"),RIGHT(B403,LEN(B403)-9),
IF(AND(D403="Juvenile Audiobook",LEFT(B403,8)="J CD FIC"),B403,
IF(D403="Juvenile Audiobook",RIGHT(B403,LEN(B403)-5),
IF(AND(D403="Teen Audiobook",LEFT(B403,11)="TEEN CD BIO"),RIGHT(B403,LEN(B403)-12),
IF(AND(D403="Teen Audiobook",LEFT(B403,11)="TEEN CD FIC"),B403,
IF(D403="Juvenile Audiobook",RIGHT(B403,LEN(B403)-8),
IF(D403="Juvenile Nonfiction",RIGHT(B403,LEN(B403)-2),
IF(D403="Teen Nonfiction",RIGHT(B403,LEN(B403)-5),
IF(AND(D403="Audiobook",
              NOT(OR(Contains($B403,"CD BIO"),Contains($B403,"CD FIC")))),RIGHT(B403,LEN(B403)-3),
IF(D403="Juvenile Biography",RIGHT(B403,LEN(B403)-2),
IF(D403="Teen Biography",RIGHT(B403,LEN(B403)-5),
IF(AND(D403="Audiobook",
              IFERROR(FIND("BIO",$B403)&gt;0,FALSE)),RIGHT(B403,LEN(B403)-3),
IF(D403="Juvenile Large Type","J "&amp;RIGHT(B403,LEN(B403)-11),
IF(D403="Teen Large Type","TEEN "&amp;RIGHT(B403,LEN(B403)-14),
IF(D403="Reference",RIGHT(B403,LEN(B403)-4),
IF(D403="DVD Educational",RIGHT(B403,LEN(B403)-7),
IF(D403="Juvenile DVD Educational",RIGHT(B403,LEN(B403)-9),
B403)))))))))))))))))</f>
        <v/>
      </c>
      <c r="N403" s="11" t="str">
        <f ca="1">IF(IFERROR(FIND("New",$A403)&gt;0,FALSE),"New ","") &amp; IF(IFERROR(FIND("In Lib",$A403)&gt;0,FALSE),"Reference ","") &amp;
IF(AND(D403="Audiobook",LEFT(B403,6)="CD BIO"),"Biography",
IF(AND(D403="Teen Audiobook",LEFT(B403,11)="TEEN CD BIO"),"Biography",
IF(AND(D403="Juvenile Audiobook",LEFT(B403,8)="J CD BIO"),"Biography",
IF(AND(D403="Audiobook",LEFT(B403,6)="CD FIC"),"Audiobook Fiction",
IF(AND(D403="Teen Audiobook",LEFT(B403,11)="TEEN CD FIC"),"Teen Audiobook",
IF(AND(D403="Juvenile Audiobook",LEFT(B403,8)="J CD FIC"),"Juvenile Audiobook",
IF(D403="Audiobook","Nonfiction",
IF(D403="Juvenile Audiobook","Nonfiction",
IF(D403="Teen Audiobook","Nonfiction",
IF(D403="Juvenile Nonfiction","Nonfiction",
IF(D403="Teen Nonfiction","Nonfiction",
IF(D403="Juvenile Biography","Biography",
IF(D403="Teen Biography","Biography",
IF(D403="ESL","Nonfiction",
IF(LEFT(B403,11)="INTL-VIE J ","International Juvenile",IF(LEFT(B403,11)="INTL-TAG J ","International Juvenile",IF(LEFT(B403,11)="INTL-RUS J ","International Juvenile",IF(LEFT(B403,11)="INTL-KOR J ","International Juvenile",IF(LEFT(B403,11)="INTL-JAP J ","International Juvenile",IF(LEFT(B403,11)="INTL-CHI J ","International Juvenile",IF(LEFT(B403,11)="INTL-SPA J ","International Juvenile",IF(LEFT(B403,14)="INTL-VIE TEEN ","International Teen",IF(LEFT(B403,14)="INTL-TAG TEEN ","International Teen",IF(LEFT(B403,14)="INTL-RUS TEEN ","International Teen",IF(LEFT(B403,14)="INTL-KOR TEEN ","International Teen",IF(LEFT(B403,14)="INTL-JAP TEEN ","International Teen",IF(LEFT(B403,14)="INTL-CHI TEEN ","International Teen",IF(LEFT(B403,14)="INTL-SPA TEEN ","International Teen",IF(LEFT(B403,11)="INTL-VIE E ","International Easy",IF(LEFT(B403,11)="INTL-TAG E ","International Easy",IF(LEFT(B403,11)="INTL-RUS E ","International Easy",IF(LEFT(B403,11)="INTL-JAP E ","International Easy",IF(LEFT(B403,11)="INTL-KOR E ","International Easy",IF(LEFT(B403,11)="INTL-CHI E ","International Easy",IF(LEFT(B403,11)="INTL-SPA E ","International Easy",
IF(D403="Teen Large Type","Teen Fiction",
IF(D403="Juvenile Large Type","Juvenile Fiction",
IF(LEFT(B403,6)="J CD O","Juvenile Compact Disc",
IF(AND(LEFT(B403,4)="TEEN",D403="Fiction"),"Teen Fiction",
IF(D403="DVD Educational","Nonfiction",
IF(D403="Juvenile DVD Educational","Nonfiction",
IF(D403="Reference","Nonfiction",
D403))))))))))))))))))))))))))))))))))))))))))</f>
        <v/>
      </c>
    </row>
    <row r="404" spans="1:14" ht="27" customHeight="1" x14ac:dyDescent="0.25">
      <c r="A404" s="10" t="str">
        <f ca="1">TEXT( INDIRECT( ADDRESS( ROW() + Row_Offset, INDIRECT( "Column_Number_" &amp; A$1), 4,1, tabname) ), "")</f>
        <v/>
      </c>
      <c r="B404" s="10" t="str">
        <f ca="1">TEXT(  IFERROR( VLOOKUP( $D404, CollName_Simplifier_Table[], 2, FALSE),"") &amp;
        INDIRECT( ADDRESS( ROW() + Row_Offset, INDIRECT( "Column_Number_" &amp; $B$1), 4,1, tabname) ), "")</f>
        <v/>
      </c>
      <c r="C404" s="10" t="str">
        <f ca="1">TEXT( INDIRECT( ADDRESS( ROW() + Row_Offset, INDIRECT( "Column_Number_" &amp; C$1), 4,1, tabname) ), "")</f>
        <v/>
      </c>
      <c r="D404" s="10" t="str">
        <f ca="1">TEXT( INDIRECT( ADDRESS( ROW() + Row_Offset, INDIRECT( "Column_Number_" &amp; D$1), 4,1, tabname) ), "")</f>
        <v/>
      </c>
      <c r="E404" s="10" t="str">
        <f ca="1">TEXT( INDIRECT( ADDRESS( ROW() + Row_Offset, INDIRECT( "Column_Number_" &amp; E$1), 4,1, tabname) ), "####")</f>
        <v/>
      </c>
      <c r="F404" s="15"/>
      <c r="G404" s="22" t="str">
        <f ca="1">IFERROR(INDEX(Rank_Table[],MATCH($D404&amp;$A404,Table4[Join],0)),"")</f>
        <v/>
      </c>
      <c r="H404" s="11" t="str">
        <f ca="1">IF(AND(D404="Juvenile Audiobook",LEFT(B404,8)="J CD BIO"),RIGHT(B404,LEN(B404)-9),
IF(AND(D404="Juvenile Audiobook",LEFT(B404,8)="J CD FIC"),B404,
IF(D404="Juvenile Audiobook",RIGHT(B404,LEN(B404)-5),
IF(AND(D404="Teen Audiobook",LEFT(B404,11)="TEEN CD BIO"),RIGHT(B404,LEN(B404)-12),
IF(AND(D404="Teen Audiobook",LEFT(B404,11)="TEEN CD FIC"),B404,
IF(D404="Juvenile Audiobook",RIGHT(B404,LEN(B404)-8),
IF(D404="Juvenile Nonfiction",RIGHT(B404,LEN(B404)-2),
IF(D404="Teen Nonfiction",RIGHT(B404,LEN(B404)-5),
IF(AND(D404="Audiobook",
              NOT(OR(Contains($B404,"CD BIO"),Contains($B404,"CD FIC")))),RIGHT(B404,LEN(B404)-3),
IF(D404="Juvenile Biography",RIGHT(B404,LEN(B404)-2),
IF(D404="Teen Biography",RIGHT(B404,LEN(B404)-5),
IF(AND(D404="Audiobook",
              IFERROR(FIND("BIO",$B404)&gt;0,FALSE)),RIGHT(B404,LEN(B404)-3),
IF(D404="Juvenile Large Type","J "&amp;RIGHT(B404,LEN(B404)-11),
IF(D404="Teen Large Type","TEEN "&amp;RIGHT(B404,LEN(B404)-14),
IF(D404="Reference",RIGHT(B404,LEN(B404)-4),
IF(D404="DVD Educational",RIGHT(B404,LEN(B404)-7),
IF(D404="Juvenile DVD Educational",RIGHT(B404,LEN(B404)-9),
B404)))))))))))))))))</f>
        <v/>
      </c>
      <c r="N404" s="11" t="str">
        <f ca="1">IF(IFERROR(FIND("New",$A404)&gt;0,FALSE),"New ","") &amp; IF(IFERROR(FIND("In Lib",$A404)&gt;0,FALSE),"Reference ","") &amp;
IF(AND(D404="Audiobook",LEFT(B404,6)="CD BIO"),"Biography",
IF(AND(D404="Teen Audiobook",LEFT(B404,11)="TEEN CD BIO"),"Biography",
IF(AND(D404="Juvenile Audiobook",LEFT(B404,8)="J CD BIO"),"Biography",
IF(AND(D404="Audiobook",LEFT(B404,6)="CD FIC"),"Audiobook Fiction",
IF(AND(D404="Teen Audiobook",LEFT(B404,11)="TEEN CD FIC"),"Teen Audiobook",
IF(AND(D404="Juvenile Audiobook",LEFT(B404,8)="J CD FIC"),"Juvenile Audiobook",
IF(D404="Audiobook","Nonfiction",
IF(D404="Juvenile Audiobook","Nonfiction",
IF(D404="Teen Audiobook","Nonfiction",
IF(D404="Juvenile Nonfiction","Nonfiction",
IF(D404="Teen Nonfiction","Nonfiction",
IF(D404="Juvenile Biography","Biography",
IF(D404="Teen Biography","Biography",
IF(D404="ESL","Nonfiction",
IF(LEFT(B404,11)="INTL-VIE J ","International Juvenile",IF(LEFT(B404,11)="INTL-TAG J ","International Juvenile",IF(LEFT(B404,11)="INTL-RUS J ","International Juvenile",IF(LEFT(B404,11)="INTL-KOR J ","International Juvenile",IF(LEFT(B404,11)="INTL-JAP J ","International Juvenile",IF(LEFT(B404,11)="INTL-CHI J ","International Juvenile",IF(LEFT(B404,11)="INTL-SPA J ","International Juvenile",IF(LEFT(B404,14)="INTL-VIE TEEN ","International Teen",IF(LEFT(B404,14)="INTL-TAG TEEN ","International Teen",IF(LEFT(B404,14)="INTL-RUS TEEN ","International Teen",IF(LEFT(B404,14)="INTL-KOR TEEN ","International Teen",IF(LEFT(B404,14)="INTL-JAP TEEN ","International Teen",IF(LEFT(B404,14)="INTL-CHI TEEN ","International Teen",IF(LEFT(B404,14)="INTL-SPA TEEN ","International Teen",IF(LEFT(B404,11)="INTL-VIE E ","International Easy",IF(LEFT(B404,11)="INTL-TAG E ","International Easy",IF(LEFT(B404,11)="INTL-RUS E ","International Easy",IF(LEFT(B404,11)="INTL-JAP E ","International Easy",IF(LEFT(B404,11)="INTL-KOR E ","International Easy",IF(LEFT(B404,11)="INTL-CHI E ","International Easy",IF(LEFT(B404,11)="INTL-SPA E ","International Easy",
IF(D404="Teen Large Type","Teen Fiction",
IF(D404="Juvenile Large Type","Juvenile Fiction",
IF(LEFT(B404,6)="J CD O","Juvenile Compact Disc",
IF(AND(LEFT(B404,4)="TEEN",D404="Fiction"),"Teen Fiction",
IF(D404="DVD Educational","Nonfiction",
IF(D404="Juvenile DVD Educational","Nonfiction",
IF(D404="Reference","Nonfiction",
D404))))))))))))))))))))))))))))))))))))))))))</f>
        <v/>
      </c>
    </row>
    <row r="405" spans="1:14" ht="27" customHeight="1" x14ac:dyDescent="0.25">
      <c r="A405" s="10" t="str">
        <f ca="1">TEXT( INDIRECT( ADDRESS( ROW() + Row_Offset, INDIRECT( "Column_Number_" &amp; A$1), 4,1, tabname) ), "")</f>
        <v/>
      </c>
      <c r="B405" s="10" t="str">
        <f ca="1">TEXT(  IFERROR( VLOOKUP( $D405, CollName_Simplifier_Table[], 2, FALSE),"") &amp;
        INDIRECT( ADDRESS( ROW() + Row_Offset, INDIRECT( "Column_Number_" &amp; $B$1), 4,1, tabname) ), "")</f>
        <v/>
      </c>
      <c r="C405" s="10" t="str">
        <f ca="1">TEXT( INDIRECT( ADDRESS( ROW() + Row_Offset, INDIRECT( "Column_Number_" &amp; C$1), 4,1, tabname) ), "")</f>
        <v/>
      </c>
      <c r="D405" s="10" t="str">
        <f ca="1">TEXT( INDIRECT( ADDRESS( ROW() + Row_Offset, INDIRECT( "Column_Number_" &amp; D$1), 4,1, tabname) ), "")</f>
        <v/>
      </c>
      <c r="E405" s="10" t="str">
        <f ca="1">TEXT( INDIRECT( ADDRESS( ROW() + Row_Offset, INDIRECT( "Column_Number_" &amp; E$1), 4,1, tabname) ), "####")</f>
        <v/>
      </c>
      <c r="F405" s="15"/>
      <c r="G405" s="22" t="str">
        <f ca="1">IFERROR(INDEX(Rank_Table[],MATCH($D405&amp;$A405,Table4[Join],0)),"")</f>
        <v/>
      </c>
      <c r="H405" s="11" t="str">
        <f ca="1">IF(AND(D405="Juvenile Audiobook",LEFT(B405,8)="J CD BIO"),RIGHT(B405,LEN(B405)-9),
IF(AND(D405="Juvenile Audiobook",LEFT(B405,8)="J CD FIC"),B405,
IF(D405="Juvenile Audiobook",RIGHT(B405,LEN(B405)-5),
IF(AND(D405="Teen Audiobook",LEFT(B405,11)="TEEN CD BIO"),RIGHT(B405,LEN(B405)-12),
IF(AND(D405="Teen Audiobook",LEFT(B405,11)="TEEN CD FIC"),B405,
IF(D405="Juvenile Audiobook",RIGHT(B405,LEN(B405)-8),
IF(D405="Juvenile Nonfiction",RIGHT(B405,LEN(B405)-2),
IF(D405="Teen Nonfiction",RIGHT(B405,LEN(B405)-5),
IF(AND(D405="Audiobook",
              NOT(OR(Contains($B405,"CD BIO"),Contains($B405,"CD FIC")))),RIGHT(B405,LEN(B405)-3),
IF(D405="Juvenile Biography",RIGHT(B405,LEN(B405)-2),
IF(D405="Teen Biography",RIGHT(B405,LEN(B405)-5),
IF(AND(D405="Audiobook",
              IFERROR(FIND("BIO",$B405)&gt;0,FALSE)),RIGHT(B405,LEN(B405)-3),
IF(D405="Juvenile Large Type","J "&amp;RIGHT(B405,LEN(B405)-11),
IF(D405="Teen Large Type","TEEN "&amp;RIGHT(B405,LEN(B405)-14),
IF(D405="Reference",RIGHT(B405,LEN(B405)-4),
IF(D405="DVD Educational",RIGHT(B405,LEN(B405)-7),
IF(D405="Juvenile DVD Educational",RIGHT(B405,LEN(B405)-9),
B405)))))))))))))))))</f>
        <v/>
      </c>
      <c r="N405" s="11" t="str">
        <f ca="1">IF(IFERROR(FIND("New",$A405)&gt;0,FALSE),"New ","") &amp; IF(IFERROR(FIND("In Lib",$A405)&gt;0,FALSE),"Reference ","") &amp;
IF(AND(D405="Audiobook",LEFT(B405,6)="CD BIO"),"Biography",
IF(AND(D405="Teen Audiobook",LEFT(B405,11)="TEEN CD BIO"),"Biography",
IF(AND(D405="Juvenile Audiobook",LEFT(B405,8)="J CD BIO"),"Biography",
IF(AND(D405="Audiobook",LEFT(B405,6)="CD FIC"),"Audiobook Fiction",
IF(AND(D405="Teen Audiobook",LEFT(B405,11)="TEEN CD FIC"),"Teen Audiobook",
IF(AND(D405="Juvenile Audiobook",LEFT(B405,8)="J CD FIC"),"Juvenile Audiobook",
IF(D405="Audiobook","Nonfiction",
IF(D405="Juvenile Audiobook","Nonfiction",
IF(D405="Teen Audiobook","Nonfiction",
IF(D405="Juvenile Nonfiction","Nonfiction",
IF(D405="Teen Nonfiction","Nonfiction",
IF(D405="Juvenile Biography","Biography",
IF(D405="Teen Biography","Biography",
IF(D405="ESL","Nonfiction",
IF(LEFT(B405,11)="INTL-VIE J ","International Juvenile",IF(LEFT(B405,11)="INTL-TAG J ","International Juvenile",IF(LEFT(B405,11)="INTL-RUS J ","International Juvenile",IF(LEFT(B405,11)="INTL-KOR J ","International Juvenile",IF(LEFT(B405,11)="INTL-JAP J ","International Juvenile",IF(LEFT(B405,11)="INTL-CHI J ","International Juvenile",IF(LEFT(B405,11)="INTL-SPA J ","International Juvenile",IF(LEFT(B405,14)="INTL-VIE TEEN ","International Teen",IF(LEFT(B405,14)="INTL-TAG TEEN ","International Teen",IF(LEFT(B405,14)="INTL-RUS TEEN ","International Teen",IF(LEFT(B405,14)="INTL-KOR TEEN ","International Teen",IF(LEFT(B405,14)="INTL-JAP TEEN ","International Teen",IF(LEFT(B405,14)="INTL-CHI TEEN ","International Teen",IF(LEFT(B405,14)="INTL-SPA TEEN ","International Teen",IF(LEFT(B405,11)="INTL-VIE E ","International Easy",IF(LEFT(B405,11)="INTL-TAG E ","International Easy",IF(LEFT(B405,11)="INTL-RUS E ","International Easy",IF(LEFT(B405,11)="INTL-JAP E ","International Easy",IF(LEFT(B405,11)="INTL-KOR E ","International Easy",IF(LEFT(B405,11)="INTL-CHI E ","International Easy",IF(LEFT(B405,11)="INTL-SPA E ","International Easy",
IF(D405="Teen Large Type","Teen Fiction",
IF(D405="Juvenile Large Type","Juvenile Fiction",
IF(LEFT(B405,6)="J CD O","Juvenile Compact Disc",
IF(AND(LEFT(B405,4)="TEEN",D405="Fiction"),"Teen Fiction",
IF(D405="DVD Educational","Nonfiction",
IF(D405="Juvenile DVD Educational","Nonfiction",
IF(D405="Reference","Nonfiction",
D405))))))))))))))))))))))))))))))))))))))))))</f>
        <v/>
      </c>
    </row>
    <row r="406" spans="1:14" ht="27" customHeight="1" x14ac:dyDescent="0.25">
      <c r="A406" s="10" t="str">
        <f ca="1">TEXT( INDIRECT( ADDRESS( ROW() + Row_Offset, INDIRECT( "Column_Number_" &amp; A$1), 4,1, tabname) ), "")</f>
        <v/>
      </c>
      <c r="B406" s="10" t="str">
        <f ca="1">TEXT(  IFERROR( VLOOKUP( $D406, CollName_Simplifier_Table[], 2, FALSE),"") &amp;
        INDIRECT( ADDRESS( ROW() + Row_Offset, INDIRECT( "Column_Number_" &amp; $B$1), 4,1, tabname) ), "")</f>
        <v/>
      </c>
      <c r="C406" s="10" t="str">
        <f ca="1">TEXT( INDIRECT( ADDRESS( ROW() + Row_Offset, INDIRECT( "Column_Number_" &amp; C$1), 4,1, tabname) ), "")</f>
        <v/>
      </c>
      <c r="D406" s="10" t="str">
        <f ca="1">TEXT( INDIRECT( ADDRESS( ROW() + Row_Offset, INDIRECT( "Column_Number_" &amp; D$1), 4,1, tabname) ), "")</f>
        <v/>
      </c>
      <c r="E406" s="10" t="str">
        <f ca="1">TEXT( INDIRECT( ADDRESS( ROW() + Row_Offset, INDIRECT( "Column_Number_" &amp; E$1), 4,1, tabname) ), "####")</f>
        <v/>
      </c>
      <c r="F406" s="15"/>
      <c r="G406" s="22" t="str">
        <f ca="1">IFERROR(INDEX(Rank_Table[],MATCH($D406&amp;$A406,Table4[Join],0)),"")</f>
        <v/>
      </c>
      <c r="H406" s="11" t="str">
        <f ca="1">IF(AND(D406="Juvenile Audiobook",LEFT(B406,8)="J CD BIO"),RIGHT(B406,LEN(B406)-9),
IF(AND(D406="Juvenile Audiobook",LEFT(B406,8)="J CD FIC"),B406,
IF(D406="Juvenile Audiobook",RIGHT(B406,LEN(B406)-5),
IF(AND(D406="Teen Audiobook",LEFT(B406,11)="TEEN CD BIO"),RIGHT(B406,LEN(B406)-12),
IF(AND(D406="Teen Audiobook",LEFT(B406,11)="TEEN CD FIC"),B406,
IF(D406="Juvenile Audiobook",RIGHT(B406,LEN(B406)-8),
IF(D406="Juvenile Nonfiction",RIGHT(B406,LEN(B406)-2),
IF(D406="Teen Nonfiction",RIGHT(B406,LEN(B406)-5),
IF(AND(D406="Audiobook",
              NOT(OR(Contains($B406,"CD BIO"),Contains($B406,"CD FIC")))),RIGHT(B406,LEN(B406)-3),
IF(D406="Juvenile Biography",RIGHT(B406,LEN(B406)-2),
IF(D406="Teen Biography",RIGHT(B406,LEN(B406)-5),
IF(AND(D406="Audiobook",
              IFERROR(FIND("BIO",$B406)&gt;0,FALSE)),RIGHT(B406,LEN(B406)-3),
IF(D406="Juvenile Large Type","J "&amp;RIGHT(B406,LEN(B406)-11),
IF(D406="Teen Large Type","TEEN "&amp;RIGHT(B406,LEN(B406)-14),
IF(D406="Reference",RIGHT(B406,LEN(B406)-4),
IF(D406="DVD Educational",RIGHT(B406,LEN(B406)-7),
IF(D406="Juvenile DVD Educational",RIGHT(B406,LEN(B406)-9),
B406)))))))))))))))))</f>
        <v/>
      </c>
      <c r="N406" s="11" t="str">
        <f ca="1">IF(IFERROR(FIND("New",$A406)&gt;0,FALSE),"New ","") &amp; IF(IFERROR(FIND("In Lib",$A406)&gt;0,FALSE),"Reference ","") &amp;
IF(AND(D406="Audiobook",LEFT(B406,6)="CD BIO"),"Biography",
IF(AND(D406="Teen Audiobook",LEFT(B406,11)="TEEN CD BIO"),"Biography",
IF(AND(D406="Juvenile Audiobook",LEFT(B406,8)="J CD BIO"),"Biography",
IF(AND(D406="Audiobook",LEFT(B406,6)="CD FIC"),"Audiobook Fiction",
IF(AND(D406="Teen Audiobook",LEFT(B406,11)="TEEN CD FIC"),"Teen Audiobook",
IF(AND(D406="Juvenile Audiobook",LEFT(B406,8)="J CD FIC"),"Juvenile Audiobook",
IF(D406="Audiobook","Nonfiction",
IF(D406="Juvenile Audiobook","Nonfiction",
IF(D406="Teen Audiobook","Nonfiction",
IF(D406="Juvenile Nonfiction","Nonfiction",
IF(D406="Teen Nonfiction","Nonfiction",
IF(D406="Juvenile Biography","Biography",
IF(D406="Teen Biography","Biography",
IF(D406="ESL","Nonfiction",
IF(LEFT(B406,11)="INTL-VIE J ","International Juvenile",IF(LEFT(B406,11)="INTL-TAG J ","International Juvenile",IF(LEFT(B406,11)="INTL-RUS J ","International Juvenile",IF(LEFT(B406,11)="INTL-KOR J ","International Juvenile",IF(LEFT(B406,11)="INTL-JAP J ","International Juvenile",IF(LEFT(B406,11)="INTL-CHI J ","International Juvenile",IF(LEFT(B406,11)="INTL-SPA J ","International Juvenile",IF(LEFT(B406,14)="INTL-VIE TEEN ","International Teen",IF(LEFT(B406,14)="INTL-TAG TEEN ","International Teen",IF(LEFT(B406,14)="INTL-RUS TEEN ","International Teen",IF(LEFT(B406,14)="INTL-KOR TEEN ","International Teen",IF(LEFT(B406,14)="INTL-JAP TEEN ","International Teen",IF(LEFT(B406,14)="INTL-CHI TEEN ","International Teen",IF(LEFT(B406,14)="INTL-SPA TEEN ","International Teen",IF(LEFT(B406,11)="INTL-VIE E ","International Easy",IF(LEFT(B406,11)="INTL-TAG E ","International Easy",IF(LEFT(B406,11)="INTL-RUS E ","International Easy",IF(LEFT(B406,11)="INTL-JAP E ","International Easy",IF(LEFT(B406,11)="INTL-KOR E ","International Easy",IF(LEFT(B406,11)="INTL-CHI E ","International Easy",IF(LEFT(B406,11)="INTL-SPA E ","International Easy",
IF(D406="Teen Large Type","Teen Fiction",
IF(D406="Juvenile Large Type","Juvenile Fiction",
IF(LEFT(B406,6)="J CD O","Juvenile Compact Disc",
IF(AND(LEFT(B406,4)="TEEN",D406="Fiction"),"Teen Fiction",
IF(D406="DVD Educational","Nonfiction",
IF(D406="Juvenile DVD Educational","Nonfiction",
IF(D406="Reference","Nonfiction",
D406))))))))))))))))))))))))))))))))))))))))))</f>
        <v/>
      </c>
    </row>
    <row r="407" spans="1:14" ht="27" customHeight="1" x14ac:dyDescent="0.25">
      <c r="A407" s="10" t="str">
        <f ca="1">TEXT( INDIRECT( ADDRESS( ROW() + Row_Offset, INDIRECT( "Column_Number_" &amp; A$1), 4,1, tabname) ), "")</f>
        <v/>
      </c>
      <c r="B407" s="10" t="str">
        <f ca="1">TEXT(  IFERROR( VLOOKUP( $D407, CollName_Simplifier_Table[], 2, FALSE),"") &amp;
        INDIRECT( ADDRESS( ROW() + Row_Offset, INDIRECT( "Column_Number_" &amp; $B$1), 4,1, tabname) ), "")</f>
        <v/>
      </c>
      <c r="C407" s="10" t="str">
        <f ca="1">TEXT( INDIRECT( ADDRESS( ROW() + Row_Offset, INDIRECT( "Column_Number_" &amp; C$1), 4,1, tabname) ), "")</f>
        <v/>
      </c>
      <c r="D407" s="10" t="str">
        <f ca="1">TEXT( INDIRECT( ADDRESS( ROW() + Row_Offset, INDIRECT( "Column_Number_" &amp; D$1), 4,1, tabname) ), "")</f>
        <v/>
      </c>
      <c r="E407" s="10" t="str">
        <f ca="1">TEXT( INDIRECT( ADDRESS( ROW() + Row_Offset, INDIRECT( "Column_Number_" &amp; E$1), 4,1, tabname) ), "####")</f>
        <v/>
      </c>
      <c r="F407" s="15"/>
      <c r="G407" s="22" t="str">
        <f ca="1">IFERROR(INDEX(Rank_Table[],MATCH($D407&amp;$A407,Table4[Join],0)),"")</f>
        <v/>
      </c>
      <c r="H407" s="11" t="str">
        <f ca="1">IF(AND(D407="Juvenile Audiobook",LEFT(B407,8)="J CD BIO"),RIGHT(B407,LEN(B407)-9),
IF(AND(D407="Juvenile Audiobook",LEFT(B407,8)="J CD FIC"),B407,
IF(D407="Juvenile Audiobook",RIGHT(B407,LEN(B407)-5),
IF(AND(D407="Teen Audiobook",LEFT(B407,11)="TEEN CD BIO"),RIGHT(B407,LEN(B407)-12),
IF(AND(D407="Teen Audiobook",LEFT(B407,11)="TEEN CD FIC"),B407,
IF(D407="Juvenile Audiobook",RIGHT(B407,LEN(B407)-8),
IF(D407="Juvenile Nonfiction",RIGHT(B407,LEN(B407)-2),
IF(D407="Teen Nonfiction",RIGHT(B407,LEN(B407)-5),
IF(AND(D407="Audiobook",
              NOT(OR(Contains($B407,"CD BIO"),Contains($B407,"CD FIC")))),RIGHT(B407,LEN(B407)-3),
IF(D407="Juvenile Biography",RIGHT(B407,LEN(B407)-2),
IF(D407="Teen Biography",RIGHT(B407,LEN(B407)-5),
IF(AND(D407="Audiobook",
              IFERROR(FIND("BIO",$B407)&gt;0,FALSE)),RIGHT(B407,LEN(B407)-3),
IF(D407="Juvenile Large Type","J "&amp;RIGHT(B407,LEN(B407)-11),
IF(D407="Teen Large Type","TEEN "&amp;RIGHT(B407,LEN(B407)-14),
IF(D407="Reference",RIGHT(B407,LEN(B407)-4),
IF(D407="DVD Educational",RIGHT(B407,LEN(B407)-7),
IF(D407="Juvenile DVD Educational",RIGHT(B407,LEN(B407)-9),
B407)))))))))))))))))</f>
        <v/>
      </c>
      <c r="N407" s="11" t="str">
        <f ca="1">IF(IFERROR(FIND("New",$A407)&gt;0,FALSE),"New ","") &amp; IF(IFERROR(FIND("In Lib",$A407)&gt;0,FALSE),"Reference ","") &amp;
IF(AND(D407="Audiobook",LEFT(B407,6)="CD BIO"),"Biography",
IF(AND(D407="Teen Audiobook",LEFT(B407,11)="TEEN CD BIO"),"Biography",
IF(AND(D407="Juvenile Audiobook",LEFT(B407,8)="J CD BIO"),"Biography",
IF(AND(D407="Audiobook",LEFT(B407,6)="CD FIC"),"Audiobook Fiction",
IF(AND(D407="Teen Audiobook",LEFT(B407,11)="TEEN CD FIC"),"Teen Audiobook",
IF(AND(D407="Juvenile Audiobook",LEFT(B407,8)="J CD FIC"),"Juvenile Audiobook",
IF(D407="Audiobook","Nonfiction",
IF(D407="Juvenile Audiobook","Nonfiction",
IF(D407="Teen Audiobook","Nonfiction",
IF(D407="Juvenile Nonfiction","Nonfiction",
IF(D407="Teen Nonfiction","Nonfiction",
IF(D407="Juvenile Biography","Biography",
IF(D407="Teen Biography","Biography",
IF(D407="ESL","Nonfiction",
IF(LEFT(B407,11)="INTL-VIE J ","International Juvenile",IF(LEFT(B407,11)="INTL-TAG J ","International Juvenile",IF(LEFT(B407,11)="INTL-RUS J ","International Juvenile",IF(LEFT(B407,11)="INTL-KOR J ","International Juvenile",IF(LEFT(B407,11)="INTL-JAP J ","International Juvenile",IF(LEFT(B407,11)="INTL-CHI J ","International Juvenile",IF(LEFT(B407,11)="INTL-SPA J ","International Juvenile",IF(LEFT(B407,14)="INTL-VIE TEEN ","International Teen",IF(LEFT(B407,14)="INTL-TAG TEEN ","International Teen",IF(LEFT(B407,14)="INTL-RUS TEEN ","International Teen",IF(LEFT(B407,14)="INTL-KOR TEEN ","International Teen",IF(LEFT(B407,14)="INTL-JAP TEEN ","International Teen",IF(LEFT(B407,14)="INTL-CHI TEEN ","International Teen",IF(LEFT(B407,14)="INTL-SPA TEEN ","International Teen",IF(LEFT(B407,11)="INTL-VIE E ","International Easy",IF(LEFT(B407,11)="INTL-TAG E ","International Easy",IF(LEFT(B407,11)="INTL-RUS E ","International Easy",IF(LEFT(B407,11)="INTL-JAP E ","International Easy",IF(LEFT(B407,11)="INTL-KOR E ","International Easy",IF(LEFT(B407,11)="INTL-CHI E ","International Easy",IF(LEFT(B407,11)="INTL-SPA E ","International Easy",
IF(D407="Teen Large Type","Teen Fiction",
IF(D407="Juvenile Large Type","Juvenile Fiction",
IF(LEFT(B407,6)="J CD O","Juvenile Compact Disc",
IF(AND(LEFT(B407,4)="TEEN",D407="Fiction"),"Teen Fiction",
IF(D407="DVD Educational","Nonfiction",
IF(D407="Juvenile DVD Educational","Nonfiction",
IF(D407="Reference","Nonfiction",
D407))))))))))))))))))))))))))))))))))))))))))</f>
        <v/>
      </c>
    </row>
    <row r="408" spans="1:14" ht="27" customHeight="1" x14ac:dyDescent="0.25">
      <c r="A408" s="10" t="str">
        <f ca="1">TEXT( INDIRECT( ADDRESS( ROW() + Row_Offset, INDIRECT( "Column_Number_" &amp; A$1), 4,1, tabname) ), "")</f>
        <v/>
      </c>
      <c r="B408" s="10" t="str">
        <f ca="1">TEXT(  IFERROR( VLOOKUP( $D408, CollName_Simplifier_Table[], 2, FALSE),"") &amp;
        INDIRECT( ADDRESS( ROW() + Row_Offset, INDIRECT( "Column_Number_" &amp; $B$1), 4,1, tabname) ), "")</f>
        <v/>
      </c>
      <c r="C408" s="10" t="str">
        <f ca="1">TEXT( INDIRECT( ADDRESS( ROW() + Row_Offset, INDIRECT( "Column_Number_" &amp; C$1), 4,1, tabname) ), "")</f>
        <v/>
      </c>
      <c r="D408" s="10" t="str">
        <f ca="1">TEXT( INDIRECT( ADDRESS( ROW() + Row_Offset, INDIRECT( "Column_Number_" &amp; D$1), 4,1, tabname) ), "")</f>
        <v/>
      </c>
      <c r="E408" s="10" t="str">
        <f ca="1">TEXT( INDIRECT( ADDRESS( ROW() + Row_Offset, INDIRECT( "Column_Number_" &amp; E$1), 4,1, tabname) ), "####")</f>
        <v/>
      </c>
      <c r="F408" s="15"/>
      <c r="G408" s="22" t="str">
        <f ca="1">IFERROR(INDEX(Rank_Table[],MATCH($D408&amp;$A408,Table4[Join],0)),"")</f>
        <v/>
      </c>
      <c r="H408" s="11" t="str">
        <f ca="1">IF(AND(D408="Juvenile Audiobook",LEFT(B408,8)="J CD BIO"),RIGHT(B408,LEN(B408)-9),
IF(AND(D408="Juvenile Audiobook",LEFT(B408,8)="J CD FIC"),B408,
IF(D408="Juvenile Audiobook",RIGHT(B408,LEN(B408)-5),
IF(AND(D408="Teen Audiobook",LEFT(B408,11)="TEEN CD BIO"),RIGHT(B408,LEN(B408)-12),
IF(AND(D408="Teen Audiobook",LEFT(B408,11)="TEEN CD FIC"),B408,
IF(D408="Juvenile Audiobook",RIGHT(B408,LEN(B408)-8),
IF(D408="Juvenile Nonfiction",RIGHT(B408,LEN(B408)-2),
IF(D408="Teen Nonfiction",RIGHT(B408,LEN(B408)-5),
IF(AND(D408="Audiobook",
              NOT(OR(Contains($B408,"CD BIO"),Contains($B408,"CD FIC")))),RIGHT(B408,LEN(B408)-3),
IF(D408="Juvenile Biography",RIGHT(B408,LEN(B408)-2),
IF(D408="Teen Biography",RIGHT(B408,LEN(B408)-5),
IF(AND(D408="Audiobook",
              IFERROR(FIND("BIO",$B408)&gt;0,FALSE)),RIGHT(B408,LEN(B408)-3),
IF(D408="Juvenile Large Type","J "&amp;RIGHT(B408,LEN(B408)-11),
IF(D408="Teen Large Type","TEEN "&amp;RIGHT(B408,LEN(B408)-14),
IF(D408="Reference",RIGHT(B408,LEN(B408)-4),
IF(D408="DVD Educational",RIGHT(B408,LEN(B408)-7),
IF(D408="Juvenile DVD Educational",RIGHT(B408,LEN(B408)-9),
B408)))))))))))))))))</f>
        <v/>
      </c>
      <c r="N408" s="11" t="str">
        <f ca="1">IF(IFERROR(FIND("New",$A408)&gt;0,FALSE),"New ","") &amp; IF(IFERROR(FIND("In Lib",$A408)&gt;0,FALSE),"Reference ","") &amp;
IF(AND(D408="Audiobook",LEFT(B408,6)="CD BIO"),"Biography",
IF(AND(D408="Teen Audiobook",LEFT(B408,11)="TEEN CD BIO"),"Biography",
IF(AND(D408="Juvenile Audiobook",LEFT(B408,8)="J CD BIO"),"Biography",
IF(AND(D408="Audiobook",LEFT(B408,6)="CD FIC"),"Audiobook Fiction",
IF(AND(D408="Teen Audiobook",LEFT(B408,11)="TEEN CD FIC"),"Teen Audiobook",
IF(AND(D408="Juvenile Audiobook",LEFT(B408,8)="J CD FIC"),"Juvenile Audiobook",
IF(D408="Audiobook","Nonfiction",
IF(D408="Juvenile Audiobook","Nonfiction",
IF(D408="Teen Audiobook","Nonfiction",
IF(D408="Juvenile Nonfiction","Nonfiction",
IF(D408="Teen Nonfiction","Nonfiction",
IF(D408="Juvenile Biography","Biography",
IF(D408="Teen Biography","Biography",
IF(D408="ESL","Nonfiction",
IF(LEFT(B408,11)="INTL-VIE J ","International Juvenile",IF(LEFT(B408,11)="INTL-TAG J ","International Juvenile",IF(LEFT(B408,11)="INTL-RUS J ","International Juvenile",IF(LEFT(B408,11)="INTL-KOR J ","International Juvenile",IF(LEFT(B408,11)="INTL-JAP J ","International Juvenile",IF(LEFT(B408,11)="INTL-CHI J ","International Juvenile",IF(LEFT(B408,11)="INTL-SPA J ","International Juvenile",IF(LEFT(B408,14)="INTL-VIE TEEN ","International Teen",IF(LEFT(B408,14)="INTL-TAG TEEN ","International Teen",IF(LEFT(B408,14)="INTL-RUS TEEN ","International Teen",IF(LEFT(B408,14)="INTL-KOR TEEN ","International Teen",IF(LEFT(B408,14)="INTL-JAP TEEN ","International Teen",IF(LEFT(B408,14)="INTL-CHI TEEN ","International Teen",IF(LEFT(B408,14)="INTL-SPA TEEN ","International Teen",IF(LEFT(B408,11)="INTL-VIE E ","International Easy",IF(LEFT(B408,11)="INTL-TAG E ","International Easy",IF(LEFT(B408,11)="INTL-RUS E ","International Easy",IF(LEFT(B408,11)="INTL-JAP E ","International Easy",IF(LEFT(B408,11)="INTL-KOR E ","International Easy",IF(LEFT(B408,11)="INTL-CHI E ","International Easy",IF(LEFT(B408,11)="INTL-SPA E ","International Easy",
IF(D408="Teen Large Type","Teen Fiction",
IF(D408="Juvenile Large Type","Juvenile Fiction",
IF(LEFT(B408,6)="J CD O","Juvenile Compact Disc",
IF(AND(LEFT(B408,4)="TEEN",D408="Fiction"),"Teen Fiction",
IF(D408="DVD Educational","Nonfiction",
IF(D408="Juvenile DVD Educational","Nonfiction",
IF(D408="Reference","Nonfiction",
D408))))))))))))))))))))))))))))))))))))))))))</f>
        <v/>
      </c>
    </row>
    <row r="409" spans="1:14" ht="27" customHeight="1" x14ac:dyDescent="0.25">
      <c r="A409" s="10" t="str">
        <f ca="1">TEXT( INDIRECT( ADDRESS( ROW() + Row_Offset, INDIRECT( "Column_Number_" &amp; A$1), 4,1, tabname) ), "")</f>
        <v/>
      </c>
      <c r="B409" s="10" t="str">
        <f ca="1">TEXT(  IFERROR( VLOOKUP( $D409, CollName_Simplifier_Table[], 2, FALSE),"") &amp;
        INDIRECT( ADDRESS( ROW() + Row_Offset, INDIRECT( "Column_Number_" &amp; $B$1), 4,1, tabname) ), "")</f>
        <v/>
      </c>
      <c r="C409" s="10" t="str">
        <f ca="1">TEXT( INDIRECT( ADDRESS( ROW() + Row_Offset, INDIRECT( "Column_Number_" &amp; C$1), 4,1, tabname) ), "")</f>
        <v/>
      </c>
      <c r="D409" s="10" t="str">
        <f ca="1">TEXT( INDIRECT( ADDRESS( ROW() + Row_Offset, INDIRECT( "Column_Number_" &amp; D$1), 4,1, tabname) ), "")</f>
        <v/>
      </c>
      <c r="E409" s="10" t="str">
        <f ca="1">TEXT( INDIRECT( ADDRESS( ROW() + Row_Offset, INDIRECT( "Column_Number_" &amp; E$1), 4,1, tabname) ), "####")</f>
        <v/>
      </c>
      <c r="F409" s="15"/>
      <c r="G409" s="22" t="str">
        <f ca="1">IFERROR(INDEX(Rank_Table[],MATCH($D409&amp;$A409,Table4[Join],0)),"")</f>
        <v/>
      </c>
      <c r="H409" s="11" t="str">
        <f ca="1">IF(AND(D409="Juvenile Audiobook",LEFT(B409,8)="J CD BIO"),RIGHT(B409,LEN(B409)-9),
IF(AND(D409="Juvenile Audiobook",LEFT(B409,8)="J CD FIC"),B409,
IF(D409="Juvenile Audiobook",RIGHT(B409,LEN(B409)-5),
IF(AND(D409="Teen Audiobook",LEFT(B409,11)="TEEN CD BIO"),RIGHT(B409,LEN(B409)-12),
IF(AND(D409="Teen Audiobook",LEFT(B409,11)="TEEN CD FIC"),B409,
IF(D409="Juvenile Audiobook",RIGHT(B409,LEN(B409)-8),
IF(D409="Juvenile Nonfiction",RIGHT(B409,LEN(B409)-2),
IF(D409="Teen Nonfiction",RIGHT(B409,LEN(B409)-5),
IF(AND(D409="Audiobook",
              NOT(OR(Contains($B409,"CD BIO"),Contains($B409,"CD FIC")))),RIGHT(B409,LEN(B409)-3),
IF(D409="Juvenile Biography",RIGHT(B409,LEN(B409)-2),
IF(D409="Teen Biography",RIGHT(B409,LEN(B409)-5),
IF(AND(D409="Audiobook",
              IFERROR(FIND("BIO",$B409)&gt;0,FALSE)),RIGHT(B409,LEN(B409)-3),
IF(D409="Juvenile Large Type","J "&amp;RIGHT(B409,LEN(B409)-11),
IF(D409="Teen Large Type","TEEN "&amp;RIGHT(B409,LEN(B409)-14),
IF(D409="Reference",RIGHT(B409,LEN(B409)-4),
IF(D409="DVD Educational",RIGHT(B409,LEN(B409)-7),
IF(D409="Juvenile DVD Educational",RIGHT(B409,LEN(B409)-9),
B409)))))))))))))))))</f>
        <v/>
      </c>
      <c r="N409" s="11" t="str">
        <f ca="1">IF(IFERROR(FIND("New",$A409)&gt;0,FALSE),"New ","") &amp; IF(IFERROR(FIND("In Lib",$A409)&gt;0,FALSE),"Reference ","") &amp;
IF(AND(D409="Audiobook",LEFT(B409,6)="CD BIO"),"Biography",
IF(AND(D409="Teen Audiobook",LEFT(B409,11)="TEEN CD BIO"),"Biography",
IF(AND(D409="Juvenile Audiobook",LEFT(B409,8)="J CD BIO"),"Biography",
IF(AND(D409="Audiobook",LEFT(B409,6)="CD FIC"),"Audiobook Fiction",
IF(AND(D409="Teen Audiobook",LEFT(B409,11)="TEEN CD FIC"),"Teen Audiobook",
IF(AND(D409="Juvenile Audiobook",LEFT(B409,8)="J CD FIC"),"Juvenile Audiobook",
IF(D409="Audiobook","Nonfiction",
IF(D409="Juvenile Audiobook","Nonfiction",
IF(D409="Teen Audiobook","Nonfiction",
IF(D409="Juvenile Nonfiction","Nonfiction",
IF(D409="Teen Nonfiction","Nonfiction",
IF(D409="Juvenile Biography","Biography",
IF(D409="Teen Biography","Biography",
IF(D409="ESL","Nonfiction",
IF(LEFT(B409,11)="INTL-VIE J ","International Juvenile",IF(LEFT(B409,11)="INTL-TAG J ","International Juvenile",IF(LEFT(B409,11)="INTL-RUS J ","International Juvenile",IF(LEFT(B409,11)="INTL-KOR J ","International Juvenile",IF(LEFT(B409,11)="INTL-JAP J ","International Juvenile",IF(LEFT(B409,11)="INTL-CHI J ","International Juvenile",IF(LEFT(B409,11)="INTL-SPA J ","International Juvenile",IF(LEFT(B409,14)="INTL-VIE TEEN ","International Teen",IF(LEFT(B409,14)="INTL-TAG TEEN ","International Teen",IF(LEFT(B409,14)="INTL-RUS TEEN ","International Teen",IF(LEFT(B409,14)="INTL-KOR TEEN ","International Teen",IF(LEFT(B409,14)="INTL-JAP TEEN ","International Teen",IF(LEFT(B409,14)="INTL-CHI TEEN ","International Teen",IF(LEFT(B409,14)="INTL-SPA TEEN ","International Teen",IF(LEFT(B409,11)="INTL-VIE E ","International Easy",IF(LEFT(B409,11)="INTL-TAG E ","International Easy",IF(LEFT(B409,11)="INTL-RUS E ","International Easy",IF(LEFT(B409,11)="INTL-JAP E ","International Easy",IF(LEFT(B409,11)="INTL-KOR E ","International Easy",IF(LEFT(B409,11)="INTL-CHI E ","International Easy",IF(LEFT(B409,11)="INTL-SPA E ","International Easy",
IF(D409="Teen Large Type","Teen Fiction",
IF(D409="Juvenile Large Type","Juvenile Fiction",
IF(LEFT(B409,6)="J CD O","Juvenile Compact Disc",
IF(AND(LEFT(B409,4)="TEEN",D409="Fiction"),"Teen Fiction",
IF(D409="DVD Educational","Nonfiction",
IF(D409="Juvenile DVD Educational","Nonfiction",
IF(D409="Reference","Nonfiction",
D409))))))))))))))))))))))))))))))))))))))))))</f>
        <v/>
      </c>
    </row>
    <row r="410" spans="1:14" ht="27" customHeight="1" x14ac:dyDescent="0.25">
      <c r="A410" s="10" t="str">
        <f ca="1">TEXT( INDIRECT( ADDRESS( ROW() + Row_Offset, INDIRECT( "Column_Number_" &amp; A$1), 4,1, tabname) ), "")</f>
        <v/>
      </c>
      <c r="B410" s="10" t="str">
        <f ca="1">TEXT(  IFERROR( VLOOKUP( $D410, CollName_Simplifier_Table[], 2, FALSE),"") &amp;
        INDIRECT( ADDRESS( ROW() + Row_Offset, INDIRECT( "Column_Number_" &amp; $B$1), 4,1, tabname) ), "")</f>
        <v/>
      </c>
      <c r="C410" s="10" t="str">
        <f ca="1">TEXT( INDIRECT( ADDRESS( ROW() + Row_Offset, INDIRECT( "Column_Number_" &amp; C$1), 4,1, tabname) ), "")</f>
        <v/>
      </c>
      <c r="D410" s="10" t="str">
        <f ca="1">TEXT( INDIRECT( ADDRESS( ROW() + Row_Offset, INDIRECT( "Column_Number_" &amp; D$1), 4,1, tabname) ), "")</f>
        <v/>
      </c>
      <c r="E410" s="10" t="str">
        <f ca="1">TEXT( INDIRECT( ADDRESS( ROW() + Row_Offset, INDIRECT( "Column_Number_" &amp; E$1), 4,1, tabname) ), "####")</f>
        <v/>
      </c>
      <c r="F410" s="15"/>
      <c r="G410" s="22" t="str">
        <f ca="1">IFERROR(INDEX(Rank_Table[],MATCH($D410&amp;$A410,Table4[Join],0)),"")</f>
        <v/>
      </c>
      <c r="H410" s="11" t="str">
        <f ca="1">IF(AND(D410="Juvenile Audiobook",LEFT(B410,8)="J CD BIO"),RIGHT(B410,LEN(B410)-9),
IF(AND(D410="Juvenile Audiobook",LEFT(B410,8)="J CD FIC"),B410,
IF(D410="Juvenile Audiobook",RIGHT(B410,LEN(B410)-5),
IF(AND(D410="Teen Audiobook",LEFT(B410,11)="TEEN CD BIO"),RIGHT(B410,LEN(B410)-12),
IF(AND(D410="Teen Audiobook",LEFT(B410,11)="TEEN CD FIC"),B410,
IF(D410="Juvenile Audiobook",RIGHT(B410,LEN(B410)-8),
IF(D410="Juvenile Nonfiction",RIGHT(B410,LEN(B410)-2),
IF(D410="Teen Nonfiction",RIGHT(B410,LEN(B410)-5),
IF(AND(D410="Audiobook",
              NOT(OR(Contains($B410,"CD BIO"),Contains($B410,"CD FIC")))),RIGHT(B410,LEN(B410)-3),
IF(D410="Juvenile Biography",RIGHT(B410,LEN(B410)-2),
IF(D410="Teen Biography",RIGHT(B410,LEN(B410)-5),
IF(AND(D410="Audiobook",
              IFERROR(FIND("BIO",$B410)&gt;0,FALSE)),RIGHT(B410,LEN(B410)-3),
IF(D410="Juvenile Large Type","J "&amp;RIGHT(B410,LEN(B410)-11),
IF(D410="Teen Large Type","TEEN "&amp;RIGHT(B410,LEN(B410)-14),
IF(D410="Reference",RIGHT(B410,LEN(B410)-4),
IF(D410="DVD Educational",RIGHT(B410,LEN(B410)-7),
IF(D410="Juvenile DVD Educational",RIGHT(B410,LEN(B410)-9),
B410)))))))))))))))))</f>
        <v/>
      </c>
      <c r="N410" s="11" t="str">
        <f ca="1">IF(IFERROR(FIND("New",$A410)&gt;0,FALSE),"New ","") &amp; IF(IFERROR(FIND("In Lib",$A410)&gt;0,FALSE),"Reference ","") &amp;
IF(AND(D410="Audiobook",LEFT(B410,6)="CD BIO"),"Biography",
IF(AND(D410="Teen Audiobook",LEFT(B410,11)="TEEN CD BIO"),"Biography",
IF(AND(D410="Juvenile Audiobook",LEFT(B410,8)="J CD BIO"),"Biography",
IF(AND(D410="Audiobook",LEFT(B410,6)="CD FIC"),"Audiobook Fiction",
IF(AND(D410="Teen Audiobook",LEFT(B410,11)="TEEN CD FIC"),"Teen Audiobook",
IF(AND(D410="Juvenile Audiobook",LEFT(B410,8)="J CD FIC"),"Juvenile Audiobook",
IF(D410="Audiobook","Nonfiction",
IF(D410="Juvenile Audiobook","Nonfiction",
IF(D410="Teen Audiobook","Nonfiction",
IF(D410="Juvenile Nonfiction","Nonfiction",
IF(D410="Teen Nonfiction","Nonfiction",
IF(D410="Juvenile Biography","Biography",
IF(D410="Teen Biography","Biography",
IF(D410="ESL","Nonfiction",
IF(LEFT(B410,11)="INTL-VIE J ","International Juvenile",IF(LEFT(B410,11)="INTL-TAG J ","International Juvenile",IF(LEFT(B410,11)="INTL-RUS J ","International Juvenile",IF(LEFT(B410,11)="INTL-KOR J ","International Juvenile",IF(LEFT(B410,11)="INTL-JAP J ","International Juvenile",IF(LEFT(B410,11)="INTL-CHI J ","International Juvenile",IF(LEFT(B410,11)="INTL-SPA J ","International Juvenile",IF(LEFT(B410,14)="INTL-VIE TEEN ","International Teen",IF(LEFT(B410,14)="INTL-TAG TEEN ","International Teen",IF(LEFT(B410,14)="INTL-RUS TEEN ","International Teen",IF(LEFT(B410,14)="INTL-KOR TEEN ","International Teen",IF(LEFT(B410,14)="INTL-JAP TEEN ","International Teen",IF(LEFT(B410,14)="INTL-CHI TEEN ","International Teen",IF(LEFT(B410,14)="INTL-SPA TEEN ","International Teen",IF(LEFT(B410,11)="INTL-VIE E ","International Easy",IF(LEFT(B410,11)="INTL-TAG E ","International Easy",IF(LEFT(B410,11)="INTL-RUS E ","International Easy",IF(LEFT(B410,11)="INTL-JAP E ","International Easy",IF(LEFT(B410,11)="INTL-KOR E ","International Easy",IF(LEFT(B410,11)="INTL-CHI E ","International Easy",IF(LEFT(B410,11)="INTL-SPA E ","International Easy",
IF(D410="Teen Large Type","Teen Fiction",
IF(D410="Juvenile Large Type","Juvenile Fiction",
IF(LEFT(B410,6)="J CD O","Juvenile Compact Disc",
IF(AND(LEFT(B410,4)="TEEN",D410="Fiction"),"Teen Fiction",
IF(D410="DVD Educational","Nonfiction",
IF(D410="Juvenile DVD Educational","Nonfiction",
IF(D410="Reference","Nonfiction",
D410))))))))))))))))))))))))))))))))))))))))))</f>
        <v/>
      </c>
    </row>
    <row r="411" spans="1:14" ht="27" customHeight="1" x14ac:dyDescent="0.25">
      <c r="A411" s="10" t="str">
        <f ca="1">TEXT( INDIRECT( ADDRESS( ROW() + Row_Offset, INDIRECT( "Column_Number_" &amp; A$1), 4,1, tabname) ), "")</f>
        <v/>
      </c>
      <c r="B411" s="10" t="str">
        <f ca="1">TEXT(  IFERROR( VLOOKUP( $D411, CollName_Simplifier_Table[], 2, FALSE),"") &amp;
        INDIRECT( ADDRESS( ROW() + Row_Offset, INDIRECT( "Column_Number_" &amp; $B$1), 4,1, tabname) ), "")</f>
        <v/>
      </c>
      <c r="C411" s="10" t="str">
        <f ca="1">TEXT( INDIRECT( ADDRESS( ROW() + Row_Offset, INDIRECT( "Column_Number_" &amp; C$1), 4,1, tabname) ), "")</f>
        <v/>
      </c>
      <c r="D411" s="10" t="str">
        <f ca="1">TEXT( INDIRECT( ADDRESS( ROW() + Row_Offset, INDIRECT( "Column_Number_" &amp; D$1), 4,1, tabname) ), "")</f>
        <v/>
      </c>
      <c r="E411" s="10" t="str">
        <f ca="1">TEXT( INDIRECT( ADDRESS( ROW() + Row_Offset, INDIRECT( "Column_Number_" &amp; E$1), 4,1, tabname) ), "####")</f>
        <v/>
      </c>
      <c r="F411" s="15"/>
      <c r="G411" s="22" t="str">
        <f ca="1">IFERROR(INDEX(Rank_Table[],MATCH($D411&amp;$A411,Table4[Join],0)),"")</f>
        <v/>
      </c>
      <c r="H411" s="11" t="str">
        <f ca="1">IF(AND(D411="Juvenile Audiobook",LEFT(B411,8)="J CD BIO"),RIGHT(B411,LEN(B411)-9),
IF(AND(D411="Juvenile Audiobook",LEFT(B411,8)="J CD FIC"),B411,
IF(D411="Juvenile Audiobook",RIGHT(B411,LEN(B411)-5),
IF(AND(D411="Teen Audiobook",LEFT(B411,11)="TEEN CD BIO"),RIGHT(B411,LEN(B411)-12),
IF(AND(D411="Teen Audiobook",LEFT(B411,11)="TEEN CD FIC"),B411,
IF(D411="Juvenile Audiobook",RIGHT(B411,LEN(B411)-8),
IF(D411="Juvenile Nonfiction",RIGHT(B411,LEN(B411)-2),
IF(D411="Teen Nonfiction",RIGHT(B411,LEN(B411)-5),
IF(AND(D411="Audiobook",
              NOT(OR(Contains($B411,"CD BIO"),Contains($B411,"CD FIC")))),RIGHT(B411,LEN(B411)-3),
IF(D411="Juvenile Biography",RIGHT(B411,LEN(B411)-2),
IF(D411="Teen Biography",RIGHT(B411,LEN(B411)-5),
IF(AND(D411="Audiobook",
              IFERROR(FIND("BIO",$B411)&gt;0,FALSE)),RIGHT(B411,LEN(B411)-3),
IF(D411="Juvenile Large Type","J "&amp;RIGHT(B411,LEN(B411)-11),
IF(D411="Teen Large Type","TEEN "&amp;RIGHT(B411,LEN(B411)-14),
IF(D411="Reference",RIGHT(B411,LEN(B411)-4),
IF(D411="DVD Educational",RIGHT(B411,LEN(B411)-7),
IF(D411="Juvenile DVD Educational",RIGHT(B411,LEN(B411)-9),
B411)))))))))))))))))</f>
        <v/>
      </c>
      <c r="N411" s="11" t="str">
        <f ca="1">IF(IFERROR(FIND("New",$A411)&gt;0,FALSE),"New ","") &amp; IF(IFERROR(FIND("In Lib",$A411)&gt;0,FALSE),"Reference ","") &amp;
IF(AND(D411="Audiobook",LEFT(B411,6)="CD BIO"),"Biography",
IF(AND(D411="Teen Audiobook",LEFT(B411,11)="TEEN CD BIO"),"Biography",
IF(AND(D411="Juvenile Audiobook",LEFT(B411,8)="J CD BIO"),"Biography",
IF(AND(D411="Audiobook",LEFT(B411,6)="CD FIC"),"Audiobook Fiction",
IF(AND(D411="Teen Audiobook",LEFT(B411,11)="TEEN CD FIC"),"Teen Audiobook",
IF(AND(D411="Juvenile Audiobook",LEFT(B411,8)="J CD FIC"),"Juvenile Audiobook",
IF(D411="Audiobook","Nonfiction",
IF(D411="Juvenile Audiobook","Nonfiction",
IF(D411="Teen Audiobook","Nonfiction",
IF(D411="Juvenile Nonfiction","Nonfiction",
IF(D411="Teen Nonfiction","Nonfiction",
IF(D411="Juvenile Biography","Biography",
IF(D411="Teen Biography","Biography",
IF(D411="ESL","Nonfiction",
IF(LEFT(B411,11)="INTL-VIE J ","International Juvenile",IF(LEFT(B411,11)="INTL-TAG J ","International Juvenile",IF(LEFT(B411,11)="INTL-RUS J ","International Juvenile",IF(LEFT(B411,11)="INTL-KOR J ","International Juvenile",IF(LEFT(B411,11)="INTL-JAP J ","International Juvenile",IF(LEFT(B411,11)="INTL-CHI J ","International Juvenile",IF(LEFT(B411,11)="INTL-SPA J ","International Juvenile",IF(LEFT(B411,14)="INTL-VIE TEEN ","International Teen",IF(LEFT(B411,14)="INTL-TAG TEEN ","International Teen",IF(LEFT(B411,14)="INTL-RUS TEEN ","International Teen",IF(LEFT(B411,14)="INTL-KOR TEEN ","International Teen",IF(LEFT(B411,14)="INTL-JAP TEEN ","International Teen",IF(LEFT(B411,14)="INTL-CHI TEEN ","International Teen",IF(LEFT(B411,14)="INTL-SPA TEEN ","International Teen",IF(LEFT(B411,11)="INTL-VIE E ","International Easy",IF(LEFT(B411,11)="INTL-TAG E ","International Easy",IF(LEFT(B411,11)="INTL-RUS E ","International Easy",IF(LEFT(B411,11)="INTL-JAP E ","International Easy",IF(LEFT(B411,11)="INTL-KOR E ","International Easy",IF(LEFT(B411,11)="INTL-CHI E ","International Easy",IF(LEFT(B411,11)="INTL-SPA E ","International Easy",
IF(D411="Teen Large Type","Teen Fiction",
IF(D411="Juvenile Large Type","Juvenile Fiction",
IF(LEFT(B411,6)="J CD O","Juvenile Compact Disc",
IF(AND(LEFT(B411,4)="TEEN",D411="Fiction"),"Teen Fiction",
IF(D411="DVD Educational","Nonfiction",
IF(D411="Juvenile DVD Educational","Nonfiction",
IF(D411="Reference","Nonfiction",
D411))))))))))))))))))))))))))))))))))))))))))</f>
        <v/>
      </c>
    </row>
    <row r="412" spans="1:14" ht="27" customHeight="1" x14ac:dyDescent="0.25">
      <c r="A412" s="10" t="str">
        <f ca="1">TEXT( INDIRECT( ADDRESS( ROW() + Row_Offset, INDIRECT( "Column_Number_" &amp; A$1), 4,1, tabname) ), "")</f>
        <v/>
      </c>
      <c r="B412" s="10" t="str">
        <f ca="1">TEXT(  IFERROR( VLOOKUP( $D412, CollName_Simplifier_Table[], 2, FALSE),"") &amp;
        INDIRECT( ADDRESS( ROW() + Row_Offset, INDIRECT( "Column_Number_" &amp; $B$1), 4,1, tabname) ), "")</f>
        <v/>
      </c>
      <c r="C412" s="10" t="str">
        <f ca="1">TEXT( INDIRECT( ADDRESS( ROW() + Row_Offset, INDIRECT( "Column_Number_" &amp; C$1), 4,1, tabname) ), "")</f>
        <v/>
      </c>
      <c r="D412" s="10" t="str">
        <f ca="1">TEXT( INDIRECT( ADDRESS( ROW() + Row_Offset, INDIRECT( "Column_Number_" &amp; D$1), 4,1, tabname) ), "")</f>
        <v/>
      </c>
      <c r="E412" s="10" t="str">
        <f ca="1">TEXT( INDIRECT( ADDRESS( ROW() + Row_Offset, INDIRECT( "Column_Number_" &amp; E$1), 4,1, tabname) ), "####")</f>
        <v/>
      </c>
      <c r="F412" s="15"/>
      <c r="G412" s="22" t="str">
        <f ca="1">IFERROR(INDEX(Rank_Table[],MATCH($D412&amp;$A412,Table4[Join],0)),"")</f>
        <v/>
      </c>
      <c r="H412" s="11" t="str">
        <f ca="1">IF(AND(D412="Juvenile Audiobook",LEFT(B412,8)="J CD BIO"),RIGHT(B412,LEN(B412)-9),
IF(AND(D412="Juvenile Audiobook",LEFT(B412,8)="J CD FIC"),B412,
IF(D412="Juvenile Audiobook",RIGHT(B412,LEN(B412)-5),
IF(AND(D412="Teen Audiobook",LEFT(B412,11)="TEEN CD BIO"),RIGHT(B412,LEN(B412)-12),
IF(AND(D412="Teen Audiobook",LEFT(B412,11)="TEEN CD FIC"),B412,
IF(D412="Juvenile Audiobook",RIGHT(B412,LEN(B412)-8),
IF(D412="Juvenile Nonfiction",RIGHT(B412,LEN(B412)-2),
IF(D412="Teen Nonfiction",RIGHT(B412,LEN(B412)-5),
IF(AND(D412="Audiobook",
              NOT(OR(Contains($B412,"CD BIO"),Contains($B412,"CD FIC")))),RIGHT(B412,LEN(B412)-3),
IF(D412="Juvenile Biography",RIGHT(B412,LEN(B412)-2),
IF(D412="Teen Biography",RIGHT(B412,LEN(B412)-5),
IF(AND(D412="Audiobook",
              IFERROR(FIND("BIO",$B412)&gt;0,FALSE)),RIGHT(B412,LEN(B412)-3),
IF(D412="Juvenile Large Type","J "&amp;RIGHT(B412,LEN(B412)-11),
IF(D412="Teen Large Type","TEEN "&amp;RIGHT(B412,LEN(B412)-14),
IF(D412="Reference",RIGHT(B412,LEN(B412)-4),
IF(D412="DVD Educational",RIGHT(B412,LEN(B412)-7),
IF(D412="Juvenile DVD Educational",RIGHT(B412,LEN(B412)-9),
B412)))))))))))))))))</f>
        <v/>
      </c>
      <c r="N412" s="11" t="str">
        <f ca="1">IF(IFERROR(FIND("New",$A412)&gt;0,FALSE),"New ","") &amp; IF(IFERROR(FIND("In Lib",$A412)&gt;0,FALSE),"Reference ","") &amp;
IF(AND(D412="Audiobook",LEFT(B412,6)="CD BIO"),"Biography",
IF(AND(D412="Teen Audiobook",LEFT(B412,11)="TEEN CD BIO"),"Biography",
IF(AND(D412="Juvenile Audiobook",LEFT(B412,8)="J CD BIO"),"Biography",
IF(AND(D412="Audiobook",LEFT(B412,6)="CD FIC"),"Audiobook Fiction",
IF(AND(D412="Teen Audiobook",LEFT(B412,11)="TEEN CD FIC"),"Teen Audiobook",
IF(AND(D412="Juvenile Audiobook",LEFT(B412,8)="J CD FIC"),"Juvenile Audiobook",
IF(D412="Audiobook","Nonfiction",
IF(D412="Juvenile Audiobook","Nonfiction",
IF(D412="Teen Audiobook","Nonfiction",
IF(D412="Juvenile Nonfiction","Nonfiction",
IF(D412="Teen Nonfiction","Nonfiction",
IF(D412="Juvenile Biography","Biography",
IF(D412="Teen Biography","Biography",
IF(D412="ESL","Nonfiction",
IF(LEFT(B412,11)="INTL-VIE J ","International Juvenile",IF(LEFT(B412,11)="INTL-TAG J ","International Juvenile",IF(LEFT(B412,11)="INTL-RUS J ","International Juvenile",IF(LEFT(B412,11)="INTL-KOR J ","International Juvenile",IF(LEFT(B412,11)="INTL-JAP J ","International Juvenile",IF(LEFT(B412,11)="INTL-CHI J ","International Juvenile",IF(LEFT(B412,11)="INTL-SPA J ","International Juvenile",IF(LEFT(B412,14)="INTL-VIE TEEN ","International Teen",IF(LEFT(B412,14)="INTL-TAG TEEN ","International Teen",IF(LEFT(B412,14)="INTL-RUS TEEN ","International Teen",IF(LEFT(B412,14)="INTL-KOR TEEN ","International Teen",IF(LEFT(B412,14)="INTL-JAP TEEN ","International Teen",IF(LEFT(B412,14)="INTL-CHI TEEN ","International Teen",IF(LEFT(B412,14)="INTL-SPA TEEN ","International Teen",IF(LEFT(B412,11)="INTL-VIE E ","International Easy",IF(LEFT(B412,11)="INTL-TAG E ","International Easy",IF(LEFT(B412,11)="INTL-RUS E ","International Easy",IF(LEFT(B412,11)="INTL-JAP E ","International Easy",IF(LEFT(B412,11)="INTL-KOR E ","International Easy",IF(LEFT(B412,11)="INTL-CHI E ","International Easy",IF(LEFT(B412,11)="INTL-SPA E ","International Easy",
IF(D412="Teen Large Type","Teen Fiction",
IF(D412="Juvenile Large Type","Juvenile Fiction",
IF(LEFT(B412,6)="J CD O","Juvenile Compact Disc",
IF(AND(LEFT(B412,4)="TEEN",D412="Fiction"),"Teen Fiction",
IF(D412="DVD Educational","Nonfiction",
IF(D412="Juvenile DVD Educational","Nonfiction",
IF(D412="Reference","Nonfiction",
D412))))))))))))))))))))))))))))))))))))))))))</f>
        <v/>
      </c>
    </row>
    <row r="413" spans="1:14" ht="27" customHeight="1" x14ac:dyDescent="0.25">
      <c r="A413" s="10" t="str">
        <f ca="1">TEXT( INDIRECT( ADDRESS( ROW() + Row_Offset, INDIRECT( "Column_Number_" &amp; A$1), 4,1, tabname) ), "")</f>
        <v/>
      </c>
      <c r="B413" s="10" t="str">
        <f ca="1">TEXT(  IFERROR( VLOOKUP( $D413, CollName_Simplifier_Table[], 2, FALSE),"") &amp;
        INDIRECT( ADDRESS( ROW() + Row_Offset, INDIRECT( "Column_Number_" &amp; $B$1), 4,1, tabname) ), "")</f>
        <v/>
      </c>
      <c r="C413" s="10" t="str">
        <f ca="1">TEXT( INDIRECT( ADDRESS( ROW() + Row_Offset, INDIRECT( "Column_Number_" &amp; C$1), 4,1, tabname) ), "")</f>
        <v/>
      </c>
      <c r="D413" s="10" t="str">
        <f ca="1">TEXT( INDIRECT( ADDRESS( ROW() + Row_Offset, INDIRECT( "Column_Number_" &amp; D$1), 4,1, tabname) ), "")</f>
        <v/>
      </c>
      <c r="E413" s="10" t="str">
        <f ca="1">TEXT( INDIRECT( ADDRESS( ROW() + Row_Offset, INDIRECT( "Column_Number_" &amp; E$1), 4,1, tabname) ), "####")</f>
        <v/>
      </c>
      <c r="F413" s="15"/>
      <c r="G413" s="22" t="str">
        <f ca="1">IFERROR(INDEX(Rank_Table[],MATCH($D413&amp;$A413,Table4[Join],0)),"")</f>
        <v/>
      </c>
      <c r="H413" s="11" t="str">
        <f ca="1">IF(AND(D413="Juvenile Audiobook",LEFT(B413,8)="J CD BIO"),RIGHT(B413,LEN(B413)-9),
IF(AND(D413="Juvenile Audiobook",LEFT(B413,8)="J CD FIC"),B413,
IF(D413="Juvenile Audiobook",RIGHT(B413,LEN(B413)-5),
IF(AND(D413="Teen Audiobook",LEFT(B413,11)="TEEN CD BIO"),RIGHT(B413,LEN(B413)-12),
IF(AND(D413="Teen Audiobook",LEFT(B413,11)="TEEN CD FIC"),B413,
IF(D413="Juvenile Audiobook",RIGHT(B413,LEN(B413)-8),
IF(D413="Juvenile Nonfiction",RIGHT(B413,LEN(B413)-2),
IF(D413="Teen Nonfiction",RIGHT(B413,LEN(B413)-5),
IF(AND(D413="Audiobook",
              NOT(OR(Contains($B413,"CD BIO"),Contains($B413,"CD FIC")))),RIGHT(B413,LEN(B413)-3),
IF(D413="Juvenile Biography",RIGHT(B413,LEN(B413)-2),
IF(D413="Teen Biography",RIGHT(B413,LEN(B413)-5),
IF(AND(D413="Audiobook",
              IFERROR(FIND("BIO",$B413)&gt;0,FALSE)),RIGHT(B413,LEN(B413)-3),
IF(D413="Juvenile Large Type","J "&amp;RIGHT(B413,LEN(B413)-11),
IF(D413="Teen Large Type","TEEN "&amp;RIGHT(B413,LEN(B413)-14),
IF(D413="Reference",RIGHT(B413,LEN(B413)-4),
IF(D413="DVD Educational",RIGHT(B413,LEN(B413)-7),
IF(D413="Juvenile DVD Educational",RIGHT(B413,LEN(B413)-9),
B413)))))))))))))))))</f>
        <v/>
      </c>
      <c r="N413" s="11" t="str">
        <f ca="1">IF(IFERROR(FIND("New",$A413)&gt;0,FALSE),"New ","") &amp; IF(IFERROR(FIND("In Lib",$A413)&gt;0,FALSE),"Reference ","") &amp;
IF(AND(D413="Audiobook",LEFT(B413,6)="CD BIO"),"Biography",
IF(AND(D413="Teen Audiobook",LEFT(B413,11)="TEEN CD BIO"),"Biography",
IF(AND(D413="Juvenile Audiobook",LEFT(B413,8)="J CD BIO"),"Biography",
IF(AND(D413="Audiobook",LEFT(B413,6)="CD FIC"),"Audiobook Fiction",
IF(AND(D413="Teen Audiobook",LEFT(B413,11)="TEEN CD FIC"),"Teen Audiobook",
IF(AND(D413="Juvenile Audiobook",LEFT(B413,8)="J CD FIC"),"Juvenile Audiobook",
IF(D413="Audiobook","Nonfiction",
IF(D413="Juvenile Audiobook","Nonfiction",
IF(D413="Teen Audiobook","Nonfiction",
IF(D413="Juvenile Nonfiction","Nonfiction",
IF(D413="Teen Nonfiction","Nonfiction",
IF(D413="Juvenile Biography","Biography",
IF(D413="Teen Biography","Biography",
IF(D413="ESL","Nonfiction",
IF(LEFT(B413,11)="INTL-VIE J ","International Juvenile",IF(LEFT(B413,11)="INTL-TAG J ","International Juvenile",IF(LEFT(B413,11)="INTL-RUS J ","International Juvenile",IF(LEFT(B413,11)="INTL-KOR J ","International Juvenile",IF(LEFT(B413,11)="INTL-JAP J ","International Juvenile",IF(LEFT(B413,11)="INTL-CHI J ","International Juvenile",IF(LEFT(B413,11)="INTL-SPA J ","International Juvenile",IF(LEFT(B413,14)="INTL-VIE TEEN ","International Teen",IF(LEFT(B413,14)="INTL-TAG TEEN ","International Teen",IF(LEFT(B413,14)="INTL-RUS TEEN ","International Teen",IF(LEFT(B413,14)="INTL-KOR TEEN ","International Teen",IF(LEFT(B413,14)="INTL-JAP TEEN ","International Teen",IF(LEFT(B413,14)="INTL-CHI TEEN ","International Teen",IF(LEFT(B413,14)="INTL-SPA TEEN ","International Teen",IF(LEFT(B413,11)="INTL-VIE E ","International Easy",IF(LEFT(B413,11)="INTL-TAG E ","International Easy",IF(LEFT(B413,11)="INTL-RUS E ","International Easy",IF(LEFT(B413,11)="INTL-JAP E ","International Easy",IF(LEFT(B413,11)="INTL-KOR E ","International Easy",IF(LEFT(B413,11)="INTL-CHI E ","International Easy",IF(LEFT(B413,11)="INTL-SPA E ","International Easy",
IF(D413="Teen Large Type","Teen Fiction",
IF(D413="Juvenile Large Type","Juvenile Fiction",
IF(LEFT(B413,6)="J CD O","Juvenile Compact Disc",
IF(AND(LEFT(B413,4)="TEEN",D413="Fiction"),"Teen Fiction",
IF(D413="DVD Educational","Nonfiction",
IF(D413="Juvenile DVD Educational","Nonfiction",
IF(D413="Reference","Nonfiction",
D413))))))))))))))))))))))))))))))))))))))))))</f>
        <v/>
      </c>
    </row>
    <row r="414" spans="1:14" ht="27" customHeight="1" x14ac:dyDescent="0.25">
      <c r="A414" s="10" t="str">
        <f ca="1">TEXT( INDIRECT( ADDRESS( ROW() + Row_Offset, INDIRECT( "Column_Number_" &amp; A$1), 4,1, tabname) ), "")</f>
        <v/>
      </c>
      <c r="B414" s="10" t="str">
        <f ca="1">TEXT(  IFERROR( VLOOKUP( $D414, CollName_Simplifier_Table[], 2, FALSE),"") &amp;
        INDIRECT( ADDRESS( ROW() + Row_Offset, INDIRECT( "Column_Number_" &amp; $B$1), 4,1, tabname) ), "")</f>
        <v/>
      </c>
      <c r="C414" s="10" t="str">
        <f ca="1">TEXT( INDIRECT( ADDRESS( ROW() + Row_Offset, INDIRECT( "Column_Number_" &amp; C$1), 4,1, tabname) ), "")</f>
        <v/>
      </c>
      <c r="D414" s="10" t="str">
        <f ca="1">TEXT( INDIRECT( ADDRESS( ROW() + Row_Offset, INDIRECT( "Column_Number_" &amp; D$1), 4,1, tabname) ), "")</f>
        <v/>
      </c>
      <c r="E414" s="10" t="str">
        <f ca="1">TEXT( INDIRECT( ADDRESS( ROW() + Row_Offset, INDIRECT( "Column_Number_" &amp; E$1), 4,1, tabname) ), "####")</f>
        <v/>
      </c>
      <c r="F414" s="15"/>
      <c r="G414" s="22" t="str">
        <f ca="1">IFERROR(INDEX(Rank_Table[],MATCH($D414&amp;$A414,Table4[Join],0)),"")</f>
        <v/>
      </c>
      <c r="H414" s="11" t="str">
        <f ca="1">IF(AND(D414="Juvenile Audiobook",LEFT(B414,8)="J CD BIO"),RIGHT(B414,LEN(B414)-9),
IF(AND(D414="Juvenile Audiobook",LEFT(B414,8)="J CD FIC"),B414,
IF(D414="Juvenile Audiobook",RIGHT(B414,LEN(B414)-5),
IF(AND(D414="Teen Audiobook",LEFT(B414,11)="TEEN CD BIO"),RIGHT(B414,LEN(B414)-12),
IF(AND(D414="Teen Audiobook",LEFT(B414,11)="TEEN CD FIC"),B414,
IF(D414="Juvenile Audiobook",RIGHT(B414,LEN(B414)-8),
IF(D414="Juvenile Nonfiction",RIGHT(B414,LEN(B414)-2),
IF(D414="Teen Nonfiction",RIGHT(B414,LEN(B414)-5),
IF(AND(D414="Audiobook",
              NOT(OR(Contains($B414,"CD BIO"),Contains($B414,"CD FIC")))),RIGHT(B414,LEN(B414)-3),
IF(D414="Juvenile Biography",RIGHT(B414,LEN(B414)-2),
IF(D414="Teen Biography",RIGHT(B414,LEN(B414)-5),
IF(AND(D414="Audiobook",
              IFERROR(FIND("BIO",$B414)&gt;0,FALSE)),RIGHT(B414,LEN(B414)-3),
IF(D414="Juvenile Large Type","J "&amp;RIGHT(B414,LEN(B414)-11),
IF(D414="Teen Large Type","TEEN "&amp;RIGHT(B414,LEN(B414)-14),
IF(D414="Reference",RIGHT(B414,LEN(B414)-4),
IF(D414="DVD Educational",RIGHT(B414,LEN(B414)-7),
IF(D414="Juvenile DVD Educational",RIGHT(B414,LEN(B414)-9),
B414)))))))))))))))))</f>
        <v/>
      </c>
      <c r="N414" s="11" t="str">
        <f ca="1">IF(IFERROR(FIND("New",$A414)&gt;0,FALSE),"New ","") &amp; IF(IFERROR(FIND("In Lib",$A414)&gt;0,FALSE),"Reference ","") &amp;
IF(AND(D414="Audiobook",LEFT(B414,6)="CD BIO"),"Biography",
IF(AND(D414="Teen Audiobook",LEFT(B414,11)="TEEN CD BIO"),"Biography",
IF(AND(D414="Juvenile Audiobook",LEFT(B414,8)="J CD BIO"),"Biography",
IF(AND(D414="Audiobook",LEFT(B414,6)="CD FIC"),"Audiobook Fiction",
IF(AND(D414="Teen Audiobook",LEFT(B414,11)="TEEN CD FIC"),"Teen Audiobook",
IF(AND(D414="Juvenile Audiobook",LEFT(B414,8)="J CD FIC"),"Juvenile Audiobook",
IF(D414="Audiobook","Nonfiction",
IF(D414="Juvenile Audiobook","Nonfiction",
IF(D414="Teen Audiobook","Nonfiction",
IF(D414="Juvenile Nonfiction","Nonfiction",
IF(D414="Teen Nonfiction","Nonfiction",
IF(D414="Juvenile Biography","Biography",
IF(D414="Teen Biography","Biography",
IF(D414="ESL","Nonfiction",
IF(LEFT(B414,11)="INTL-VIE J ","International Juvenile",IF(LEFT(B414,11)="INTL-TAG J ","International Juvenile",IF(LEFT(B414,11)="INTL-RUS J ","International Juvenile",IF(LEFT(B414,11)="INTL-KOR J ","International Juvenile",IF(LEFT(B414,11)="INTL-JAP J ","International Juvenile",IF(LEFT(B414,11)="INTL-CHI J ","International Juvenile",IF(LEFT(B414,11)="INTL-SPA J ","International Juvenile",IF(LEFT(B414,14)="INTL-VIE TEEN ","International Teen",IF(LEFT(B414,14)="INTL-TAG TEEN ","International Teen",IF(LEFT(B414,14)="INTL-RUS TEEN ","International Teen",IF(LEFT(B414,14)="INTL-KOR TEEN ","International Teen",IF(LEFT(B414,14)="INTL-JAP TEEN ","International Teen",IF(LEFT(B414,14)="INTL-CHI TEEN ","International Teen",IF(LEFT(B414,14)="INTL-SPA TEEN ","International Teen",IF(LEFT(B414,11)="INTL-VIE E ","International Easy",IF(LEFT(B414,11)="INTL-TAG E ","International Easy",IF(LEFT(B414,11)="INTL-RUS E ","International Easy",IF(LEFT(B414,11)="INTL-JAP E ","International Easy",IF(LEFT(B414,11)="INTL-KOR E ","International Easy",IF(LEFT(B414,11)="INTL-CHI E ","International Easy",IF(LEFT(B414,11)="INTL-SPA E ","International Easy",
IF(D414="Teen Large Type","Teen Fiction",
IF(D414="Juvenile Large Type","Juvenile Fiction",
IF(LEFT(B414,6)="J CD O","Juvenile Compact Disc",
IF(AND(LEFT(B414,4)="TEEN",D414="Fiction"),"Teen Fiction",
IF(D414="DVD Educational","Nonfiction",
IF(D414="Juvenile DVD Educational","Nonfiction",
IF(D414="Reference","Nonfiction",
D414))))))))))))))))))))))))))))))))))))))))))</f>
        <v/>
      </c>
    </row>
    <row r="415" spans="1:14" ht="27" customHeight="1" x14ac:dyDescent="0.25">
      <c r="A415" s="10" t="str">
        <f ca="1">TEXT( INDIRECT( ADDRESS( ROW() + Row_Offset, INDIRECT( "Column_Number_" &amp; A$1), 4,1, tabname) ), "")</f>
        <v/>
      </c>
      <c r="B415" s="10" t="str">
        <f ca="1">TEXT(  IFERROR( VLOOKUP( $D415, CollName_Simplifier_Table[], 2, FALSE),"") &amp;
        INDIRECT( ADDRESS( ROW() + Row_Offset, INDIRECT( "Column_Number_" &amp; $B$1), 4,1, tabname) ), "")</f>
        <v/>
      </c>
      <c r="C415" s="10" t="str">
        <f ca="1">TEXT( INDIRECT( ADDRESS( ROW() + Row_Offset, INDIRECT( "Column_Number_" &amp; C$1), 4,1, tabname) ), "")</f>
        <v/>
      </c>
      <c r="D415" s="10" t="str">
        <f ca="1">TEXT( INDIRECT( ADDRESS( ROW() + Row_Offset, INDIRECT( "Column_Number_" &amp; D$1), 4,1, tabname) ), "")</f>
        <v/>
      </c>
      <c r="E415" s="10" t="str">
        <f ca="1">TEXT( INDIRECT( ADDRESS( ROW() + Row_Offset, INDIRECT( "Column_Number_" &amp; E$1), 4,1, tabname) ), "####")</f>
        <v/>
      </c>
      <c r="F415" s="15"/>
      <c r="G415" s="22" t="str">
        <f ca="1">IFERROR(INDEX(Rank_Table[],MATCH($D415&amp;$A415,Table4[Join],0)),"")</f>
        <v/>
      </c>
      <c r="H415" s="11" t="str">
        <f ca="1">IF(AND(D415="Juvenile Audiobook",LEFT(B415,8)="J CD BIO"),RIGHT(B415,LEN(B415)-9),
IF(AND(D415="Juvenile Audiobook",LEFT(B415,8)="J CD FIC"),B415,
IF(D415="Juvenile Audiobook",RIGHT(B415,LEN(B415)-5),
IF(AND(D415="Teen Audiobook",LEFT(B415,11)="TEEN CD BIO"),RIGHT(B415,LEN(B415)-12),
IF(AND(D415="Teen Audiobook",LEFT(B415,11)="TEEN CD FIC"),B415,
IF(D415="Juvenile Audiobook",RIGHT(B415,LEN(B415)-8),
IF(D415="Juvenile Nonfiction",RIGHT(B415,LEN(B415)-2),
IF(D415="Teen Nonfiction",RIGHT(B415,LEN(B415)-5),
IF(AND(D415="Audiobook",
              NOT(OR(Contains($B415,"CD BIO"),Contains($B415,"CD FIC")))),RIGHT(B415,LEN(B415)-3),
IF(D415="Juvenile Biography",RIGHT(B415,LEN(B415)-2),
IF(D415="Teen Biography",RIGHT(B415,LEN(B415)-5),
IF(AND(D415="Audiobook",
              IFERROR(FIND("BIO",$B415)&gt;0,FALSE)),RIGHT(B415,LEN(B415)-3),
IF(D415="Juvenile Large Type","J "&amp;RIGHT(B415,LEN(B415)-11),
IF(D415="Teen Large Type","TEEN "&amp;RIGHT(B415,LEN(B415)-14),
IF(D415="Reference",RIGHT(B415,LEN(B415)-4),
IF(D415="DVD Educational",RIGHT(B415,LEN(B415)-7),
IF(D415="Juvenile DVD Educational",RIGHT(B415,LEN(B415)-9),
B415)))))))))))))))))</f>
        <v/>
      </c>
      <c r="N415" s="11" t="str">
        <f ca="1">IF(IFERROR(FIND("New",$A415)&gt;0,FALSE),"New ","") &amp; IF(IFERROR(FIND("In Lib",$A415)&gt;0,FALSE),"Reference ","") &amp;
IF(AND(D415="Audiobook",LEFT(B415,6)="CD BIO"),"Biography",
IF(AND(D415="Teen Audiobook",LEFT(B415,11)="TEEN CD BIO"),"Biography",
IF(AND(D415="Juvenile Audiobook",LEFT(B415,8)="J CD BIO"),"Biography",
IF(AND(D415="Audiobook",LEFT(B415,6)="CD FIC"),"Audiobook Fiction",
IF(AND(D415="Teen Audiobook",LEFT(B415,11)="TEEN CD FIC"),"Teen Audiobook",
IF(AND(D415="Juvenile Audiobook",LEFT(B415,8)="J CD FIC"),"Juvenile Audiobook",
IF(D415="Audiobook","Nonfiction",
IF(D415="Juvenile Audiobook","Nonfiction",
IF(D415="Teen Audiobook","Nonfiction",
IF(D415="Juvenile Nonfiction","Nonfiction",
IF(D415="Teen Nonfiction","Nonfiction",
IF(D415="Juvenile Biography","Biography",
IF(D415="Teen Biography","Biography",
IF(D415="ESL","Nonfiction",
IF(LEFT(B415,11)="INTL-VIE J ","International Juvenile",IF(LEFT(B415,11)="INTL-TAG J ","International Juvenile",IF(LEFT(B415,11)="INTL-RUS J ","International Juvenile",IF(LEFT(B415,11)="INTL-KOR J ","International Juvenile",IF(LEFT(B415,11)="INTL-JAP J ","International Juvenile",IF(LEFT(B415,11)="INTL-CHI J ","International Juvenile",IF(LEFT(B415,11)="INTL-SPA J ","International Juvenile",IF(LEFT(B415,14)="INTL-VIE TEEN ","International Teen",IF(LEFT(B415,14)="INTL-TAG TEEN ","International Teen",IF(LEFT(B415,14)="INTL-RUS TEEN ","International Teen",IF(LEFT(B415,14)="INTL-KOR TEEN ","International Teen",IF(LEFT(B415,14)="INTL-JAP TEEN ","International Teen",IF(LEFT(B415,14)="INTL-CHI TEEN ","International Teen",IF(LEFT(B415,14)="INTL-SPA TEEN ","International Teen",IF(LEFT(B415,11)="INTL-VIE E ","International Easy",IF(LEFT(B415,11)="INTL-TAG E ","International Easy",IF(LEFT(B415,11)="INTL-RUS E ","International Easy",IF(LEFT(B415,11)="INTL-JAP E ","International Easy",IF(LEFT(B415,11)="INTL-KOR E ","International Easy",IF(LEFT(B415,11)="INTL-CHI E ","International Easy",IF(LEFT(B415,11)="INTL-SPA E ","International Easy",
IF(D415="Teen Large Type","Teen Fiction",
IF(D415="Juvenile Large Type","Juvenile Fiction",
IF(LEFT(B415,6)="J CD O","Juvenile Compact Disc",
IF(AND(LEFT(B415,4)="TEEN",D415="Fiction"),"Teen Fiction",
IF(D415="DVD Educational","Nonfiction",
IF(D415="Juvenile DVD Educational","Nonfiction",
IF(D415="Reference","Nonfiction",
D415))))))))))))))))))))))))))))))))))))))))))</f>
        <v/>
      </c>
    </row>
    <row r="416" spans="1:14" ht="27" customHeight="1" x14ac:dyDescent="0.25">
      <c r="A416" s="10" t="str">
        <f ca="1">TEXT( INDIRECT( ADDRESS( ROW() + Row_Offset, INDIRECT( "Column_Number_" &amp; A$1), 4,1, tabname) ), "")</f>
        <v/>
      </c>
      <c r="B416" s="10" t="str">
        <f ca="1">TEXT(  IFERROR( VLOOKUP( $D416, CollName_Simplifier_Table[], 2, FALSE),"") &amp;
        INDIRECT( ADDRESS( ROW() + Row_Offset, INDIRECT( "Column_Number_" &amp; $B$1), 4,1, tabname) ), "")</f>
        <v/>
      </c>
      <c r="C416" s="10" t="str">
        <f ca="1">TEXT( INDIRECT( ADDRESS( ROW() + Row_Offset, INDIRECT( "Column_Number_" &amp; C$1), 4,1, tabname) ), "")</f>
        <v/>
      </c>
      <c r="D416" s="10" t="str">
        <f ca="1">TEXT( INDIRECT( ADDRESS( ROW() + Row_Offset, INDIRECT( "Column_Number_" &amp; D$1), 4,1, tabname) ), "")</f>
        <v/>
      </c>
      <c r="E416" s="10" t="str">
        <f ca="1">TEXT( INDIRECT( ADDRESS( ROW() + Row_Offset, INDIRECT( "Column_Number_" &amp; E$1), 4,1, tabname) ), "####")</f>
        <v/>
      </c>
      <c r="F416" s="15"/>
      <c r="G416" s="22" t="str">
        <f ca="1">IFERROR(INDEX(Rank_Table[],MATCH($D416&amp;$A416,Table4[Join],0)),"")</f>
        <v/>
      </c>
      <c r="H416" s="11" t="str">
        <f ca="1">IF(AND(D416="Juvenile Audiobook",LEFT(B416,8)="J CD BIO"),RIGHT(B416,LEN(B416)-9),
IF(AND(D416="Juvenile Audiobook",LEFT(B416,8)="J CD FIC"),B416,
IF(D416="Juvenile Audiobook",RIGHT(B416,LEN(B416)-5),
IF(AND(D416="Teen Audiobook",LEFT(B416,11)="TEEN CD BIO"),RIGHT(B416,LEN(B416)-12),
IF(AND(D416="Teen Audiobook",LEFT(B416,11)="TEEN CD FIC"),B416,
IF(D416="Juvenile Audiobook",RIGHT(B416,LEN(B416)-8),
IF(D416="Juvenile Nonfiction",RIGHT(B416,LEN(B416)-2),
IF(D416="Teen Nonfiction",RIGHT(B416,LEN(B416)-5),
IF(AND(D416="Audiobook",
              NOT(OR(Contains($B416,"CD BIO"),Contains($B416,"CD FIC")))),RIGHT(B416,LEN(B416)-3),
IF(D416="Juvenile Biography",RIGHT(B416,LEN(B416)-2),
IF(D416="Teen Biography",RIGHT(B416,LEN(B416)-5),
IF(AND(D416="Audiobook",
              IFERROR(FIND("BIO",$B416)&gt;0,FALSE)),RIGHT(B416,LEN(B416)-3),
IF(D416="Juvenile Large Type","J "&amp;RIGHT(B416,LEN(B416)-11),
IF(D416="Teen Large Type","TEEN "&amp;RIGHT(B416,LEN(B416)-14),
IF(D416="Reference",RIGHT(B416,LEN(B416)-4),
IF(D416="DVD Educational",RIGHT(B416,LEN(B416)-7),
IF(D416="Juvenile DVD Educational",RIGHT(B416,LEN(B416)-9),
B416)))))))))))))))))</f>
        <v/>
      </c>
      <c r="N416" s="11" t="str">
        <f ca="1">IF(IFERROR(FIND("New",$A416)&gt;0,FALSE),"New ","") &amp; IF(IFERROR(FIND("In Lib",$A416)&gt;0,FALSE),"Reference ","") &amp;
IF(AND(D416="Audiobook",LEFT(B416,6)="CD BIO"),"Biography",
IF(AND(D416="Teen Audiobook",LEFT(B416,11)="TEEN CD BIO"),"Biography",
IF(AND(D416="Juvenile Audiobook",LEFT(B416,8)="J CD BIO"),"Biography",
IF(AND(D416="Audiobook",LEFT(B416,6)="CD FIC"),"Audiobook Fiction",
IF(AND(D416="Teen Audiobook",LEFT(B416,11)="TEEN CD FIC"),"Teen Audiobook",
IF(AND(D416="Juvenile Audiobook",LEFT(B416,8)="J CD FIC"),"Juvenile Audiobook",
IF(D416="Audiobook","Nonfiction",
IF(D416="Juvenile Audiobook","Nonfiction",
IF(D416="Teen Audiobook","Nonfiction",
IF(D416="Juvenile Nonfiction","Nonfiction",
IF(D416="Teen Nonfiction","Nonfiction",
IF(D416="Juvenile Biography","Biography",
IF(D416="Teen Biography","Biography",
IF(D416="ESL","Nonfiction",
IF(LEFT(B416,11)="INTL-VIE J ","International Juvenile",IF(LEFT(B416,11)="INTL-TAG J ","International Juvenile",IF(LEFT(B416,11)="INTL-RUS J ","International Juvenile",IF(LEFT(B416,11)="INTL-KOR J ","International Juvenile",IF(LEFT(B416,11)="INTL-JAP J ","International Juvenile",IF(LEFT(B416,11)="INTL-CHI J ","International Juvenile",IF(LEFT(B416,11)="INTL-SPA J ","International Juvenile",IF(LEFT(B416,14)="INTL-VIE TEEN ","International Teen",IF(LEFT(B416,14)="INTL-TAG TEEN ","International Teen",IF(LEFT(B416,14)="INTL-RUS TEEN ","International Teen",IF(LEFT(B416,14)="INTL-KOR TEEN ","International Teen",IF(LEFT(B416,14)="INTL-JAP TEEN ","International Teen",IF(LEFT(B416,14)="INTL-CHI TEEN ","International Teen",IF(LEFT(B416,14)="INTL-SPA TEEN ","International Teen",IF(LEFT(B416,11)="INTL-VIE E ","International Easy",IF(LEFT(B416,11)="INTL-TAG E ","International Easy",IF(LEFT(B416,11)="INTL-RUS E ","International Easy",IF(LEFT(B416,11)="INTL-JAP E ","International Easy",IF(LEFT(B416,11)="INTL-KOR E ","International Easy",IF(LEFT(B416,11)="INTL-CHI E ","International Easy",IF(LEFT(B416,11)="INTL-SPA E ","International Easy",
IF(D416="Teen Large Type","Teen Fiction",
IF(D416="Juvenile Large Type","Juvenile Fiction",
IF(LEFT(B416,6)="J CD O","Juvenile Compact Disc",
IF(AND(LEFT(B416,4)="TEEN",D416="Fiction"),"Teen Fiction",
IF(D416="DVD Educational","Nonfiction",
IF(D416="Juvenile DVD Educational","Nonfiction",
IF(D416="Reference","Nonfiction",
D416))))))))))))))))))))))))))))))))))))))))))</f>
        <v/>
      </c>
    </row>
    <row r="417" spans="1:14" ht="27" customHeight="1" x14ac:dyDescent="0.25">
      <c r="A417" s="10" t="str">
        <f ca="1">TEXT( INDIRECT( ADDRESS( ROW() + Row_Offset, INDIRECT( "Column_Number_" &amp; A$1), 4,1, tabname) ), "")</f>
        <v/>
      </c>
      <c r="B417" s="10" t="str">
        <f ca="1">TEXT(  IFERROR( VLOOKUP( $D417, CollName_Simplifier_Table[], 2, FALSE),"") &amp;
        INDIRECT( ADDRESS( ROW() + Row_Offset, INDIRECT( "Column_Number_" &amp; $B$1), 4,1, tabname) ), "")</f>
        <v/>
      </c>
      <c r="C417" s="10" t="str">
        <f ca="1">TEXT( INDIRECT( ADDRESS( ROW() + Row_Offset, INDIRECT( "Column_Number_" &amp; C$1), 4,1, tabname) ), "")</f>
        <v/>
      </c>
      <c r="D417" s="10" t="str">
        <f ca="1">TEXT( INDIRECT( ADDRESS( ROW() + Row_Offset, INDIRECT( "Column_Number_" &amp; D$1), 4,1, tabname) ), "")</f>
        <v/>
      </c>
      <c r="E417" s="10" t="str">
        <f ca="1">TEXT( INDIRECT( ADDRESS( ROW() + Row_Offset, INDIRECT( "Column_Number_" &amp; E$1), 4,1, tabname) ), "####")</f>
        <v/>
      </c>
      <c r="F417" s="15"/>
      <c r="G417" s="22" t="str">
        <f ca="1">IFERROR(INDEX(Rank_Table[],MATCH($D417&amp;$A417,Table4[Join],0)),"")</f>
        <v/>
      </c>
      <c r="H417" s="11" t="str">
        <f ca="1">IF(AND(D417="Juvenile Audiobook",LEFT(B417,8)="J CD BIO"),RIGHT(B417,LEN(B417)-9),
IF(AND(D417="Juvenile Audiobook",LEFT(B417,8)="J CD FIC"),B417,
IF(D417="Juvenile Audiobook",RIGHT(B417,LEN(B417)-5),
IF(AND(D417="Teen Audiobook",LEFT(B417,11)="TEEN CD BIO"),RIGHT(B417,LEN(B417)-12),
IF(AND(D417="Teen Audiobook",LEFT(B417,11)="TEEN CD FIC"),B417,
IF(D417="Juvenile Audiobook",RIGHT(B417,LEN(B417)-8),
IF(D417="Juvenile Nonfiction",RIGHT(B417,LEN(B417)-2),
IF(D417="Teen Nonfiction",RIGHT(B417,LEN(B417)-5),
IF(AND(D417="Audiobook",
              NOT(OR(Contains($B417,"CD BIO"),Contains($B417,"CD FIC")))),RIGHT(B417,LEN(B417)-3),
IF(D417="Juvenile Biography",RIGHT(B417,LEN(B417)-2),
IF(D417="Teen Biography",RIGHT(B417,LEN(B417)-5),
IF(AND(D417="Audiobook",
              IFERROR(FIND("BIO",$B417)&gt;0,FALSE)),RIGHT(B417,LEN(B417)-3),
IF(D417="Juvenile Large Type","J "&amp;RIGHT(B417,LEN(B417)-11),
IF(D417="Teen Large Type","TEEN "&amp;RIGHT(B417,LEN(B417)-14),
IF(D417="Reference",RIGHT(B417,LEN(B417)-4),
IF(D417="DVD Educational",RIGHT(B417,LEN(B417)-7),
IF(D417="Juvenile DVD Educational",RIGHT(B417,LEN(B417)-9),
B417)))))))))))))))))</f>
        <v/>
      </c>
      <c r="N417" s="11" t="str">
        <f ca="1">IF(IFERROR(FIND("New",$A417)&gt;0,FALSE),"New ","") &amp; IF(IFERROR(FIND("In Lib",$A417)&gt;0,FALSE),"Reference ","") &amp;
IF(AND(D417="Audiobook",LEFT(B417,6)="CD BIO"),"Biography",
IF(AND(D417="Teen Audiobook",LEFT(B417,11)="TEEN CD BIO"),"Biography",
IF(AND(D417="Juvenile Audiobook",LEFT(B417,8)="J CD BIO"),"Biography",
IF(AND(D417="Audiobook",LEFT(B417,6)="CD FIC"),"Audiobook Fiction",
IF(AND(D417="Teen Audiobook",LEFT(B417,11)="TEEN CD FIC"),"Teen Audiobook",
IF(AND(D417="Juvenile Audiobook",LEFT(B417,8)="J CD FIC"),"Juvenile Audiobook",
IF(D417="Audiobook","Nonfiction",
IF(D417="Juvenile Audiobook","Nonfiction",
IF(D417="Teen Audiobook","Nonfiction",
IF(D417="Juvenile Nonfiction","Nonfiction",
IF(D417="Teen Nonfiction","Nonfiction",
IF(D417="Juvenile Biography","Biography",
IF(D417="Teen Biography","Biography",
IF(D417="ESL","Nonfiction",
IF(LEFT(B417,11)="INTL-VIE J ","International Juvenile",IF(LEFT(B417,11)="INTL-TAG J ","International Juvenile",IF(LEFT(B417,11)="INTL-RUS J ","International Juvenile",IF(LEFT(B417,11)="INTL-KOR J ","International Juvenile",IF(LEFT(B417,11)="INTL-JAP J ","International Juvenile",IF(LEFT(B417,11)="INTL-CHI J ","International Juvenile",IF(LEFT(B417,11)="INTL-SPA J ","International Juvenile",IF(LEFT(B417,14)="INTL-VIE TEEN ","International Teen",IF(LEFT(B417,14)="INTL-TAG TEEN ","International Teen",IF(LEFT(B417,14)="INTL-RUS TEEN ","International Teen",IF(LEFT(B417,14)="INTL-KOR TEEN ","International Teen",IF(LEFT(B417,14)="INTL-JAP TEEN ","International Teen",IF(LEFT(B417,14)="INTL-CHI TEEN ","International Teen",IF(LEFT(B417,14)="INTL-SPA TEEN ","International Teen",IF(LEFT(B417,11)="INTL-VIE E ","International Easy",IF(LEFT(B417,11)="INTL-TAG E ","International Easy",IF(LEFT(B417,11)="INTL-RUS E ","International Easy",IF(LEFT(B417,11)="INTL-JAP E ","International Easy",IF(LEFT(B417,11)="INTL-KOR E ","International Easy",IF(LEFT(B417,11)="INTL-CHI E ","International Easy",IF(LEFT(B417,11)="INTL-SPA E ","International Easy",
IF(D417="Teen Large Type","Teen Fiction",
IF(D417="Juvenile Large Type","Juvenile Fiction",
IF(LEFT(B417,6)="J CD O","Juvenile Compact Disc",
IF(AND(LEFT(B417,4)="TEEN",D417="Fiction"),"Teen Fiction",
IF(D417="DVD Educational","Nonfiction",
IF(D417="Juvenile DVD Educational","Nonfiction",
IF(D417="Reference","Nonfiction",
D417))))))))))))))))))))))))))))))))))))))))))</f>
        <v/>
      </c>
    </row>
    <row r="418" spans="1:14" ht="27" customHeight="1" x14ac:dyDescent="0.25">
      <c r="A418" s="10" t="str">
        <f ca="1">TEXT( INDIRECT( ADDRESS( ROW() + Row_Offset, INDIRECT( "Column_Number_" &amp; A$1), 4,1, tabname) ), "")</f>
        <v/>
      </c>
      <c r="B418" s="10" t="str">
        <f ca="1">TEXT(  IFERROR( VLOOKUP( $D418, CollName_Simplifier_Table[], 2, FALSE),"") &amp;
        INDIRECT( ADDRESS( ROW() + Row_Offset, INDIRECT( "Column_Number_" &amp; $B$1), 4,1, tabname) ), "")</f>
        <v/>
      </c>
      <c r="C418" s="10" t="str">
        <f ca="1">TEXT( INDIRECT( ADDRESS( ROW() + Row_Offset, INDIRECT( "Column_Number_" &amp; C$1), 4,1, tabname) ), "")</f>
        <v/>
      </c>
      <c r="D418" s="10" t="str">
        <f ca="1">TEXT( INDIRECT( ADDRESS( ROW() + Row_Offset, INDIRECT( "Column_Number_" &amp; D$1), 4,1, tabname) ), "")</f>
        <v/>
      </c>
      <c r="E418" s="10" t="str">
        <f ca="1">TEXT( INDIRECT( ADDRESS( ROW() + Row_Offset, INDIRECT( "Column_Number_" &amp; E$1), 4,1, tabname) ), "####")</f>
        <v/>
      </c>
      <c r="F418" s="15"/>
      <c r="G418" s="22" t="str">
        <f ca="1">IFERROR(INDEX(Rank_Table[],MATCH($D418&amp;$A418,Table4[Join],0)),"")</f>
        <v/>
      </c>
      <c r="H418" s="11" t="str">
        <f ca="1">IF(AND(D418="Juvenile Audiobook",LEFT(B418,8)="J CD BIO"),RIGHT(B418,LEN(B418)-9),
IF(AND(D418="Juvenile Audiobook",LEFT(B418,8)="J CD FIC"),B418,
IF(D418="Juvenile Audiobook",RIGHT(B418,LEN(B418)-5),
IF(AND(D418="Teen Audiobook",LEFT(B418,11)="TEEN CD BIO"),RIGHT(B418,LEN(B418)-12),
IF(AND(D418="Teen Audiobook",LEFT(B418,11)="TEEN CD FIC"),B418,
IF(D418="Juvenile Audiobook",RIGHT(B418,LEN(B418)-8),
IF(D418="Juvenile Nonfiction",RIGHT(B418,LEN(B418)-2),
IF(D418="Teen Nonfiction",RIGHT(B418,LEN(B418)-5),
IF(AND(D418="Audiobook",
              NOT(OR(Contains($B418,"CD BIO"),Contains($B418,"CD FIC")))),RIGHT(B418,LEN(B418)-3),
IF(D418="Juvenile Biography",RIGHT(B418,LEN(B418)-2),
IF(D418="Teen Biography",RIGHT(B418,LEN(B418)-5),
IF(AND(D418="Audiobook",
              IFERROR(FIND("BIO",$B418)&gt;0,FALSE)),RIGHT(B418,LEN(B418)-3),
IF(D418="Juvenile Large Type","J "&amp;RIGHT(B418,LEN(B418)-11),
IF(D418="Teen Large Type","TEEN "&amp;RIGHT(B418,LEN(B418)-14),
IF(D418="Reference",RIGHT(B418,LEN(B418)-4),
IF(D418="DVD Educational",RIGHT(B418,LEN(B418)-7),
IF(D418="Juvenile DVD Educational",RIGHT(B418,LEN(B418)-9),
B418)))))))))))))))))</f>
        <v/>
      </c>
      <c r="N418" s="11" t="str">
        <f ca="1">IF(IFERROR(FIND("New",$A418)&gt;0,FALSE),"New ","") &amp; IF(IFERROR(FIND("In Lib",$A418)&gt;0,FALSE),"Reference ","") &amp;
IF(AND(D418="Audiobook",LEFT(B418,6)="CD BIO"),"Biography",
IF(AND(D418="Teen Audiobook",LEFT(B418,11)="TEEN CD BIO"),"Biography",
IF(AND(D418="Juvenile Audiobook",LEFT(B418,8)="J CD BIO"),"Biography",
IF(AND(D418="Audiobook",LEFT(B418,6)="CD FIC"),"Audiobook Fiction",
IF(AND(D418="Teen Audiobook",LEFT(B418,11)="TEEN CD FIC"),"Teen Audiobook",
IF(AND(D418="Juvenile Audiobook",LEFT(B418,8)="J CD FIC"),"Juvenile Audiobook",
IF(D418="Audiobook","Nonfiction",
IF(D418="Juvenile Audiobook","Nonfiction",
IF(D418="Teen Audiobook","Nonfiction",
IF(D418="Juvenile Nonfiction","Nonfiction",
IF(D418="Teen Nonfiction","Nonfiction",
IF(D418="Juvenile Biography","Biography",
IF(D418="Teen Biography","Biography",
IF(D418="ESL","Nonfiction",
IF(LEFT(B418,11)="INTL-VIE J ","International Juvenile",IF(LEFT(B418,11)="INTL-TAG J ","International Juvenile",IF(LEFT(B418,11)="INTL-RUS J ","International Juvenile",IF(LEFT(B418,11)="INTL-KOR J ","International Juvenile",IF(LEFT(B418,11)="INTL-JAP J ","International Juvenile",IF(LEFT(B418,11)="INTL-CHI J ","International Juvenile",IF(LEFT(B418,11)="INTL-SPA J ","International Juvenile",IF(LEFT(B418,14)="INTL-VIE TEEN ","International Teen",IF(LEFT(B418,14)="INTL-TAG TEEN ","International Teen",IF(LEFT(B418,14)="INTL-RUS TEEN ","International Teen",IF(LEFT(B418,14)="INTL-KOR TEEN ","International Teen",IF(LEFT(B418,14)="INTL-JAP TEEN ","International Teen",IF(LEFT(B418,14)="INTL-CHI TEEN ","International Teen",IF(LEFT(B418,14)="INTL-SPA TEEN ","International Teen",IF(LEFT(B418,11)="INTL-VIE E ","International Easy",IF(LEFT(B418,11)="INTL-TAG E ","International Easy",IF(LEFT(B418,11)="INTL-RUS E ","International Easy",IF(LEFT(B418,11)="INTL-JAP E ","International Easy",IF(LEFT(B418,11)="INTL-KOR E ","International Easy",IF(LEFT(B418,11)="INTL-CHI E ","International Easy",IF(LEFT(B418,11)="INTL-SPA E ","International Easy",
IF(D418="Teen Large Type","Teen Fiction",
IF(D418="Juvenile Large Type","Juvenile Fiction",
IF(LEFT(B418,6)="J CD O","Juvenile Compact Disc",
IF(AND(LEFT(B418,4)="TEEN",D418="Fiction"),"Teen Fiction",
IF(D418="DVD Educational","Nonfiction",
IF(D418="Juvenile DVD Educational","Nonfiction",
IF(D418="Reference","Nonfiction",
D418))))))))))))))))))))))))))))))))))))))))))</f>
        <v/>
      </c>
    </row>
    <row r="419" spans="1:14" ht="27" customHeight="1" x14ac:dyDescent="0.25">
      <c r="A419" s="10" t="str">
        <f ca="1">TEXT( INDIRECT( ADDRESS( ROW() + Row_Offset, INDIRECT( "Column_Number_" &amp; A$1), 4,1, tabname) ), "")</f>
        <v/>
      </c>
      <c r="B419" s="10" t="str">
        <f ca="1">TEXT(  IFERROR( VLOOKUP( $D419, CollName_Simplifier_Table[], 2, FALSE),"") &amp;
        INDIRECT( ADDRESS( ROW() + Row_Offset, INDIRECT( "Column_Number_" &amp; $B$1), 4,1, tabname) ), "")</f>
        <v/>
      </c>
      <c r="C419" s="10" t="str">
        <f ca="1">TEXT( INDIRECT( ADDRESS( ROW() + Row_Offset, INDIRECT( "Column_Number_" &amp; C$1), 4,1, tabname) ), "")</f>
        <v/>
      </c>
      <c r="D419" s="10" t="str">
        <f ca="1">TEXT( INDIRECT( ADDRESS( ROW() + Row_Offset, INDIRECT( "Column_Number_" &amp; D$1), 4,1, tabname) ), "")</f>
        <v/>
      </c>
      <c r="E419" s="10" t="str">
        <f ca="1">TEXT( INDIRECT( ADDRESS( ROW() + Row_Offset, INDIRECT( "Column_Number_" &amp; E$1), 4,1, tabname) ), "####")</f>
        <v/>
      </c>
      <c r="F419" s="15"/>
      <c r="G419" s="22" t="str">
        <f ca="1">IFERROR(INDEX(Rank_Table[],MATCH($D419&amp;$A419,Table4[Join],0)),"")</f>
        <v/>
      </c>
      <c r="H419" s="11" t="str">
        <f ca="1">IF(AND(D419="Juvenile Audiobook",LEFT(B419,8)="J CD BIO"),RIGHT(B419,LEN(B419)-9),
IF(AND(D419="Juvenile Audiobook",LEFT(B419,8)="J CD FIC"),B419,
IF(D419="Juvenile Audiobook",RIGHT(B419,LEN(B419)-5),
IF(AND(D419="Teen Audiobook",LEFT(B419,11)="TEEN CD BIO"),RIGHT(B419,LEN(B419)-12),
IF(AND(D419="Teen Audiobook",LEFT(B419,11)="TEEN CD FIC"),B419,
IF(D419="Juvenile Audiobook",RIGHT(B419,LEN(B419)-8),
IF(D419="Juvenile Nonfiction",RIGHT(B419,LEN(B419)-2),
IF(D419="Teen Nonfiction",RIGHT(B419,LEN(B419)-5),
IF(AND(D419="Audiobook",
              NOT(OR(Contains($B419,"CD BIO"),Contains($B419,"CD FIC")))),RIGHT(B419,LEN(B419)-3),
IF(D419="Juvenile Biography",RIGHT(B419,LEN(B419)-2),
IF(D419="Teen Biography",RIGHT(B419,LEN(B419)-5),
IF(AND(D419="Audiobook",
              IFERROR(FIND("BIO",$B419)&gt;0,FALSE)),RIGHT(B419,LEN(B419)-3),
IF(D419="Juvenile Large Type","J "&amp;RIGHT(B419,LEN(B419)-11),
IF(D419="Teen Large Type","TEEN "&amp;RIGHT(B419,LEN(B419)-14),
IF(D419="Reference",RIGHT(B419,LEN(B419)-4),
IF(D419="DVD Educational",RIGHT(B419,LEN(B419)-7),
IF(D419="Juvenile DVD Educational",RIGHT(B419,LEN(B419)-9),
B419)))))))))))))))))</f>
        <v/>
      </c>
      <c r="N419" s="11" t="str">
        <f ca="1">IF(IFERROR(FIND("New",$A419)&gt;0,FALSE),"New ","") &amp; IF(IFERROR(FIND("In Lib",$A419)&gt;0,FALSE),"Reference ","") &amp;
IF(AND(D419="Audiobook",LEFT(B419,6)="CD BIO"),"Biography",
IF(AND(D419="Teen Audiobook",LEFT(B419,11)="TEEN CD BIO"),"Biography",
IF(AND(D419="Juvenile Audiobook",LEFT(B419,8)="J CD BIO"),"Biography",
IF(AND(D419="Audiobook",LEFT(B419,6)="CD FIC"),"Audiobook Fiction",
IF(AND(D419="Teen Audiobook",LEFT(B419,11)="TEEN CD FIC"),"Teen Audiobook",
IF(AND(D419="Juvenile Audiobook",LEFT(B419,8)="J CD FIC"),"Juvenile Audiobook",
IF(D419="Audiobook","Nonfiction",
IF(D419="Juvenile Audiobook","Nonfiction",
IF(D419="Teen Audiobook","Nonfiction",
IF(D419="Juvenile Nonfiction","Nonfiction",
IF(D419="Teen Nonfiction","Nonfiction",
IF(D419="Juvenile Biography","Biography",
IF(D419="Teen Biography","Biography",
IF(D419="ESL","Nonfiction",
IF(LEFT(B419,11)="INTL-VIE J ","International Juvenile",IF(LEFT(B419,11)="INTL-TAG J ","International Juvenile",IF(LEFT(B419,11)="INTL-RUS J ","International Juvenile",IF(LEFT(B419,11)="INTL-KOR J ","International Juvenile",IF(LEFT(B419,11)="INTL-JAP J ","International Juvenile",IF(LEFT(B419,11)="INTL-CHI J ","International Juvenile",IF(LEFT(B419,11)="INTL-SPA J ","International Juvenile",IF(LEFT(B419,14)="INTL-VIE TEEN ","International Teen",IF(LEFT(B419,14)="INTL-TAG TEEN ","International Teen",IF(LEFT(B419,14)="INTL-RUS TEEN ","International Teen",IF(LEFT(B419,14)="INTL-KOR TEEN ","International Teen",IF(LEFT(B419,14)="INTL-JAP TEEN ","International Teen",IF(LEFT(B419,14)="INTL-CHI TEEN ","International Teen",IF(LEFT(B419,14)="INTL-SPA TEEN ","International Teen",IF(LEFT(B419,11)="INTL-VIE E ","International Easy",IF(LEFT(B419,11)="INTL-TAG E ","International Easy",IF(LEFT(B419,11)="INTL-RUS E ","International Easy",IF(LEFT(B419,11)="INTL-JAP E ","International Easy",IF(LEFT(B419,11)="INTL-KOR E ","International Easy",IF(LEFT(B419,11)="INTL-CHI E ","International Easy",IF(LEFT(B419,11)="INTL-SPA E ","International Easy",
IF(D419="Teen Large Type","Teen Fiction",
IF(D419="Juvenile Large Type","Juvenile Fiction",
IF(LEFT(B419,6)="J CD O","Juvenile Compact Disc",
IF(AND(LEFT(B419,4)="TEEN",D419="Fiction"),"Teen Fiction",
IF(D419="DVD Educational","Nonfiction",
IF(D419="Juvenile DVD Educational","Nonfiction",
IF(D419="Reference","Nonfiction",
D419))))))))))))))))))))))))))))))))))))))))))</f>
        <v/>
      </c>
    </row>
    <row r="420" spans="1:14" ht="27" customHeight="1" x14ac:dyDescent="0.25">
      <c r="A420" s="10" t="str">
        <f ca="1">TEXT( INDIRECT( ADDRESS( ROW() + Row_Offset, INDIRECT( "Column_Number_" &amp; A$1), 4,1, tabname) ), "")</f>
        <v/>
      </c>
      <c r="B420" s="10" t="str">
        <f ca="1">TEXT(  IFERROR( VLOOKUP( $D420, CollName_Simplifier_Table[], 2, FALSE),"") &amp;
        INDIRECT( ADDRESS( ROW() + Row_Offset, INDIRECT( "Column_Number_" &amp; $B$1), 4,1, tabname) ), "")</f>
        <v/>
      </c>
      <c r="C420" s="10" t="str">
        <f ca="1">TEXT( INDIRECT( ADDRESS( ROW() + Row_Offset, INDIRECT( "Column_Number_" &amp; C$1), 4,1, tabname) ), "")</f>
        <v/>
      </c>
      <c r="D420" s="10" t="str">
        <f ca="1">TEXT( INDIRECT( ADDRESS( ROW() + Row_Offset, INDIRECT( "Column_Number_" &amp; D$1), 4,1, tabname) ), "")</f>
        <v/>
      </c>
      <c r="E420" s="10" t="str">
        <f ca="1">TEXT( INDIRECT( ADDRESS( ROW() + Row_Offset, INDIRECT( "Column_Number_" &amp; E$1), 4,1, tabname) ), "####")</f>
        <v/>
      </c>
      <c r="F420" s="15"/>
      <c r="G420" s="22" t="str">
        <f ca="1">IFERROR(INDEX(Rank_Table[],MATCH($D420&amp;$A420,Table4[Join],0)),"")</f>
        <v/>
      </c>
      <c r="H420" s="11" t="str">
        <f ca="1">IF(AND(D420="Juvenile Audiobook",LEFT(B420,8)="J CD BIO"),RIGHT(B420,LEN(B420)-9),
IF(AND(D420="Juvenile Audiobook",LEFT(B420,8)="J CD FIC"),B420,
IF(D420="Juvenile Audiobook",RIGHT(B420,LEN(B420)-5),
IF(AND(D420="Teen Audiobook",LEFT(B420,11)="TEEN CD BIO"),RIGHT(B420,LEN(B420)-12),
IF(AND(D420="Teen Audiobook",LEFT(B420,11)="TEEN CD FIC"),B420,
IF(D420="Juvenile Audiobook",RIGHT(B420,LEN(B420)-8),
IF(D420="Juvenile Nonfiction",RIGHT(B420,LEN(B420)-2),
IF(D420="Teen Nonfiction",RIGHT(B420,LEN(B420)-5),
IF(AND(D420="Audiobook",
              NOT(OR(Contains($B420,"CD BIO"),Contains($B420,"CD FIC")))),RIGHT(B420,LEN(B420)-3),
IF(D420="Juvenile Biography",RIGHT(B420,LEN(B420)-2),
IF(D420="Teen Biography",RIGHT(B420,LEN(B420)-5),
IF(AND(D420="Audiobook",
              IFERROR(FIND("BIO",$B420)&gt;0,FALSE)),RIGHT(B420,LEN(B420)-3),
IF(D420="Juvenile Large Type","J "&amp;RIGHT(B420,LEN(B420)-11),
IF(D420="Teen Large Type","TEEN "&amp;RIGHT(B420,LEN(B420)-14),
IF(D420="Reference",RIGHT(B420,LEN(B420)-4),
IF(D420="DVD Educational",RIGHT(B420,LEN(B420)-7),
IF(D420="Juvenile DVD Educational",RIGHT(B420,LEN(B420)-9),
B420)))))))))))))))))</f>
        <v/>
      </c>
      <c r="N420" s="11" t="str">
        <f ca="1">IF(IFERROR(FIND("New",$A420)&gt;0,FALSE),"New ","") &amp; IF(IFERROR(FIND("In Lib",$A420)&gt;0,FALSE),"Reference ","") &amp;
IF(AND(D420="Audiobook",LEFT(B420,6)="CD BIO"),"Biography",
IF(AND(D420="Teen Audiobook",LEFT(B420,11)="TEEN CD BIO"),"Biography",
IF(AND(D420="Juvenile Audiobook",LEFT(B420,8)="J CD BIO"),"Biography",
IF(AND(D420="Audiobook",LEFT(B420,6)="CD FIC"),"Audiobook Fiction",
IF(AND(D420="Teen Audiobook",LEFT(B420,11)="TEEN CD FIC"),"Teen Audiobook",
IF(AND(D420="Juvenile Audiobook",LEFT(B420,8)="J CD FIC"),"Juvenile Audiobook",
IF(D420="Audiobook","Nonfiction",
IF(D420="Juvenile Audiobook","Nonfiction",
IF(D420="Teen Audiobook","Nonfiction",
IF(D420="Juvenile Nonfiction","Nonfiction",
IF(D420="Teen Nonfiction","Nonfiction",
IF(D420="Juvenile Biography","Biography",
IF(D420="Teen Biography","Biography",
IF(D420="ESL","Nonfiction",
IF(LEFT(B420,11)="INTL-VIE J ","International Juvenile",IF(LEFT(B420,11)="INTL-TAG J ","International Juvenile",IF(LEFT(B420,11)="INTL-RUS J ","International Juvenile",IF(LEFT(B420,11)="INTL-KOR J ","International Juvenile",IF(LEFT(B420,11)="INTL-JAP J ","International Juvenile",IF(LEFT(B420,11)="INTL-CHI J ","International Juvenile",IF(LEFT(B420,11)="INTL-SPA J ","International Juvenile",IF(LEFT(B420,14)="INTL-VIE TEEN ","International Teen",IF(LEFT(B420,14)="INTL-TAG TEEN ","International Teen",IF(LEFT(B420,14)="INTL-RUS TEEN ","International Teen",IF(LEFT(B420,14)="INTL-KOR TEEN ","International Teen",IF(LEFT(B420,14)="INTL-JAP TEEN ","International Teen",IF(LEFT(B420,14)="INTL-CHI TEEN ","International Teen",IF(LEFT(B420,14)="INTL-SPA TEEN ","International Teen",IF(LEFT(B420,11)="INTL-VIE E ","International Easy",IF(LEFT(B420,11)="INTL-TAG E ","International Easy",IF(LEFT(B420,11)="INTL-RUS E ","International Easy",IF(LEFT(B420,11)="INTL-JAP E ","International Easy",IF(LEFT(B420,11)="INTL-KOR E ","International Easy",IF(LEFT(B420,11)="INTL-CHI E ","International Easy",IF(LEFT(B420,11)="INTL-SPA E ","International Easy",
IF(D420="Teen Large Type","Teen Fiction",
IF(D420="Juvenile Large Type","Juvenile Fiction",
IF(LEFT(B420,6)="J CD O","Juvenile Compact Disc",
IF(AND(LEFT(B420,4)="TEEN",D420="Fiction"),"Teen Fiction",
IF(D420="DVD Educational","Nonfiction",
IF(D420="Juvenile DVD Educational","Nonfiction",
IF(D420="Reference","Nonfiction",
D420))))))))))))))))))))))))))))))))))))))))))</f>
        <v/>
      </c>
    </row>
    <row r="421" spans="1:14" ht="27" customHeight="1" x14ac:dyDescent="0.25">
      <c r="A421" s="10" t="str">
        <f ca="1">TEXT( INDIRECT( ADDRESS( ROW() + Row_Offset, INDIRECT( "Column_Number_" &amp; A$1), 4,1, tabname) ), "")</f>
        <v/>
      </c>
      <c r="B421" s="10" t="str">
        <f ca="1">TEXT(  IFERROR( VLOOKUP( $D421, CollName_Simplifier_Table[], 2, FALSE),"") &amp;
        INDIRECT( ADDRESS( ROW() + Row_Offset, INDIRECT( "Column_Number_" &amp; $B$1), 4,1, tabname) ), "")</f>
        <v/>
      </c>
      <c r="C421" s="10" t="str">
        <f ca="1">TEXT( INDIRECT( ADDRESS( ROW() + Row_Offset, INDIRECT( "Column_Number_" &amp; C$1), 4,1, tabname) ), "")</f>
        <v/>
      </c>
      <c r="D421" s="10" t="str">
        <f ca="1">TEXT( INDIRECT( ADDRESS( ROW() + Row_Offset, INDIRECT( "Column_Number_" &amp; D$1), 4,1, tabname) ), "")</f>
        <v/>
      </c>
      <c r="E421" s="10" t="str">
        <f ca="1">TEXT( INDIRECT( ADDRESS( ROW() + Row_Offset, INDIRECT( "Column_Number_" &amp; E$1), 4,1, tabname) ), "####")</f>
        <v/>
      </c>
      <c r="F421" s="15"/>
      <c r="G421" s="22" t="str">
        <f ca="1">IFERROR(INDEX(Rank_Table[],MATCH($D421&amp;$A421,Table4[Join],0)),"")</f>
        <v/>
      </c>
      <c r="H421" s="11" t="str">
        <f ca="1">IF(AND(D421="Juvenile Audiobook",LEFT(B421,8)="J CD BIO"),RIGHT(B421,LEN(B421)-9),
IF(AND(D421="Juvenile Audiobook",LEFT(B421,8)="J CD FIC"),B421,
IF(D421="Juvenile Audiobook",RIGHT(B421,LEN(B421)-5),
IF(AND(D421="Teen Audiobook",LEFT(B421,11)="TEEN CD BIO"),RIGHT(B421,LEN(B421)-12),
IF(AND(D421="Teen Audiobook",LEFT(B421,11)="TEEN CD FIC"),B421,
IF(D421="Juvenile Audiobook",RIGHT(B421,LEN(B421)-8),
IF(D421="Juvenile Nonfiction",RIGHT(B421,LEN(B421)-2),
IF(D421="Teen Nonfiction",RIGHT(B421,LEN(B421)-5),
IF(AND(D421="Audiobook",
              NOT(OR(Contains($B421,"CD BIO"),Contains($B421,"CD FIC")))),RIGHT(B421,LEN(B421)-3),
IF(D421="Juvenile Biography",RIGHT(B421,LEN(B421)-2),
IF(D421="Teen Biography",RIGHT(B421,LEN(B421)-5),
IF(AND(D421="Audiobook",
              IFERROR(FIND("BIO",$B421)&gt;0,FALSE)),RIGHT(B421,LEN(B421)-3),
IF(D421="Juvenile Large Type","J "&amp;RIGHT(B421,LEN(B421)-11),
IF(D421="Teen Large Type","TEEN "&amp;RIGHT(B421,LEN(B421)-14),
IF(D421="Reference",RIGHT(B421,LEN(B421)-4),
IF(D421="DVD Educational",RIGHT(B421,LEN(B421)-7),
IF(D421="Juvenile DVD Educational",RIGHT(B421,LEN(B421)-9),
B421)))))))))))))))))</f>
        <v/>
      </c>
      <c r="N421" s="11" t="str">
        <f ca="1">IF(IFERROR(FIND("New",$A421)&gt;0,FALSE),"New ","") &amp; IF(IFERROR(FIND("In Lib",$A421)&gt;0,FALSE),"Reference ","") &amp;
IF(AND(D421="Audiobook",LEFT(B421,6)="CD BIO"),"Biography",
IF(AND(D421="Teen Audiobook",LEFT(B421,11)="TEEN CD BIO"),"Biography",
IF(AND(D421="Juvenile Audiobook",LEFT(B421,8)="J CD BIO"),"Biography",
IF(AND(D421="Audiobook",LEFT(B421,6)="CD FIC"),"Audiobook Fiction",
IF(AND(D421="Teen Audiobook",LEFT(B421,11)="TEEN CD FIC"),"Teen Audiobook",
IF(AND(D421="Juvenile Audiobook",LEFT(B421,8)="J CD FIC"),"Juvenile Audiobook",
IF(D421="Audiobook","Nonfiction",
IF(D421="Juvenile Audiobook","Nonfiction",
IF(D421="Teen Audiobook","Nonfiction",
IF(D421="Juvenile Nonfiction","Nonfiction",
IF(D421="Teen Nonfiction","Nonfiction",
IF(D421="Juvenile Biography","Biography",
IF(D421="Teen Biography","Biography",
IF(D421="ESL","Nonfiction",
IF(LEFT(B421,11)="INTL-VIE J ","International Juvenile",IF(LEFT(B421,11)="INTL-TAG J ","International Juvenile",IF(LEFT(B421,11)="INTL-RUS J ","International Juvenile",IF(LEFT(B421,11)="INTL-KOR J ","International Juvenile",IF(LEFT(B421,11)="INTL-JAP J ","International Juvenile",IF(LEFT(B421,11)="INTL-CHI J ","International Juvenile",IF(LEFT(B421,11)="INTL-SPA J ","International Juvenile",IF(LEFT(B421,14)="INTL-VIE TEEN ","International Teen",IF(LEFT(B421,14)="INTL-TAG TEEN ","International Teen",IF(LEFT(B421,14)="INTL-RUS TEEN ","International Teen",IF(LEFT(B421,14)="INTL-KOR TEEN ","International Teen",IF(LEFT(B421,14)="INTL-JAP TEEN ","International Teen",IF(LEFT(B421,14)="INTL-CHI TEEN ","International Teen",IF(LEFT(B421,14)="INTL-SPA TEEN ","International Teen",IF(LEFT(B421,11)="INTL-VIE E ","International Easy",IF(LEFT(B421,11)="INTL-TAG E ","International Easy",IF(LEFT(B421,11)="INTL-RUS E ","International Easy",IF(LEFT(B421,11)="INTL-JAP E ","International Easy",IF(LEFT(B421,11)="INTL-KOR E ","International Easy",IF(LEFT(B421,11)="INTL-CHI E ","International Easy",IF(LEFT(B421,11)="INTL-SPA E ","International Easy",
IF(D421="Teen Large Type","Teen Fiction",
IF(D421="Juvenile Large Type","Juvenile Fiction",
IF(LEFT(B421,6)="J CD O","Juvenile Compact Disc",
IF(AND(LEFT(B421,4)="TEEN",D421="Fiction"),"Teen Fiction",
IF(D421="DVD Educational","Nonfiction",
IF(D421="Juvenile DVD Educational","Nonfiction",
IF(D421="Reference","Nonfiction",
D421))))))))))))))))))))))))))))))))))))))))))</f>
        <v/>
      </c>
    </row>
    <row r="422" spans="1:14" ht="27" customHeight="1" x14ac:dyDescent="0.25">
      <c r="A422" s="10" t="str">
        <f ca="1">TEXT( INDIRECT( ADDRESS( ROW() + Row_Offset, INDIRECT( "Column_Number_" &amp; A$1), 4,1, tabname) ), "")</f>
        <v/>
      </c>
      <c r="B422" s="10" t="str">
        <f ca="1">TEXT(  IFERROR( VLOOKUP( $D422, CollName_Simplifier_Table[], 2, FALSE),"") &amp;
        INDIRECT( ADDRESS( ROW() + Row_Offset, INDIRECT( "Column_Number_" &amp; $B$1), 4,1, tabname) ), "")</f>
        <v/>
      </c>
      <c r="C422" s="10" t="str">
        <f ca="1">TEXT( INDIRECT( ADDRESS( ROW() + Row_Offset, INDIRECT( "Column_Number_" &amp; C$1), 4,1, tabname) ), "")</f>
        <v/>
      </c>
      <c r="D422" s="10" t="str">
        <f ca="1">TEXT( INDIRECT( ADDRESS( ROW() + Row_Offset, INDIRECT( "Column_Number_" &amp; D$1), 4,1, tabname) ), "")</f>
        <v/>
      </c>
      <c r="E422" s="10" t="str">
        <f ca="1">TEXT( INDIRECT( ADDRESS( ROW() + Row_Offset, INDIRECT( "Column_Number_" &amp; E$1), 4,1, tabname) ), "####")</f>
        <v/>
      </c>
      <c r="F422" s="15"/>
      <c r="G422" s="22" t="str">
        <f ca="1">IFERROR(INDEX(Rank_Table[],MATCH($D422&amp;$A422,Table4[Join],0)),"")</f>
        <v/>
      </c>
      <c r="H422" s="11" t="str">
        <f ca="1">IF(AND(D422="Juvenile Audiobook",LEFT(B422,8)="J CD BIO"),RIGHT(B422,LEN(B422)-9),
IF(AND(D422="Juvenile Audiobook",LEFT(B422,8)="J CD FIC"),B422,
IF(D422="Juvenile Audiobook",RIGHT(B422,LEN(B422)-5),
IF(AND(D422="Teen Audiobook",LEFT(B422,11)="TEEN CD BIO"),RIGHT(B422,LEN(B422)-12),
IF(AND(D422="Teen Audiobook",LEFT(B422,11)="TEEN CD FIC"),B422,
IF(D422="Juvenile Audiobook",RIGHT(B422,LEN(B422)-8),
IF(D422="Juvenile Nonfiction",RIGHT(B422,LEN(B422)-2),
IF(D422="Teen Nonfiction",RIGHT(B422,LEN(B422)-5),
IF(AND(D422="Audiobook",
              NOT(OR(Contains($B422,"CD BIO"),Contains($B422,"CD FIC")))),RIGHT(B422,LEN(B422)-3),
IF(D422="Juvenile Biography",RIGHT(B422,LEN(B422)-2),
IF(D422="Teen Biography",RIGHT(B422,LEN(B422)-5),
IF(AND(D422="Audiobook",
              IFERROR(FIND("BIO",$B422)&gt;0,FALSE)),RIGHT(B422,LEN(B422)-3),
IF(D422="Juvenile Large Type","J "&amp;RIGHT(B422,LEN(B422)-11),
IF(D422="Teen Large Type","TEEN "&amp;RIGHT(B422,LEN(B422)-14),
IF(D422="Reference",RIGHT(B422,LEN(B422)-4),
IF(D422="DVD Educational",RIGHT(B422,LEN(B422)-7),
IF(D422="Juvenile DVD Educational",RIGHT(B422,LEN(B422)-9),
B422)))))))))))))))))</f>
        <v/>
      </c>
      <c r="N422" s="11" t="str">
        <f ca="1">IF(IFERROR(FIND("New",$A422)&gt;0,FALSE),"New ","") &amp; IF(IFERROR(FIND("In Lib",$A422)&gt;0,FALSE),"Reference ","") &amp;
IF(AND(D422="Audiobook",LEFT(B422,6)="CD BIO"),"Biography",
IF(AND(D422="Teen Audiobook",LEFT(B422,11)="TEEN CD BIO"),"Biography",
IF(AND(D422="Juvenile Audiobook",LEFT(B422,8)="J CD BIO"),"Biography",
IF(AND(D422="Audiobook",LEFT(B422,6)="CD FIC"),"Audiobook Fiction",
IF(AND(D422="Teen Audiobook",LEFT(B422,11)="TEEN CD FIC"),"Teen Audiobook",
IF(AND(D422="Juvenile Audiobook",LEFT(B422,8)="J CD FIC"),"Juvenile Audiobook",
IF(D422="Audiobook","Nonfiction",
IF(D422="Juvenile Audiobook","Nonfiction",
IF(D422="Teen Audiobook","Nonfiction",
IF(D422="Juvenile Nonfiction","Nonfiction",
IF(D422="Teen Nonfiction","Nonfiction",
IF(D422="Juvenile Biography","Biography",
IF(D422="Teen Biography","Biography",
IF(D422="ESL","Nonfiction",
IF(LEFT(B422,11)="INTL-VIE J ","International Juvenile",IF(LEFT(B422,11)="INTL-TAG J ","International Juvenile",IF(LEFT(B422,11)="INTL-RUS J ","International Juvenile",IF(LEFT(B422,11)="INTL-KOR J ","International Juvenile",IF(LEFT(B422,11)="INTL-JAP J ","International Juvenile",IF(LEFT(B422,11)="INTL-CHI J ","International Juvenile",IF(LEFT(B422,11)="INTL-SPA J ","International Juvenile",IF(LEFT(B422,14)="INTL-VIE TEEN ","International Teen",IF(LEFT(B422,14)="INTL-TAG TEEN ","International Teen",IF(LEFT(B422,14)="INTL-RUS TEEN ","International Teen",IF(LEFT(B422,14)="INTL-KOR TEEN ","International Teen",IF(LEFT(B422,14)="INTL-JAP TEEN ","International Teen",IF(LEFT(B422,14)="INTL-CHI TEEN ","International Teen",IF(LEFT(B422,14)="INTL-SPA TEEN ","International Teen",IF(LEFT(B422,11)="INTL-VIE E ","International Easy",IF(LEFT(B422,11)="INTL-TAG E ","International Easy",IF(LEFT(B422,11)="INTL-RUS E ","International Easy",IF(LEFT(B422,11)="INTL-JAP E ","International Easy",IF(LEFT(B422,11)="INTL-KOR E ","International Easy",IF(LEFT(B422,11)="INTL-CHI E ","International Easy",IF(LEFT(B422,11)="INTL-SPA E ","International Easy",
IF(D422="Teen Large Type","Teen Fiction",
IF(D422="Juvenile Large Type","Juvenile Fiction",
IF(LEFT(B422,6)="J CD O","Juvenile Compact Disc",
IF(AND(LEFT(B422,4)="TEEN",D422="Fiction"),"Teen Fiction",
IF(D422="DVD Educational","Nonfiction",
IF(D422="Juvenile DVD Educational","Nonfiction",
IF(D422="Reference","Nonfiction",
D422))))))))))))))))))))))))))))))))))))))))))</f>
        <v/>
      </c>
    </row>
    <row r="423" spans="1:14" ht="27" customHeight="1" x14ac:dyDescent="0.25">
      <c r="A423" s="10" t="str">
        <f ca="1">TEXT( INDIRECT( ADDRESS( ROW() + Row_Offset, INDIRECT( "Column_Number_" &amp; A$1), 4,1, tabname) ), "")</f>
        <v/>
      </c>
      <c r="B423" s="10" t="str">
        <f ca="1">TEXT(  IFERROR( VLOOKUP( $D423, CollName_Simplifier_Table[], 2, FALSE),"") &amp;
        INDIRECT( ADDRESS( ROW() + Row_Offset, INDIRECT( "Column_Number_" &amp; $B$1), 4,1, tabname) ), "")</f>
        <v/>
      </c>
      <c r="C423" s="10" t="str">
        <f ca="1">TEXT( INDIRECT( ADDRESS( ROW() + Row_Offset, INDIRECT( "Column_Number_" &amp; C$1), 4,1, tabname) ), "")</f>
        <v/>
      </c>
      <c r="D423" s="10" t="str">
        <f ca="1">TEXT( INDIRECT( ADDRESS( ROW() + Row_Offset, INDIRECT( "Column_Number_" &amp; D$1), 4,1, tabname) ), "")</f>
        <v/>
      </c>
      <c r="E423" s="10" t="str">
        <f ca="1">TEXT( INDIRECT( ADDRESS( ROW() + Row_Offset, INDIRECT( "Column_Number_" &amp; E$1), 4,1, tabname) ), "####")</f>
        <v/>
      </c>
      <c r="F423" s="15"/>
      <c r="G423" s="22" t="str">
        <f ca="1">IFERROR(INDEX(Rank_Table[],MATCH($D423&amp;$A423,Table4[Join],0)),"")</f>
        <v/>
      </c>
      <c r="H423" s="11" t="str">
        <f ca="1">IF(AND(D423="Juvenile Audiobook",LEFT(B423,8)="J CD BIO"),RIGHT(B423,LEN(B423)-9),
IF(AND(D423="Juvenile Audiobook",LEFT(B423,8)="J CD FIC"),B423,
IF(D423="Juvenile Audiobook",RIGHT(B423,LEN(B423)-5),
IF(AND(D423="Teen Audiobook",LEFT(B423,11)="TEEN CD BIO"),RIGHT(B423,LEN(B423)-12),
IF(AND(D423="Teen Audiobook",LEFT(B423,11)="TEEN CD FIC"),B423,
IF(D423="Juvenile Audiobook",RIGHT(B423,LEN(B423)-8),
IF(D423="Juvenile Nonfiction",RIGHT(B423,LEN(B423)-2),
IF(D423="Teen Nonfiction",RIGHT(B423,LEN(B423)-5),
IF(AND(D423="Audiobook",
              NOT(OR(Contains($B423,"CD BIO"),Contains($B423,"CD FIC")))),RIGHT(B423,LEN(B423)-3),
IF(D423="Juvenile Biography",RIGHT(B423,LEN(B423)-2),
IF(D423="Teen Biography",RIGHT(B423,LEN(B423)-5),
IF(AND(D423="Audiobook",
              IFERROR(FIND("BIO",$B423)&gt;0,FALSE)),RIGHT(B423,LEN(B423)-3),
IF(D423="Juvenile Large Type","J "&amp;RIGHT(B423,LEN(B423)-11),
IF(D423="Teen Large Type","TEEN "&amp;RIGHT(B423,LEN(B423)-14),
IF(D423="Reference",RIGHT(B423,LEN(B423)-4),
IF(D423="DVD Educational",RIGHT(B423,LEN(B423)-7),
IF(D423="Juvenile DVD Educational",RIGHT(B423,LEN(B423)-9),
B423)))))))))))))))))</f>
        <v/>
      </c>
      <c r="N423" s="11" t="str">
        <f ca="1">IF(IFERROR(FIND("New",$A423)&gt;0,FALSE),"New ","") &amp; IF(IFERROR(FIND("In Lib",$A423)&gt;0,FALSE),"Reference ","") &amp;
IF(AND(D423="Audiobook",LEFT(B423,6)="CD BIO"),"Biography",
IF(AND(D423="Teen Audiobook",LEFT(B423,11)="TEEN CD BIO"),"Biography",
IF(AND(D423="Juvenile Audiobook",LEFT(B423,8)="J CD BIO"),"Biography",
IF(AND(D423="Audiobook",LEFT(B423,6)="CD FIC"),"Audiobook Fiction",
IF(AND(D423="Teen Audiobook",LEFT(B423,11)="TEEN CD FIC"),"Teen Audiobook",
IF(AND(D423="Juvenile Audiobook",LEFT(B423,8)="J CD FIC"),"Juvenile Audiobook",
IF(D423="Audiobook","Nonfiction",
IF(D423="Juvenile Audiobook","Nonfiction",
IF(D423="Teen Audiobook","Nonfiction",
IF(D423="Juvenile Nonfiction","Nonfiction",
IF(D423="Teen Nonfiction","Nonfiction",
IF(D423="Juvenile Biography","Biography",
IF(D423="Teen Biography","Biography",
IF(D423="ESL","Nonfiction",
IF(LEFT(B423,11)="INTL-VIE J ","International Juvenile",IF(LEFT(B423,11)="INTL-TAG J ","International Juvenile",IF(LEFT(B423,11)="INTL-RUS J ","International Juvenile",IF(LEFT(B423,11)="INTL-KOR J ","International Juvenile",IF(LEFT(B423,11)="INTL-JAP J ","International Juvenile",IF(LEFT(B423,11)="INTL-CHI J ","International Juvenile",IF(LEFT(B423,11)="INTL-SPA J ","International Juvenile",IF(LEFT(B423,14)="INTL-VIE TEEN ","International Teen",IF(LEFT(B423,14)="INTL-TAG TEEN ","International Teen",IF(LEFT(B423,14)="INTL-RUS TEEN ","International Teen",IF(LEFT(B423,14)="INTL-KOR TEEN ","International Teen",IF(LEFT(B423,14)="INTL-JAP TEEN ","International Teen",IF(LEFT(B423,14)="INTL-CHI TEEN ","International Teen",IF(LEFT(B423,14)="INTL-SPA TEEN ","International Teen",IF(LEFT(B423,11)="INTL-VIE E ","International Easy",IF(LEFT(B423,11)="INTL-TAG E ","International Easy",IF(LEFT(B423,11)="INTL-RUS E ","International Easy",IF(LEFT(B423,11)="INTL-JAP E ","International Easy",IF(LEFT(B423,11)="INTL-KOR E ","International Easy",IF(LEFT(B423,11)="INTL-CHI E ","International Easy",IF(LEFT(B423,11)="INTL-SPA E ","International Easy",
IF(D423="Teen Large Type","Teen Fiction",
IF(D423="Juvenile Large Type","Juvenile Fiction",
IF(LEFT(B423,6)="J CD O","Juvenile Compact Disc",
IF(AND(LEFT(B423,4)="TEEN",D423="Fiction"),"Teen Fiction",
IF(D423="DVD Educational","Nonfiction",
IF(D423="Juvenile DVD Educational","Nonfiction",
IF(D423="Reference","Nonfiction",
D423))))))))))))))))))))))))))))))))))))))))))</f>
        <v/>
      </c>
    </row>
    <row r="424" spans="1:14" ht="27" customHeight="1" x14ac:dyDescent="0.25">
      <c r="A424" s="10" t="str">
        <f ca="1">TEXT( INDIRECT( ADDRESS( ROW() + Row_Offset, INDIRECT( "Column_Number_" &amp; A$1), 4,1, tabname) ), "")</f>
        <v/>
      </c>
      <c r="B424" s="10" t="str">
        <f ca="1">TEXT(  IFERROR( VLOOKUP( $D424, CollName_Simplifier_Table[], 2, FALSE),"") &amp;
        INDIRECT( ADDRESS( ROW() + Row_Offset, INDIRECT( "Column_Number_" &amp; $B$1), 4,1, tabname) ), "")</f>
        <v/>
      </c>
      <c r="C424" s="10" t="str">
        <f ca="1">TEXT( INDIRECT( ADDRESS( ROW() + Row_Offset, INDIRECT( "Column_Number_" &amp; C$1), 4,1, tabname) ), "")</f>
        <v/>
      </c>
      <c r="D424" s="10" t="str">
        <f ca="1">TEXT( INDIRECT( ADDRESS( ROW() + Row_Offset, INDIRECT( "Column_Number_" &amp; D$1), 4,1, tabname) ), "")</f>
        <v/>
      </c>
      <c r="E424" s="10" t="str">
        <f ca="1">TEXT( INDIRECT( ADDRESS( ROW() + Row_Offset, INDIRECT( "Column_Number_" &amp; E$1), 4,1, tabname) ), "####")</f>
        <v/>
      </c>
      <c r="F424" s="15"/>
      <c r="G424" s="22" t="str">
        <f ca="1">IFERROR(INDEX(Rank_Table[],MATCH($D424&amp;$A424,Table4[Join],0)),"")</f>
        <v/>
      </c>
      <c r="H424" s="11" t="str">
        <f ca="1">IF(AND(D424="Juvenile Audiobook",LEFT(B424,8)="J CD BIO"),RIGHT(B424,LEN(B424)-9),
IF(AND(D424="Juvenile Audiobook",LEFT(B424,8)="J CD FIC"),B424,
IF(D424="Juvenile Audiobook",RIGHT(B424,LEN(B424)-5),
IF(AND(D424="Teen Audiobook",LEFT(B424,11)="TEEN CD BIO"),RIGHT(B424,LEN(B424)-12),
IF(AND(D424="Teen Audiobook",LEFT(B424,11)="TEEN CD FIC"),B424,
IF(D424="Juvenile Audiobook",RIGHT(B424,LEN(B424)-8),
IF(D424="Juvenile Nonfiction",RIGHT(B424,LEN(B424)-2),
IF(D424="Teen Nonfiction",RIGHT(B424,LEN(B424)-5),
IF(AND(D424="Audiobook",
              NOT(OR(Contains($B424,"CD BIO"),Contains($B424,"CD FIC")))),RIGHT(B424,LEN(B424)-3),
IF(D424="Juvenile Biography",RIGHT(B424,LEN(B424)-2),
IF(D424="Teen Biography",RIGHT(B424,LEN(B424)-5),
IF(AND(D424="Audiobook",
              IFERROR(FIND("BIO",$B424)&gt;0,FALSE)),RIGHT(B424,LEN(B424)-3),
IF(D424="Juvenile Large Type","J "&amp;RIGHT(B424,LEN(B424)-11),
IF(D424="Teen Large Type","TEEN "&amp;RIGHT(B424,LEN(B424)-14),
IF(D424="Reference",RIGHT(B424,LEN(B424)-4),
IF(D424="DVD Educational",RIGHT(B424,LEN(B424)-7),
IF(D424="Juvenile DVD Educational",RIGHT(B424,LEN(B424)-9),
B424)))))))))))))))))</f>
        <v/>
      </c>
      <c r="N424" s="11" t="str">
        <f ca="1">IF(IFERROR(FIND("New",$A424)&gt;0,FALSE),"New ","") &amp; IF(IFERROR(FIND("In Lib",$A424)&gt;0,FALSE),"Reference ","") &amp;
IF(AND(D424="Audiobook",LEFT(B424,6)="CD BIO"),"Biography",
IF(AND(D424="Teen Audiobook",LEFT(B424,11)="TEEN CD BIO"),"Biography",
IF(AND(D424="Juvenile Audiobook",LEFT(B424,8)="J CD BIO"),"Biography",
IF(AND(D424="Audiobook",LEFT(B424,6)="CD FIC"),"Audiobook Fiction",
IF(AND(D424="Teen Audiobook",LEFT(B424,11)="TEEN CD FIC"),"Teen Audiobook",
IF(AND(D424="Juvenile Audiobook",LEFT(B424,8)="J CD FIC"),"Juvenile Audiobook",
IF(D424="Audiobook","Nonfiction",
IF(D424="Juvenile Audiobook","Nonfiction",
IF(D424="Teen Audiobook","Nonfiction",
IF(D424="Juvenile Nonfiction","Nonfiction",
IF(D424="Teen Nonfiction","Nonfiction",
IF(D424="Juvenile Biography","Biography",
IF(D424="Teen Biography","Biography",
IF(D424="ESL","Nonfiction",
IF(LEFT(B424,11)="INTL-VIE J ","International Juvenile",IF(LEFT(B424,11)="INTL-TAG J ","International Juvenile",IF(LEFT(B424,11)="INTL-RUS J ","International Juvenile",IF(LEFT(B424,11)="INTL-KOR J ","International Juvenile",IF(LEFT(B424,11)="INTL-JAP J ","International Juvenile",IF(LEFT(B424,11)="INTL-CHI J ","International Juvenile",IF(LEFT(B424,11)="INTL-SPA J ","International Juvenile",IF(LEFT(B424,14)="INTL-VIE TEEN ","International Teen",IF(LEFT(B424,14)="INTL-TAG TEEN ","International Teen",IF(LEFT(B424,14)="INTL-RUS TEEN ","International Teen",IF(LEFT(B424,14)="INTL-KOR TEEN ","International Teen",IF(LEFT(B424,14)="INTL-JAP TEEN ","International Teen",IF(LEFT(B424,14)="INTL-CHI TEEN ","International Teen",IF(LEFT(B424,14)="INTL-SPA TEEN ","International Teen",IF(LEFT(B424,11)="INTL-VIE E ","International Easy",IF(LEFT(B424,11)="INTL-TAG E ","International Easy",IF(LEFT(B424,11)="INTL-RUS E ","International Easy",IF(LEFT(B424,11)="INTL-JAP E ","International Easy",IF(LEFT(B424,11)="INTL-KOR E ","International Easy",IF(LEFT(B424,11)="INTL-CHI E ","International Easy",IF(LEFT(B424,11)="INTL-SPA E ","International Easy",
IF(D424="Teen Large Type","Teen Fiction",
IF(D424="Juvenile Large Type","Juvenile Fiction",
IF(LEFT(B424,6)="J CD O","Juvenile Compact Disc",
IF(AND(LEFT(B424,4)="TEEN",D424="Fiction"),"Teen Fiction",
IF(D424="DVD Educational","Nonfiction",
IF(D424="Juvenile DVD Educational","Nonfiction",
IF(D424="Reference","Nonfiction",
D424))))))))))))))))))))))))))))))))))))))))))</f>
        <v/>
      </c>
    </row>
    <row r="425" spans="1:14" ht="27" customHeight="1" x14ac:dyDescent="0.25">
      <c r="A425" s="10" t="str">
        <f ca="1">TEXT( INDIRECT( ADDRESS( ROW() + Row_Offset, INDIRECT( "Column_Number_" &amp; A$1), 4,1, tabname) ), "")</f>
        <v/>
      </c>
      <c r="B425" s="10" t="str">
        <f ca="1">TEXT(  IFERROR( VLOOKUP( $D425, CollName_Simplifier_Table[], 2, FALSE),"") &amp;
        INDIRECT( ADDRESS( ROW() + Row_Offset, INDIRECT( "Column_Number_" &amp; $B$1), 4,1, tabname) ), "")</f>
        <v/>
      </c>
      <c r="C425" s="10" t="str">
        <f ca="1">TEXT( INDIRECT( ADDRESS( ROW() + Row_Offset, INDIRECT( "Column_Number_" &amp; C$1), 4,1, tabname) ), "")</f>
        <v/>
      </c>
      <c r="D425" s="10" t="str">
        <f ca="1">TEXT( INDIRECT( ADDRESS( ROW() + Row_Offset, INDIRECT( "Column_Number_" &amp; D$1), 4,1, tabname) ), "")</f>
        <v/>
      </c>
      <c r="E425" s="10" t="str">
        <f ca="1">TEXT( INDIRECT( ADDRESS( ROW() + Row_Offset, INDIRECT( "Column_Number_" &amp; E$1), 4,1, tabname) ), "####")</f>
        <v/>
      </c>
      <c r="F425" s="15"/>
      <c r="G425" s="22" t="str">
        <f ca="1">IFERROR(INDEX(Rank_Table[],MATCH($D425&amp;$A425,Table4[Join],0)),"")</f>
        <v/>
      </c>
      <c r="H425" s="11" t="str">
        <f ca="1">IF(AND(D425="Juvenile Audiobook",LEFT(B425,8)="J CD BIO"),RIGHT(B425,LEN(B425)-9),
IF(AND(D425="Juvenile Audiobook",LEFT(B425,8)="J CD FIC"),B425,
IF(D425="Juvenile Audiobook",RIGHT(B425,LEN(B425)-5),
IF(AND(D425="Teen Audiobook",LEFT(B425,11)="TEEN CD BIO"),RIGHT(B425,LEN(B425)-12),
IF(AND(D425="Teen Audiobook",LEFT(B425,11)="TEEN CD FIC"),B425,
IF(D425="Juvenile Audiobook",RIGHT(B425,LEN(B425)-8),
IF(D425="Juvenile Nonfiction",RIGHT(B425,LEN(B425)-2),
IF(D425="Teen Nonfiction",RIGHT(B425,LEN(B425)-5),
IF(AND(D425="Audiobook",
              NOT(OR(Contains($B425,"CD BIO"),Contains($B425,"CD FIC")))),RIGHT(B425,LEN(B425)-3),
IF(D425="Juvenile Biography",RIGHT(B425,LEN(B425)-2),
IF(D425="Teen Biography",RIGHT(B425,LEN(B425)-5),
IF(AND(D425="Audiobook",
              IFERROR(FIND("BIO",$B425)&gt;0,FALSE)),RIGHT(B425,LEN(B425)-3),
IF(D425="Juvenile Large Type","J "&amp;RIGHT(B425,LEN(B425)-11),
IF(D425="Teen Large Type","TEEN "&amp;RIGHT(B425,LEN(B425)-14),
IF(D425="Reference",RIGHT(B425,LEN(B425)-4),
IF(D425="DVD Educational",RIGHT(B425,LEN(B425)-7),
IF(D425="Juvenile DVD Educational",RIGHT(B425,LEN(B425)-9),
B425)))))))))))))))))</f>
        <v/>
      </c>
      <c r="N425" s="11" t="str">
        <f ca="1">IF(IFERROR(FIND("New",$A425)&gt;0,FALSE),"New ","") &amp; IF(IFERROR(FIND("In Lib",$A425)&gt;0,FALSE),"Reference ","") &amp;
IF(AND(D425="Audiobook",LEFT(B425,6)="CD BIO"),"Biography",
IF(AND(D425="Teen Audiobook",LEFT(B425,11)="TEEN CD BIO"),"Biography",
IF(AND(D425="Juvenile Audiobook",LEFT(B425,8)="J CD BIO"),"Biography",
IF(AND(D425="Audiobook",LEFT(B425,6)="CD FIC"),"Audiobook Fiction",
IF(AND(D425="Teen Audiobook",LEFT(B425,11)="TEEN CD FIC"),"Teen Audiobook",
IF(AND(D425="Juvenile Audiobook",LEFT(B425,8)="J CD FIC"),"Juvenile Audiobook",
IF(D425="Audiobook","Nonfiction",
IF(D425="Juvenile Audiobook","Nonfiction",
IF(D425="Teen Audiobook","Nonfiction",
IF(D425="Juvenile Nonfiction","Nonfiction",
IF(D425="Teen Nonfiction","Nonfiction",
IF(D425="Juvenile Biography","Biography",
IF(D425="Teen Biography","Biography",
IF(D425="ESL","Nonfiction",
IF(LEFT(B425,11)="INTL-VIE J ","International Juvenile",IF(LEFT(B425,11)="INTL-TAG J ","International Juvenile",IF(LEFT(B425,11)="INTL-RUS J ","International Juvenile",IF(LEFT(B425,11)="INTL-KOR J ","International Juvenile",IF(LEFT(B425,11)="INTL-JAP J ","International Juvenile",IF(LEFT(B425,11)="INTL-CHI J ","International Juvenile",IF(LEFT(B425,11)="INTL-SPA J ","International Juvenile",IF(LEFT(B425,14)="INTL-VIE TEEN ","International Teen",IF(LEFT(B425,14)="INTL-TAG TEEN ","International Teen",IF(LEFT(B425,14)="INTL-RUS TEEN ","International Teen",IF(LEFT(B425,14)="INTL-KOR TEEN ","International Teen",IF(LEFT(B425,14)="INTL-JAP TEEN ","International Teen",IF(LEFT(B425,14)="INTL-CHI TEEN ","International Teen",IF(LEFT(B425,14)="INTL-SPA TEEN ","International Teen",IF(LEFT(B425,11)="INTL-VIE E ","International Easy",IF(LEFT(B425,11)="INTL-TAG E ","International Easy",IF(LEFT(B425,11)="INTL-RUS E ","International Easy",IF(LEFT(B425,11)="INTL-JAP E ","International Easy",IF(LEFT(B425,11)="INTL-KOR E ","International Easy",IF(LEFT(B425,11)="INTL-CHI E ","International Easy",IF(LEFT(B425,11)="INTL-SPA E ","International Easy",
IF(D425="Teen Large Type","Teen Fiction",
IF(D425="Juvenile Large Type","Juvenile Fiction",
IF(LEFT(B425,6)="J CD O","Juvenile Compact Disc",
IF(AND(LEFT(B425,4)="TEEN",D425="Fiction"),"Teen Fiction",
IF(D425="DVD Educational","Nonfiction",
IF(D425="Juvenile DVD Educational","Nonfiction",
IF(D425="Reference","Nonfiction",
D425))))))))))))))))))))))))))))))))))))))))))</f>
        <v/>
      </c>
    </row>
    <row r="426" spans="1:14" ht="27" customHeight="1" x14ac:dyDescent="0.25">
      <c r="A426" s="10" t="str">
        <f ca="1">TEXT( INDIRECT( ADDRESS( ROW() + Row_Offset, INDIRECT( "Column_Number_" &amp; A$1), 4,1, tabname) ), "")</f>
        <v/>
      </c>
      <c r="B426" s="10" t="str">
        <f ca="1">TEXT(  IFERROR( VLOOKUP( $D426, CollName_Simplifier_Table[], 2, FALSE),"") &amp;
        INDIRECT( ADDRESS( ROW() + Row_Offset, INDIRECT( "Column_Number_" &amp; $B$1), 4,1, tabname) ), "")</f>
        <v/>
      </c>
      <c r="C426" s="10" t="str">
        <f ca="1">TEXT( INDIRECT( ADDRESS( ROW() + Row_Offset, INDIRECT( "Column_Number_" &amp; C$1), 4,1, tabname) ), "")</f>
        <v/>
      </c>
      <c r="D426" s="10" t="str">
        <f ca="1">TEXT( INDIRECT( ADDRESS( ROW() + Row_Offset, INDIRECT( "Column_Number_" &amp; D$1), 4,1, tabname) ), "")</f>
        <v/>
      </c>
      <c r="E426" s="10" t="str">
        <f ca="1">TEXT( INDIRECT( ADDRESS( ROW() + Row_Offset, INDIRECT( "Column_Number_" &amp; E$1), 4,1, tabname) ), "####")</f>
        <v/>
      </c>
      <c r="F426" s="15"/>
      <c r="G426" s="22" t="str">
        <f ca="1">IFERROR(INDEX(Rank_Table[],MATCH($D426&amp;$A426,Table4[Join],0)),"")</f>
        <v/>
      </c>
      <c r="H426" s="11" t="str">
        <f ca="1">IF(AND(D426="Juvenile Audiobook",LEFT(B426,8)="J CD BIO"),RIGHT(B426,LEN(B426)-9),
IF(AND(D426="Juvenile Audiobook",LEFT(B426,8)="J CD FIC"),B426,
IF(D426="Juvenile Audiobook",RIGHT(B426,LEN(B426)-5),
IF(AND(D426="Teen Audiobook",LEFT(B426,11)="TEEN CD BIO"),RIGHT(B426,LEN(B426)-12),
IF(AND(D426="Teen Audiobook",LEFT(B426,11)="TEEN CD FIC"),B426,
IF(D426="Juvenile Audiobook",RIGHT(B426,LEN(B426)-8),
IF(D426="Juvenile Nonfiction",RIGHT(B426,LEN(B426)-2),
IF(D426="Teen Nonfiction",RIGHT(B426,LEN(B426)-5),
IF(AND(D426="Audiobook",
              NOT(OR(Contains($B426,"CD BIO"),Contains($B426,"CD FIC")))),RIGHT(B426,LEN(B426)-3),
IF(D426="Juvenile Biography",RIGHT(B426,LEN(B426)-2),
IF(D426="Teen Biography",RIGHT(B426,LEN(B426)-5),
IF(AND(D426="Audiobook",
              IFERROR(FIND("BIO",$B426)&gt;0,FALSE)),RIGHT(B426,LEN(B426)-3),
IF(D426="Juvenile Large Type","J "&amp;RIGHT(B426,LEN(B426)-11),
IF(D426="Teen Large Type","TEEN "&amp;RIGHT(B426,LEN(B426)-14),
IF(D426="Reference",RIGHT(B426,LEN(B426)-4),
IF(D426="DVD Educational",RIGHT(B426,LEN(B426)-7),
IF(D426="Juvenile DVD Educational",RIGHT(B426,LEN(B426)-9),
B426)))))))))))))))))</f>
        <v/>
      </c>
      <c r="N426" s="11" t="str">
        <f ca="1">IF(IFERROR(FIND("New",$A426)&gt;0,FALSE),"New ","") &amp; IF(IFERROR(FIND("In Lib",$A426)&gt;0,FALSE),"Reference ","") &amp;
IF(AND(D426="Audiobook",LEFT(B426,6)="CD BIO"),"Biography",
IF(AND(D426="Teen Audiobook",LEFT(B426,11)="TEEN CD BIO"),"Biography",
IF(AND(D426="Juvenile Audiobook",LEFT(B426,8)="J CD BIO"),"Biography",
IF(AND(D426="Audiobook",LEFT(B426,6)="CD FIC"),"Audiobook Fiction",
IF(AND(D426="Teen Audiobook",LEFT(B426,11)="TEEN CD FIC"),"Teen Audiobook",
IF(AND(D426="Juvenile Audiobook",LEFT(B426,8)="J CD FIC"),"Juvenile Audiobook",
IF(D426="Audiobook","Nonfiction",
IF(D426="Juvenile Audiobook","Nonfiction",
IF(D426="Teen Audiobook","Nonfiction",
IF(D426="Juvenile Nonfiction","Nonfiction",
IF(D426="Teen Nonfiction","Nonfiction",
IF(D426="Juvenile Biography","Biography",
IF(D426="Teen Biography","Biography",
IF(D426="ESL","Nonfiction",
IF(LEFT(B426,11)="INTL-VIE J ","International Juvenile",IF(LEFT(B426,11)="INTL-TAG J ","International Juvenile",IF(LEFT(B426,11)="INTL-RUS J ","International Juvenile",IF(LEFT(B426,11)="INTL-KOR J ","International Juvenile",IF(LEFT(B426,11)="INTL-JAP J ","International Juvenile",IF(LEFT(B426,11)="INTL-CHI J ","International Juvenile",IF(LEFT(B426,11)="INTL-SPA J ","International Juvenile",IF(LEFT(B426,14)="INTL-VIE TEEN ","International Teen",IF(LEFT(B426,14)="INTL-TAG TEEN ","International Teen",IF(LEFT(B426,14)="INTL-RUS TEEN ","International Teen",IF(LEFT(B426,14)="INTL-KOR TEEN ","International Teen",IF(LEFT(B426,14)="INTL-JAP TEEN ","International Teen",IF(LEFT(B426,14)="INTL-CHI TEEN ","International Teen",IF(LEFT(B426,14)="INTL-SPA TEEN ","International Teen",IF(LEFT(B426,11)="INTL-VIE E ","International Easy",IF(LEFT(B426,11)="INTL-TAG E ","International Easy",IF(LEFT(B426,11)="INTL-RUS E ","International Easy",IF(LEFT(B426,11)="INTL-JAP E ","International Easy",IF(LEFT(B426,11)="INTL-KOR E ","International Easy",IF(LEFT(B426,11)="INTL-CHI E ","International Easy",IF(LEFT(B426,11)="INTL-SPA E ","International Easy",
IF(D426="Teen Large Type","Teen Fiction",
IF(D426="Juvenile Large Type","Juvenile Fiction",
IF(LEFT(B426,6)="J CD O","Juvenile Compact Disc",
IF(AND(LEFT(B426,4)="TEEN",D426="Fiction"),"Teen Fiction",
IF(D426="DVD Educational","Nonfiction",
IF(D426="Juvenile DVD Educational","Nonfiction",
IF(D426="Reference","Nonfiction",
D426))))))))))))))))))))))))))))))))))))))))))</f>
        <v/>
      </c>
    </row>
    <row r="427" spans="1:14" ht="27" customHeight="1" x14ac:dyDescent="0.25">
      <c r="A427" s="10" t="str">
        <f ca="1">TEXT( INDIRECT( ADDRESS( ROW() + Row_Offset, INDIRECT( "Column_Number_" &amp; A$1), 4,1, tabname) ), "")</f>
        <v/>
      </c>
      <c r="B427" s="10" t="str">
        <f ca="1">TEXT(  IFERROR( VLOOKUP( $D427, CollName_Simplifier_Table[], 2, FALSE),"") &amp;
        INDIRECT( ADDRESS( ROW() + Row_Offset, INDIRECT( "Column_Number_" &amp; $B$1), 4,1, tabname) ), "")</f>
        <v/>
      </c>
      <c r="C427" s="10" t="str">
        <f ca="1">TEXT( INDIRECT( ADDRESS( ROW() + Row_Offset, INDIRECT( "Column_Number_" &amp; C$1), 4,1, tabname) ), "")</f>
        <v/>
      </c>
      <c r="D427" s="10" t="str">
        <f ca="1">TEXT( INDIRECT( ADDRESS( ROW() + Row_Offset, INDIRECT( "Column_Number_" &amp; D$1), 4,1, tabname) ), "")</f>
        <v/>
      </c>
      <c r="E427" s="10" t="str">
        <f ca="1">TEXT( INDIRECT( ADDRESS( ROW() + Row_Offset, INDIRECT( "Column_Number_" &amp; E$1), 4,1, tabname) ), "####")</f>
        <v/>
      </c>
      <c r="F427" s="15"/>
      <c r="G427" s="22" t="str">
        <f ca="1">IFERROR(INDEX(Rank_Table[],MATCH($D427&amp;$A427,Table4[Join],0)),"")</f>
        <v/>
      </c>
      <c r="H427" s="11" t="str">
        <f ca="1">IF(AND(D427="Juvenile Audiobook",LEFT(B427,8)="J CD BIO"),RIGHT(B427,LEN(B427)-9),
IF(AND(D427="Juvenile Audiobook",LEFT(B427,8)="J CD FIC"),B427,
IF(D427="Juvenile Audiobook",RIGHT(B427,LEN(B427)-5),
IF(AND(D427="Teen Audiobook",LEFT(B427,11)="TEEN CD BIO"),RIGHT(B427,LEN(B427)-12),
IF(AND(D427="Teen Audiobook",LEFT(B427,11)="TEEN CD FIC"),B427,
IF(D427="Juvenile Audiobook",RIGHT(B427,LEN(B427)-8),
IF(D427="Juvenile Nonfiction",RIGHT(B427,LEN(B427)-2),
IF(D427="Teen Nonfiction",RIGHT(B427,LEN(B427)-5),
IF(AND(D427="Audiobook",
              NOT(OR(Contains($B427,"CD BIO"),Contains($B427,"CD FIC")))),RIGHT(B427,LEN(B427)-3),
IF(D427="Juvenile Biography",RIGHT(B427,LEN(B427)-2),
IF(D427="Teen Biography",RIGHT(B427,LEN(B427)-5),
IF(AND(D427="Audiobook",
              IFERROR(FIND("BIO",$B427)&gt;0,FALSE)),RIGHT(B427,LEN(B427)-3),
IF(D427="Juvenile Large Type","J "&amp;RIGHT(B427,LEN(B427)-11),
IF(D427="Teen Large Type","TEEN "&amp;RIGHT(B427,LEN(B427)-14),
IF(D427="Reference",RIGHT(B427,LEN(B427)-4),
IF(D427="DVD Educational",RIGHT(B427,LEN(B427)-7),
IF(D427="Juvenile DVD Educational",RIGHT(B427,LEN(B427)-9),
B427)))))))))))))))))</f>
        <v/>
      </c>
      <c r="N427" s="11" t="str">
        <f ca="1">IF(IFERROR(FIND("New",$A427)&gt;0,FALSE),"New ","") &amp; IF(IFERROR(FIND("In Lib",$A427)&gt;0,FALSE),"Reference ","") &amp;
IF(AND(D427="Audiobook",LEFT(B427,6)="CD BIO"),"Biography",
IF(AND(D427="Teen Audiobook",LEFT(B427,11)="TEEN CD BIO"),"Biography",
IF(AND(D427="Juvenile Audiobook",LEFT(B427,8)="J CD BIO"),"Biography",
IF(AND(D427="Audiobook",LEFT(B427,6)="CD FIC"),"Audiobook Fiction",
IF(AND(D427="Teen Audiobook",LEFT(B427,11)="TEEN CD FIC"),"Teen Audiobook",
IF(AND(D427="Juvenile Audiobook",LEFT(B427,8)="J CD FIC"),"Juvenile Audiobook",
IF(D427="Audiobook","Nonfiction",
IF(D427="Juvenile Audiobook","Nonfiction",
IF(D427="Teen Audiobook","Nonfiction",
IF(D427="Juvenile Nonfiction","Nonfiction",
IF(D427="Teen Nonfiction","Nonfiction",
IF(D427="Juvenile Biography","Biography",
IF(D427="Teen Biography","Biography",
IF(D427="ESL","Nonfiction",
IF(LEFT(B427,11)="INTL-VIE J ","International Juvenile",IF(LEFT(B427,11)="INTL-TAG J ","International Juvenile",IF(LEFT(B427,11)="INTL-RUS J ","International Juvenile",IF(LEFT(B427,11)="INTL-KOR J ","International Juvenile",IF(LEFT(B427,11)="INTL-JAP J ","International Juvenile",IF(LEFT(B427,11)="INTL-CHI J ","International Juvenile",IF(LEFT(B427,11)="INTL-SPA J ","International Juvenile",IF(LEFT(B427,14)="INTL-VIE TEEN ","International Teen",IF(LEFT(B427,14)="INTL-TAG TEEN ","International Teen",IF(LEFT(B427,14)="INTL-RUS TEEN ","International Teen",IF(LEFT(B427,14)="INTL-KOR TEEN ","International Teen",IF(LEFT(B427,14)="INTL-JAP TEEN ","International Teen",IF(LEFT(B427,14)="INTL-CHI TEEN ","International Teen",IF(LEFT(B427,14)="INTL-SPA TEEN ","International Teen",IF(LEFT(B427,11)="INTL-VIE E ","International Easy",IF(LEFT(B427,11)="INTL-TAG E ","International Easy",IF(LEFT(B427,11)="INTL-RUS E ","International Easy",IF(LEFT(B427,11)="INTL-JAP E ","International Easy",IF(LEFT(B427,11)="INTL-KOR E ","International Easy",IF(LEFT(B427,11)="INTL-CHI E ","International Easy",IF(LEFT(B427,11)="INTL-SPA E ","International Easy",
IF(D427="Teen Large Type","Teen Fiction",
IF(D427="Juvenile Large Type","Juvenile Fiction",
IF(LEFT(B427,6)="J CD O","Juvenile Compact Disc",
IF(AND(LEFT(B427,4)="TEEN",D427="Fiction"),"Teen Fiction",
IF(D427="DVD Educational","Nonfiction",
IF(D427="Juvenile DVD Educational","Nonfiction",
IF(D427="Reference","Nonfiction",
D427))))))))))))))))))))))))))))))))))))))))))</f>
        <v/>
      </c>
    </row>
    <row r="428" spans="1:14" ht="27" customHeight="1" x14ac:dyDescent="0.25">
      <c r="A428" s="10" t="str">
        <f ca="1">TEXT( INDIRECT( ADDRESS( ROW() + Row_Offset, INDIRECT( "Column_Number_" &amp; A$1), 4,1, tabname) ), "")</f>
        <v/>
      </c>
      <c r="B428" s="10" t="str">
        <f ca="1">TEXT(  IFERROR( VLOOKUP( $D428, CollName_Simplifier_Table[], 2, FALSE),"") &amp;
        INDIRECT( ADDRESS( ROW() + Row_Offset, INDIRECT( "Column_Number_" &amp; $B$1), 4,1, tabname) ), "")</f>
        <v/>
      </c>
      <c r="C428" s="10" t="str">
        <f ca="1">TEXT( INDIRECT( ADDRESS( ROW() + Row_Offset, INDIRECT( "Column_Number_" &amp; C$1), 4,1, tabname) ), "")</f>
        <v/>
      </c>
      <c r="D428" s="10" t="str">
        <f ca="1">TEXT( INDIRECT( ADDRESS( ROW() + Row_Offset, INDIRECT( "Column_Number_" &amp; D$1), 4,1, tabname) ), "")</f>
        <v/>
      </c>
      <c r="E428" s="10" t="str">
        <f ca="1">TEXT( INDIRECT( ADDRESS( ROW() + Row_Offset, INDIRECT( "Column_Number_" &amp; E$1), 4,1, tabname) ), "####")</f>
        <v/>
      </c>
      <c r="F428" s="15"/>
      <c r="G428" s="22" t="str">
        <f ca="1">IFERROR(INDEX(Rank_Table[],MATCH($D428&amp;$A428,Table4[Join],0)),"")</f>
        <v/>
      </c>
      <c r="H428" s="11" t="str">
        <f ca="1">IF(AND(D428="Juvenile Audiobook",LEFT(B428,8)="J CD BIO"),RIGHT(B428,LEN(B428)-9),
IF(AND(D428="Juvenile Audiobook",LEFT(B428,8)="J CD FIC"),B428,
IF(D428="Juvenile Audiobook",RIGHT(B428,LEN(B428)-5),
IF(AND(D428="Teen Audiobook",LEFT(B428,11)="TEEN CD BIO"),RIGHT(B428,LEN(B428)-12),
IF(AND(D428="Teen Audiobook",LEFT(B428,11)="TEEN CD FIC"),B428,
IF(D428="Juvenile Audiobook",RIGHT(B428,LEN(B428)-8),
IF(D428="Juvenile Nonfiction",RIGHT(B428,LEN(B428)-2),
IF(D428="Teen Nonfiction",RIGHT(B428,LEN(B428)-5),
IF(AND(D428="Audiobook",
              NOT(OR(Contains($B428,"CD BIO"),Contains($B428,"CD FIC")))),RIGHT(B428,LEN(B428)-3),
IF(D428="Juvenile Biography",RIGHT(B428,LEN(B428)-2),
IF(D428="Teen Biography",RIGHT(B428,LEN(B428)-5),
IF(AND(D428="Audiobook",
              IFERROR(FIND("BIO",$B428)&gt;0,FALSE)),RIGHT(B428,LEN(B428)-3),
IF(D428="Juvenile Large Type","J "&amp;RIGHT(B428,LEN(B428)-11),
IF(D428="Teen Large Type","TEEN "&amp;RIGHT(B428,LEN(B428)-14),
IF(D428="Reference",RIGHT(B428,LEN(B428)-4),
IF(D428="DVD Educational",RIGHT(B428,LEN(B428)-7),
IF(D428="Juvenile DVD Educational",RIGHT(B428,LEN(B428)-9),
B428)))))))))))))))))</f>
        <v/>
      </c>
      <c r="N428" s="11" t="str">
        <f ca="1">IF(IFERROR(FIND("New",$A428)&gt;0,FALSE),"New ","") &amp; IF(IFERROR(FIND("In Lib",$A428)&gt;0,FALSE),"Reference ","") &amp;
IF(AND(D428="Audiobook",LEFT(B428,6)="CD BIO"),"Biography",
IF(AND(D428="Teen Audiobook",LEFT(B428,11)="TEEN CD BIO"),"Biography",
IF(AND(D428="Juvenile Audiobook",LEFT(B428,8)="J CD BIO"),"Biography",
IF(AND(D428="Audiobook",LEFT(B428,6)="CD FIC"),"Audiobook Fiction",
IF(AND(D428="Teen Audiobook",LEFT(B428,11)="TEEN CD FIC"),"Teen Audiobook",
IF(AND(D428="Juvenile Audiobook",LEFT(B428,8)="J CD FIC"),"Juvenile Audiobook",
IF(D428="Audiobook","Nonfiction",
IF(D428="Juvenile Audiobook","Nonfiction",
IF(D428="Teen Audiobook","Nonfiction",
IF(D428="Juvenile Nonfiction","Nonfiction",
IF(D428="Teen Nonfiction","Nonfiction",
IF(D428="Juvenile Biography","Biography",
IF(D428="Teen Biography","Biography",
IF(D428="ESL","Nonfiction",
IF(LEFT(B428,11)="INTL-VIE J ","International Juvenile",IF(LEFT(B428,11)="INTL-TAG J ","International Juvenile",IF(LEFT(B428,11)="INTL-RUS J ","International Juvenile",IF(LEFT(B428,11)="INTL-KOR J ","International Juvenile",IF(LEFT(B428,11)="INTL-JAP J ","International Juvenile",IF(LEFT(B428,11)="INTL-CHI J ","International Juvenile",IF(LEFT(B428,11)="INTL-SPA J ","International Juvenile",IF(LEFT(B428,14)="INTL-VIE TEEN ","International Teen",IF(LEFT(B428,14)="INTL-TAG TEEN ","International Teen",IF(LEFT(B428,14)="INTL-RUS TEEN ","International Teen",IF(LEFT(B428,14)="INTL-KOR TEEN ","International Teen",IF(LEFT(B428,14)="INTL-JAP TEEN ","International Teen",IF(LEFT(B428,14)="INTL-CHI TEEN ","International Teen",IF(LEFT(B428,14)="INTL-SPA TEEN ","International Teen",IF(LEFT(B428,11)="INTL-VIE E ","International Easy",IF(LEFT(B428,11)="INTL-TAG E ","International Easy",IF(LEFT(B428,11)="INTL-RUS E ","International Easy",IF(LEFT(B428,11)="INTL-JAP E ","International Easy",IF(LEFT(B428,11)="INTL-KOR E ","International Easy",IF(LEFT(B428,11)="INTL-CHI E ","International Easy",IF(LEFT(B428,11)="INTL-SPA E ","International Easy",
IF(D428="Teen Large Type","Teen Fiction",
IF(D428="Juvenile Large Type","Juvenile Fiction",
IF(LEFT(B428,6)="J CD O","Juvenile Compact Disc",
IF(AND(LEFT(B428,4)="TEEN",D428="Fiction"),"Teen Fiction",
IF(D428="DVD Educational","Nonfiction",
IF(D428="Juvenile DVD Educational","Nonfiction",
IF(D428="Reference","Nonfiction",
D428))))))))))))))))))))))))))))))))))))))))))</f>
        <v/>
      </c>
    </row>
    <row r="429" spans="1:14" ht="27" customHeight="1" x14ac:dyDescent="0.25">
      <c r="A429" s="10" t="str">
        <f ca="1">TEXT( INDIRECT( ADDRESS( ROW() + Row_Offset, INDIRECT( "Column_Number_" &amp; A$1), 4,1, tabname) ), "")</f>
        <v/>
      </c>
      <c r="B429" s="10" t="str">
        <f ca="1">TEXT(  IFERROR( VLOOKUP( $D429, CollName_Simplifier_Table[], 2, FALSE),"") &amp;
        INDIRECT( ADDRESS( ROW() + Row_Offset, INDIRECT( "Column_Number_" &amp; $B$1), 4,1, tabname) ), "")</f>
        <v/>
      </c>
      <c r="C429" s="10" t="str">
        <f ca="1">TEXT( INDIRECT( ADDRESS( ROW() + Row_Offset, INDIRECT( "Column_Number_" &amp; C$1), 4,1, tabname) ), "")</f>
        <v/>
      </c>
      <c r="D429" s="10" t="str">
        <f ca="1">TEXT( INDIRECT( ADDRESS( ROW() + Row_Offset, INDIRECT( "Column_Number_" &amp; D$1), 4,1, tabname) ), "")</f>
        <v/>
      </c>
      <c r="E429" s="10" t="str">
        <f ca="1">TEXT( INDIRECT( ADDRESS( ROW() + Row_Offset, INDIRECT( "Column_Number_" &amp; E$1), 4,1, tabname) ), "####")</f>
        <v/>
      </c>
      <c r="F429" s="15"/>
      <c r="G429" s="22" t="str">
        <f ca="1">IFERROR(INDEX(Rank_Table[],MATCH($D429&amp;$A429,Table4[Join],0)),"")</f>
        <v/>
      </c>
      <c r="H429" s="11" t="str">
        <f ca="1">IF(AND(D429="Juvenile Audiobook",LEFT(B429,8)="J CD BIO"),RIGHT(B429,LEN(B429)-9),
IF(AND(D429="Juvenile Audiobook",LEFT(B429,8)="J CD FIC"),B429,
IF(D429="Juvenile Audiobook",RIGHT(B429,LEN(B429)-5),
IF(AND(D429="Teen Audiobook",LEFT(B429,11)="TEEN CD BIO"),RIGHT(B429,LEN(B429)-12),
IF(AND(D429="Teen Audiobook",LEFT(B429,11)="TEEN CD FIC"),B429,
IF(D429="Juvenile Audiobook",RIGHT(B429,LEN(B429)-8),
IF(D429="Juvenile Nonfiction",RIGHT(B429,LEN(B429)-2),
IF(D429="Teen Nonfiction",RIGHT(B429,LEN(B429)-5),
IF(AND(D429="Audiobook",
              NOT(OR(Contains($B429,"CD BIO"),Contains($B429,"CD FIC")))),RIGHT(B429,LEN(B429)-3),
IF(D429="Juvenile Biography",RIGHT(B429,LEN(B429)-2),
IF(D429="Teen Biography",RIGHT(B429,LEN(B429)-5),
IF(AND(D429="Audiobook",
              IFERROR(FIND("BIO",$B429)&gt;0,FALSE)),RIGHT(B429,LEN(B429)-3),
IF(D429="Juvenile Large Type","J "&amp;RIGHT(B429,LEN(B429)-11),
IF(D429="Teen Large Type","TEEN "&amp;RIGHT(B429,LEN(B429)-14),
IF(D429="Reference",RIGHT(B429,LEN(B429)-4),
IF(D429="DVD Educational",RIGHT(B429,LEN(B429)-7),
IF(D429="Juvenile DVD Educational",RIGHT(B429,LEN(B429)-9),
B429)))))))))))))))))</f>
        <v/>
      </c>
      <c r="N429" s="11" t="str">
        <f ca="1">IF(IFERROR(FIND("New",$A429)&gt;0,FALSE),"New ","") &amp; IF(IFERROR(FIND("In Lib",$A429)&gt;0,FALSE),"Reference ","") &amp;
IF(AND(D429="Audiobook",LEFT(B429,6)="CD BIO"),"Biography",
IF(AND(D429="Teen Audiobook",LEFT(B429,11)="TEEN CD BIO"),"Biography",
IF(AND(D429="Juvenile Audiobook",LEFT(B429,8)="J CD BIO"),"Biography",
IF(AND(D429="Audiobook",LEFT(B429,6)="CD FIC"),"Audiobook Fiction",
IF(AND(D429="Teen Audiobook",LEFT(B429,11)="TEEN CD FIC"),"Teen Audiobook",
IF(AND(D429="Juvenile Audiobook",LEFT(B429,8)="J CD FIC"),"Juvenile Audiobook",
IF(D429="Audiobook","Nonfiction",
IF(D429="Juvenile Audiobook","Nonfiction",
IF(D429="Teen Audiobook","Nonfiction",
IF(D429="Juvenile Nonfiction","Nonfiction",
IF(D429="Teen Nonfiction","Nonfiction",
IF(D429="Juvenile Biography","Biography",
IF(D429="Teen Biography","Biography",
IF(D429="ESL","Nonfiction",
IF(LEFT(B429,11)="INTL-VIE J ","International Juvenile",IF(LEFT(B429,11)="INTL-TAG J ","International Juvenile",IF(LEFT(B429,11)="INTL-RUS J ","International Juvenile",IF(LEFT(B429,11)="INTL-KOR J ","International Juvenile",IF(LEFT(B429,11)="INTL-JAP J ","International Juvenile",IF(LEFT(B429,11)="INTL-CHI J ","International Juvenile",IF(LEFT(B429,11)="INTL-SPA J ","International Juvenile",IF(LEFT(B429,14)="INTL-VIE TEEN ","International Teen",IF(LEFT(B429,14)="INTL-TAG TEEN ","International Teen",IF(LEFT(B429,14)="INTL-RUS TEEN ","International Teen",IF(LEFT(B429,14)="INTL-KOR TEEN ","International Teen",IF(LEFT(B429,14)="INTL-JAP TEEN ","International Teen",IF(LEFT(B429,14)="INTL-CHI TEEN ","International Teen",IF(LEFT(B429,14)="INTL-SPA TEEN ","International Teen",IF(LEFT(B429,11)="INTL-VIE E ","International Easy",IF(LEFT(B429,11)="INTL-TAG E ","International Easy",IF(LEFT(B429,11)="INTL-RUS E ","International Easy",IF(LEFT(B429,11)="INTL-JAP E ","International Easy",IF(LEFT(B429,11)="INTL-KOR E ","International Easy",IF(LEFT(B429,11)="INTL-CHI E ","International Easy",IF(LEFT(B429,11)="INTL-SPA E ","International Easy",
IF(D429="Teen Large Type","Teen Fiction",
IF(D429="Juvenile Large Type","Juvenile Fiction",
IF(LEFT(B429,6)="J CD O","Juvenile Compact Disc",
IF(AND(LEFT(B429,4)="TEEN",D429="Fiction"),"Teen Fiction",
IF(D429="DVD Educational","Nonfiction",
IF(D429="Juvenile DVD Educational","Nonfiction",
IF(D429="Reference","Nonfiction",
D429))))))))))))))))))))))))))))))))))))))))))</f>
        <v/>
      </c>
    </row>
    <row r="430" spans="1:14" ht="27" customHeight="1" x14ac:dyDescent="0.25">
      <c r="A430" s="10" t="str">
        <f ca="1">TEXT( INDIRECT( ADDRESS( ROW() + Row_Offset, INDIRECT( "Column_Number_" &amp; A$1), 4,1, tabname) ), "")</f>
        <v/>
      </c>
      <c r="B430" s="10" t="str">
        <f ca="1">TEXT(  IFERROR( VLOOKUP( $D430, CollName_Simplifier_Table[], 2, FALSE),"") &amp;
        INDIRECT( ADDRESS( ROW() + Row_Offset, INDIRECT( "Column_Number_" &amp; $B$1), 4,1, tabname) ), "")</f>
        <v/>
      </c>
      <c r="C430" s="10" t="str">
        <f ca="1">TEXT( INDIRECT( ADDRESS( ROW() + Row_Offset, INDIRECT( "Column_Number_" &amp; C$1), 4,1, tabname) ), "")</f>
        <v/>
      </c>
      <c r="D430" s="10" t="str">
        <f ca="1">TEXT( INDIRECT( ADDRESS( ROW() + Row_Offset, INDIRECT( "Column_Number_" &amp; D$1), 4,1, tabname) ), "")</f>
        <v/>
      </c>
      <c r="E430" s="10" t="str">
        <f ca="1">TEXT( INDIRECT( ADDRESS( ROW() + Row_Offset, INDIRECT( "Column_Number_" &amp; E$1), 4,1, tabname) ), "####")</f>
        <v/>
      </c>
      <c r="F430" s="15"/>
      <c r="G430" s="22" t="str">
        <f ca="1">IFERROR(INDEX(Rank_Table[],MATCH($D430&amp;$A430,Table4[Join],0)),"")</f>
        <v/>
      </c>
      <c r="H430" s="11" t="str">
        <f ca="1">IF(AND(D430="Juvenile Audiobook",LEFT(B430,8)="J CD BIO"),RIGHT(B430,LEN(B430)-9),
IF(AND(D430="Juvenile Audiobook",LEFT(B430,8)="J CD FIC"),B430,
IF(D430="Juvenile Audiobook",RIGHT(B430,LEN(B430)-5),
IF(AND(D430="Teen Audiobook",LEFT(B430,11)="TEEN CD BIO"),RIGHT(B430,LEN(B430)-12),
IF(AND(D430="Teen Audiobook",LEFT(B430,11)="TEEN CD FIC"),B430,
IF(D430="Juvenile Audiobook",RIGHT(B430,LEN(B430)-8),
IF(D430="Juvenile Nonfiction",RIGHT(B430,LEN(B430)-2),
IF(D430="Teen Nonfiction",RIGHT(B430,LEN(B430)-5),
IF(AND(D430="Audiobook",
              NOT(OR(Contains($B430,"CD BIO"),Contains($B430,"CD FIC")))),RIGHT(B430,LEN(B430)-3),
IF(D430="Juvenile Biography",RIGHT(B430,LEN(B430)-2),
IF(D430="Teen Biography",RIGHT(B430,LEN(B430)-5),
IF(AND(D430="Audiobook",
              IFERROR(FIND("BIO",$B430)&gt;0,FALSE)),RIGHT(B430,LEN(B430)-3),
IF(D430="Juvenile Large Type","J "&amp;RIGHT(B430,LEN(B430)-11),
IF(D430="Teen Large Type","TEEN "&amp;RIGHT(B430,LEN(B430)-14),
IF(D430="Reference",RIGHT(B430,LEN(B430)-4),
IF(D430="DVD Educational",RIGHT(B430,LEN(B430)-7),
IF(D430="Juvenile DVD Educational",RIGHT(B430,LEN(B430)-9),
B430)))))))))))))))))</f>
        <v/>
      </c>
      <c r="N430" s="11" t="str">
        <f ca="1">IF(IFERROR(FIND("New",$A430)&gt;0,FALSE),"New ","") &amp; IF(IFERROR(FIND("In Lib",$A430)&gt;0,FALSE),"Reference ","") &amp;
IF(AND(D430="Audiobook",LEFT(B430,6)="CD BIO"),"Biography",
IF(AND(D430="Teen Audiobook",LEFT(B430,11)="TEEN CD BIO"),"Biography",
IF(AND(D430="Juvenile Audiobook",LEFT(B430,8)="J CD BIO"),"Biography",
IF(AND(D430="Audiobook",LEFT(B430,6)="CD FIC"),"Audiobook Fiction",
IF(AND(D430="Teen Audiobook",LEFT(B430,11)="TEEN CD FIC"),"Teen Audiobook",
IF(AND(D430="Juvenile Audiobook",LEFT(B430,8)="J CD FIC"),"Juvenile Audiobook",
IF(D430="Audiobook","Nonfiction",
IF(D430="Juvenile Audiobook","Nonfiction",
IF(D430="Teen Audiobook","Nonfiction",
IF(D430="Juvenile Nonfiction","Nonfiction",
IF(D430="Teen Nonfiction","Nonfiction",
IF(D430="Juvenile Biography","Biography",
IF(D430="Teen Biography","Biography",
IF(D430="ESL","Nonfiction",
IF(LEFT(B430,11)="INTL-VIE J ","International Juvenile",IF(LEFT(B430,11)="INTL-TAG J ","International Juvenile",IF(LEFT(B430,11)="INTL-RUS J ","International Juvenile",IF(LEFT(B430,11)="INTL-KOR J ","International Juvenile",IF(LEFT(B430,11)="INTL-JAP J ","International Juvenile",IF(LEFT(B430,11)="INTL-CHI J ","International Juvenile",IF(LEFT(B430,11)="INTL-SPA J ","International Juvenile",IF(LEFT(B430,14)="INTL-VIE TEEN ","International Teen",IF(LEFT(B430,14)="INTL-TAG TEEN ","International Teen",IF(LEFT(B430,14)="INTL-RUS TEEN ","International Teen",IF(LEFT(B430,14)="INTL-KOR TEEN ","International Teen",IF(LEFT(B430,14)="INTL-JAP TEEN ","International Teen",IF(LEFT(B430,14)="INTL-CHI TEEN ","International Teen",IF(LEFT(B430,14)="INTL-SPA TEEN ","International Teen",IF(LEFT(B430,11)="INTL-VIE E ","International Easy",IF(LEFT(B430,11)="INTL-TAG E ","International Easy",IF(LEFT(B430,11)="INTL-RUS E ","International Easy",IF(LEFT(B430,11)="INTL-JAP E ","International Easy",IF(LEFT(B430,11)="INTL-KOR E ","International Easy",IF(LEFT(B430,11)="INTL-CHI E ","International Easy",IF(LEFT(B430,11)="INTL-SPA E ","International Easy",
IF(D430="Teen Large Type","Teen Fiction",
IF(D430="Juvenile Large Type","Juvenile Fiction",
IF(LEFT(B430,6)="J CD O","Juvenile Compact Disc",
IF(AND(LEFT(B430,4)="TEEN",D430="Fiction"),"Teen Fiction",
IF(D430="DVD Educational","Nonfiction",
IF(D430="Juvenile DVD Educational","Nonfiction",
IF(D430="Reference","Nonfiction",
D430))))))))))))))))))))))))))))))))))))))))))</f>
        <v/>
      </c>
    </row>
    <row r="431" spans="1:14" ht="27" customHeight="1" x14ac:dyDescent="0.25">
      <c r="A431" s="10" t="str">
        <f ca="1">TEXT( INDIRECT( ADDRESS( ROW() + Row_Offset, INDIRECT( "Column_Number_" &amp; A$1), 4,1, tabname) ), "")</f>
        <v/>
      </c>
      <c r="B431" s="10" t="str">
        <f ca="1">TEXT(  IFERROR( VLOOKUP( $D431, CollName_Simplifier_Table[], 2, FALSE),"") &amp;
        INDIRECT( ADDRESS( ROW() + Row_Offset, INDIRECT( "Column_Number_" &amp; $B$1), 4,1, tabname) ), "")</f>
        <v/>
      </c>
      <c r="C431" s="10" t="str">
        <f ca="1">TEXT( INDIRECT( ADDRESS( ROW() + Row_Offset, INDIRECT( "Column_Number_" &amp; C$1), 4,1, tabname) ), "")</f>
        <v/>
      </c>
      <c r="D431" s="10" t="str">
        <f ca="1">TEXT( INDIRECT( ADDRESS( ROW() + Row_Offset, INDIRECT( "Column_Number_" &amp; D$1), 4,1, tabname) ), "")</f>
        <v/>
      </c>
      <c r="E431" s="10" t="str">
        <f ca="1">TEXT( INDIRECT( ADDRESS( ROW() + Row_Offset, INDIRECT( "Column_Number_" &amp; E$1), 4,1, tabname) ), "####")</f>
        <v/>
      </c>
      <c r="F431" s="15"/>
      <c r="G431" s="22" t="str">
        <f ca="1">IFERROR(INDEX(Rank_Table[],MATCH($D431&amp;$A431,Table4[Join],0)),"")</f>
        <v/>
      </c>
      <c r="H431" s="11" t="str">
        <f ca="1">IF(AND(D431="Juvenile Audiobook",LEFT(B431,8)="J CD BIO"),RIGHT(B431,LEN(B431)-9),
IF(AND(D431="Juvenile Audiobook",LEFT(B431,8)="J CD FIC"),B431,
IF(D431="Juvenile Audiobook",RIGHT(B431,LEN(B431)-5),
IF(AND(D431="Teen Audiobook",LEFT(B431,11)="TEEN CD BIO"),RIGHT(B431,LEN(B431)-12),
IF(AND(D431="Teen Audiobook",LEFT(B431,11)="TEEN CD FIC"),B431,
IF(D431="Juvenile Audiobook",RIGHT(B431,LEN(B431)-8),
IF(D431="Juvenile Nonfiction",RIGHT(B431,LEN(B431)-2),
IF(D431="Teen Nonfiction",RIGHT(B431,LEN(B431)-5),
IF(AND(D431="Audiobook",
              NOT(OR(Contains($B431,"CD BIO"),Contains($B431,"CD FIC")))),RIGHT(B431,LEN(B431)-3),
IF(D431="Juvenile Biography",RIGHT(B431,LEN(B431)-2),
IF(D431="Teen Biography",RIGHT(B431,LEN(B431)-5),
IF(AND(D431="Audiobook",
              IFERROR(FIND("BIO",$B431)&gt;0,FALSE)),RIGHT(B431,LEN(B431)-3),
IF(D431="Juvenile Large Type","J "&amp;RIGHT(B431,LEN(B431)-11),
IF(D431="Teen Large Type","TEEN "&amp;RIGHT(B431,LEN(B431)-14),
IF(D431="Reference",RIGHT(B431,LEN(B431)-4),
IF(D431="DVD Educational",RIGHT(B431,LEN(B431)-7),
IF(D431="Juvenile DVD Educational",RIGHT(B431,LEN(B431)-9),
B431)))))))))))))))))</f>
        <v/>
      </c>
      <c r="N431" s="11" t="str">
        <f ca="1">IF(IFERROR(FIND("New",$A431)&gt;0,FALSE),"New ","") &amp; IF(IFERROR(FIND("In Lib",$A431)&gt;0,FALSE),"Reference ","") &amp;
IF(AND(D431="Audiobook",LEFT(B431,6)="CD BIO"),"Biography",
IF(AND(D431="Teen Audiobook",LEFT(B431,11)="TEEN CD BIO"),"Biography",
IF(AND(D431="Juvenile Audiobook",LEFT(B431,8)="J CD BIO"),"Biography",
IF(AND(D431="Audiobook",LEFT(B431,6)="CD FIC"),"Audiobook Fiction",
IF(AND(D431="Teen Audiobook",LEFT(B431,11)="TEEN CD FIC"),"Teen Audiobook",
IF(AND(D431="Juvenile Audiobook",LEFT(B431,8)="J CD FIC"),"Juvenile Audiobook",
IF(D431="Audiobook","Nonfiction",
IF(D431="Juvenile Audiobook","Nonfiction",
IF(D431="Teen Audiobook","Nonfiction",
IF(D431="Juvenile Nonfiction","Nonfiction",
IF(D431="Teen Nonfiction","Nonfiction",
IF(D431="Juvenile Biography","Biography",
IF(D431="Teen Biography","Biography",
IF(D431="ESL","Nonfiction",
IF(LEFT(B431,11)="INTL-VIE J ","International Juvenile",IF(LEFT(B431,11)="INTL-TAG J ","International Juvenile",IF(LEFT(B431,11)="INTL-RUS J ","International Juvenile",IF(LEFT(B431,11)="INTL-KOR J ","International Juvenile",IF(LEFT(B431,11)="INTL-JAP J ","International Juvenile",IF(LEFT(B431,11)="INTL-CHI J ","International Juvenile",IF(LEFT(B431,11)="INTL-SPA J ","International Juvenile",IF(LEFT(B431,14)="INTL-VIE TEEN ","International Teen",IF(LEFT(B431,14)="INTL-TAG TEEN ","International Teen",IF(LEFT(B431,14)="INTL-RUS TEEN ","International Teen",IF(LEFT(B431,14)="INTL-KOR TEEN ","International Teen",IF(LEFT(B431,14)="INTL-JAP TEEN ","International Teen",IF(LEFT(B431,14)="INTL-CHI TEEN ","International Teen",IF(LEFT(B431,14)="INTL-SPA TEEN ","International Teen",IF(LEFT(B431,11)="INTL-VIE E ","International Easy",IF(LEFT(B431,11)="INTL-TAG E ","International Easy",IF(LEFT(B431,11)="INTL-RUS E ","International Easy",IF(LEFT(B431,11)="INTL-JAP E ","International Easy",IF(LEFT(B431,11)="INTL-KOR E ","International Easy",IF(LEFT(B431,11)="INTL-CHI E ","International Easy",IF(LEFT(B431,11)="INTL-SPA E ","International Easy",
IF(D431="Teen Large Type","Teen Fiction",
IF(D431="Juvenile Large Type","Juvenile Fiction",
IF(LEFT(B431,6)="J CD O","Juvenile Compact Disc",
IF(AND(LEFT(B431,4)="TEEN",D431="Fiction"),"Teen Fiction",
IF(D431="DVD Educational","Nonfiction",
IF(D431="Juvenile DVD Educational","Nonfiction",
IF(D431="Reference","Nonfiction",
D431))))))))))))))))))))))))))))))))))))))))))</f>
        <v/>
      </c>
    </row>
    <row r="432" spans="1:14" ht="27" customHeight="1" x14ac:dyDescent="0.25">
      <c r="A432" s="10" t="str">
        <f ca="1">TEXT( INDIRECT( ADDRESS( ROW() + Row_Offset, INDIRECT( "Column_Number_" &amp; A$1), 4,1, tabname) ), "")</f>
        <v/>
      </c>
      <c r="B432" s="10" t="str">
        <f ca="1">TEXT(  IFERROR( VLOOKUP( $D432, CollName_Simplifier_Table[], 2, FALSE),"") &amp;
        INDIRECT( ADDRESS( ROW() + Row_Offset, INDIRECT( "Column_Number_" &amp; $B$1), 4,1, tabname) ), "")</f>
        <v/>
      </c>
      <c r="C432" s="10" t="str">
        <f ca="1">TEXT( INDIRECT( ADDRESS( ROW() + Row_Offset, INDIRECT( "Column_Number_" &amp; C$1), 4,1, tabname) ), "")</f>
        <v/>
      </c>
      <c r="D432" s="10" t="str">
        <f ca="1">TEXT( INDIRECT( ADDRESS( ROW() + Row_Offset, INDIRECT( "Column_Number_" &amp; D$1), 4,1, tabname) ), "")</f>
        <v/>
      </c>
      <c r="E432" s="10" t="str">
        <f ca="1">TEXT( INDIRECT( ADDRESS( ROW() + Row_Offset, INDIRECT( "Column_Number_" &amp; E$1), 4,1, tabname) ), "####")</f>
        <v/>
      </c>
      <c r="F432" s="15"/>
      <c r="G432" s="22" t="str">
        <f ca="1">IFERROR(INDEX(Rank_Table[],MATCH($D432&amp;$A432,Table4[Join],0)),"")</f>
        <v/>
      </c>
      <c r="H432" s="11" t="str">
        <f ca="1">IF(AND(D432="Juvenile Audiobook",LEFT(B432,8)="J CD BIO"),RIGHT(B432,LEN(B432)-9),
IF(AND(D432="Juvenile Audiobook",LEFT(B432,8)="J CD FIC"),B432,
IF(D432="Juvenile Audiobook",RIGHT(B432,LEN(B432)-5),
IF(AND(D432="Teen Audiobook",LEFT(B432,11)="TEEN CD BIO"),RIGHT(B432,LEN(B432)-12),
IF(AND(D432="Teen Audiobook",LEFT(B432,11)="TEEN CD FIC"),B432,
IF(D432="Juvenile Audiobook",RIGHT(B432,LEN(B432)-8),
IF(D432="Juvenile Nonfiction",RIGHT(B432,LEN(B432)-2),
IF(D432="Teen Nonfiction",RIGHT(B432,LEN(B432)-5),
IF(AND(D432="Audiobook",
              NOT(OR(Contains($B432,"CD BIO"),Contains($B432,"CD FIC")))),RIGHT(B432,LEN(B432)-3),
IF(D432="Juvenile Biography",RIGHT(B432,LEN(B432)-2),
IF(D432="Teen Biography",RIGHT(B432,LEN(B432)-5),
IF(AND(D432="Audiobook",
              IFERROR(FIND("BIO",$B432)&gt;0,FALSE)),RIGHT(B432,LEN(B432)-3),
IF(D432="Juvenile Large Type","J "&amp;RIGHT(B432,LEN(B432)-11),
IF(D432="Teen Large Type","TEEN "&amp;RIGHT(B432,LEN(B432)-14),
IF(D432="Reference",RIGHT(B432,LEN(B432)-4),
IF(D432="DVD Educational",RIGHT(B432,LEN(B432)-7),
IF(D432="Juvenile DVD Educational",RIGHT(B432,LEN(B432)-9),
B432)))))))))))))))))</f>
        <v/>
      </c>
      <c r="N432" s="11" t="str">
        <f ca="1">IF(IFERROR(FIND("New",$A432)&gt;0,FALSE),"New ","") &amp; IF(IFERROR(FIND("In Lib",$A432)&gt;0,FALSE),"Reference ","") &amp;
IF(AND(D432="Audiobook",LEFT(B432,6)="CD BIO"),"Biography",
IF(AND(D432="Teen Audiobook",LEFT(B432,11)="TEEN CD BIO"),"Biography",
IF(AND(D432="Juvenile Audiobook",LEFT(B432,8)="J CD BIO"),"Biography",
IF(AND(D432="Audiobook",LEFT(B432,6)="CD FIC"),"Audiobook Fiction",
IF(AND(D432="Teen Audiobook",LEFT(B432,11)="TEEN CD FIC"),"Teen Audiobook",
IF(AND(D432="Juvenile Audiobook",LEFT(B432,8)="J CD FIC"),"Juvenile Audiobook",
IF(D432="Audiobook","Nonfiction",
IF(D432="Juvenile Audiobook","Nonfiction",
IF(D432="Teen Audiobook","Nonfiction",
IF(D432="Juvenile Nonfiction","Nonfiction",
IF(D432="Teen Nonfiction","Nonfiction",
IF(D432="Juvenile Biography","Biography",
IF(D432="Teen Biography","Biography",
IF(D432="ESL","Nonfiction",
IF(LEFT(B432,11)="INTL-VIE J ","International Juvenile",IF(LEFT(B432,11)="INTL-TAG J ","International Juvenile",IF(LEFT(B432,11)="INTL-RUS J ","International Juvenile",IF(LEFT(B432,11)="INTL-KOR J ","International Juvenile",IF(LEFT(B432,11)="INTL-JAP J ","International Juvenile",IF(LEFT(B432,11)="INTL-CHI J ","International Juvenile",IF(LEFT(B432,11)="INTL-SPA J ","International Juvenile",IF(LEFT(B432,14)="INTL-VIE TEEN ","International Teen",IF(LEFT(B432,14)="INTL-TAG TEEN ","International Teen",IF(LEFT(B432,14)="INTL-RUS TEEN ","International Teen",IF(LEFT(B432,14)="INTL-KOR TEEN ","International Teen",IF(LEFT(B432,14)="INTL-JAP TEEN ","International Teen",IF(LEFT(B432,14)="INTL-CHI TEEN ","International Teen",IF(LEFT(B432,14)="INTL-SPA TEEN ","International Teen",IF(LEFT(B432,11)="INTL-VIE E ","International Easy",IF(LEFT(B432,11)="INTL-TAG E ","International Easy",IF(LEFT(B432,11)="INTL-RUS E ","International Easy",IF(LEFT(B432,11)="INTL-JAP E ","International Easy",IF(LEFT(B432,11)="INTL-KOR E ","International Easy",IF(LEFT(B432,11)="INTL-CHI E ","International Easy",IF(LEFT(B432,11)="INTL-SPA E ","International Easy",
IF(D432="Teen Large Type","Teen Fiction",
IF(D432="Juvenile Large Type","Juvenile Fiction",
IF(LEFT(B432,6)="J CD O","Juvenile Compact Disc",
IF(AND(LEFT(B432,4)="TEEN",D432="Fiction"),"Teen Fiction",
IF(D432="DVD Educational","Nonfiction",
IF(D432="Juvenile DVD Educational","Nonfiction",
IF(D432="Reference","Nonfiction",
D432))))))))))))))))))))))))))))))))))))))))))</f>
        <v/>
      </c>
    </row>
    <row r="433" spans="1:14" ht="27" customHeight="1" x14ac:dyDescent="0.25">
      <c r="A433" s="10" t="str">
        <f ca="1">TEXT( INDIRECT( ADDRESS( ROW() + Row_Offset, INDIRECT( "Column_Number_" &amp; A$1), 4,1, tabname) ), "")</f>
        <v/>
      </c>
      <c r="B433" s="10" t="str">
        <f ca="1">TEXT(  IFERROR( VLOOKUP( $D433, CollName_Simplifier_Table[], 2, FALSE),"") &amp;
        INDIRECT( ADDRESS( ROW() + Row_Offset, INDIRECT( "Column_Number_" &amp; $B$1), 4,1, tabname) ), "")</f>
        <v/>
      </c>
      <c r="C433" s="10" t="str">
        <f ca="1">TEXT( INDIRECT( ADDRESS( ROW() + Row_Offset, INDIRECT( "Column_Number_" &amp; C$1), 4,1, tabname) ), "")</f>
        <v/>
      </c>
      <c r="D433" s="10" t="str">
        <f ca="1">TEXT( INDIRECT( ADDRESS( ROW() + Row_Offset, INDIRECT( "Column_Number_" &amp; D$1), 4,1, tabname) ), "")</f>
        <v/>
      </c>
      <c r="E433" s="10" t="str">
        <f ca="1">TEXT( INDIRECT( ADDRESS( ROW() + Row_Offset, INDIRECT( "Column_Number_" &amp; E$1), 4,1, tabname) ), "####")</f>
        <v/>
      </c>
      <c r="F433" s="15"/>
      <c r="G433" s="22" t="str">
        <f ca="1">IFERROR(INDEX(Rank_Table[],MATCH($D433&amp;$A433,Table4[Join],0)),"")</f>
        <v/>
      </c>
      <c r="H433" s="11" t="str">
        <f ca="1">IF(AND(D433="Juvenile Audiobook",LEFT(B433,8)="J CD BIO"),RIGHT(B433,LEN(B433)-9),
IF(AND(D433="Juvenile Audiobook",LEFT(B433,8)="J CD FIC"),B433,
IF(D433="Juvenile Audiobook",RIGHT(B433,LEN(B433)-5),
IF(AND(D433="Teen Audiobook",LEFT(B433,11)="TEEN CD BIO"),RIGHT(B433,LEN(B433)-12),
IF(AND(D433="Teen Audiobook",LEFT(B433,11)="TEEN CD FIC"),B433,
IF(D433="Juvenile Audiobook",RIGHT(B433,LEN(B433)-8),
IF(D433="Juvenile Nonfiction",RIGHT(B433,LEN(B433)-2),
IF(D433="Teen Nonfiction",RIGHT(B433,LEN(B433)-5),
IF(AND(D433="Audiobook",
              NOT(OR(Contains($B433,"CD BIO"),Contains($B433,"CD FIC")))),RIGHT(B433,LEN(B433)-3),
IF(D433="Juvenile Biography",RIGHT(B433,LEN(B433)-2),
IF(D433="Teen Biography",RIGHT(B433,LEN(B433)-5),
IF(AND(D433="Audiobook",
              IFERROR(FIND("BIO",$B433)&gt;0,FALSE)),RIGHT(B433,LEN(B433)-3),
IF(D433="Juvenile Large Type","J "&amp;RIGHT(B433,LEN(B433)-11),
IF(D433="Teen Large Type","TEEN "&amp;RIGHT(B433,LEN(B433)-14),
IF(D433="Reference",RIGHT(B433,LEN(B433)-4),
IF(D433="DVD Educational",RIGHT(B433,LEN(B433)-7),
IF(D433="Juvenile DVD Educational",RIGHT(B433,LEN(B433)-9),
B433)))))))))))))))))</f>
        <v/>
      </c>
      <c r="N433" s="11" t="str">
        <f ca="1">IF(IFERROR(FIND("New",$A433)&gt;0,FALSE),"New ","") &amp; IF(IFERROR(FIND("In Lib",$A433)&gt;0,FALSE),"Reference ","") &amp;
IF(AND(D433="Audiobook",LEFT(B433,6)="CD BIO"),"Biography",
IF(AND(D433="Teen Audiobook",LEFT(B433,11)="TEEN CD BIO"),"Biography",
IF(AND(D433="Juvenile Audiobook",LEFT(B433,8)="J CD BIO"),"Biography",
IF(AND(D433="Audiobook",LEFT(B433,6)="CD FIC"),"Audiobook Fiction",
IF(AND(D433="Teen Audiobook",LEFT(B433,11)="TEEN CD FIC"),"Teen Audiobook",
IF(AND(D433="Juvenile Audiobook",LEFT(B433,8)="J CD FIC"),"Juvenile Audiobook",
IF(D433="Audiobook","Nonfiction",
IF(D433="Juvenile Audiobook","Nonfiction",
IF(D433="Teen Audiobook","Nonfiction",
IF(D433="Juvenile Nonfiction","Nonfiction",
IF(D433="Teen Nonfiction","Nonfiction",
IF(D433="Juvenile Biography","Biography",
IF(D433="Teen Biography","Biography",
IF(D433="ESL","Nonfiction",
IF(LEFT(B433,11)="INTL-VIE J ","International Juvenile",IF(LEFT(B433,11)="INTL-TAG J ","International Juvenile",IF(LEFT(B433,11)="INTL-RUS J ","International Juvenile",IF(LEFT(B433,11)="INTL-KOR J ","International Juvenile",IF(LEFT(B433,11)="INTL-JAP J ","International Juvenile",IF(LEFT(B433,11)="INTL-CHI J ","International Juvenile",IF(LEFT(B433,11)="INTL-SPA J ","International Juvenile",IF(LEFT(B433,14)="INTL-VIE TEEN ","International Teen",IF(LEFT(B433,14)="INTL-TAG TEEN ","International Teen",IF(LEFT(B433,14)="INTL-RUS TEEN ","International Teen",IF(LEFT(B433,14)="INTL-KOR TEEN ","International Teen",IF(LEFT(B433,14)="INTL-JAP TEEN ","International Teen",IF(LEFT(B433,14)="INTL-CHI TEEN ","International Teen",IF(LEFT(B433,14)="INTL-SPA TEEN ","International Teen",IF(LEFT(B433,11)="INTL-VIE E ","International Easy",IF(LEFT(B433,11)="INTL-TAG E ","International Easy",IF(LEFT(B433,11)="INTL-RUS E ","International Easy",IF(LEFT(B433,11)="INTL-JAP E ","International Easy",IF(LEFT(B433,11)="INTL-KOR E ","International Easy",IF(LEFT(B433,11)="INTL-CHI E ","International Easy",IF(LEFT(B433,11)="INTL-SPA E ","International Easy",
IF(D433="Teen Large Type","Teen Fiction",
IF(D433="Juvenile Large Type","Juvenile Fiction",
IF(LEFT(B433,6)="J CD O","Juvenile Compact Disc",
IF(AND(LEFT(B433,4)="TEEN",D433="Fiction"),"Teen Fiction",
IF(D433="DVD Educational","Nonfiction",
IF(D433="Juvenile DVD Educational","Nonfiction",
IF(D433="Reference","Nonfiction",
D433))))))))))))))))))))))))))))))))))))))))))</f>
        <v/>
      </c>
    </row>
    <row r="434" spans="1:14" ht="27" customHeight="1" x14ac:dyDescent="0.25">
      <c r="A434" s="10" t="str">
        <f ca="1">TEXT( INDIRECT( ADDRESS( ROW() + Row_Offset, INDIRECT( "Column_Number_" &amp; A$1), 4,1, tabname) ), "")</f>
        <v/>
      </c>
      <c r="B434" s="10" t="str">
        <f ca="1">TEXT(  IFERROR( VLOOKUP( $D434, CollName_Simplifier_Table[], 2, FALSE),"") &amp;
        INDIRECT( ADDRESS( ROW() + Row_Offset, INDIRECT( "Column_Number_" &amp; $B$1), 4,1, tabname) ), "")</f>
        <v/>
      </c>
      <c r="C434" s="10" t="str">
        <f ca="1">TEXT( INDIRECT( ADDRESS( ROW() + Row_Offset, INDIRECT( "Column_Number_" &amp; C$1), 4,1, tabname) ), "")</f>
        <v/>
      </c>
      <c r="D434" s="10" t="str">
        <f ca="1">TEXT( INDIRECT( ADDRESS( ROW() + Row_Offset, INDIRECT( "Column_Number_" &amp; D$1), 4,1, tabname) ), "")</f>
        <v/>
      </c>
      <c r="E434" s="10" t="str">
        <f ca="1">TEXT( INDIRECT( ADDRESS( ROW() + Row_Offset, INDIRECT( "Column_Number_" &amp; E$1), 4,1, tabname) ), "####")</f>
        <v/>
      </c>
      <c r="F434" s="15"/>
      <c r="G434" s="22" t="str">
        <f ca="1">IFERROR(INDEX(Rank_Table[],MATCH($D434&amp;$A434,Table4[Join],0)),"")</f>
        <v/>
      </c>
      <c r="H434" s="11" t="str">
        <f ca="1">IF(AND(D434="Juvenile Audiobook",LEFT(B434,8)="J CD BIO"),RIGHT(B434,LEN(B434)-9),
IF(AND(D434="Juvenile Audiobook",LEFT(B434,8)="J CD FIC"),B434,
IF(D434="Juvenile Audiobook",RIGHT(B434,LEN(B434)-5),
IF(AND(D434="Teen Audiobook",LEFT(B434,11)="TEEN CD BIO"),RIGHT(B434,LEN(B434)-12),
IF(AND(D434="Teen Audiobook",LEFT(B434,11)="TEEN CD FIC"),B434,
IF(D434="Juvenile Audiobook",RIGHT(B434,LEN(B434)-8),
IF(D434="Juvenile Nonfiction",RIGHT(B434,LEN(B434)-2),
IF(D434="Teen Nonfiction",RIGHT(B434,LEN(B434)-5),
IF(AND(D434="Audiobook",
              NOT(OR(Contains($B434,"CD BIO"),Contains($B434,"CD FIC")))),RIGHT(B434,LEN(B434)-3),
IF(D434="Juvenile Biography",RIGHT(B434,LEN(B434)-2),
IF(D434="Teen Biography",RIGHT(B434,LEN(B434)-5),
IF(AND(D434="Audiobook",
              IFERROR(FIND("BIO",$B434)&gt;0,FALSE)),RIGHT(B434,LEN(B434)-3),
IF(D434="Juvenile Large Type","J "&amp;RIGHT(B434,LEN(B434)-11),
IF(D434="Teen Large Type","TEEN "&amp;RIGHT(B434,LEN(B434)-14),
IF(D434="Reference",RIGHT(B434,LEN(B434)-4),
IF(D434="DVD Educational",RIGHT(B434,LEN(B434)-7),
IF(D434="Juvenile DVD Educational",RIGHT(B434,LEN(B434)-9),
B434)))))))))))))))))</f>
        <v/>
      </c>
      <c r="N434" s="11" t="str">
        <f ca="1">IF(IFERROR(FIND("New",$A434)&gt;0,FALSE),"New ","") &amp; IF(IFERROR(FIND("In Lib",$A434)&gt;0,FALSE),"Reference ","") &amp;
IF(AND(D434="Audiobook",LEFT(B434,6)="CD BIO"),"Biography",
IF(AND(D434="Teen Audiobook",LEFT(B434,11)="TEEN CD BIO"),"Biography",
IF(AND(D434="Juvenile Audiobook",LEFT(B434,8)="J CD BIO"),"Biography",
IF(AND(D434="Audiobook",LEFT(B434,6)="CD FIC"),"Audiobook Fiction",
IF(AND(D434="Teen Audiobook",LEFT(B434,11)="TEEN CD FIC"),"Teen Audiobook",
IF(AND(D434="Juvenile Audiobook",LEFT(B434,8)="J CD FIC"),"Juvenile Audiobook",
IF(D434="Audiobook","Nonfiction",
IF(D434="Juvenile Audiobook","Nonfiction",
IF(D434="Teen Audiobook","Nonfiction",
IF(D434="Juvenile Nonfiction","Nonfiction",
IF(D434="Teen Nonfiction","Nonfiction",
IF(D434="Juvenile Biography","Biography",
IF(D434="Teen Biography","Biography",
IF(D434="ESL","Nonfiction",
IF(LEFT(B434,11)="INTL-VIE J ","International Juvenile",IF(LEFT(B434,11)="INTL-TAG J ","International Juvenile",IF(LEFT(B434,11)="INTL-RUS J ","International Juvenile",IF(LEFT(B434,11)="INTL-KOR J ","International Juvenile",IF(LEFT(B434,11)="INTL-JAP J ","International Juvenile",IF(LEFT(B434,11)="INTL-CHI J ","International Juvenile",IF(LEFT(B434,11)="INTL-SPA J ","International Juvenile",IF(LEFT(B434,14)="INTL-VIE TEEN ","International Teen",IF(LEFT(B434,14)="INTL-TAG TEEN ","International Teen",IF(LEFT(B434,14)="INTL-RUS TEEN ","International Teen",IF(LEFT(B434,14)="INTL-KOR TEEN ","International Teen",IF(LEFT(B434,14)="INTL-JAP TEEN ","International Teen",IF(LEFT(B434,14)="INTL-CHI TEEN ","International Teen",IF(LEFT(B434,14)="INTL-SPA TEEN ","International Teen",IF(LEFT(B434,11)="INTL-VIE E ","International Easy",IF(LEFT(B434,11)="INTL-TAG E ","International Easy",IF(LEFT(B434,11)="INTL-RUS E ","International Easy",IF(LEFT(B434,11)="INTL-JAP E ","International Easy",IF(LEFT(B434,11)="INTL-KOR E ","International Easy",IF(LEFT(B434,11)="INTL-CHI E ","International Easy",IF(LEFT(B434,11)="INTL-SPA E ","International Easy",
IF(D434="Teen Large Type","Teen Fiction",
IF(D434="Juvenile Large Type","Juvenile Fiction",
IF(LEFT(B434,6)="J CD O","Juvenile Compact Disc",
IF(AND(LEFT(B434,4)="TEEN",D434="Fiction"),"Teen Fiction",
IF(D434="DVD Educational","Nonfiction",
IF(D434="Juvenile DVD Educational","Nonfiction",
IF(D434="Reference","Nonfiction",
D434))))))))))))))))))))))))))))))))))))))))))</f>
        <v/>
      </c>
    </row>
    <row r="435" spans="1:14" ht="27" customHeight="1" x14ac:dyDescent="0.25">
      <c r="A435" s="10" t="str">
        <f ca="1">TEXT( INDIRECT( ADDRESS( ROW() + Row_Offset, INDIRECT( "Column_Number_" &amp; A$1), 4,1, tabname) ), "")</f>
        <v/>
      </c>
      <c r="B435" s="10" t="str">
        <f ca="1">TEXT(  IFERROR( VLOOKUP( $D435, CollName_Simplifier_Table[], 2, FALSE),"") &amp;
        INDIRECT( ADDRESS( ROW() + Row_Offset, INDIRECT( "Column_Number_" &amp; $B$1), 4,1, tabname) ), "")</f>
        <v/>
      </c>
      <c r="C435" s="10" t="str">
        <f ca="1">TEXT( INDIRECT( ADDRESS( ROW() + Row_Offset, INDIRECT( "Column_Number_" &amp; C$1), 4,1, tabname) ), "")</f>
        <v/>
      </c>
      <c r="D435" s="10" t="str">
        <f ca="1">TEXT( INDIRECT( ADDRESS( ROW() + Row_Offset, INDIRECT( "Column_Number_" &amp; D$1), 4,1, tabname) ), "")</f>
        <v/>
      </c>
      <c r="E435" s="10" t="str">
        <f ca="1">TEXT( INDIRECT( ADDRESS( ROW() + Row_Offset, INDIRECT( "Column_Number_" &amp; E$1), 4,1, tabname) ), "####")</f>
        <v/>
      </c>
      <c r="F435" s="15"/>
      <c r="G435" s="22" t="str">
        <f ca="1">IFERROR(INDEX(Rank_Table[],MATCH($D435&amp;$A435,Table4[Join],0)),"")</f>
        <v/>
      </c>
      <c r="H435" s="11" t="str">
        <f ca="1">IF(AND(D435="Juvenile Audiobook",LEFT(B435,8)="J CD BIO"),RIGHT(B435,LEN(B435)-9),
IF(AND(D435="Juvenile Audiobook",LEFT(B435,8)="J CD FIC"),B435,
IF(D435="Juvenile Audiobook",RIGHT(B435,LEN(B435)-5),
IF(AND(D435="Teen Audiobook",LEFT(B435,11)="TEEN CD BIO"),RIGHT(B435,LEN(B435)-12),
IF(AND(D435="Teen Audiobook",LEFT(B435,11)="TEEN CD FIC"),B435,
IF(D435="Juvenile Audiobook",RIGHT(B435,LEN(B435)-8),
IF(D435="Juvenile Nonfiction",RIGHT(B435,LEN(B435)-2),
IF(D435="Teen Nonfiction",RIGHT(B435,LEN(B435)-5),
IF(AND(D435="Audiobook",
              NOT(OR(Contains($B435,"CD BIO"),Contains($B435,"CD FIC")))),RIGHT(B435,LEN(B435)-3),
IF(D435="Juvenile Biography",RIGHT(B435,LEN(B435)-2),
IF(D435="Teen Biography",RIGHT(B435,LEN(B435)-5),
IF(AND(D435="Audiobook",
              IFERROR(FIND("BIO",$B435)&gt;0,FALSE)),RIGHT(B435,LEN(B435)-3),
IF(D435="Juvenile Large Type","J "&amp;RIGHT(B435,LEN(B435)-11),
IF(D435="Teen Large Type","TEEN "&amp;RIGHT(B435,LEN(B435)-14),
IF(D435="Reference",RIGHT(B435,LEN(B435)-4),
IF(D435="DVD Educational",RIGHT(B435,LEN(B435)-7),
IF(D435="Juvenile DVD Educational",RIGHT(B435,LEN(B435)-9),
B435)))))))))))))))))</f>
        <v/>
      </c>
      <c r="N435" s="11" t="str">
        <f ca="1">IF(IFERROR(FIND("New",$A435)&gt;0,FALSE),"New ","") &amp; IF(IFERROR(FIND("In Lib",$A435)&gt;0,FALSE),"Reference ","") &amp;
IF(AND(D435="Audiobook",LEFT(B435,6)="CD BIO"),"Biography",
IF(AND(D435="Teen Audiobook",LEFT(B435,11)="TEEN CD BIO"),"Biography",
IF(AND(D435="Juvenile Audiobook",LEFT(B435,8)="J CD BIO"),"Biography",
IF(AND(D435="Audiobook",LEFT(B435,6)="CD FIC"),"Audiobook Fiction",
IF(AND(D435="Teen Audiobook",LEFT(B435,11)="TEEN CD FIC"),"Teen Audiobook",
IF(AND(D435="Juvenile Audiobook",LEFT(B435,8)="J CD FIC"),"Juvenile Audiobook",
IF(D435="Audiobook","Nonfiction",
IF(D435="Juvenile Audiobook","Nonfiction",
IF(D435="Teen Audiobook","Nonfiction",
IF(D435="Juvenile Nonfiction","Nonfiction",
IF(D435="Teen Nonfiction","Nonfiction",
IF(D435="Juvenile Biography","Biography",
IF(D435="Teen Biography","Biography",
IF(D435="ESL","Nonfiction",
IF(LEFT(B435,11)="INTL-VIE J ","International Juvenile",IF(LEFT(B435,11)="INTL-TAG J ","International Juvenile",IF(LEFT(B435,11)="INTL-RUS J ","International Juvenile",IF(LEFT(B435,11)="INTL-KOR J ","International Juvenile",IF(LEFT(B435,11)="INTL-JAP J ","International Juvenile",IF(LEFT(B435,11)="INTL-CHI J ","International Juvenile",IF(LEFT(B435,11)="INTL-SPA J ","International Juvenile",IF(LEFT(B435,14)="INTL-VIE TEEN ","International Teen",IF(LEFT(B435,14)="INTL-TAG TEEN ","International Teen",IF(LEFT(B435,14)="INTL-RUS TEEN ","International Teen",IF(LEFT(B435,14)="INTL-KOR TEEN ","International Teen",IF(LEFT(B435,14)="INTL-JAP TEEN ","International Teen",IF(LEFT(B435,14)="INTL-CHI TEEN ","International Teen",IF(LEFT(B435,14)="INTL-SPA TEEN ","International Teen",IF(LEFT(B435,11)="INTL-VIE E ","International Easy",IF(LEFT(B435,11)="INTL-TAG E ","International Easy",IF(LEFT(B435,11)="INTL-RUS E ","International Easy",IF(LEFT(B435,11)="INTL-JAP E ","International Easy",IF(LEFT(B435,11)="INTL-KOR E ","International Easy",IF(LEFT(B435,11)="INTL-CHI E ","International Easy",IF(LEFT(B435,11)="INTL-SPA E ","International Easy",
IF(D435="Teen Large Type","Teen Fiction",
IF(D435="Juvenile Large Type","Juvenile Fiction",
IF(LEFT(B435,6)="J CD O","Juvenile Compact Disc",
IF(AND(LEFT(B435,4)="TEEN",D435="Fiction"),"Teen Fiction",
IF(D435="DVD Educational","Nonfiction",
IF(D435="Juvenile DVD Educational","Nonfiction",
IF(D435="Reference","Nonfiction",
D435))))))))))))))))))))))))))))))))))))))))))</f>
        <v/>
      </c>
    </row>
    <row r="436" spans="1:14" ht="27" customHeight="1" x14ac:dyDescent="0.25">
      <c r="A436" s="10" t="str">
        <f ca="1">TEXT( INDIRECT( ADDRESS( ROW() + Row_Offset, INDIRECT( "Column_Number_" &amp; A$1), 4,1, tabname) ), "")</f>
        <v/>
      </c>
      <c r="B436" s="10" t="str">
        <f ca="1">TEXT(  IFERROR( VLOOKUP( $D436, CollName_Simplifier_Table[], 2, FALSE),"") &amp;
        INDIRECT( ADDRESS( ROW() + Row_Offset, INDIRECT( "Column_Number_" &amp; $B$1), 4,1, tabname) ), "")</f>
        <v/>
      </c>
      <c r="C436" s="10" t="str">
        <f ca="1">TEXT( INDIRECT( ADDRESS( ROW() + Row_Offset, INDIRECT( "Column_Number_" &amp; C$1), 4,1, tabname) ), "")</f>
        <v/>
      </c>
      <c r="D436" s="10" t="str">
        <f ca="1">TEXT( INDIRECT( ADDRESS( ROW() + Row_Offset, INDIRECT( "Column_Number_" &amp; D$1), 4,1, tabname) ), "")</f>
        <v/>
      </c>
      <c r="E436" s="10" t="str">
        <f ca="1">TEXT( INDIRECT( ADDRESS( ROW() + Row_Offset, INDIRECT( "Column_Number_" &amp; E$1), 4,1, tabname) ), "####")</f>
        <v/>
      </c>
      <c r="F436" s="15"/>
      <c r="G436" s="22" t="str">
        <f ca="1">IFERROR(INDEX(Rank_Table[],MATCH($D436&amp;$A436,Table4[Join],0)),"")</f>
        <v/>
      </c>
      <c r="H436" s="11" t="str">
        <f ca="1">IF(AND(D436="Juvenile Audiobook",LEFT(B436,8)="J CD BIO"),RIGHT(B436,LEN(B436)-9),
IF(AND(D436="Juvenile Audiobook",LEFT(B436,8)="J CD FIC"),B436,
IF(D436="Juvenile Audiobook",RIGHT(B436,LEN(B436)-5),
IF(AND(D436="Teen Audiobook",LEFT(B436,11)="TEEN CD BIO"),RIGHT(B436,LEN(B436)-12),
IF(AND(D436="Teen Audiobook",LEFT(B436,11)="TEEN CD FIC"),B436,
IF(D436="Juvenile Audiobook",RIGHT(B436,LEN(B436)-8),
IF(D436="Juvenile Nonfiction",RIGHT(B436,LEN(B436)-2),
IF(D436="Teen Nonfiction",RIGHT(B436,LEN(B436)-5),
IF(AND(D436="Audiobook",
              NOT(OR(Contains($B436,"CD BIO"),Contains($B436,"CD FIC")))),RIGHT(B436,LEN(B436)-3),
IF(D436="Juvenile Biography",RIGHT(B436,LEN(B436)-2),
IF(D436="Teen Biography",RIGHT(B436,LEN(B436)-5),
IF(AND(D436="Audiobook",
              IFERROR(FIND("BIO",$B436)&gt;0,FALSE)),RIGHT(B436,LEN(B436)-3),
IF(D436="Juvenile Large Type","J "&amp;RIGHT(B436,LEN(B436)-11),
IF(D436="Teen Large Type","TEEN "&amp;RIGHT(B436,LEN(B436)-14),
IF(D436="Reference",RIGHT(B436,LEN(B436)-4),
IF(D436="DVD Educational",RIGHT(B436,LEN(B436)-7),
IF(D436="Juvenile DVD Educational",RIGHT(B436,LEN(B436)-9),
B436)))))))))))))))))</f>
        <v/>
      </c>
      <c r="N436" s="11" t="str">
        <f ca="1">IF(IFERROR(FIND("New",$A436)&gt;0,FALSE),"New ","") &amp; IF(IFERROR(FIND("In Lib",$A436)&gt;0,FALSE),"Reference ","") &amp;
IF(AND(D436="Audiobook",LEFT(B436,6)="CD BIO"),"Biography",
IF(AND(D436="Teen Audiobook",LEFT(B436,11)="TEEN CD BIO"),"Biography",
IF(AND(D436="Juvenile Audiobook",LEFT(B436,8)="J CD BIO"),"Biography",
IF(AND(D436="Audiobook",LEFT(B436,6)="CD FIC"),"Audiobook Fiction",
IF(AND(D436="Teen Audiobook",LEFT(B436,11)="TEEN CD FIC"),"Teen Audiobook",
IF(AND(D436="Juvenile Audiobook",LEFT(B436,8)="J CD FIC"),"Juvenile Audiobook",
IF(D436="Audiobook","Nonfiction",
IF(D436="Juvenile Audiobook","Nonfiction",
IF(D436="Teen Audiobook","Nonfiction",
IF(D436="Juvenile Nonfiction","Nonfiction",
IF(D436="Teen Nonfiction","Nonfiction",
IF(D436="Juvenile Biography","Biography",
IF(D436="Teen Biography","Biography",
IF(D436="ESL","Nonfiction",
IF(LEFT(B436,11)="INTL-VIE J ","International Juvenile",IF(LEFT(B436,11)="INTL-TAG J ","International Juvenile",IF(LEFT(B436,11)="INTL-RUS J ","International Juvenile",IF(LEFT(B436,11)="INTL-KOR J ","International Juvenile",IF(LEFT(B436,11)="INTL-JAP J ","International Juvenile",IF(LEFT(B436,11)="INTL-CHI J ","International Juvenile",IF(LEFT(B436,11)="INTL-SPA J ","International Juvenile",IF(LEFT(B436,14)="INTL-VIE TEEN ","International Teen",IF(LEFT(B436,14)="INTL-TAG TEEN ","International Teen",IF(LEFT(B436,14)="INTL-RUS TEEN ","International Teen",IF(LEFT(B436,14)="INTL-KOR TEEN ","International Teen",IF(LEFT(B436,14)="INTL-JAP TEEN ","International Teen",IF(LEFT(B436,14)="INTL-CHI TEEN ","International Teen",IF(LEFT(B436,14)="INTL-SPA TEEN ","International Teen",IF(LEFT(B436,11)="INTL-VIE E ","International Easy",IF(LEFT(B436,11)="INTL-TAG E ","International Easy",IF(LEFT(B436,11)="INTL-RUS E ","International Easy",IF(LEFT(B436,11)="INTL-JAP E ","International Easy",IF(LEFT(B436,11)="INTL-KOR E ","International Easy",IF(LEFT(B436,11)="INTL-CHI E ","International Easy",IF(LEFT(B436,11)="INTL-SPA E ","International Easy",
IF(D436="Teen Large Type","Teen Fiction",
IF(D436="Juvenile Large Type","Juvenile Fiction",
IF(LEFT(B436,6)="J CD O","Juvenile Compact Disc",
IF(AND(LEFT(B436,4)="TEEN",D436="Fiction"),"Teen Fiction",
IF(D436="DVD Educational","Nonfiction",
IF(D436="Juvenile DVD Educational","Nonfiction",
IF(D436="Reference","Nonfiction",
D436))))))))))))))))))))))))))))))))))))))))))</f>
        <v/>
      </c>
    </row>
    <row r="437" spans="1:14" ht="27" customHeight="1" x14ac:dyDescent="0.25">
      <c r="A437" s="10" t="str">
        <f ca="1">TEXT( INDIRECT( ADDRESS( ROW() + Row_Offset, INDIRECT( "Column_Number_" &amp; A$1), 4,1, tabname) ), "")</f>
        <v/>
      </c>
      <c r="B437" s="10" t="str">
        <f ca="1">TEXT(  IFERROR( VLOOKUP( $D437, CollName_Simplifier_Table[], 2, FALSE),"") &amp;
        INDIRECT( ADDRESS( ROW() + Row_Offset, INDIRECT( "Column_Number_" &amp; $B$1), 4,1, tabname) ), "")</f>
        <v/>
      </c>
      <c r="C437" s="10" t="str">
        <f ca="1">TEXT( INDIRECT( ADDRESS( ROW() + Row_Offset, INDIRECT( "Column_Number_" &amp; C$1), 4,1, tabname) ), "")</f>
        <v/>
      </c>
      <c r="D437" s="10" t="str">
        <f ca="1">TEXT( INDIRECT( ADDRESS( ROW() + Row_Offset, INDIRECT( "Column_Number_" &amp; D$1), 4,1, tabname) ), "")</f>
        <v/>
      </c>
      <c r="E437" s="10" t="str">
        <f ca="1">TEXT( INDIRECT( ADDRESS( ROW() + Row_Offset, INDIRECT( "Column_Number_" &amp; E$1), 4,1, tabname) ), "####")</f>
        <v/>
      </c>
      <c r="F437" s="15"/>
      <c r="G437" s="22" t="str">
        <f ca="1">IFERROR(INDEX(Rank_Table[],MATCH($D437&amp;$A437,Table4[Join],0)),"")</f>
        <v/>
      </c>
      <c r="H437" s="11" t="str">
        <f ca="1">IF(AND(D437="Juvenile Audiobook",LEFT(B437,8)="J CD BIO"),RIGHT(B437,LEN(B437)-9),
IF(AND(D437="Juvenile Audiobook",LEFT(B437,8)="J CD FIC"),B437,
IF(D437="Juvenile Audiobook",RIGHT(B437,LEN(B437)-5),
IF(AND(D437="Teen Audiobook",LEFT(B437,11)="TEEN CD BIO"),RIGHT(B437,LEN(B437)-12),
IF(AND(D437="Teen Audiobook",LEFT(B437,11)="TEEN CD FIC"),B437,
IF(D437="Juvenile Audiobook",RIGHT(B437,LEN(B437)-8),
IF(D437="Juvenile Nonfiction",RIGHT(B437,LEN(B437)-2),
IF(D437="Teen Nonfiction",RIGHT(B437,LEN(B437)-5),
IF(AND(D437="Audiobook",
              NOT(OR(Contains($B437,"CD BIO"),Contains($B437,"CD FIC")))),RIGHT(B437,LEN(B437)-3),
IF(D437="Juvenile Biography",RIGHT(B437,LEN(B437)-2),
IF(D437="Teen Biography",RIGHT(B437,LEN(B437)-5),
IF(AND(D437="Audiobook",
              IFERROR(FIND("BIO",$B437)&gt;0,FALSE)),RIGHT(B437,LEN(B437)-3),
IF(D437="Juvenile Large Type","J "&amp;RIGHT(B437,LEN(B437)-11),
IF(D437="Teen Large Type","TEEN "&amp;RIGHT(B437,LEN(B437)-14),
IF(D437="Reference",RIGHT(B437,LEN(B437)-4),
IF(D437="DVD Educational",RIGHT(B437,LEN(B437)-7),
IF(D437="Juvenile DVD Educational",RIGHT(B437,LEN(B437)-9),
B437)))))))))))))))))</f>
        <v/>
      </c>
      <c r="N437" s="11" t="str">
        <f ca="1">IF(IFERROR(FIND("New",$A437)&gt;0,FALSE),"New ","") &amp; IF(IFERROR(FIND("In Lib",$A437)&gt;0,FALSE),"Reference ","") &amp;
IF(AND(D437="Audiobook",LEFT(B437,6)="CD BIO"),"Biography",
IF(AND(D437="Teen Audiobook",LEFT(B437,11)="TEEN CD BIO"),"Biography",
IF(AND(D437="Juvenile Audiobook",LEFT(B437,8)="J CD BIO"),"Biography",
IF(AND(D437="Audiobook",LEFT(B437,6)="CD FIC"),"Audiobook Fiction",
IF(AND(D437="Teen Audiobook",LEFT(B437,11)="TEEN CD FIC"),"Teen Audiobook",
IF(AND(D437="Juvenile Audiobook",LEFT(B437,8)="J CD FIC"),"Juvenile Audiobook",
IF(D437="Audiobook","Nonfiction",
IF(D437="Juvenile Audiobook","Nonfiction",
IF(D437="Teen Audiobook","Nonfiction",
IF(D437="Juvenile Nonfiction","Nonfiction",
IF(D437="Teen Nonfiction","Nonfiction",
IF(D437="Juvenile Biography","Biography",
IF(D437="Teen Biography","Biography",
IF(D437="ESL","Nonfiction",
IF(LEFT(B437,11)="INTL-VIE J ","International Juvenile",IF(LEFT(B437,11)="INTL-TAG J ","International Juvenile",IF(LEFT(B437,11)="INTL-RUS J ","International Juvenile",IF(LEFT(B437,11)="INTL-KOR J ","International Juvenile",IF(LEFT(B437,11)="INTL-JAP J ","International Juvenile",IF(LEFT(B437,11)="INTL-CHI J ","International Juvenile",IF(LEFT(B437,11)="INTL-SPA J ","International Juvenile",IF(LEFT(B437,14)="INTL-VIE TEEN ","International Teen",IF(LEFT(B437,14)="INTL-TAG TEEN ","International Teen",IF(LEFT(B437,14)="INTL-RUS TEEN ","International Teen",IF(LEFT(B437,14)="INTL-KOR TEEN ","International Teen",IF(LEFT(B437,14)="INTL-JAP TEEN ","International Teen",IF(LEFT(B437,14)="INTL-CHI TEEN ","International Teen",IF(LEFT(B437,14)="INTL-SPA TEEN ","International Teen",IF(LEFT(B437,11)="INTL-VIE E ","International Easy",IF(LEFT(B437,11)="INTL-TAG E ","International Easy",IF(LEFT(B437,11)="INTL-RUS E ","International Easy",IF(LEFT(B437,11)="INTL-JAP E ","International Easy",IF(LEFT(B437,11)="INTL-KOR E ","International Easy",IF(LEFT(B437,11)="INTL-CHI E ","International Easy",IF(LEFT(B437,11)="INTL-SPA E ","International Easy",
IF(D437="Teen Large Type","Teen Fiction",
IF(D437="Juvenile Large Type","Juvenile Fiction",
IF(LEFT(B437,6)="J CD O","Juvenile Compact Disc",
IF(AND(LEFT(B437,4)="TEEN",D437="Fiction"),"Teen Fiction",
IF(D437="DVD Educational","Nonfiction",
IF(D437="Juvenile DVD Educational","Nonfiction",
IF(D437="Reference","Nonfiction",
D437))))))))))))))))))))))))))))))))))))))))))</f>
        <v/>
      </c>
    </row>
    <row r="438" spans="1:14" ht="27" customHeight="1" x14ac:dyDescent="0.25">
      <c r="A438" s="10" t="str">
        <f ca="1">TEXT( INDIRECT( ADDRESS( ROW() + Row_Offset, INDIRECT( "Column_Number_" &amp; A$1), 4,1, tabname) ), "")</f>
        <v/>
      </c>
      <c r="B438" s="10" t="str">
        <f ca="1">TEXT(  IFERROR( VLOOKUP( $D438, CollName_Simplifier_Table[], 2, FALSE),"") &amp;
        INDIRECT( ADDRESS( ROW() + Row_Offset, INDIRECT( "Column_Number_" &amp; $B$1), 4,1, tabname) ), "")</f>
        <v/>
      </c>
      <c r="C438" s="10" t="str">
        <f ca="1">TEXT( INDIRECT( ADDRESS( ROW() + Row_Offset, INDIRECT( "Column_Number_" &amp; C$1), 4,1, tabname) ), "")</f>
        <v/>
      </c>
      <c r="D438" s="10" t="str">
        <f ca="1">TEXT( INDIRECT( ADDRESS( ROW() + Row_Offset, INDIRECT( "Column_Number_" &amp; D$1), 4,1, tabname) ), "")</f>
        <v/>
      </c>
      <c r="E438" s="10" t="str">
        <f ca="1">TEXT( INDIRECT( ADDRESS( ROW() + Row_Offset, INDIRECT( "Column_Number_" &amp; E$1), 4,1, tabname) ), "####")</f>
        <v/>
      </c>
      <c r="F438" s="15"/>
      <c r="G438" s="22" t="str">
        <f ca="1">IFERROR(INDEX(Rank_Table[],MATCH($D438&amp;$A438,Table4[Join],0)),"")</f>
        <v/>
      </c>
      <c r="H438" s="11" t="str">
        <f ca="1">IF(AND(D438="Juvenile Audiobook",LEFT(B438,8)="J CD BIO"),RIGHT(B438,LEN(B438)-9),
IF(AND(D438="Juvenile Audiobook",LEFT(B438,8)="J CD FIC"),B438,
IF(D438="Juvenile Audiobook",RIGHT(B438,LEN(B438)-5),
IF(AND(D438="Teen Audiobook",LEFT(B438,11)="TEEN CD BIO"),RIGHT(B438,LEN(B438)-12),
IF(AND(D438="Teen Audiobook",LEFT(B438,11)="TEEN CD FIC"),B438,
IF(D438="Juvenile Audiobook",RIGHT(B438,LEN(B438)-8),
IF(D438="Juvenile Nonfiction",RIGHT(B438,LEN(B438)-2),
IF(D438="Teen Nonfiction",RIGHT(B438,LEN(B438)-5),
IF(AND(D438="Audiobook",
              NOT(OR(Contains($B438,"CD BIO"),Contains($B438,"CD FIC")))),RIGHT(B438,LEN(B438)-3),
IF(D438="Juvenile Biography",RIGHT(B438,LEN(B438)-2),
IF(D438="Teen Biography",RIGHT(B438,LEN(B438)-5),
IF(AND(D438="Audiobook",
              IFERROR(FIND("BIO",$B438)&gt;0,FALSE)),RIGHT(B438,LEN(B438)-3),
IF(D438="Juvenile Large Type","J "&amp;RIGHT(B438,LEN(B438)-11),
IF(D438="Teen Large Type","TEEN "&amp;RIGHT(B438,LEN(B438)-14),
IF(D438="Reference",RIGHT(B438,LEN(B438)-4),
IF(D438="DVD Educational",RIGHT(B438,LEN(B438)-7),
IF(D438="Juvenile DVD Educational",RIGHT(B438,LEN(B438)-9),
B438)))))))))))))))))</f>
        <v/>
      </c>
      <c r="N438" s="11" t="str">
        <f ca="1">IF(IFERROR(FIND("New",$A438)&gt;0,FALSE),"New ","") &amp; IF(IFERROR(FIND("In Lib",$A438)&gt;0,FALSE),"Reference ","") &amp;
IF(AND(D438="Audiobook",LEFT(B438,6)="CD BIO"),"Biography",
IF(AND(D438="Teen Audiobook",LEFT(B438,11)="TEEN CD BIO"),"Biography",
IF(AND(D438="Juvenile Audiobook",LEFT(B438,8)="J CD BIO"),"Biography",
IF(AND(D438="Audiobook",LEFT(B438,6)="CD FIC"),"Audiobook Fiction",
IF(AND(D438="Teen Audiobook",LEFT(B438,11)="TEEN CD FIC"),"Teen Audiobook",
IF(AND(D438="Juvenile Audiobook",LEFT(B438,8)="J CD FIC"),"Juvenile Audiobook",
IF(D438="Audiobook","Nonfiction",
IF(D438="Juvenile Audiobook","Nonfiction",
IF(D438="Teen Audiobook","Nonfiction",
IF(D438="Juvenile Nonfiction","Nonfiction",
IF(D438="Teen Nonfiction","Nonfiction",
IF(D438="Juvenile Biography","Biography",
IF(D438="Teen Biography","Biography",
IF(D438="ESL","Nonfiction",
IF(LEFT(B438,11)="INTL-VIE J ","International Juvenile",IF(LEFT(B438,11)="INTL-TAG J ","International Juvenile",IF(LEFT(B438,11)="INTL-RUS J ","International Juvenile",IF(LEFT(B438,11)="INTL-KOR J ","International Juvenile",IF(LEFT(B438,11)="INTL-JAP J ","International Juvenile",IF(LEFT(B438,11)="INTL-CHI J ","International Juvenile",IF(LEFT(B438,11)="INTL-SPA J ","International Juvenile",IF(LEFT(B438,14)="INTL-VIE TEEN ","International Teen",IF(LEFT(B438,14)="INTL-TAG TEEN ","International Teen",IF(LEFT(B438,14)="INTL-RUS TEEN ","International Teen",IF(LEFT(B438,14)="INTL-KOR TEEN ","International Teen",IF(LEFT(B438,14)="INTL-JAP TEEN ","International Teen",IF(LEFT(B438,14)="INTL-CHI TEEN ","International Teen",IF(LEFT(B438,14)="INTL-SPA TEEN ","International Teen",IF(LEFT(B438,11)="INTL-VIE E ","International Easy",IF(LEFT(B438,11)="INTL-TAG E ","International Easy",IF(LEFT(B438,11)="INTL-RUS E ","International Easy",IF(LEFT(B438,11)="INTL-JAP E ","International Easy",IF(LEFT(B438,11)="INTL-KOR E ","International Easy",IF(LEFT(B438,11)="INTL-CHI E ","International Easy",IF(LEFT(B438,11)="INTL-SPA E ","International Easy",
IF(D438="Teen Large Type","Teen Fiction",
IF(D438="Juvenile Large Type","Juvenile Fiction",
IF(LEFT(B438,6)="J CD O","Juvenile Compact Disc",
IF(AND(LEFT(B438,4)="TEEN",D438="Fiction"),"Teen Fiction",
IF(D438="DVD Educational","Nonfiction",
IF(D438="Juvenile DVD Educational","Nonfiction",
IF(D438="Reference","Nonfiction",
D438))))))))))))))))))))))))))))))))))))))))))</f>
        <v/>
      </c>
    </row>
    <row r="439" spans="1:14" ht="27" customHeight="1" x14ac:dyDescent="0.25">
      <c r="A439" s="10" t="str">
        <f ca="1">TEXT( INDIRECT( ADDRESS( ROW() + Row_Offset, INDIRECT( "Column_Number_" &amp; A$1), 4,1, tabname) ), "")</f>
        <v/>
      </c>
      <c r="B439" s="10" t="str">
        <f ca="1">TEXT(  IFERROR( VLOOKUP( $D439, CollName_Simplifier_Table[], 2, FALSE),"") &amp;
        INDIRECT( ADDRESS( ROW() + Row_Offset, INDIRECT( "Column_Number_" &amp; $B$1), 4,1, tabname) ), "")</f>
        <v/>
      </c>
      <c r="C439" s="10" t="str">
        <f ca="1">TEXT( INDIRECT( ADDRESS( ROW() + Row_Offset, INDIRECT( "Column_Number_" &amp; C$1), 4,1, tabname) ), "")</f>
        <v/>
      </c>
      <c r="D439" s="10" t="str">
        <f ca="1">TEXT( INDIRECT( ADDRESS( ROW() + Row_Offset, INDIRECT( "Column_Number_" &amp; D$1), 4,1, tabname) ), "")</f>
        <v/>
      </c>
      <c r="E439" s="10" t="str">
        <f ca="1">TEXT( INDIRECT( ADDRESS( ROW() + Row_Offset, INDIRECT( "Column_Number_" &amp; E$1), 4,1, tabname) ), "####")</f>
        <v/>
      </c>
      <c r="F439" s="15"/>
      <c r="G439" s="22" t="str">
        <f ca="1">IFERROR(INDEX(Rank_Table[],MATCH($D439&amp;$A439,Table4[Join],0)),"")</f>
        <v/>
      </c>
      <c r="H439" s="11" t="str">
        <f ca="1">IF(AND(D439="Juvenile Audiobook",LEFT(B439,8)="J CD BIO"),RIGHT(B439,LEN(B439)-9),
IF(AND(D439="Juvenile Audiobook",LEFT(B439,8)="J CD FIC"),B439,
IF(D439="Juvenile Audiobook",RIGHT(B439,LEN(B439)-5),
IF(AND(D439="Teen Audiobook",LEFT(B439,11)="TEEN CD BIO"),RIGHT(B439,LEN(B439)-12),
IF(AND(D439="Teen Audiobook",LEFT(B439,11)="TEEN CD FIC"),B439,
IF(D439="Juvenile Audiobook",RIGHT(B439,LEN(B439)-8),
IF(D439="Juvenile Nonfiction",RIGHT(B439,LEN(B439)-2),
IF(D439="Teen Nonfiction",RIGHT(B439,LEN(B439)-5),
IF(AND(D439="Audiobook",
              NOT(OR(Contains($B439,"CD BIO"),Contains($B439,"CD FIC")))),RIGHT(B439,LEN(B439)-3),
IF(D439="Juvenile Biography",RIGHT(B439,LEN(B439)-2),
IF(D439="Teen Biography",RIGHT(B439,LEN(B439)-5),
IF(AND(D439="Audiobook",
              IFERROR(FIND("BIO",$B439)&gt;0,FALSE)),RIGHT(B439,LEN(B439)-3),
IF(D439="Juvenile Large Type","J "&amp;RIGHT(B439,LEN(B439)-11),
IF(D439="Teen Large Type","TEEN "&amp;RIGHT(B439,LEN(B439)-14),
IF(D439="Reference",RIGHT(B439,LEN(B439)-4),
IF(D439="DVD Educational",RIGHT(B439,LEN(B439)-7),
IF(D439="Juvenile DVD Educational",RIGHT(B439,LEN(B439)-9),
B439)))))))))))))))))</f>
        <v/>
      </c>
      <c r="N439" s="11" t="str">
        <f ca="1">IF(IFERROR(FIND("New",$A439)&gt;0,FALSE),"New ","") &amp; IF(IFERROR(FIND("In Lib",$A439)&gt;0,FALSE),"Reference ","") &amp;
IF(AND(D439="Audiobook",LEFT(B439,6)="CD BIO"),"Biography",
IF(AND(D439="Teen Audiobook",LEFT(B439,11)="TEEN CD BIO"),"Biography",
IF(AND(D439="Juvenile Audiobook",LEFT(B439,8)="J CD BIO"),"Biography",
IF(AND(D439="Audiobook",LEFT(B439,6)="CD FIC"),"Audiobook Fiction",
IF(AND(D439="Teen Audiobook",LEFT(B439,11)="TEEN CD FIC"),"Teen Audiobook",
IF(AND(D439="Juvenile Audiobook",LEFT(B439,8)="J CD FIC"),"Juvenile Audiobook",
IF(D439="Audiobook","Nonfiction",
IF(D439="Juvenile Audiobook","Nonfiction",
IF(D439="Teen Audiobook","Nonfiction",
IF(D439="Juvenile Nonfiction","Nonfiction",
IF(D439="Teen Nonfiction","Nonfiction",
IF(D439="Juvenile Biography","Biography",
IF(D439="Teen Biography","Biography",
IF(D439="ESL","Nonfiction",
IF(LEFT(B439,11)="INTL-VIE J ","International Juvenile",IF(LEFT(B439,11)="INTL-TAG J ","International Juvenile",IF(LEFT(B439,11)="INTL-RUS J ","International Juvenile",IF(LEFT(B439,11)="INTL-KOR J ","International Juvenile",IF(LEFT(B439,11)="INTL-JAP J ","International Juvenile",IF(LEFT(B439,11)="INTL-CHI J ","International Juvenile",IF(LEFT(B439,11)="INTL-SPA J ","International Juvenile",IF(LEFT(B439,14)="INTL-VIE TEEN ","International Teen",IF(LEFT(B439,14)="INTL-TAG TEEN ","International Teen",IF(LEFT(B439,14)="INTL-RUS TEEN ","International Teen",IF(LEFT(B439,14)="INTL-KOR TEEN ","International Teen",IF(LEFT(B439,14)="INTL-JAP TEEN ","International Teen",IF(LEFT(B439,14)="INTL-CHI TEEN ","International Teen",IF(LEFT(B439,14)="INTL-SPA TEEN ","International Teen",IF(LEFT(B439,11)="INTL-VIE E ","International Easy",IF(LEFT(B439,11)="INTL-TAG E ","International Easy",IF(LEFT(B439,11)="INTL-RUS E ","International Easy",IF(LEFT(B439,11)="INTL-JAP E ","International Easy",IF(LEFT(B439,11)="INTL-KOR E ","International Easy",IF(LEFT(B439,11)="INTL-CHI E ","International Easy",IF(LEFT(B439,11)="INTL-SPA E ","International Easy",
IF(D439="Teen Large Type","Teen Fiction",
IF(D439="Juvenile Large Type","Juvenile Fiction",
IF(LEFT(B439,6)="J CD O","Juvenile Compact Disc",
IF(AND(LEFT(B439,4)="TEEN",D439="Fiction"),"Teen Fiction",
IF(D439="DVD Educational","Nonfiction",
IF(D439="Juvenile DVD Educational","Nonfiction",
IF(D439="Reference","Nonfiction",
D439))))))))))))))))))))))))))))))))))))))))))</f>
        <v/>
      </c>
    </row>
    <row r="440" spans="1:14" ht="27" customHeight="1" x14ac:dyDescent="0.25">
      <c r="A440" s="10" t="str">
        <f ca="1">TEXT( INDIRECT( ADDRESS( ROW() + Row_Offset, INDIRECT( "Column_Number_" &amp; A$1), 4,1, tabname) ), "")</f>
        <v/>
      </c>
      <c r="B440" s="10" t="str">
        <f ca="1">TEXT(  IFERROR( VLOOKUP( $D440, CollName_Simplifier_Table[], 2, FALSE),"") &amp;
        INDIRECT( ADDRESS( ROW() + Row_Offset, INDIRECT( "Column_Number_" &amp; $B$1), 4,1, tabname) ), "")</f>
        <v/>
      </c>
      <c r="C440" s="10" t="str">
        <f ca="1">TEXT( INDIRECT( ADDRESS( ROW() + Row_Offset, INDIRECT( "Column_Number_" &amp; C$1), 4,1, tabname) ), "")</f>
        <v/>
      </c>
      <c r="D440" s="10" t="str">
        <f ca="1">TEXT( INDIRECT( ADDRESS( ROW() + Row_Offset, INDIRECT( "Column_Number_" &amp; D$1), 4,1, tabname) ), "")</f>
        <v/>
      </c>
      <c r="E440" s="10" t="str">
        <f ca="1">TEXT( INDIRECT( ADDRESS( ROW() + Row_Offset, INDIRECT( "Column_Number_" &amp; E$1), 4,1, tabname) ), "####")</f>
        <v/>
      </c>
      <c r="F440" s="15"/>
      <c r="G440" s="22" t="str">
        <f ca="1">IFERROR(INDEX(Rank_Table[],MATCH($D440&amp;$A440,Table4[Join],0)),"")</f>
        <v/>
      </c>
      <c r="H440" s="11" t="str">
        <f ca="1">IF(AND(D440="Juvenile Audiobook",LEFT(B440,8)="J CD BIO"),RIGHT(B440,LEN(B440)-9),
IF(AND(D440="Juvenile Audiobook",LEFT(B440,8)="J CD FIC"),B440,
IF(D440="Juvenile Audiobook",RIGHT(B440,LEN(B440)-5),
IF(AND(D440="Teen Audiobook",LEFT(B440,11)="TEEN CD BIO"),RIGHT(B440,LEN(B440)-12),
IF(AND(D440="Teen Audiobook",LEFT(B440,11)="TEEN CD FIC"),B440,
IF(D440="Juvenile Audiobook",RIGHT(B440,LEN(B440)-8),
IF(D440="Juvenile Nonfiction",RIGHT(B440,LEN(B440)-2),
IF(D440="Teen Nonfiction",RIGHT(B440,LEN(B440)-5),
IF(AND(D440="Audiobook",
              NOT(OR(Contains($B440,"CD BIO"),Contains($B440,"CD FIC")))),RIGHT(B440,LEN(B440)-3),
IF(D440="Juvenile Biography",RIGHT(B440,LEN(B440)-2),
IF(D440="Teen Biography",RIGHT(B440,LEN(B440)-5),
IF(AND(D440="Audiobook",
              IFERROR(FIND("BIO",$B440)&gt;0,FALSE)),RIGHT(B440,LEN(B440)-3),
IF(D440="Juvenile Large Type","J "&amp;RIGHT(B440,LEN(B440)-11),
IF(D440="Teen Large Type","TEEN "&amp;RIGHT(B440,LEN(B440)-14),
IF(D440="Reference",RIGHT(B440,LEN(B440)-4),
IF(D440="DVD Educational",RIGHT(B440,LEN(B440)-7),
IF(D440="Juvenile DVD Educational",RIGHT(B440,LEN(B440)-9),
B440)))))))))))))))))</f>
        <v/>
      </c>
      <c r="N440" s="11" t="str">
        <f ca="1">IF(IFERROR(FIND("New",$A440)&gt;0,FALSE),"New ","") &amp; IF(IFERROR(FIND("In Lib",$A440)&gt;0,FALSE),"Reference ","") &amp;
IF(AND(D440="Audiobook",LEFT(B440,6)="CD BIO"),"Biography",
IF(AND(D440="Teen Audiobook",LEFT(B440,11)="TEEN CD BIO"),"Biography",
IF(AND(D440="Juvenile Audiobook",LEFT(B440,8)="J CD BIO"),"Biography",
IF(AND(D440="Audiobook",LEFT(B440,6)="CD FIC"),"Audiobook Fiction",
IF(AND(D440="Teen Audiobook",LEFT(B440,11)="TEEN CD FIC"),"Teen Audiobook",
IF(AND(D440="Juvenile Audiobook",LEFT(B440,8)="J CD FIC"),"Juvenile Audiobook",
IF(D440="Audiobook","Nonfiction",
IF(D440="Juvenile Audiobook","Nonfiction",
IF(D440="Teen Audiobook","Nonfiction",
IF(D440="Juvenile Nonfiction","Nonfiction",
IF(D440="Teen Nonfiction","Nonfiction",
IF(D440="Juvenile Biography","Biography",
IF(D440="Teen Biography","Biography",
IF(D440="ESL","Nonfiction",
IF(LEFT(B440,11)="INTL-VIE J ","International Juvenile",IF(LEFT(B440,11)="INTL-TAG J ","International Juvenile",IF(LEFT(B440,11)="INTL-RUS J ","International Juvenile",IF(LEFT(B440,11)="INTL-KOR J ","International Juvenile",IF(LEFT(B440,11)="INTL-JAP J ","International Juvenile",IF(LEFT(B440,11)="INTL-CHI J ","International Juvenile",IF(LEFT(B440,11)="INTL-SPA J ","International Juvenile",IF(LEFT(B440,14)="INTL-VIE TEEN ","International Teen",IF(LEFT(B440,14)="INTL-TAG TEEN ","International Teen",IF(LEFT(B440,14)="INTL-RUS TEEN ","International Teen",IF(LEFT(B440,14)="INTL-KOR TEEN ","International Teen",IF(LEFT(B440,14)="INTL-JAP TEEN ","International Teen",IF(LEFT(B440,14)="INTL-CHI TEEN ","International Teen",IF(LEFT(B440,14)="INTL-SPA TEEN ","International Teen",IF(LEFT(B440,11)="INTL-VIE E ","International Easy",IF(LEFT(B440,11)="INTL-TAG E ","International Easy",IF(LEFT(B440,11)="INTL-RUS E ","International Easy",IF(LEFT(B440,11)="INTL-JAP E ","International Easy",IF(LEFT(B440,11)="INTL-KOR E ","International Easy",IF(LEFT(B440,11)="INTL-CHI E ","International Easy",IF(LEFT(B440,11)="INTL-SPA E ","International Easy",
IF(D440="Teen Large Type","Teen Fiction",
IF(D440="Juvenile Large Type","Juvenile Fiction",
IF(LEFT(B440,6)="J CD O","Juvenile Compact Disc",
IF(AND(LEFT(B440,4)="TEEN",D440="Fiction"),"Teen Fiction",
IF(D440="DVD Educational","Nonfiction",
IF(D440="Juvenile DVD Educational","Nonfiction",
IF(D440="Reference","Nonfiction",
D440))))))))))))))))))))))))))))))))))))))))))</f>
        <v/>
      </c>
    </row>
    <row r="441" spans="1:14" ht="27" customHeight="1" x14ac:dyDescent="0.25">
      <c r="A441" s="10" t="str">
        <f ca="1">TEXT( INDIRECT( ADDRESS( ROW() + Row_Offset, INDIRECT( "Column_Number_" &amp; A$1), 4,1, tabname) ), "")</f>
        <v/>
      </c>
      <c r="B441" s="10" t="str">
        <f ca="1">TEXT(  IFERROR( VLOOKUP( $D441, CollName_Simplifier_Table[], 2, FALSE),"") &amp;
        INDIRECT( ADDRESS( ROW() + Row_Offset, INDIRECT( "Column_Number_" &amp; $B$1), 4,1, tabname) ), "")</f>
        <v/>
      </c>
      <c r="C441" s="10" t="str">
        <f ca="1">TEXT( INDIRECT( ADDRESS( ROW() + Row_Offset, INDIRECT( "Column_Number_" &amp; C$1), 4,1, tabname) ), "")</f>
        <v/>
      </c>
      <c r="D441" s="10" t="str">
        <f ca="1">TEXT( INDIRECT( ADDRESS( ROW() + Row_Offset, INDIRECT( "Column_Number_" &amp; D$1), 4,1, tabname) ), "")</f>
        <v/>
      </c>
      <c r="E441" s="10" t="str">
        <f ca="1">TEXT( INDIRECT( ADDRESS( ROW() + Row_Offset, INDIRECT( "Column_Number_" &amp; E$1), 4,1, tabname) ), "####")</f>
        <v/>
      </c>
      <c r="F441" s="15"/>
      <c r="G441" s="22" t="str">
        <f ca="1">IFERROR(INDEX(Rank_Table[],MATCH($D441&amp;$A441,Table4[Join],0)),"")</f>
        <v/>
      </c>
      <c r="H441" s="11" t="str">
        <f ca="1">IF(AND(D441="Juvenile Audiobook",LEFT(B441,8)="J CD BIO"),RIGHT(B441,LEN(B441)-9),
IF(AND(D441="Juvenile Audiobook",LEFT(B441,8)="J CD FIC"),B441,
IF(D441="Juvenile Audiobook",RIGHT(B441,LEN(B441)-5),
IF(AND(D441="Teen Audiobook",LEFT(B441,11)="TEEN CD BIO"),RIGHT(B441,LEN(B441)-12),
IF(AND(D441="Teen Audiobook",LEFT(B441,11)="TEEN CD FIC"),B441,
IF(D441="Juvenile Audiobook",RIGHT(B441,LEN(B441)-8),
IF(D441="Juvenile Nonfiction",RIGHT(B441,LEN(B441)-2),
IF(D441="Teen Nonfiction",RIGHT(B441,LEN(B441)-5),
IF(AND(D441="Audiobook",
              NOT(OR(Contains($B441,"CD BIO"),Contains($B441,"CD FIC")))),RIGHT(B441,LEN(B441)-3),
IF(D441="Juvenile Biography",RIGHT(B441,LEN(B441)-2),
IF(D441="Teen Biography",RIGHT(B441,LEN(B441)-5),
IF(AND(D441="Audiobook",
              IFERROR(FIND("BIO",$B441)&gt;0,FALSE)),RIGHT(B441,LEN(B441)-3),
IF(D441="Juvenile Large Type","J "&amp;RIGHT(B441,LEN(B441)-11),
IF(D441="Teen Large Type","TEEN "&amp;RIGHT(B441,LEN(B441)-14),
IF(D441="Reference",RIGHT(B441,LEN(B441)-4),
IF(D441="DVD Educational",RIGHT(B441,LEN(B441)-7),
IF(D441="Juvenile DVD Educational",RIGHT(B441,LEN(B441)-9),
B441)))))))))))))))))</f>
        <v/>
      </c>
      <c r="N441" s="11" t="str">
        <f ca="1">IF(IFERROR(FIND("New",$A441)&gt;0,FALSE),"New ","") &amp; IF(IFERROR(FIND("In Lib",$A441)&gt;0,FALSE),"Reference ","") &amp;
IF(AND(D441="Audiobook",LEFT(B441,6)="CD BIO"),"Biography",
IF(AND(D441="Teen Audiobook",LEFT(B441,11)="TEEN CD BIO"),"Biography",
IF(AND(D441="Juvenile Audiobook",LEFT(B441,8)="J CD BIO"),"Biography",
IF(AND(D441="Audiobook",LEFT(B441,6)="CD FIC"),"Audiobook Fiction",
IF(AND(D441="Teen Audiobook",LEFT(B441,11)="TEEN CD FIC"),"Teen Audiobook",
IF(AND(D441="Juvenile Audiobook",LEFT(B441,8)="J CD FIC"),"Juvenile Audiobook",
IF(D441="Audiobook","Nonfiction",
IF(D441="Juvenile Audiobook","Nonfiction",
IF(D441="Teen Audiobook","Nonfiction",
IF(D441="Juvenile Nonfiction","Nonfiction",
IF(D441="Teen Nonfiction","Nonfiction",
IF(D441="Juvenile Biography","Biography",
IF(D441="Teen Biography","Biography",
IF(D441="ESL","Nonfiction",
IF(LEFT(B441,11)="INTL-VIE J ","International Juvenile",IF(LEFT(B441,11)="INTL-TAG J ","International Juvenile",IF(LEFT(B441,11)="INTL-RUS J ","International Juvenile",IF(LEFT(B441,11)="INTL-KOR J ","International Juvenile",IF(LEFT(B441,11)="INTL-JAP J ","International Juvenile",IF(LEFT(B441,11)="INTL-CHI J ","International Juvenile",IF(LEFT(B441,11)="INTL-SPA J ","International Juvenile",IF(LEFT(B441,14)="INTL-VIE TEEN ","International Teen",IF(LEFT(B441,14)="INTL-TAG TEEN ","International Teen",IF(LEFT(B441,14)="INTL-RUS TEEN ","International Teen",IF(LEFT(B441,14)="INTL-KOR TEEN ","International Teen",IF(LEFT(B441,14)="INTL-JAP TEEN ","International Teen",IF(LEFT(B441,14)="INTL-CHI TEEN ","International Teen",IF(LEFT(B441,14)="INTL-SPA TEEN ","International Teen",IF(LEFT(B441,11)="INTL-VIE E ","International Easy",IF(LEFT(B441,11)="INTL-TAG E ","International Easy",IF(LEFT(B441,11)="INTL-RUS E ","International Easy",IF(LEFT(B441,11)="INTL-JAP E ","International Easy",IF(LEFT(B441,11)="INTL-KOR E ","International Easy",IF(LEFT(B441,11)="INTL-CHI E ","International Easy",IF(LEFT(B441,11)="INTL-SPA E ","International Easy",
IF(D441="Teen Large Type","Teen Fiction",
IF(D441="Juvenile Large Type","Juvenile Fiction",
IF(LEFT(B441,6)="J CD O","Juvenile Compact Disc",
IF(AND(LEFT(B441,4)="TEEN",D441="Fiction"),"Teen Fiction",
IF(D441="DVD Educational","Nonfiction",
IF(D441="Juvenile DVD Educational","Nonfiction",
IF(D441="Reference","Nonfiction",
D441))))))))))))))))))))))))))))))))))))))))))</f>
        <v/>
      </c>
    </row>
    <row r="442" spans="1:14" ht="27" customHeight="1" x14ac:dyDescent="0.25">
      <c r="A442" s="10" t="str">
        <f ca="1">TEXT( INDIRECT( ADDRESS( ROW() + Row_Offset, INDIRECT( "Column_Number_" &amp; A$1), 4,1, tabname) ), "")</f>
        <v/>
      </c>
      <c r="B442" s="10" t="str">
        <f ca="1">TEXT(  IFERROR( VLOOKUP( $D442, CollName_Simplifier_Table[], 2, FALSE),"") &amp;
        INDIRECT( ADDRESS( ROW() + Row_Offset, INDIRECT( "Column_Number_" &amp; $B$1), 4,1, tabname) ), "")</f>
        <v/>
      </c>
      <c r="C442" s="10" t="str">
        <f ca="1">TEXT( INDIRECT( ADDRESS( ROW() + Row_Offset, INDIRECT( "Column_Number_" &amp; C$1), 4,1, tabname) ), "")</f>
        <v/>
      </c>
      <c r="D442" s="10" t="str">
        <f ca="1">TEXT( INDIRECT( ADDRESS( ROW() + Row_Offset, INDIRECT( "Column_Number_" &amp; D$1), 4,1, tabname) ), "")</f>
        <v/>
      </c>
      <c r="E442" s="10" t="str">
        <f ca="1">TEXT( INDIRECT( ADDRESS( ROW() + Row_Offset, INDIRECT( "Column_Number_" &amp; E$1), 4,1, tabname) ), "####")</f>
        <v/>
      </c>
      <c r="F442" s="15"/>
      <c r="G442" s="22" t="str">
        <f ca="1">IFERROR(INDEX(Rank_Table[],MATCH($D442&amp;$A442,Table4[Join],0)),"")</f>
        <v/>
      </c>
      <c r="H442" s="11" t="str">
        <f ca="1">IF(AND(D442="Juvenile Audiobook",LEFT(B442,8)="J CD BIO"),RIGHT(B442,LEN(B442)-9),
IF(AND(D442="Juvenile Audiobook",LEFT(B442,8)="J CD FIC"),B442,
IF(D442="Juvenile Audiobook",RIGHT(B442,LEN(B442)-5),
IF(AND(D442="Teen Audiobook",LEFT(B442,11)="TEEN CD BIO"),RIGHT(B442,LEN(B442)-12),
IF(AND(D442="Teen Audiobook",LEFT(B442,11)="TEEN CD FIC"),B442,
IF(D442="Juvenile Audiobook",RIGHT(B442,LEN(B442)-8),
IF(D442="Juvenile Nonfiction",RIGHT(B442,LEN(B442)-2),
IF(D442="Teen Nonfiction",RIGHT(B442,LEN(B442)-5),
IF(AND(D442="Audiobook",
              NOT(OR(Contains($B442,"CD BIO"),Contains($B442,"CD FIC")))),RIGHT(B442,LEN(B442)-3),
IF(D442="Juvenile Biography",RIGHT(B442,LEN(B442)-2),
IF(D442="Teen Biography",RIGHT(B442,LEN(B442)-5),
IF(AND(D442="Audiobook",
              IFERROR(FIND("BIO",$B442)&gt;0,FALSE)),RIGHT(B442,LEN(B442)-3),
IF(D442="Juvenile Large Type","J "&amp;RIGHT(B442,LEN(B442)-11),
IF(D442="Teen Large Type","TEEN "&amp;RIGHT(B442,LEN(B442)-14),
IF(D442="Reference",RIGHT(B442,LEN(B442)-4),
IF(D442="DVD Educational",RIGHT(B442,LEN(B442)-7),
IF(D442="Juvenile DVD Educational",RIGHT(B442,LEN(B442)-9),
B442)))))))))))))))))</f>
        <v/>
      </c>
      <c r="N442" s="11" t="str">
        <f ca="1">IF(IFERROR(FIND("New",$A442)&gt;0,FALSE),"New ","") &amp; IF(IFERROR(FIND("In Lib",$A442)&gt;0,FALSE),"Reference ","") &amp;
IF(AND(D442="Audiobook",LEFT(B442,6)="CD BIO"),"Biography",
IF(AND(D442="Teen Audiobook",LEFT(B442,11)="TEEN CD BIO"),"Biography",
IF(AND(D442="Juvenile Audiobook",LEFT(B442,8)="J CD BIO"),"Biography",
IF(AND(D442="Audiobook",LEFT(B442,6)="CD FIC"),"Audiobook Fiction",
IF(AND(D442="Teen Audiobook",LEFT(B442,11)="TEEN CD FIC"),"Teen Audiobook",
IF(AND(D442="Juvenile Audiobook",LEFT(B442,8)="J CD FIC"),"Juvenile Audiobook",
IF(D442="Audiobook","Nonfiction",
IF(D442="Juvenile Audiobook","Nonfiction",
IF(D442="Teen Audiobook","Nonfiction",
IF(D442="Juvenile Nonfiction","Nonfiction",
IF(D442="Teen Nonfiction","Nonfiction",
IF(D442="Juvenile Biography","Biography",
IF(D442="Teen Biography","Biography",
IF(D442="ESL","Nonfiction",
IF(LEFT(B442,11)="INTL-VIE J ","International Juvenile",IF(LEFT(B442,11)="INTL-TAG J ","International Juvenile",IF(LEFT(B442,11)="INTL-RUS J ","International Juvenile",IF(LEFT(B442,11)="INTL-KOR J ","International Juvenile",IF(LEFT(B442,11)="INTL-JAP J ","International Juvenile",IF(LEFT(B442,11)="INTL-CHI J ","International Juvenile",IF(LEFT(B442,11)="INTL-SPA J ","International Juvenile",IF(LEFT(B442,14)="INTL-VIE TEEN ","International Teen",IF(LEFT(B442,14)="INTL-TAG TEEN ","International Teen",IF(LEFT(B442,14)="INTL-RUS TEEN ","International Teen",IF(LEFT(B442,14)="INTL-KOR TEEN ","International Teen",IF(LEFT(B442,14)="INTL-JAP TEEN ","International Teen",IF(LEFT(B442,14)="INTL-CHI TEEN ","International Teen",IF(LEFT(B442,14)="INTL-SPA TEEN ","International Teen",IF(LEFT(B442,11)="INTL-VIE E ","International Easy",IF(LEFT(B442,11)="INTL-TAG E ","International Easy",IF(LEFT(B442,11)="INTL-RUS E ","International Easy",IF(LEFT(B442,11)="INTL-JAP E ","International Easy",IF(LEFT(B442,11)="INTL-KOR E ","International Easy",IF(LEFT(B442,11)="INTL-CHI E ","International Easy",IF(LEFT(B442,11)="INTL-SPA E ","International Easy",
IF(D442="Teen Large Type","Teen Fiction",
IF(D442="Juvenile Large Type","Juvenile Fiction",
IF(LEFT(B442,6)="J CD O","Juvenile Compact Disc",
IF(AND(LEFT(B442,4)="TEEN",D442="Fiction"),"Teen Fiction",
IF(D442="DVD Educational","Nonfiction",
IF(D442="Juvenile DVD Educational","Nonfiction",
IF(D442="Reference","Nonfiction",
D442))))))))))))))))))))))))))))))))))))))))))</f>
        <v/>
      </c>
    </row>
    <row r="443" spans="1:14" ht="27" customHeight="1" x14ac:dyDescent="0.25">
      <c r="A443" s="10" t="str">
        <f ca="1">TEXT( INDIRECT( ADDRESS( ROW() + Row_Offset, INDIRECT( "Column_Number_" &amp; A$1), 4,1, tabname) ), "")</f>
        <v/>
      </c>
      <c r="B443" s="10" t="str">
        <f ca="1">TEXT(  IFERROR( VLOOKUP( $D443, CollName_Simplifier_Table[], 2, FALSE),"") &amp;
        INDIRECT( ADDRESS( ROW() + Row_Offset, INDIRECT( "Column_Number_" &amp; $B$1), 4,1, tabname) ), "")</f>
        <v/>
      </c>
      <c r="C443" s="10" t="str">
        <f ca="1">TEXT( INDIRECT( ADDRESS( ROW() + Row_Offset, INDIRECT( "Column_Number_" &amp; C$1), 4,1, tabname) ), "")</f>
        <v/>
      </c>
      <c r="D443" s="10" t="str">
        <f ca="1">TEXT( INDIRECT( ADDRESS( ROW() + Row_Offset, INDIRECT( "Column_Number_" &amp; D$1), 4,1, tabname) ), "")</f>
        <v/>
      </c>
      <c r="E443" s="10" t="str">
        <f ca="1">TEXT( INDIRECT( ADDRESS( ROW() + Row_Offset, INDIRECT( "Column_Number_" &amp; E$1), 4,1, tabname) ), "####")</f>
        <v/>
      </c>
      <c r="F443" s="15"/>
      <c r="G443" s="22" t="str">
        <f ca="1">IFERROR(INDEX(Rank_Table[],MATCH($D443&amp;$A443,Table4[Join],0)),"")</f>
        <v/>
      </c>
      <c r="H443" s="11" t="str">
        <f ca="1">IF(AND(D443="Juvenile Audiobook",LEFT(B443,8)="J CD BIO"),RIGHT(B443,LEN(B443)-9),
IF(AND(D443="Juvenile Audiobook",LEFT(B443,8)="J CD FIC"),B443,
IF(D443="Juvenile Audiobook",RIGHT(B443,LEN(B443)-5),
IF(AND(D443="Teen Audiobook",LEFT(B443,11)="TEEN CD BIO"),RIGHT(B443,LEN(B443)-12),
IF(AND(D443="Teen Audiobook",LEFT(B443,11)="TEEN CD FIC"),B443,
IF(D443="Juvenile Audiobook",RIGHT(B443,LEN(B443)-8),
IF(D443="Juvenile Nonfiction",RIGHT(B443,LEN(B443)-2),
IF(D443="Teen Nonfiction",RIGHT(B443,LEN(B443)-5),
IF(AND(D443="Audiobook",
              NOT(OR(Contains($B443,"CD BIO"),Contains($B443,"CD FIC")))),RIGHT(B443,LEN(B443)-3),
IF(D443="Juvenile Biography",RIGHT(B443,LEN(B443)-2),
IF(D443="Teen Biography",RIGHT(B443,LEN(B443)-5),
IF(AND(D443="Audiobook",
              IFERROR(FIND("BIO",$B443)&gt;0,FALSE)),RIGHT(B443,LEN(B443)-3),
IF(D443="Juvenile Large Type","J "&amp;RIGHT(B443,LEN(B443)-11),
IF(D443="Teen Large Type","TEEN "&amp;RIGHT(B443,LEN(B443)-14),
IF(D443="Reference",RIGHT(B443,LEN(B443)-4),
IF(D443="DVD Educational",RIGHT(B443,LEN(B443)-7),
IF(D443="Juvenile DVD Educational",RIGHT(B443,LEN(B443)-9),
B443)))))))))))))))))</f>
        <v/>
      </c>
      <c r="N443" s="11" t="str">
        <f ca="1">IF(IFERROR(FIND("New",$A443)&gt;0,FALSE),"New ","") &amp; IF(IFERROR(FIND("In Lib",$A443)&gt;0,FALSE),"Reference ","") &amp;
IF(AND(D443="Audiobook",LEFT(B443,6)="CD BIO"),"Biography",
IF(AND(D443="Teen Audiobook",LEFT(B443,11)="TEEN CD BIO"),"Biography",
IF(AND(D443="Juvenile Audiobook",LEFT(B443,8)="J CD BIO"),"Biography",
IF(AND(D443="Audiobook",LEFT(B443,6)="CD FIC"),"Audiobook Fiction",
IF(AND(D443="Teen Audiobook",LEFT(B443,11)="TEEN CD FIC"),"Teen Audiobook",
IF(AND(D443="Juvenile Audiobook",LEFT(B443,8)="J CD FIC"),"Juvenile Audiobook",
IF(D443="Audiobook","Nonfiction",
IF(D443="Juvenile Audiobook","Nonfiction",
IF(D443="Teen Audiobook","Nonfiction",
IF(D443="Juvenile Nonfiction","Nonfiction",
IF(D443="Teen Nonfiction","Nonfiction",
IF(D443="Juvenile Biography","Biography",
IF(D443="Teen Biography","Biography",
IF(D443="ESL","Nonfiction",
IF(LEFT(B443,11)="INTL-VIE J ","International Juvenile",IF(LEFT(B443,11)="INTL-TAG J ","International Juvenile",IF(LEFT(B443,11)="INTL-RUS J ","International Juvenile",IF(LEFT(B443,11)="INTL-KOR J ","International Juvenile",IF(LEFT(B443,11)="INTL-JAP J ","International Juvenile",IF(LEFT(B443,11)="INTL-CHI J ","International Juvenile",IF(LEFT(B443,11)="INTL-SPA J ","International Juvenile",IF(LEFT(B443,14)="INTL-VIE TEEN ","International Teen",IF(LEFT(B443,14)="INTL-TAG TEEN ","International Teen",IF(LEFT(B443,14)="INTL-RUS TEEN ","International Teen",IF(LEFT(B443,14)="INTL-KOR TEEN ","International Teen",IF(LEFT(B443,14)="INTL-JAP TEEN ","International Teen",IF(LEFT(B443,14)="INTL-CHI TEEN ","International Teen",IF(LEFT(B443,14)="INTL-SPA TEEN ","International Teen",IF(LEFT(B443,11)="INTL-VIE E ","International Easy",IF(LEFT(B443,11)="INTL-TAG E ","International Easy",IF(LEFT(B443,11)="INTL-RUS E ","International Easy",IF(LEFT(B443,11)="INTL-JAP E ","International Easy",IF(LEFT(B443,11)="INTL-KOR E ","International Easy",IF(LEFT(B443,11)="INTL-CHI E ","International Easy",IF(LEFT(B443,11)="INTL-SPA E ","International Easy",
IF(D443="Teen Large Type","Teen Fiction",
IF(D443="Juvenile Large Type","Juvenile Fiction",
IF(LEFT(B443,6)="J CD O","Juvenile Compact Disc",
IF(AND(LEFT(B443,4)="TEEN",D443="Fiction"),"Teen Fiction",
IF(D443="DVD Educational","Nonfiction",
IF(D443="Juvenile DVD Educational","Nonfiction",
IF(D443="Reference","Nonfiction",
D443))))))))))))))))))))))))))))))))))))))))))</f>
        <v/>
      </c>
    </row>
    <row r="444" spans="1:14" ht="27" customHeight="1" x14ac:dyDescent="0.25">
      <c r="A444" s="10" t="str">
        <f ca="1">TEXT( INDIRECT( ADDRESS( ROW() + Row_Offset, INDIRECT( "Column_Number_" &amp; A$1), 4,1, tabname) ), "")</f>
        <v/>
      </c>
      <c r="B444" s="10" t="str">
        <f ca="1">TEXT(  IFERROR( VLOOKUP( $D444, CollName_Simplifier_Table[], 2, FALSE),"") &amp;
        INDIRECT( ADDRESS( ROW() + Row_Offset, INDIRECT( "Column_Number_" &amp; $B$1), 4,1, tabname) ), "")</f>
        <v/>
      </c>
      <c r="C444" s="10" t="str">
        <f ca="1">TEXT( INDIRECT( ADDRESS( ROW() + Row_Offset, INDIRECT( "Column_Number_" &amp; C$1), 4,1, tabname) ), "")</f>
        <v/>
      </c>
      <c r="D444" s="10" t="str">
        <f ca="1">TEXT( INDIRECT( ADDRESS( ROW() + Row_Offset, INDIRECT( "Column_Number_" &amp; D$1), 4,1, tabname) ), "")</f>
        <v/>
      </c>
      <c r="E444" s="10" t="str">
        <f ca="1">TEXT( INDIRECT( ADDRESS( ROW() + Row_Offset, INDIRECT( "Column_Number_" &amp; E$1), 4,1, tabname) ), "####")</f>
        <v/>
      </c>
      <c r="F444" s="15"/>
      <c r="G444" s="22" t="str">
        <f ca="1">IFERROR(INDEX(Rank_Table[],MATCH($D444&amp;$A444,Table4[Join],0)),"")</f>
        <v/>
      </c>
      <c r="H444" s="11" t="str">
        <f ca="1">IF(AND(D444="Juvenile Audiobook",LEFT(B444,8)="J CD BIO"),RIGHT(B444,LEN(B444)-9),
IF(AND(D444="Juvenile Audiobook",LEFT(B444,8)="J CD FIC"),B444,
IF(D444="Juvenile Audiobook",RIGHT(B444,LEN(B444)-5),
IF(AND(D444="Teen Audiobook",LEFT(B444,11)="TEEN CD BIO"),RIGHT(B444,LEN(B444)-12),
IF(AND(D444="Teen Audiobook",LEFT(B444,11)="TEEN CD FIC"),B444,
IF(D444="Juvenile Audiobook",RIGHT(B444,LEN(B444)-8),
IF(D444="Juvenile Nonfiction",RIGHT(B444,LEN(B444)-2),
IF(D444="Teen Nonfiction",RIGHT(B444,LEN(B444)-5),
IF(AND(D444="Audiobook",
              NOT(OR(Contains($B444,"CD BIO"),Contains($B444,"CD FIC")))),RIGHT(B444,LEN(B444)-3),
IF(D444="Juvenile Biography",RIGHT(B444,LEN(B444)-2),
IF(D444="Teen Biography",RIGHT(B444,LEN(B444)-5),
IF(AND(D444="Audiobook",
              IFERROR(FIND("BIO",$B444)&gt;0,FALSE)),RIGHT(B444,LEN(B444)-3),
IF(D444="Juvenile Large Type","J "&amp;RIGHT(B444,LEN(B444)-11),
IF(D444="Teen Large Type","TEEN "&amp;RIGHT(B444,LEN(B444)-14),
IF(D444="Reference",RIGHT(B444,LEN(B444)-4),
IF(D444="DVD Educational",RIGHT(B444,LEN(B444)-7),
IF(D444="Juvenile DVD Educational",RIGHT(B444,LEN(B444)-9),
B444)))))))))))))))))</f>
        <v/>
      </c>
      <c r="N444" s="11" t="str">
        <f ca="1">IF(IFERROR(FIND("New",$A444)&gt;0,FALSE),"New ","") &amp; IF(IFERROR(FIND("In Lib",$A444)&gt;0,FALSE),"Reference ","") &amp;
IF(AND(D444="Audiobook",LEFT(B444,6)="CD BIO"),"Biography",
IF(AND(D444="Teen Audiobook",LEFT(B444,11)="TEEN CD BIO"),"Biography",
IF(AND(D444="Juvenile Audiobook",LEFT(B444,8)="J CD BIO"),"Biography",
IF(AND(D444="Audiobook",LEFT(B444,6)="CD FIC"),"Audiobook Fiction",
IF(AND(D444="Teen Audiobook",LEFT(B444,11)="TEEN CD FIC"),"Teen Audiobook",
IF(AND(D444="Juvenile Audiobook",LEFT(B444,8)="J CD FIC"),"Juvenile Audiobook",
IF(D444="Audiobook","Nonfiction",
IF(D444="Juvenile Audiobook","Nonfiction",
IF(D444="Teen Audiobook","Nonfiction",
IF(D444="Juvenile Nonfiction","Nonfiction",
IF(D444="Teen Nonfiction","Nonfiction",
IF(D444="Juvenile Biography","Biography",
IF(D444="Teen Biography","Biography",
IF(D444="ESL","Nonfiction",
IF(LEFT(B444,11)="INTL-VIE J ","International Juvenile",IF(LEFT(B444,11)="INTL-TAG J ","International Juvenile",IF(LEFT(B444,11)="INTL-RUS J ","International Juvenile",IF(LEFT(B444,11)="INTL-KOR J ","International Juvenile",IF(LEFT(B444,11)="INTL-JAP J ","International Juvenile",IF(LEFT(B444,11)="INTL-CHI J ","International Juvenile",IF(LEFT(B444,11)="INTL-SPA J ","International Juvenile",IF(LEFT(B444,14)="INTL-VIE TEEN ","International Teen",IF(LEFT(B444,14)="INTL-TAG TEEN ","International Teen",IF(LEFT(B444,14)="INTL-RUS TEEN ","International Teen",IF(LEFT(B444,14)="INTL-KOR TEEN ","International Teen",IF(LEFT(B444,14)="INTL-JAP TEEN ","International Teen",IF(LEFT(B444,14)="INTL-CHI TEEN ","International Teen",IF(LEFT(B444,14)="INTL-SPA TEEN ","International Teen",IF(LEFT(B444,11)="INTL-VIE E ","International Easy",IF(LEFT(B444,11)="INTL-TAG E ","International Easy",IF(LEFT(B444,11)="INTL-RUS E ","International Easy",IF(LEFT(B444,11)="INTL-JAP E ","International Easy",IF(LEFT(B444,11)="INTL-KOR E ","International Easy",IF(LEFT(B444,11)="INTL-CHI E ","International Easy",IF(LEFT(B444,11)="INTL-SPA E ","International Easy",
IF(D444="Teen Large Type","Teen Fiction",
IF(D444="Juvenile Large Type","Juvenile Fiction",
IF(LEFT(B444,6)="J CD O","Juvenile Compact Disc",
IF(AND(LEFT(B444,4)="TEEN",D444="Fiction"),"Teen Fiction",
IF(D444="DVD Educational","Nonfiction",
IF(D444="Juvenile DVD Educational","Nonfiction",
IF(D444="Reference","Nonfiction",
D444))))))))))))))))))))))))))))))))))))))))))</f>
        <v/>
      </c>
    </row>
    <row r="445" spans="1:14" ht="27" customHeight="1" x14ac:dyDescent="0.25">
      <c r="A445" s="10" t="str">
        <f ca="1">TEXT( INDIRECT( ADDRESS( ROW() + Row_Offset, INDIRECT( "Column_Number_" &amp; A$1), 4,1, tabname) ), "")</f>
        <v/>
      </c>
      <c r="B445" s="10" t="str">
        <f ca="1">TEXT(  IFERROR( VLOOKUP( $D445, CollName_Simplifier_Table[], 2, FALSE),"") &amp;
        INDIRECT( ADDRESS( ROW() + Row_Offset, INDIRECT( "Column_Number_" &amp; $B$1), 4,1, tabname) ), "")</f>
        <v/>
      </c>
      <c r="C445" s="10" t="str">
        <f ca="1">TEXT( INDIRECT( ADDRESS( ROW() + Row_Offset, INDIRECT( "Column_Number_" &amp; C$1), 4,1, tabname) ), "")</f>
        <v/>
      </c>
      <c r="D445" s="10" t="str">
        <f ca="1">TEXT( INDIRECT( ADDRESS( ROW() + Row_Offset, INDIRECT( "Column_Number_" &amp; D$1), 4,1, tabname) ), "")</f>
        <v/>
      </c>
      <c r="E445" s="10" t="str">
        <f ca="1">TEXT( INDIRECT( ADDRESS( ROW() + Row_Offset, INDIRECT( "Column_Number_" &amp; E$1), 4,1, tabname) ), "####")</f>
        <v/>
      </c>
      <c r="F445" s="15"/>
      <c r="G445" s="22" t="str">
        <f ca="1">IFERROR(INDEX(Rank_Table[],MATCH($D445&amp;$A445,Table4[Join],0)),"")</f>
        <v/>
      </c>
      <c r="H445" s="11" t="str">
        <f ca="1">IF(AND(D445="Juvenile Audiobook",LEFT(B445,8)="J CD BIO"),RIGHT(B445,LEN(B445)-9),
IF(AND(D445="Juvenile Audiobook",LEFT(B445,8)="J CD FIC"),B445,
IF(D445="Juvenile Audiobook",RIGHT(B445,LEN(B445)-5),
IF(AND(D445="Teen Audiobook",LEFT(B445,11)="TEEN CD BIO"),RIGHT(B445,LEN(B445)-12),
IF(AND(D445="Teen Audiobook",LEFT(B445,11)="TEEN CD FIC"),B445,
IF(D445="Juvenile Audiobook",RIGHT(B445,LEN(B445)-8),
IF(D445="Juvenile Nonfiction",RIGHT(B445,LEN(B445)-2),
IF(D445="Teen Nonfiction",RIGHT(B445,LEN(B445)-5),
IF(AND(D445="Audiobook",
              NOT(OR(Contains($B445,"CD BIO"),Contains($B445,"CD FIC")))),RIGHT(B445,LEN(B445)-3),
IF(D445="Juvenile Biography",RIGHT(B445,LEN(B445)-2),
IF(D445="Teen Biography",RIGHT(B445,LEN(B445)-5),
IF(AND(D445="Audiobook",
              IFERROR(FIND("BIO",$B445)&gt;0,FALSE)),RIGHT(B445,LEN(B445)-3),
IF(D445="Juvenile Large Type","J "&amp;RIGHT(B445,LEN(B445)-11),
IF(D445="Teen Large Type","TEEN "&amp;RIGHT(B445,LEN(B445)-14),
IF(D445="Reference",RIGHT(B445,LEN(B445)-4),
IF(D445="DVD Educational",RIGHT(B445,LEN(B445)-7),
IF(D445="Juvenile DVD Educational",RIGHT(B445,LEN(B445)-9),
B445)))))))))))))))))</f>
        <v/>
      </c>
      <c r="N445" s="11" t="str">
        <f ca="1">IF(IFERROR(FIND("New",$A445)&gt;0,FALSE),"New ","") &amp; IF(IFERROR(FIND("In Lib",$A445)&gt;0,FALSE),"Reference ","") &amp;
IF(AND(D445="Audiobook",LEFT(B445,6)="CD BIO"),"Biography",
IF(AND(D445="Teen Audiobook",LEFT(B445,11)="TEEN CD BIO"),"Biography",
IF(AND(D445="Juvenile Audiobook",LEFT(B445,8)="J CD BIO"),"Biography",
IF(AND(D445="Audiobook",LEFT(B445,6)="CD FIC"),"Audiobook Fiction",
IF(AND(D445="Teen Audiobook",LEFT(B445,11)="TEEN CD FIC"),"Teen Audiobook",
IF(AND(D445="Juvenile Audiobook",LEFT(B445,8)="J CD FIC"),"Juvenile Audiobook",
IF(D445="Audiobook","Nonfiction",
IF(D445="Juvenile Audiobook","Nonfiction",
IF(D445="Teen Audiobook","Nonfiction",
IF(D445="Juvenile Nonfiction","Nonfiction",
IF(D445="Teen Nonfiction","Nonfiction",
IF(D445="Juvenile Biography","Biography",
IF(D445="Teen Biography","Biography",
IF(D445="ESL","Nonfiction",
IF(LEFT(B445,11)="INTL-VIE J ","International Juvenile",IF(LEFT(B445,11)="INTL-TAG J ","International Juvenile",IF(LEFT(B445,11)="INTL-RUS J ","International Juvenile",IF(LEFT(B445,11)="INTL-KOR J ","International Juvenile",IF(LEFT(B445,11)="INTL-JAP J ","International Juvenile",IF(LEFT(B445,11)="INTL-CHI J ","International Juvenile",IF(LEFT(B445,11)="INTL-SPA J ","International Juvenile",IF(LEFT(B445,14)="INTL-VIE TEEN ","International Teen",IF(LEFT(B445,14)="INTL-TAG TEEN ","International Teen",IF(LEFT(B445,14)="INTL-RUS TEEN ","International Teen",IF(LEFT(B445,14)="INTL-KOR TEEN ","International Teen",IF(LEFT(B445,14)="INTL-JAP TEEN ","International Teen",IF(LEFT(B445,14)="INTL-CHI TEEN ","International Teen",IF(LEFT(B445,14)="INTL-SPA TEEN ","International Teen",IF(LEFT(B445,11)="INTL-VIE E ","International Easy",IF(LEFT(B445,11)="INTL-TAG E ","International Easy",IF(LEFT(B445,11)="INTL-RUS E ","International Easy",IF(LEFT(B445,11)="INTL-JAP E ","International Easy",IF(LEFT(B445,11)="INTL-KOR E ","International Easy",IF(LEFT(B445,11)="INTL-CHI E ","International Easy",IF(LEFT(B445,11)="INTL-SPA E ","International Easy",
IF(D445="Teen Large Type","Teen Fiction",
IF(D445="Juvenile Large Type","Juvenile Fiction",
IF(LEFT(B445,6)="J CD O","Juvenile Compact Disc",
IF(AND(LEFT(B445,4)="TEEN",D445="Fiction"),"Teen Fiction",
IF(D445="DVD Educational","Nonfiction",
IF(D445="Juvenile DVD Educational","Nonfiction",
IF(D445="Reference","Nonfiction",
D445))))))))))))))))))))))))))))))))))))))))))</f>
        <v/>
      </c>
    </row>
    <row r="446" spans="1:14" ht="27" customHeight="1" x14ac:dyDescent="0.25">
      <c r="A446" s="10" t="str">
        <f ca="1">TEXT( INDIRECT( ADDRESS( ROW() + Row_Offset, INDIRECT( "Column_Number_" &amp; A$1), 4,1, tabname) ), "")</f>
        <v/>
      </c>
      <c r="B446" s="10" t="str">
        <f ca="1">TEXT(  IFERROR( VLOOKUP( $D446, CollName_Simplifier_Table[], 2, FALSE),"") &amp;
        INDIRECT( ADDRESS( ROW() + Row_Offset, INDIRECT( "Column_Number_" &amp; $B$1), 4,1, tabname) ), "")</f>
        <v/>
      </c>
      <c r="C446" s="10" t="str">
        <f ca="1">TEXT( INDIRECT( ADDRESS( ROW() + Row_Offset, INDIRECT( "Column_Number_" &amp; C$1), 4,1, tabname) ), "")</f>
        <v/>
      </c>
      <c r="D446" s="10" t="str">
        <f ca="1">TEXT( INDIRECT( ADDRESS( ROW() + Row_Offset, INDIRECT( "Column_Number_" &amp; D$1), 4,1, tabname) ), "")</f>
        <v/>
      </c>
      <c r="E446" s="10" t="str">
        <f ca="1">TEXT( INDIRECT( ADDRESS( ROW() + Row_Offset, INDIRECT( "Column_Number_" &amp; E$1), 4,1, tabname) ), "####")</f>
        <v/>
      </c>
      <c r="F446" s="15"/>
      <c r="G446" s="22" t="str">
        <f ca="1">IFERROR(INDEX(Rank_Table[],MATCH($D446&amp;$A446,Table4[Join],0)),"")</f>
        <v/>
      </c>
      <c r="H446" s="11" t="str">
        <f ca="1">IF(AND(D446="Juvenile Audiobook",LEFT(B446,8)="J CD BIO"),RIGHT(B446,LEN(B446)-9),
IF(AND(D446="Juvenile Audiobook",LEFT(B446,8)="J CD FIC"),B446,
IF(D446="Juvenile Audiobook",RIGHT(B446,LEN(B446)-5),
IF(AND(D446="Teen Audiobook",LEFT(B446,11)="TEEN CD BIO"),RIGHT(B446,LEN(B446)-12),
IF(AND(D446="Teen Audiobook",LEFT(B446,11)="TEEN CD FIC"),B446,
IF(D446="Juvenile Audiobook",RIGHT(B446,LEN(B446)-8),
IF(D446="Juvenile Nonfiction",RIGHT(B446,LEN(B446)-2),
IF(D446="Teen Nonfiction",RIGHT(B446,LEN(B446)-5),
IF(AND(D446="Audiobook",
              NOT(OR(Contains($B446,"CD BIO"),Contains($B446,"CD FIC")))),RIGHT(B446,LEN(B446)-3),
IF(D446="Juvenile Biography",RIGHT(B446,LEN(B446)-2),
IF(D446="Teen Biography",RIGHT(B446,LEN(B446)-5),
IF(AND(D446="Audiobook",
              IFERROR(FIND("BIO",$B446)&gt;0,FALSE)),RIGHT(B446,LEN(B446)-3),
IF(D446="Juvenile Large Type","J "&amp;RIGHT(B446,LEN(B446)-11),
IF(D446="Teen Large Type","TEEN "&amp;RIGHT(B446,LEN(B446)-14),
IF(D446="Reference",RIGHT(B446,LEN(B446)-4),
IF(D446="DVD Educational",RIGHT(B446,LEN(B446)-7),
IF(D446="Juvenile DVD Educational",RIGHT(B446,LEN(B446)-9),
B446)))))))))))))))))</f>
        <v/>
      </c>
      <c r="N446" s="11" t="str">
        <f ca="1">IF(IFERROR(FIND("New",$A446)&gt;0,FALSE),"New ","") &amp; IF(IFERROR(FIND("In Lib",$A446)&gt;0,FALSE),"Reference ","") &amp;
IF(AND(D446="Audiobook",LEFT(B446,6)="CD BIO"),"Biography",
IF(AND(D446="Teen Audiobook",LEFT(B446,11)="TEEN CD BIO"),"Biography",
IF(AND(D446="Juvenile Audiobook",LEFT(B446,8)="J CD BIO"),"Biography",
IF(AND(D446="Audiobook",LEFT(B446,6)="CD FIC"),"Audiobook Fiction",
IF(AND(D446="Teen Audiobook",LEFT(B446,11)="TEEN CD FIC"),"Teen Audiobook",
IF(AND(D446="Juvenile Audiobook",LEFT(B446,8)="J CD FIC"),"Juvenile Audiobook",
IF(D446="Audiobook","Nonfiction",
IF(D446="Juvenile Audiobook","Nonfiction",
IF(D446="Teen Audiobook","Nonfiction",
IF(D446="Juvenile Nonfiction","Nonfiction",
IF(D446="Teen Nonfiction","Nonfiction",
IF(D446="Juvenile Biography","Biography",
IF(D446="Teen Biography","Biography",
IF(D446="ESL","Nonfiction",
IF(LEFT(B446,11)="INTL-VIE J ","International Juvenile",IF(LEFT(B446,11)="INTL-TAG J ","International Juvenile",IF(LEFT(B446,11)="INTL-RUS J ","International Juvenile",IF(LEFT(B446,11)="INTL-KOR J ","International Juvenile",IF(LEFT(B446,11)="INTL-JAP J ","International Juvenile",IF(LEFT(B446,11)="INTL-CHI J ","International Juvenile",IF(LEFT(B446,11)="INTL-SPA J ","International Juvenile",IF(LEFT(B446,14)="INTL-VIE TEEN ","International Teen",IF(LEFT(B446,14)="INTL-TAG TEEN ","International Teen",IF(LEFT(B446,14)="INTL-RUS TEEN ","International Teen",IF(LEFT(B446,14)="INTL-KOR TEEN ","International Teen",IF(LEFT(B446,14)="INTL-JAP TEEN ","International Teen",IF(LEFT(B446,14)="INTL-CHI TEEN ","International Teen",IF(LEFT(B446,14)="INTL-SPA TEEN ","International Teen",IF(LEFT(B446,11)="INTL-VIE E ","International Easy",IF(LEFT(B446,11)="INTL-TAG E ","International Easy",IF(LEFT(B446,11)="INTL-RUS E ","International Easy",IF(LEFT(B446,11)="INTL-JAP E ","International Easy",IF(LEFT(B446,11)="INTL-KOR E ","International Easy",IF(LEFT(B446,11)="INTL-CHI E ","International Easy",IF(LEFT(B446,11)="INTL-SPA E ","International Easy",
IF(D446="Teen Large Type","Teen Fiction",
IF(D446="Juvenile Large Type","Juvenile Fiction",
IF(LEFT(B446,6)="J CD O","Juvenile Compact Disc",
IF(AND(LEFT(B446,4)="TEEN",D446="Fiction"),"Teen Fiction",
IF(D446="DVD Educational","Nonfiction",
IF(D446="Juvenile DVD Educational","Nonfiction",
IF(D446="Reference","Nonfiction",
D446))))))))))))))))))))))))))))))))))))))))))</f>
        <v/>
      </c>
    </row>
    <row r="447" spans="1:14" ht="27" customHeight="1" x14ac:dyDescent="0.25">
      <c r="A447" s="10" t="str">
        <f ca="1">TEXT( INDIRECT( ADDRESS( ROW() + Row_Offset, INDIRECT( "Column_Number_" &amp; A$1), 4,1, tabname) ), "")</f>
        <v/>
      </c>
      <c r="B447" s="10" t="str">
        <f ca="1">TEXT(  IFERROR( VLOOKUP( $D447, CollName_Simplifier_Table[], 2, FALSE),"") &amp;
        INDIRECT( ADDRESS( ROW() + Row_Offset, INDIRECT( "Column_Number_" &amp; $B$1), 4,1, tabname) ), "")</f>
        <v/>
      </c>
      <c r="C447" s="10" t="str">
        <f ca="1">TEXT( INDIRECT( ADDRESS( ROW() + Row_Offset, INDIRECT( "Column_Number_" &amp; C$1), 4,1, tabname) ), "")</f>
        <v/>
      </c>
      <c r="D447" s="10" t="str">
        <f ca="1">TEXT( INDIRECT( ADDRESS( ROW() + Row_Offset, INDIRECT( "Column_Number_" &amp; D$1), 4,1, tabname) ), "")</f>
        <v/>
      </c>
      <c r="E447" s="10" t="str">
        <f ca="1">TEXT( INDIRECT( ADDRESS( ROW() + Row_Offset, INDIRECT( "Column_Number_" &amp; E$1), 4,1, tabname) ), "####")</f>
        <v/>
      </c>
      <c r="F447" s="15"/>
      <c r="G447" s="22" t="str">
        <f ca="1">IFERROR(INDEX(Rank_Table[],MATCH($D447&amp;$A447,Table4[Join],0)),"")</f>
        <v/>
      </c>
      <c r="H447" s="11" t="str">
        <f ca="1">IF(AND(D447="Juvenile Audiobook",LEFT(B447,8)="J CD BIO"),RIGHT(B447,LEN(B447)-9),
IF(AND(D447="Juvenile Audiobook",LEFT(B447,8)="J CD FIC"),B447,
IF(D447="Juvenile Audiobook",RIGHT(B447,LEN(B447)-5),
IF(AND(D447="Teen Audiobook",LEFT(B447,11)="TEEN CD BIO"),RIGHT(B447,LEN(B447)-12),
IF(AND(D447="Teen Audiobook",LEFT(B447,11)="TEEN CD FIC"),B447,
IF(D447="Juvenile Audiobook",RIGHT(B447,LEN(B447)-8),
IF(D447="Juvenile Nonfiction",RIGHT(B447,LEN(B447)-2),
IF(D447="Teen Nonfiction",RIGHT(B447,LEN(B447)-5),
IF(AND(D447="Audiobook",
              NOT(OR(Contains($B447,"CD BIO"),Contains($B447,"CD FIC")))),RIGHT(B447,LEN(B447)-3),
IF(D447="Juvenile Biography",RIGHT(B447,LEN(B447)-2),
IF(D447="Teen Biography",RIGHT(B447,LEN(B447)-5),
IF(AND(D447="Audiobook",
              IFERROR(FIND("BIO",$B447)&gt;0,FALSE)),RIGHT(B447,LEN(B447)-3),
IF(D447="Juvenile Large Type","J "&amp;RIGHT(B447,LEN(B447)-11),
IF(D447="Teen Large Type","TEEN "&amp;RIGHT(B447,LEN(B447)-14),
IF(D447="Reference",RIGHT(B447,LEN(B447)-4),
IF(D447="DVD Educational",RIGHT(B447,LEN(B447)-7),
IF(D447="Juvenile DVD Educational",RIGHT(B447,LEN(B447)-9),
B447)))))))))))))))))</f>
        <v/>
      </c>
      <c r="N447" s="11" t="str">
        <f ca="1">IF(IFERROR(FIND("New",$A447)&gt;0,FALSE),"New ","") &amp; IF(IFERROR(FIND("In Lib",$A447)&gt;0,FALSE),"Reference ","") &amp;
IF(AND(D447="Audiobook",LEFT(B447,6)="CD BIO"),"Biography",
IF(AND(D447="Teen Audiobook",LEFT(B447,11)="TEEN CD BIO"),"Biography",
IF(AND(D447="Juvenile Audiobook",LEFT(B447,8)="J CD BIO"),"Biography",
IF(AND(D447="Audiobook",LEFT(B447,6)="CD FIC"),"Audiobook Fiction",
IF(AND(D447="Teen Audiobook",LEFT(B447,11)="TEEN CD FIC"),"Teen Audiobook",
IF(AND(D447="Juvenile Audiobook",LEFT(B447,8)="J CD FIC"),"Juvenile Audiobook",
IF(D447="Audiobook","Nonfiction",
IF(D447="Juvenile Audiobook","Nonfiction",
IF(D447="Teen Audiobook","Nonfiction",
IF(D447="Juvenile Nonfiction","Nonfiction",
IF(D447="Teen Nonfiction","Nonfiction",
IF(D447="Juvenile Biography","Biography",
IF(D447="Teen Biography","Biography",
IF(D447="ESL","Nonfiction",
IF(LEFT(B447,11)="INTL-VIE J ","International Juvenile",IF(LEFT(B447,11)="INTL-TAG J ","International Juvenile",IF(LEFT(B447,11)="INTL-RUS J ","International Juvenile",IF(LEFT(B447,11)="INTL-KOR J ","International Juvenile",IF(LEFT(B447,11)="INTL-JAP J ","International Juvenile",IF(LEFT(B447,11)="INTL-CHI J ","International Juvenile",IF(LEFT(B447,11)="INTL-SPA J ","International Juvenile",IF(LEFT(B447,14)="INTL-VIE TEEN ","International Teen",IF(LEFT(B447,14)="INTL-TAG TEEN ","International Teen",IF(LEFT(B447,14)="INTL-RUS TEEN ","International Teen",IF(LEFT(B447,14)="INTL-KOR TEEN ","International Teen",IF(LEFT(B447,14)="INTL-JAP TEEN ","International Teen",IF(LEFT(B447,14)="INTL-CHI TEEN ","International Teen",IF(LEFT(B447,14)="INTL-SPA TEEN ","International Teen",IF(LEFT(B447,11)="INTL-VIE E ","International Easy",IF(LEFT(B447,11)="INTL-TAG E ","International Easy",IF(LEFT(B447,11)="INTL-RUS E ","International Easy",IF(LEFT(B447,11)="INTL-JAP E ","International Easy",IF(LEFT(B447,11)="INTL-KOR E ","International Easy",IF(LEFT(B447,11)="INTL-CHI E ","International Easy",IF(LEFT(B447,11)="INTL-SPA E ","International Easy",
IF(D447="Teen Large Type","Teen Fiction",
IF(D447="Juvenile Large Type","Juvenile Fiction",
IF(LEFT(B447,6)="J CD O","Juvenile Compact Disc",
IF(AND(LEFT(B447,4)="TEEN",D447="Fiction"),"Teen Fiction",
IF(D447="DVD Educational","Nonfiction",
IF(D447="Juvenile DVD Educational","Nonfiction",
IF(D447="Reference","Nonfiction",
D447))))))))))))))))))))))))))))))))))))))))))</f>
        <v/>
      </c>
    </row>
    <row r="448" spans="1:14" ht="27" customHeight="1" x14ac:dyDescent="0.25">
      <c r="A448" s="10" t="str">
        <f ca="1">TEXT( INDIRECT( ADDRESS( ROW() + Row_Offset, INDIRECT( "Column_Number_" &amp; A$1), 4,1, tabname) ), "")</f>
        <v/>
      </c>
      <c r="B448" s="10" t="str">
        <f ca="1">TEXT(  IFERROR( VLOOKUP( $D448, CollName_Simplifier_Table[], 2, FALSE),"") &amp;
        INDIRECT( ADDRESS( ROW() + Row_Offset, INDIRECT( "Column_Number_" &amp; $B$1), 4,1, tabname) ), "")</f>
        <v/>
      </c>
      <c r="C448" s="10" t="str">
        <f ca="1">TEXT( INDIRECT( ADDRESS( ROW() + Row_Offset, INDIRECT( "Column_Number_" &amp; C$1), 4,1, tabname) ), "")</f>
        <v/>
      </c>
      <c r="D448" s="10" t="str">
        <f ca="1">TEXT( INDIRECT( ADDRESS( ROW() + Row_Offset, INDIRECT( "Column_Number_" &amp; D$1), 4,1, tabname) ), "")</f>
        <v/>
      </c>
      <c r="E448" s="10" t="str">
        <f ca="1">TEXT( INDIRECT( ADDRESS( ROW() + Row_Offset, INDIRECT( "Column_Number_" &amp; E$1), 4,1, tabname) ), "####")</f>
        <v/>
      </c>
      <c r="F448" s="15"/>
      <c r="G448" s="22" t="str">
        <f ca="1">IFERROR(INDEX(Rank_Table[],MATCH($D448&amp;$A448,Table4[Join],0)),"")</f>
        <v/>
      </c>
      <c r="H448" s="11" t="str">
        <f ca="1">IF(AND(D448="Juvenile Audiobook",LEFT(B448,8)="J CD BIO"),RIGHT(B448,LEN(B448)-9),
IF(AND(D448="Juvenile Audiobook",LEFT(B448,8)="J CD FIC"),B448,
IF(D448="Juvenile Audiobook",RIGHT(B448,LEN(B448)-5),
IF(AND(D448="Teen Audiobook",LEFT(B448,11)="TEEN CD BIO"),RIGHT(B448,LEN(B448)-12),
IF(AND(D448="Teen Audiobook",LEFT(B448,11)="TEEN CD FIC"),B448,
IF(D448="Juvenile Audiobook",RIGHT(B448,LEN(B448)-8),
IF(D448="Juvenile Nonfiction",RIGHT(B448,LEN(B448)-2),
IF(D448="Teen Nonfiction",RIGHT(B448,LEN(B448)-5),
IF(AND(D448="Audiobook",
              NOT(OR(Contains($B448,"CD BIO"),Contains($B448,"CD FIC")))),RIGHT(B448,LEN(B448)-3),
IF(D448="Juvenile Biography",RIGHT(B448,LEN(B448)-2),
IF(D448="Teen Biography",RIGHT(B448,LEN(B448)-5),
IF(AND(D448="Audiobook",
              IFERROR(FIND("BIO",$B448)&gt;0,FALSE)),RIGHT(B448,LEN(B448)-3),
IF(D448="Juvenile Large Type","J "&amp;RIGHT(B448,LEN(B448)-11),
IF(D448="Teen Large Type","TEEN "&amp;RIGHT(B448,LEN(B448)-14),
IF(D448="Reference",RIGHT(B448,LEN(B448)-4),
IF(D448="DVD Educational",RIGHT(B448,LEN(B448)-7),
IF(D448="Juvenile DVD Educational",RIGHT(B448,LEN(B448)-9),
B448)))))))))))))))))</f>
        <v/>
      </c>
      <c r="N448" s="11" t="str">
        <f ca="1">IF(IFERROR(FIND("New",$A448)&gt;0,FALSE),"New ","") &amp; IF(IFERROR(FIND("In Lib",$A448)&gt;0,FALSE),"Reference ","") &amp;
IF(AND(D448="Audiobook",LEFT(B448,6)="CD BIO"),"Biography",
IF(AND(D448="Teen Audiobook",LEFT(B448,11)="TEEN CD BIO"),"Biography",
IF(AND(D448="Juvenile Audiobook",LEFT(B448,8)="J CD BIO"),"Biography",
IF(AND(D448="Audiobook",LEFT(B448,6)="CD FIC"),"Audiobook Fiction",
IF(AND(D448="Teen Audiobook",LEFT(B448,11)="TEEN CD FIC"),"Teen Audiobook",
IF(AND(D448="Juvenile Audiobook",LEFT(B448,8)="J CD FIC"),"Juvenile Audiobook",
IF(D448="Audiobook","Nonfiction",
IF(D448="Juvenile Audiobook","Nonfiction",
IF(D448="Teen Audiobook","Nonfiction",
IF(D448="Juvenile Nonfiction","Nonfiction",
IF(D448="Teen Nonfiction","Nonfiction",
IF(D448="Juvenile Biography","Biography",
IF(D448="Teen Biography","Biography",
IF(D448="ESL","Nonfiction",
IF(LEFT(B448,11)="INTL-VIE J ","International Juvenile",IF(LEFT(B448,11)="INTL-TAG J ","International Juvenile",IF(LEFT(B448,11)="INTL-RUS J ","International Juvenile",IF(LEFT(B448,11)="INTL-KOR J ","International Juvenile",IF(LEFT(B448,11)="INTL-JAP J ","International Juvenile",IF(LEFT(B448,11)="INTL-CHI J ","International Juvenile",IF(LEFT(B448,11)="INTL-SPA J ","International Juvenile",IF(LEFT(B448,14)="INTL-VIE TEEN ","International Teen",IF(LEFT(B448,14)="INTL-TAG TEEN ","International Teen",IF(LEFT(B448,14)="INTL-RUS TEEN ","International Teen",IF(LEFT(B448,14)="INTL-KOR TEEN ","International Teen",IF(LEFT(B448,14)="INTL-JAP TEEN ","International Teen",IF(LEFT(B448,14)="INTL-CHI TEEN ","International Teen",IF(LEFT(B448,14)="INTL-SPA TEEN ","International Teen",IF(LEFT(B448,11)="INTL-VIE E ","International Easy",IF(LEFT(B448,11)="INTL-TAG E ","International Easy",IF(LEFT(B448,11)="INTL-RUS E ","International Easy",IF(LEFT(B448,11)="INTL-JAP E ","International Easy",IF(LEFT(B448,11)="INTL-KOR E ","International Easy",IF(LEFT(B448,11)="INTL-CHI E ","International Easy",IF(LEFT(B448,11)="INTL-SPA E ","International Easy",
IF(D448="Teen Large Type","Teen Fiction",
IF(D448="Juvenile Large Type","Juvenile Fiction",
IF(LEFT(B448,6)="J CD O","Juvenile Compact Disc",
IF(AND(LEFT(B448,4)="TEEN",D448="Fiction"),"Teen Fiction",
IF(D448="DVD Educational","Nonfiction",
IF(D448="Juvenile DVD Educational","Nonfiction",
IF(D448="Reference","Nonfiction",
D448))))))))))))))))))))))))))))))))))))))))))</f>
        <v/>
      </c>
    </row>
    <row r="449" spans="1:14" ht="27" customHeight="1" x14ac:dyDescent="0.25">
      <c r="A449" s="10" t="str">
        <f ca="1">TEXT( INDIRECT( ADDRESS( ROW() + Row_Offset, INDIRECT( "Column_Number_" &amp; A$1), 4,1, tabname) ), "")</f>
        <v/>
      </c>
      <c r="B449" s="10" t="str">
        <f ca="1">TEXT(  IFERROR( VLOOKUP( $D449, CollName_Simplifier_Table[], 2, FALSE),"") &amp;
        INDIRECT( ADDRESS( ROW() + Row_Offset, INDIRECT( "Column_Number_" &amp; $B$1), 4,1, tabname) ), "")</f>
        <v/>
      </c>
      <c r="C449" s="10" t="str">
        <f ca="1">TEXT( INDIRECT( ADDRESS( ROW() + Row_Offset, INDIRECT( "Column_Number_" &amp; C$1), 4,1, tabname) ), "")</f>
        <v/>
      </c>
      <c r="D449" s="10" t="str">
        <f ca="1">TEXT( INDIRECT( ADDRESS( ROW() + Row_Offset, INDIRECT( "Column_Number_" &amp; D$1), 4,1, tabname) ), "")</f>
        <v/>
      </c>
      <c r="E449" s="10" t="str">
        <f ca="1">TEXT( INDIRECT( ADDRESS( ROW() + Row_Offset, INDIRECT( "Column_Number_" &amp; E$1), 4,1, tabname) ), "####")</f>
        <v/>
      </c>
      <c r="F449" s="15"/>
      <c r="G449" s="22" t="str">
        <f ca="1">IFERROR(INDEX(Rank_Table[],MATCH($D449&amp;$A449,Table4[Join],0)),"")</f>
        <v/>
      </c>
      <c r="H449" s="11" t="str">
        <f ca="1">IF(AND(D449="Juvenile Audiobook",LEFT(B449,8)="J CD BIO"),RIGHT(B449,LEN(B449)-9),
IF(AND(D449="Juvenile Audiobook",LEFT(B449,8)="J CD FIC"),B449,
IF(D449="Juvenile Audiobook",RIGHT(B449,LEN(B449)-5),
IF(AND(D449="Teen Audiobook",LEFT(B449,11)="TEEN CD BIO"),RIGHT(B449,LEN(B449)-12),
IF(AND(D449="Teen Audiobook",LEFT(B449,11)="TEEN CD FIC"),B449,
IF(D449="Juvenile Audiobook",RIGHT(B449,LEN(B449)-8),
IF(D449="Juvenile Nonfiction",RIGHT(B449,LEN(B449)-2),
IF(D449="Teen Nonfiction",RIGHT(B449,LEN(B449)-5),
IF(AND(D449="Audiobook",
              NOT(OR(Contains($B449,"CD BIO"),Contains($B449,"CD FIC")))),RIGHT(B449,LEN(B449)-3),
IF(D449="Juvenile Biography",RIGHT(B449,LEN(B449)-2),
IF(D449="Teen Biography",RIGHT(B449,LEN(B449)-5),
IF(AND(D449="Audiobook",
              IFERROR(FIND("BIO",$B449)&gt;0,FALSE)),RIGHT(B449,LEN(B449)-3),
IF(D449="Juvenile Large Type","J "&amp;RIGHT(B449,LEN(B449)-11),
IF(D449="Teen Large Type","TEEN "&amp;RIGHT(B449,LEN(B449)-14),
IF(D449="Reference",RIGHT(B449,LEN(B449)-4),
IF(D449="DVD Educational",RIGHT(B449,LEN(B449)-7),
IF(D449="Juvenile DVD Educational",RIGHT(B449,LEN(B449)-9),
B449)))))))))))))))))</f>
        <v/>
      </c>
      <c r="N449" s="11" t="str">
        <f ca="1">IF(IFERROR(FIND("New",$A449)&gt;0,FALSE),"New ","") &amp; IF(IFERROR(FIND("In Lib",$A449)&gt;0,FALSE),"Reference ","") &amp;
IF(AND(D449="Audiobook",LEFT(B449,6)="CD BIO"),"Biography",
IF(AND(D449="Teen Audiobook",LEFT(B449,11)="TEEN CD BIO"),"Biography",
IF(AND(D449="Juvenile Audiobook",LEFT(B449,8)="J CD BIO"),"Biography",
IF(AND(D449="Audiobook",LEFT(B449,6)="CD FIC"),"Audiobook Fiction",
IF(AND(D449="Teen Audiobook",LEFT(B449,11)="TEEN CD FIC"),"Teen Audiobook",
IF(AND(D449="Juvenile Audiobook",LEFT(B449,8)="J CD FIC"),"Juvenile Audiobook",
IF(D449="Audiobook","Nonfiction",
IF(D449="Juvenile Audiobook","Nonfiction",
IF(D449="Teen Audiobook","Nonfiction",
IF(D449="Juvenile Nonfiction","Nonfiction",
IF(D449="Teen Nonfiction","Nonfiction",
IF(D449="Juvenile Biography","Biography",
IF(D449="Teen Biography","Biography",
IF(D449="ESL","Nonfiction",
IF(LEFT(B449,11)="INTL-VIE J ","International Juvenile",IF(LEFT(B449,11)="INTL-TAG J ","International Juvenile",IF(LEFT(B449,11)="INTL-RUS J ","International Juvenile",IF(LEFT(B449,11)="INTL-KOR J ","International Juvenile",IF(LEFT(B449,11)="INTL-JAP J ","International Juvenile",IF(LEFT(B449,11)="INTL-CHI J ","International Juvenile",IF(LEFT(B449,11)="INTL-SPA J ","International Juvenile",IF(LEFT(B449,14)="INTL-VIE TEEN ","International Teen",IF(LEFT(B449,14)="INTL-TAG TEEN ","International Teen",IF(LEFT(B449,14)="INTL-RUS TEEN ","International Teen",IF(LEFT(B449,14)="INTL-KOR TEEN ","International Teen",IF(LEFT(B449,14)="INTL-JAP TEEN ","International Teen",IF(LEFT(B449,14)="INTL-CHI TEEN ","International Teen",IF(LEFT(B449,14)="INTL-SPA TEEN ","International Teen",IF(LEFT(B449,11)="INTL-VIE E ","International Easy",IF(LEFT(B449,11)="INTL-TAG E ","International Easy",IF(LEFT(B449,11)="INTL-RUS E ","International Easy",IF(LEFT(B449,11)="INTL-JAP E ","International Easy",IF(LEFT(B449,11)="INTL-KOR E ","International Easy",IF(LEFT(B449,11)="INTL-CHI E ","International Easy",IF(LEFT(B449,11)="INTL-SPA E ","International Easy",
IF(D449="Teen Large Type","Teen Fiction",
IF(D449="Juvenile Large Type","Juvenile Fiction",
IF(LEFT(B449,6)="J CD O","Juvenile Compact Disc",
IF(AND(LEFT(B449,4)="TEEN",D449="Fiction"),"Teen Fiction",
IF(D449="DVD Educational","Nonfiction",
IF(D449="Juvenile DVD Educational","Nonfiction",
IF(D449="Reference","Nonfiction",
D449))))))))))))))))))))))))))))))))))))))))))</f>
        <v/>
      </c>
    </row>
    <row r="450" spans="1:14" ht="27" customHeight="1" x14ac:dyDescent="0.25">
      <c r="A450" s="10" t="str">
        <f ca="1">TEXT( INDIRECT( ADDRESS( ROW() + Row_Offset, INDIRECT( "Column_Number_" &amp; A$1), 4,1, tabname) ), "")</f>
        <v/>
      </c>
      <c r="B450" s="10" t="str">
        <f ca="1">TEXT(  IFERROR( VLOOKUP( $D450, CollName_Simplifier_Table[], 2, FALSE),"") &amp;
        INDIRECT( ADDRESS( ROW() + Row_Offset, INDIRECT( "Column_Number_" &amp; $B$1), 4,1, tabname) ), "")</f>
        <v/>
      </c>
      <c r="C450" s="10" t="str">
        <f ca="1">TEXT( INDIRECT( ADDRESS( ROW() + Row_Offset, INDIRECT( "Column_Number_" &amp; C$1), 4,1, tabname) ), "")</f>
        <v/>
      </c>
      <c r="D450" s="10" t="str">
        <f ca="1">TEXT( INDIRECT( ADDRESS( ROW() + Row_Offset, INDIRECT( "Column_Number_" &amp; D$1), 4,1, tabname) ), "")</f>
        <v/>
      </c>
      <c r="E450" s="10" t="str">
        <f ca="1">TEXT( INDIRECT( ADDRESS( ROW() + Row_Offset, INDIRECT( "Column_Number_" &amp; E$1), 4,1, tabname) ), "####")</f>
        <v/>
      </c>
      <c r="F450" s="15"/>
      <c r="G450" s="22" t="str">
        <f ca="1">IFERROR(INDEX(Rank_Table[],MATCH($D450&amp;$A450,Table4[Join],0)),"")</f>
        <v/>
      </c>
      <c r="H450" s="11" t="str">
        <f ca="1">IF(AND(D450="Juvenile Audiobook",LEFT(B450,8)="J CD BIO"),RIGHT(B450,LEN(B450)-9),
IF(AND(D450="Juvenile Audiobook",LEFT(B450,8)="J CD FIC"),B450,
IF(D450="Juvenile Audiobook",RIGHT(B450,LEN(B450)-5),
IF(AND(D450="Teen Audiobook",LEFT(B450,11)="TEEN CD BIO"),RIGHT(B450,LEN(B450)-12),
IF(AND(D450="Teen Audiobook",LEFT(B450,11)="TEEN CD FIC"),B450,
IF(D450="Juvenile Audiobook",RIGHT(B450,LEN(B450)-8),
IF(D450="Juvenile Nonfiction",RIGHT(B450,LEN(B450)-2),
IF(D450="Teen Nonfiction",RIGHT(B450,LEN(B450)-5),
IF(AND(D450="Audiobook",
              NOT(OR(Contains($B450,"CD BIO"),Contains($B450,"CD FIC")))),RIGHT(B450,LEN(B450)-3),
IF(D450="Juvenile Biography",RIGHT(B450,LEN(B450)-2),
IF(D450="Teen Biography",RIGHT(B450,LEN(B450)-5),
IF(AND(D450="Audiobook",
              IFERROR(FIND("BIO",$B450)&gt;0,FALSE)),RIGHT(B450,LEN(B450)-3),
IF(D450="Juvenile Large Type","J "&amp;RIGHT(B450,LEN(B450)-11),
IF(D450="Teen Large Type","TEEN "&amp;RIGHT(B450,LEN(B450)-14),
IF(D450="Reference",RIGHT(B450,LEN(B450)-4),
IF(D450="DVD Educational",RIGHT(B450,LEN(B450)-7),
IF(D450="Juvenile DVD Educational",RIGHT(B450,LEN(B450)-9),
B450)))))))))))))))))</f>
        <v/>
      </c>
      <c r="N450" s="11" t="str">
        <f ca="1">IF(IFERROR(FIND("New",$A450)&gt;0,FALSE),"New ","") &amp; IF(IFERROR(FIND("In Lib",$A450)&gt;0,FALSE),"Reference ","") &amp;
IF(AND(D450="Audiobook",LEFT(B450,6)="CD BIO"),"Biography",
IF(AND(D450="Teen Audiobook",LEFT(B450,11)="TEEN CD BIO"),"Biography",
IF(AND(D450="Juvenile Audiobook",LEFT(B450,8)="J CD BIO"),"Biography",
IF(AND(D450="Audiobook",LEFT(B450,6)="CD FIC"),"Audiobook Fiction",
IF(AND(D450="Teen Audiobook",LEFT(B450,11)="TEEN CD FIC"),"Teen Audiobook",
IF(AND(D450="Juvenile Audiobook",LEFT(B450,8)="J CD FIC"),"Juvenile Audiobook",
IF(D450="Audiobook","Nonfiction",
IF(D450="Juvenile Audiobook","Nonfiction",
IF(D450="Teen Audiobook","Nonfiction",
IF(D450="Juvenile Nonfiction","Nonfiction",
IF(D450="Teen Nonfiction","Nonfiction",
IF(D450="Juvenile Biography","Biography",
IF(D450="Teen Biography","Biography",
IF(D450="ESL","Nonfiction",
IF(LEFT(B450,11)="INTL-VIE J ","International Juvenile",IF(LEFT(B450,11)="INTL-TAG J ","International Juvenile",IF(LEFT(B450,11)="INTL-RUS J ","International Juvenile",IF(LEFT(B450,11)="INTL-KOR J ","International Juvenile",IF(LEFT(B450,11)="INTL-JAP J ","International Juvenile",IF(LEFT(B450,11)="INTL-CHI J ","International Juvenile",IF(LEFT(B450,11)="INTL-SPA J ","International Juvenile",IF(LEFT(B450,14)="INTL-VIE TEEN ","International Teen",IF(LEFT(B450,14)="INTL-TAG TEEN ","International Teen",IF(LEFT(B450,14)="INTL-RUS TEEN ","International Teen",IF(LEFT(B450,14)="INTL-KOR TEEN ","International Teen",IF(LEFT(B450,14)="INTL-JAP TEEN ","International Teen",IF(LEFT(B450,14)="INTL-CHI TEEN ","International Teen",IF(LEFT(B450,14)="INTL-SPA TEEN ","International Teen",IF(LEFT(B450,11)="INTL-VIE E ","International Easy",IF(LEFT(B450,11)="INTL-TAG E ","International Easy",IF(LEFT(B450,11)="INTL-RUS E ","International Easy",IF(LEFT(B450,11)="INTL-JAP E ","International Easy",IF(LEFT(B450,11)="INTL-KOR E ","International Easy",IF(LEFT(B450,11)="INTL-CHI E ","International Easy",IF(LEFT(B450,11)="INTL-SPA E ","International Easy",
IF(D450="Teen Large Type","Teen Fiction",
IF(D450="Juvenile Large Type","Juvenile Fiction",
IF(LEFT(B450,6)="J CD O","Juvenile Compact Disc",
IF(AND(LEFT(B450,4)="TEEN",D450="Fiction"),"Teen Fiction",
IF(D450="DVD Educational","Nonfiction",
IF(D450="Juvenile DVD Educational","Nonfiction",
IF(D450="Reference","Nonfiction",
D450))))))))))))))))))))))))))))))))))))))))))</f>
        <v/>
      </c>
    </row>
    <row r="451" spans="1:14" ht="27" customHeight="1" x14ac:dyDescent="0.25">
      <c r="A451" s="10" t="str">
        <f ca="1">TEXT( INDIRECT( ADDRESS( ROW() + Row_Offset, INDIRECT( "Column_Number_" &amp; A$1), 4,1, tabname) ), "")</f>
        <v/>
      </c>
      <c r="B451" s="10" t="str">
        <f ca="1">TEXT(  IFERROR( VLOOKUP( $D451, CollName_Simplifier_Table[], 2, FALSE),"") &amp;
        INDIRECT( ADDRESS( ROW() + Row_Offset, INDIRECT( "Column_Number_" &amp; $B$1), 4,1, tabname) ), "")</f>
        <v/>
      </c>
      <c r="C451" s="10" t="str">
        <f ca="1">TEXT( INDIRECT( ADDRESS( ROW() + Row_Offset, INDIRECT( "Column_Number_" &amp; C$1), 4,1, tabname) ), "")</f>
        <v/>
      </c>
      <c r="D451" s="10" t="str">
        <f ca="1">TEXT( INDIRECT( ADDRESS( ROW() + Row_Offset, INDIRECT( "Column_Number_" &amp; D$1), 4,1, tabname) ), "")</f>
        <v/>
      </c>
      <c r="E451" s="10" t="str">
        <f ca="1">TEXT( INDIRECT( ADDRESS( ROW() + Row_Offset, INDIRECT( "Column_Number_" &amp; E$1), 4,1, tabname) ), "####")</f>
        <v/>
      </c>
      <c r="F451" s="15"/>
      <c r="G451" s="22" t="str">
        <f ca="1">IFERROR(INDEX(Rank_Table[],MATCH($D451&amp;$A451,Table4[Join],0)),"")</f>
        <v/>
      </c>
      <c r="H451" s="11" t="str">
        <f ca="1">IF(AND(D451="Juvenile Audiobook",LEFT(B451,8)="J CD BIO"),RIGHT(B451,LEN(B451)-9),
IF(AND(D451="Juvenile Audiobook",LEFT(B451,8)="J CD FIC"),B451,
IF(D451="Juvenile Audiobook",RIGHT(B451,LEN(B451)-5),
IF(AND(D451="Teen Audiobook",LEFT(B451,11)="TEEN CD BIO"),RIGHT(B451,LEN(B451)-12),
IF(AND(D451="Teen Audiobook",LEFT(B451,11)="TEEN CD FIC"),B451,
IF(D451="Juvenile Audiobook",RIGHT(B451,LEN(B451)-8),
IF(D451="Juvenile Nonfiction",RIGHT(B451,LEN(B451)-2),
IF(D451="Teen Nonfiction",RIGHT(B451,LEN(B451)-5),
IF(AND(D451="Audiobook",
              NOT(OR(Contains($B451,"CD BIO"),Contains($B451,"CD FIC")))),RIGHT(B451,LEN(B451)-3),
IF(D451="Juvenile Biography",RIGHT(B451,LEN(B451)-2),
IF(D451="Teen Biography",RIGHT(B451,LEN(B451)-5),
IF(AND(D451="Audiobook",
              IFERROR(FIND("BIO",$B451)&gt;0,FALSE)),RIGHT(B451,LEN(B451)-3),
IF(D451="Juvenile Large Type","J "&amp;RIGHT(B451,LEN(B451)-11),
IF(D451="Teen Large Type","TEEN "&amp;RIGHT(B451,LEN(B451)-14),
IF(D451="Reference",RIGHT(B451,LEN(B451)-4),
IF(D451="DVD Educational",RIGHT(B451,LEN(B451)-7),
IF(D451="Juvenile DVD Educational",RIGHT(B451,LEN(B451)-9),
B451)))))))))))))))))</f>
        <v/>
      </c>
      <c r="N451" s="11" t="str">
        <f ca="1">IF(IFERROR(FIND("New",$A451)&gt;0,FALSE),"New ","") &amp; IF(IFERROR(FIND("In Lib",$A451)&gt;0,FALSE),"Reference ","") &amp;
IF(AND(D451="Audiobook",LEFT(B451,6)="CD BIO"),"Biography",
IF(AND(D451="Teen Audiobook",LEFT(B451,11)="TEEN CD BIO"),"Biography",
IF(AND(D451="Juvenile Audiobook",LEFT(B451,8)="J CD BIO"),"Biography",
IF(AND(D451="Audiobook",LEFT(B451,6)="CD FIC"),"Audiobook Fiction",
IF(AND(D451="Teen Audiobook",LEFT(B451,11)="TEEN CD FIC"),"Teen Audiobook",
IF(AND(D451="Juvenile Audiobook",LEFT(B451,8)="J CD FIC"),"Juvenile Audiobook",
IF(D451="Audiobook","Nonfiction",
IF(D451="Juvenile Audiobook","Nonfiction",
IF(D451="Teen Audiobook","Nonfiction",
IF(D451="Juvenile Nonfiction","Nonfiction",
IF(D451="Teen Nonfiction","Nonfiction",
IF(D451="Juvenile Biography","Biography",
IF(D451="Teen Biography","Biography",
IF(D451="ESL","Nonfiction",
IF(LEFT(B451,11)="INTL-VIE J ","International Juvenile",IF(LEFT(B451,11)="INTL-TAG J ","International Juvenile",IF(LEFT(B451,11)="INTL-RUS J ","International Juvenile",IF(LEFT(B451,11)="INTL-KOR J ","International Juvenile",IF(LEFT(B451,11)="INTL-JAP J ","International Juvenile",IF(LEFT(B451,11)="INTL-CHI J ","International Juvenile",IF(LEFT(B451,11)="INTL-SPA J ","International Juvenile",IF(LEFT(B451,14)="INTL-VIE TEEN ","International Teen",IF(LEFT(B451,14)="INTL-TAG TEEN ","International Teen",IF(LEFT(B451,14)="INTL-RUS TEEN ","International Teen",IF(LEFT(B451,14)="INTL-KOR TEEN ","International Teen",IF(LEFT(B451,14)="INTL-JAP TEEN ","International Teen",IF(LEFT(B451,14)="INTL-CHI TEEN ","International Teen",IF(LEFT(B451,14)="INTL-SPA TEEN ","International Teen",IF(LEFT(B451,11)="INTL-VIE E ","International Easy",IF(LEFT(B451,11)="INTL-TAG E ","International Easy",IF(LEFT(B451,11)="INTL-RUS E ","International Easy",IF(LEFT(B451,11)="INTL-JAP E ","International Easy",IF(LEFT(B451,11)="INTL-KOR E ","International Easy",IF(LEFT(B451,11)="INTL-CHI E ","International Easy",IF(LEFT(B451,11)="INTL-SPA E ","International Easy",
IF(D451="Teen Large Type","Teen Fiction",
IF(D451="Juvenile Large Type","Juvenile Fiction",
IF(LEFT(B451,6)="J CD O","Juvenile Compact Disc",
IF(AND(LEFT(B451,4)="TEEN",D451="Fiction"),"Teen Fiction",
IF(D451="DVD Educational","Nonfiction",
IF(D451="Juvenile DVD Educational","Nonfiction",
IF(D451="Reference","Nonfiction",
D451))))))))))))))))))))))))))))))))))))))))))</f>
        <v/>
      </c>
    </row>
    <row r="452" spans="1:14" ht="27" customHeight="1" x14ac:dyDescent="0.25">
      <c r="A452" s="10" t="str">
        <f ca="1">TEXT( INDIRECT( ADDRESS( ROW() + Row_Offset, INDIRECT( "Column_Number_" &amp; A$1), 4,1, tabname) ), "")</f>
        <v/>
      </c>
      <c r="B452" s="10" t="str">
        <f ca="1">TEXT(  IFERROR( VLOOKUP( $D452, CollName_Simplifier_Table[], 2, FALSE),"") &amp;
        INDIRECT( ADDRESS( ROW() + Row_Offset, INDIRECT( "Column_Number_" &amp; $B$1), 4,1, tabname) ), "")</f>
        <v/>
      </c>
      <c r="C452" s="10" t="str">
        <f ca="1">TEXT( INDIRECT( ADDRESS( ROW() + Row_Offset, INDIRECT( "Column_Number_" &amp; C$1), 4,1, tabname) ), "")</f>
        <v/>
      </c>
      <c r="D452" s="10" t="str">
        <f ca="1">TEXT( INDIRECT( ADDRESS( ROW() + Row_Offset, INDIRECT( "Column_Number_" &amp; D$1), 4,1, tabname) ), "")</f>
        <v/>
      </c>
      <c r="E452" s="10" t="str">
        <f ca="1">TEXT( INDIRECT( ADDRESS( ROW() + Row_Offset, INDIRECT( "Column_Number_" &amp; E$1), 4,1, tabname) ), "####")</f>
        <v/>
      </c>
      <c r="F452" s="15"/>
      <c r="G452" s="22" t="str">
        <f ca="1">IFERROR(INDEX(Rank_Table[],MATCH($D452&amp;$A452,Table4[Join],0)),"")</f>
        <v/>
      </c>
      <c r="H452" s="11" t="str">
        <f ca="1">IF(AND(D452="Juvenile Audiobook",LEFT(B452,8)="J CD BIO"),RIGHT(B452,LEN(B452)-9),
IF(AND(D452="Juvenile Audiobook",LEFT(B452,8)="J CD FIC"),B452,
IF(D452="Juvenile Audiobook",RIGHT(B452,LEN(B452)-5),
IF(AND(D452="Teen Audiobook",LEFT(B452,11)="TEEN CD BIO"),RIGHT(B452,LEN(B452)-12),
IF(AND(D452="Teen Audiobook",LEFT(B452,11)="TEEN CD FIC"),B452,
IF(D452="Juvenile Audiobook",RIGHT(B452,LEN(B452)-8),
IF(D452="Juvenile Nonfiction",RIGHT(B452,LEN(B452)-2),
IF(D452="Teen Nonfiction",RIGHT(B452,LEN(B452)-5),
IF(AND(D452="Audiobook",
              NOT(OR(Contains($B452,"CD BIO"),Contains($B452,"CD FIC")))),RIGHT(B452,LEN(B452)-3),
IF(D452="Juvenile Biography",RIGHT(B452,LEN(B452)-2),
IF(D452="Teen Biography",RIGHT(B452,LEN(B452)-5),
IF(AND(D452="Audiobook",
              IFERROR(FIND("BIO",$B452)&gt;0,FALSE)),RIGHT(B452,LEN(B452)-3),
IF(D452="Juvenile Large Type","J "&amp;RIGHT(B452,LEN(B452)-11),
IF(D452="Teen Large Type","TEEN "&amp;RIGHT(B452,LEN(B452)-14),
IF(D452="Reference",RIGHT(B452,LEN(B452)-4),
IF(D452="DVD Educational",RIGHT(B452,LEN(B452)-7),
IF(D452="Juvenile DVD Educational",RIGHT(B452,LEN(B452)-9),
B452)))))))))))))))))</f>
        <v/>
      </c>
      <c r="N452" s="11" t="str">
        <f ca="1">IF(IFERROR(FIND("New",$A452)&gt;0,FALSE),"New ","") &amp; IF(IFERROR(FIND("In Lib",$A452)&gt;0,FALSE),"Reference ","") &amp;
IF(AND(D452="Audiobook",LEFT(B452,6)="CD BIO"),"Biography",
IF(AND(D452="Teen Audiobook",LEFT(B452,11)="TEEN CD BIO"),"Biography",
IF(AND(D452="Juvenile Audiobook",LEFT(B452,8)="J CD BIO"),"Biography",
IF(AND(D452="Audiobook",LEFT(B452,6)="CD FIC"),"Audiobook Fiction",
IF(AND(D452="Teen Audiobook",LEFT(B452,11)="TEEN CD FIC"),"Teen Audiobook",
IF(AND(D452="Juvenile Audiobook",LEFT(B452,8)="J CD FIC"),"Juvenile Audiobook",
IF(D452="Audiobook","Nonfiction",
IF(D452="Juvenile Audiobook","Nonfiction",
IF(D452="Teen Audiobook","Nonfiction",
IF(D452="Juvenile Nonfiction","Nonfiction",
IF(D452="Teen Nonfiction","Nonfiction",
IF(D452="Juvenile Biography","Biography",
IF(D452="Teen Biography","Biography",
IF(D452="ESL","Nonfiction",
IF(LEFT(B452,11)="INTL-VIE J ","International Juvenile",IF(LEFT(B452,11)="INTL-TAG J ","International Juvenile",IF(LEFT(B452,11)="INTL-RUS J ","International Juvenile",IF(LEFT(B452,11)="INTL-KOR J ","International Juvenile",IF(LEFT(B452,11)="INTL-JAP J ","International Juvenile",IF(LEFT(B452,11)="INTL-CHI J ","International Juvenile",IF(LEFT(B452,11)="INTL-SPA J ","International Juvenile",IF(LEFT(B452,14)="INTL-VIE TEEN ","International Teen",IF(LEFT(B452,14)="INTL-TAG TEEN ","International Teen",IF(LEFT(B452,14)="INTL-RUS TEEN ","International Teen",IF(LEFT(B452,14)="INTL-KOR TEEN ","International Teen",IF(LEFT(B452,14)="INTL-JAP TEEN ","International Teen",IF(LEFT(B452,14)="INTL-CHI TEEN ","International Teen",IF(LEFT(B452,14)="INTL-SPA TEEN ","International Teen",IF(LEFT(B452,11)="INTL-VIE E ","International Easy",IF(LEFT(B452,11)="INTL-TAG E ","International Easy",IF(LEFT(B452,11)="INTL-RUS E ","International Easy",IF(LEFT(B452,11)="INTL-JAP E ","International Easy",IF(LEFT(B452,11)="INTL-KOR E ","International Easy",IF(LEFT(B452,11)="INTL-CHI E ","International Easy",IF(LEFT(B452,11)="INTL-SPA E ","International Easy",
IF(D452="Teen Large Type","Teen Fiction",
IF(D452="Juvenile Large Type","Juvenile Fiction",
IF(LEFT(B452,6)="J CD O","Juvenile Compact Disc",
IF(AND(LEFT(B452,4)="TEEN",D452="Fiction"),"Teen Fiction",
IF(D452="DVD Educational","Nonfiction",
IF(D452="Juvenile DVD Educational","Nonfiction",
IF(D452="Reference","Nonfiction",
D452))))))))))))))))))))))))))))))))))))))))))</f>
        <v/>
      </c>
    </row>
    <row r="453" spans="1:14" ht="27" customHeight="1" x14ac:dyDescent="0.25">
      <c r="A453" s="10" t="str">
        <f ca="1">TEXT( INDIRECT( ADDRESS( ROW() + Row_Offset, INDIRECT( "Column_Number_" &amp; A$1), 4,1, tabname) ), "")</f>
        <v/>
      </c>
      <c r="B453" s="10" t="str">
        <f ca="1">TEXT(  IFERROR( VLOOKUP( $D453, CollName_Simplifier_Table[], 2, FALSE),"") &amp;
        INDIRECT( ADDRESS( ROW() + Row_Offset, INDIRECT( "Column_Number_" &amp; $B$1), 4,1, tabname) ), "")</f>
        <v/>
      </c>
      <c r="C453" s="10" t="str">
        <f ca="1">TEXT( INDIRECT( ADDRESS( ROW() + Row_Offset, INDIRECT( "Column_Number_" &amp; C$1), 4,1, tabname) ), "")</f>
        <v/>
      </c>
      <c r="D453" s="10" t="str">
        <f ca="1">TEXT( INDIRECT( ADDRESS( ROW() + Row_Offset, INDIRECT( "Column_Number_" &amp; D$1), 4,1, tabname) ), "")</f>
        <v/>
      </c>
      <c r="E453" s="10" t="str">
        <f ca="1">TEXT( INDIRECT( ADDRESS( ROW() + Row_Offset, INDIRECT( "Column_Number_" &amp; E$1), 4,1, tabname) ), "####")</f>
        <v/>
      </c>
      <c r="F453" s="15"/>
      <c r="G453" s="22" t="str">
        <f ca="1">IFERROR(INDEX(Rank_Table[],MATCH($D453&amp;$A453,Table4[Join],0)),"")</f>
        <v/>
      </c>
      <c r="H453" s="11" t="str">
        <f ca="1">IF(AND(D453="Juvenile Audiobook",LEFT(B453,8)="J CD BIO"),RIGHT(B453,LEN(B453)-9),
IF(AND(D453="Juvenile Audiobook",LEFT(B453,8)="J CD FIC"),B453,
IF(D453="Juvenile Audiobook",RIGHT(B453,LEN(B453)-5),
IF(AND(D453="Teen Audiobook",LEFT(B453,11)="TEEN CD BIO"),RIGHT(B453,LEN(B453)-12),
IF(AND(D453="Teen Audiobook",LEFT(B453,11)="TEEN CD FIC"),B453,
IF(D453="Juvenile Audiobook",RIGHT(B453,LEN(B453)-8),
IF(D453="Juvenile Nonfiction",RIGHT(B453,LEN(B453)-2),
IF(D453="Teen Nonfiction",RIGHT(B453,LEN(B453)-5),
IF(AND(D453="Audiobook",
              NOT(OR(Contains($B453,"CD BIO"),Contains($B453,"CD FIC")))),RIGHT(B453,LEN(B453)-3),
IF(D453="Juvenile Biography",RIGHT(B453,LEN(B453)-2),
IF(D453="Teen Biography",RIGHT(B453,LEN(B453)-5),
IF(AND(D453="Audiobook",
              IFERROR(FIND("BIO",$B453)&gt;0,FALSE)),RIGHT(B453,LEN(B453)-3),
IF(D453="Juvenile Large Type","J "&amp;RIGHT(B453,LEN(B453)-11),
IF(D453="Teen Large Type","TEEN "&amp;RIGHT(B453,LEN(B453)-14),
IF(D453="Reference",RIGHT(B453,LEN(B453)-4),
IF(D453="DVD Educational",RIGHT(B453,LEN(B453)-7),
IF(D453="Juvenile DVD Educational",RIGHT(B453,LEN(B453)-9),
B453)))))))))))))))))</f>
        <v/>
      </c>
      <c r="N453" s="11" t="str">
        <f ca="1">IF(IFERROR(FIND("New",$A453)&gt;0,FALSE),"New ","") &amp; IF(IFERROR(FIND("In Lib",$A453)&gt;0,FALSE),"Reference ","") &amp;
IF(AND(D453="Audiobook",LEFT(B453,6)="CD BIO"),"Biography",
IF(AND(D453="Teen Audiobook",LEFT(B453,11)="TEEN CD BIO"),"Biography",
IF(AND(D453="Juvenile Audiobook",LEFT(B453,8)="J CD BIO"),"Biography",
IF(AND(D453="Audiobook",LEFT(B453,6)="CD FIC"),"Audiobook Fiction",
IF(AND(D453="Teen Audiobook",LEFT(B453,11)="TEEN CD FIC"),"Teen Audiobook",
IF(AND(D453="Juvenile Audiobook",LEFT(B453,8)="J CD FIC"),"Juvenile Audiobook",
IF(D453="Audiobook","Nonfiction",
IF(D453="Juvenile Audiobook","Nonfiction",
IF(D453="Teen Audiobook","Nonfiction",
IF(D453="Juvenile Nonfiction","Nonfiction",
IF(D453="Teen Nonfiction","Nonfiction",
IF(D453="Juvenile Biography","Biography",
IF(D453="Teen Biography","Biography",
IF(D453="ESL","Nonfiction",
IF(LEFT(B453,11)="INTL-VIE J ","International Juvenile",IF(LEFT(B453,11)="INTL-TAG J ","International Juvenile",IF(LEFT(B453,11)="INTL-RUS J ","International Juvenile",IF(LEFT(B453,11)="INTL-KOR J ","International Juvenile",IF(LEFT(B453,11)="INTL-JAP J ","International Juvenile",IF(LEFT(B453,11)="INTL-CHI J ","International Juvenile",IF(LEFT(B453,11)="INTL-SPA J ","International Juvenile",IF(LEFT(B453,14)="INTL-VIE TEEN ","International Teen",IF(LEFT(B453,14)="INTL-TAG TEEN ","International Teen",IF(LEFT(B453,14)="INTL-RUS TEEN ","International Teen",IF(LEFT(B453,14)="INTL-KOR TEEN ","International Teen",IF(LEFT(B453,14)="INTL-JAP TEEN ","International Teen",IF(LEFT(B453,14)="INTL-CHI TEEN ","International Teen",IF(LEFT(B453,14)="INTL-SPA TEEN ","International Teen",IF(LEFT(B453,11)="INTL-VIE E ","International Easy",IF(LEFT(B453,11)="INTL-TAG E ","International Easy",IF(LEFT(B453,11)="INTL-RUS E ","International Easy",IF(LEFT(B453,11)="INTL-JAP E ","International Easy",IF(LEFT(B453,11)="INTL-KOR E ","International Easy",IF(LEFT(B453,11)="INTL-CHI E ","International Easy",IF(LEFT(B453,11)="INTL-SPA E ","International Easy",
IF(D453="Teen Large Type","Teen Fiction",
IF(D453="Juvenile Large Type","Juvenile Fiction",
IF(LEFT(B453,6)="J CD O","Juvenile Compact Disc",
IF(AND(LEFT(B453,4)="TEEN",D453="Fiction"),"Teen Fiction",
IF(D453="DVD Educational","Nonfiction",
IF(D453="Juvenile DVD Educational","Nonfiction",
IF(D453="Reference","Nonfiction",
D453))))))))))))))))))))))))))))))))))))))))))</f>
        <v/>
      </c>
    </row>
    <row r="454" spans="1:14" ht="27" customHeight="1" x14ac:dyDescent="0.25">
      <c r="A454" s="10" t="str">
        <f ca="1">TEXT( INDIRECT( ADDRESS( ROW() + Row_Offset, INDIRECT( "Column_Number_" &amp; A$1), 4,1, tabname) ), "")</f>
        <v/>
      </c>
      <c r="B454" s="10" t="str">
        <f ca="1">TEXT(  IFERROR( VLOOKUP( $D454, CollName_Simplifier_Table[], 2, FALSE),"") &amp;
        INDIRECT( ADDRESS( ROW() + Row_Offset, INDIRECT( "Column_Number_" &amp; $B$1), 4,1, tabname) ), "")</f>
        <v/>
      </c>
      <c r="C454" s="10" t="str">
        <f ca="1">TEXT( INDIRECT( ADDRESS( ROW() + Row_Offset, INDIRECT( "Column_Number_" &amp; C$1), 4,1, tabname) ), "")</f>
        <v/>
      </c>
      <c r="D454" s="10" t="str">
        <f ca="1">TEXT( INDIRECT( ADDRESS( ROW() + Row_Offset, INDIRECT( "Column_Number_" &amp; D$1), 4,1, tabname) ), "")</f>
        <v/>
      </c>
      <c r="E454" s="10" t="str">
        <f ca="1">TEXT( INDIRECT( ADDRESS( ROW() + Row_Offset, INDIRECT( "Column_Number_" &amp; E$1), 4,1, tabname) ), "####")</f>
        <v/>
      </c>
      <c r="F454" s="15"/>
      <c r="G454" s="22" t="str">
        <f ca="1">IFERROR(INDEX(Rank_Table[],MATCH($D454&amp;$A454,Table4[Join],0)),"")</f>
        <v/>
      </c>
      <c r="H454" s="11" t="str">
        <f ca="1">IF(AND(D454="Juvenile Audiobook",LEFT(B454,8)="J CD BIO"),RIGHT(B454,LEN(B454)-9),
IF(AND(D454="Juvenile Audiobook",LEFT(B454,8)="J CD FIC"),B454,
IF(D454="Juvenile Audiobook",RIGHT(B454,LEN(B454)-5),
IF(AND(D454="Teen Audiobook",LEFT(B454,11)="TEEN CD BIO"),RIGHT(B454,LEN(B454)-12),
IF(AND(D454="Teen Audiobook",LEFT(B454,11)="TEEN CD FIC"),B454,
IF(D454="Juvenile Audiobook",RIGHT(B454,LEN(B454)-8),
IF(D454="Juvenile Nonfiction",RIGHT(B454,LEN(B454)-2),
IF(D454="Teen Nonfiction",RIGHT(B454,LEN(B454)-5),
IF(AND(D454="Audiobook",
              NOT(OR(Contains($B454,"CD BIO"),Contains($B454,"CD FIC")))),RIGHT(B454,LEN(B454)-3),
IF(D454="Juvenile Biography",RIGHT(B454,LEN(B454)-2),
IF(D454="Teen Biography",RIGHT(B454,LEN(B454)-5),
IF(AND(D454="Audiobook",
              IFERROR(FIND("BIO",$B454)&gt;0,FALSE)),RIGHT(B454,LEN(B454)-3),
IF(D454="Juvenile Large Type","J "&amp;RIGHT(B454,LEN(B454)-11),
IF(D454="Teen Large Type","TEEN "&amp;RIGHT(B454,LEN(B454)-14),
IF(D454="Reference",RIGHT(B454,LEN(B454)-4),
IF(D454="DVD Educational",RIGHT(B454,LEN(B454)-7),
IF(D454="Juvenile DVD Educational",RIGHT(B454,LEN(B454)-9),
B454)))))))))))))))))</f>
        <v/>
      </c>
      <c r="N454" s="11" t="str">
        <f ca="1">IF(IFERROR(FIND("New",$A454)&gt;0,FALSE),"New ","") &amp; IF(IFERROR(FIND("In Lib",$A454)&gt;0,FALSE),"Reference ","") &amp;
IF(AND(D454="Audiobook",LEFT(B454,6)="CD BIO"),"Biography",
IF(AND(D454="Teen Audiobook",LEFT(B454,11)="TEEN CD BIO"),"Biography",
IF(AND(D454="Juvenile Audiobook",LEFT(B454,8)="J CD BIO"),"Biography",
IF(AND(D454="Audiobook",LEFT(B454,6)="CD FIC"),"Audiobook Fiction",
IF(AND(D454="Teen Audiobook",LEFT(B454,11)="TEEN CD FIC"),"Teen Audiobook",
IF(AND(D454="Juvenile Audiobook",LEFT(B454,8)="J CD FIC"),"Juvenile Audiobook",
IF(D454="Audiobook","Nonfiction",
IF(D454="Juvenile Audiobook","Nonfiction",
IF(D454="Teen Audiobook","Nonfiction",
IF(D454="Juvenile Nonfiction","Nonfiction",
IF(D454="Teen Nonfiction","Nonfiction",
IF(D454="Juvenile Biography","Biography",
IF(D454="Teen Biography","Biography",
IF(D454="ESL","Nonfiction",
IF(LEFT(B454,11)="INTL-VIE J ","International Juvenile",IF(LEFT(B454,11)="INTL-TAG J ","International Juvenile",IF(LEFT(B454,11)="INTL-RUS J ","International Juvenile",IF(LEFT(B454,11)="INTL-KOR J ","International Juvenile",IF(LEFT(B454,11)="INTL-JAP J ","International Juvenile",IF(LEFT(B454,11)="INTL-CHI J ","International Juvenile",IF(LEFT(B454,11)="INTL-SPA J ","International Juvenile",IF(LEFT(B454,14)="INTL-VIE TEEN ","International Teen",IF(LEFT(B454,14)="INTL-TAG TEEN ","International Teen",IF(LEFT(B454,14)="INTL-RUS TEEN ","International Teen",IF(LEFT(B454,14)="INTL-KOR TEEN ","International Teen",IF(LEFT(B454,14)="INTL-JAP TEEN ","International Teen",IF(LEFT(B454,14)="INTL-CHI TEEN ","International Teen",IF(LEFT(B454,14)="INTL-SPA TEEN ","International Teen",IF(LEFT(B454,11)="INTL-VIE E ","International Easy",IF(LEFT(B454,11)="INTL-TAG E ","International Easy",IF(LEFT(B454,11)="INTL-RUS E ","International Easy",IF(LEFT(B454,11)="INTL-JAP E ","International Easy",IF(LEFT(B454,11)="INTL-KOR E ","International Easy",IF(LEFT(B454,11)="INTL-CHI E ","International Easy",IF(LEFT(B454,11)="INTL-SPA E ","International Easy",
IF(D454="Teen Large Type","Teen Fiction",
IF(D454="Juvenile Large Type","Juvenile Fiction",
IF(LEFT(B454,6)="J CD O","Juvenile Compact Disc",
IF(AND(LEFT(B454,4)="TEEN",D454="Fiction"),"Teen Fiction",
IF(D454="DVD Educational","Nonfiction",
IF(D454="Juvenile DVD Educational","Nonfiction",
IF(D454="Reference","Nonfiction",
D454))))))))))))))))))))))))))))))))))))))))))</f>
        <v/>
      </c>
    </row>
    <row r="455" spans="1:14" ht="27" customHeight="1" x14ac:dyDescent="0.25">
      <c r="A455" s="10" t="str">
        <f ca="1">TEXT( INDIRECT( ADDRESS( ROW() + Row_Offset, INDIRECT( "Column_Number_" &amp; A$1), 4,1, tabname) ), "")</f>
        <v/>
      </c>
      <c r="B455" s="10" t="str">
        <f ca="1">TEXT(  IFERROR( VLOOKUP( $D455, CollName_Simplifier_Table[], 2, FALSE),"") &amp;
        INDIRECT( ADDRESS( ROW() + Row_Offset, INDIRECT( "Column_Number_" &amp; $B$1), 4,1, tabname) ), "")</f>
        <v/>
      </c>
      <c r="C455" s="10" t="str">
        <f ca="1">TEXT( INDIRECT( ADDRESS( ROW() + Row_Offset, INDIRECT( "Column_Number_" &amp; C$1), 4,1, tabname) ), "")</f>
        <v/>
      </c>
      <c r="D455" s="10" t="str">
        <f ca="1">TEXT( INDIRECT( ADDRESS( ROW() + Row_Offset, INDIRECT( "Column_Number_" &amp; D$1), 4,1, tabname) ), "")</f>
        <v/>
      </c>
      <c r="E455" s="10" t="str">
        <f ca="1">TEXT( INDIRECT( ADDRESS( ROW() + Row_Offset, INDIRECT( "Column_Number_" &amp; E$1), 4,1, tabname) ), "####")</f>
        <v/>
      </c>
      <c r="F455" s="15"/>
      <c r="G455" s="22" t="str">
        <f ca="1">IFERROR(INDEX(Rank_Table[],MATCH($D455&amp;$A455,Table4[Join],0)),"")</f>
        <v/>
      </c>
      <c r="H455" s="11" t="str">
        <f ca="1">IF(AND(D455="Juvenile Audiobook",LEFT(B455,8)="J CD BIO"),RIGHT(B455,LEN(B455)-9),
IF(AND(D455="Juvenile Audiobook",LEFT(B455,8)="J CD FIC"),B455,
IF(D455="Juvenile Audiobook",RIGHT(B455,LEN(B455)-5),
IF(AND(D455="Teen Audiobook",LEFT(B455,11)="TEEN CD BIO"),RIGHT(B455,LEN(B455)-12),
IF(AND(D455="Teen Audiobook",LEFT(B455,11)="TEEN CD FIC"),B455,
IF(D455="Juvenile Audiobook",RIGHT(B455,LEN(B455)-8),
IF(D455="Juvenile Nonfiction",RIGHT(B455,LEN(B455)-2),
IF(D455="Teen Nonfiction",RIGHT(B455,LEN(B455)-5),
IF(AND(D455="Audiobook",
              NOT(OR(Contains($B455,"CD BIO"),Contains($B455,"CD FIC")))),RIGHT(B455,LEN(B455)-3),
IF(D455="Juvenile Biography",RIGHT(B455,LEN(B455)-2),
IF(D455="Teen Biography",RIGHT(B455,LEN(B455)-5),
IF(AND(D455="Audiobook",
              IFERROR(FIND("BIO",$B455)&gt;0,FALSE)),RIGHT(B455,LEN(B455)-3),
IF(D455="Juvenile Large Type","J "&amp;RIGHT(B455,LEN(B455)-11),
IF(D455="Teen Large Type","TEEN "&amp;RIGHT(B455,LEN(B455)-14),
IF(D455="Reference",RIGHT(B455,LEN(B455)-4),
IF(D455="DVD Educational",RIGHT(B455,LEN(B455)-7),
IF(D455="Juvenile DVD Educational",RIGHT(B455,LEN(B455)-9),
B455)))))))))))))))))</f>
        <v/>
      </c>
      <c r="N455" s="11" t="str">
        <f ca="1">IF(IFERROR(FIND("New",$A455)&gt;0,FALSE),"New ","") &amp; IF(IFERROR(FIND("In Lib",$A455)&gt;0,FALSE),"Reference ","") &amp;
IF(AND(D455="Audiobook",LEFT(B455,6)="CD BIO"),"Biography",
IF(AND(D455="Teen Audiobook",LEFT(B455,11)="TEEN CD BIO"),"Biography",
IF(AND(D455="Juvenile Audiobook",LEFT(B455,8)="J CD BIO"),"Biography",
IF(AND(D455="Audiobook",LEFT(B455,6)="CD FIC"),"Audiobook Fiction",
IF(AND(D455="Teen Audiobook",LEFT(B455,11)="TEEN CD FIC"),"Teen Audiobook",
IF(AND(D455="Juvenile Audiobook",LEFT(B455,8)="J CD FIC"),"Juvenile Audiobook",
IF(D455="Audiobook","Nonfiction",
IF(D455="Juvenile Audiobook","Nonfiction",
IF(D455="Teen Audiobook","Nonfiction",
IF(D455="Juvenile Nonfiction","Nonfiction",
IF(D455="Teen Nonfiction","Nonfiction",
IF(D455="Juvenile Biography","Biography",
IF(D455="Teen Biography","Biography",
IF(D455="ESL","Nonfiction",
IF(LEFT(B455,11)="INTL-VIE J ","International Juvenile",IF(LEFT(B455,11)="INTL-TAG J ","International Juvenile",IF(LEFT(B455,11)="INTL-RUS J ","International Juvenile",IF(LEFT(B455,11)="INTL-KOR J ","International Juvenile",IF(LEFT(B455,11)="INTL-JAP J ","International Juvenile",IF(LEFT(B455,11)="INTL-CHI J ","International Juvenile",IF(LEFT(B455,11)="INTL-SPA J ","International Juvenile",IF(LEFT(B455,14)="INTL-VIE TEEN ","International Teen",IF(LEFT(B455,14)="INTL-TAG TEEN ","International Teen",IF(LEFT(B455,14)="INTL-RUS TEEN ","International Teen",IF(LEFT(B455,14)="INTL-KOR TEEN ","International Teen",IF(LEFT(B455,14)="INTL-JAP TEEN ","International Teen",IF(LEFT(B455,14)="INTL-CHI TEEN ","International Teen",IF(LEFT(B455,14)="INTL-SPA TEEN ","International Teen",IF(LEFT(B455,11)="INTL-VIE E ","International Easy",IF(LEFT(B455,11)="INTL-TAG E ","International Easy",IF(LEFT(B455,11)="INTL-RUS E ","International Easy",IF(LEFT(B455,11)="INTL-JAP E ","International Easy",IF(LEFT(B455,11)="INTL-KOR E ","International Easy",IF(LEFT(B455,11)="INTL-CHI E ","International Easy",IF(LEFT(B455,11)="INTL-SPA E ","International Easy",
IF(D455="Teen Large Type","Teen Fiction",
IF(D455="Juvenile Large Type","Juvenile Fiction",
IF(LEFT(B455,6)="J CD O","Juvenile Compact Disc",
IF(AND(LEFT(B455,4)="TEEN",D455="Fiction"),"Teen Fiction",
IF(D455="DVD Educational","Nonfiction",
IF(D455="Juvenile DVD Educational","Nonfiction",
IF(D455="Reference","Nonfiction",
D455))))))))))))))))))))))))))))))))))))))))))</f>
        <v/>
      </c>
    </row>
    <row r="456" spans="1:14" ht="27" customHeight="1" x14ac:dyDescent="0.25">
      <c r="A456" s="10" t="str">
        <f ca="1">TEXT( INDIRECT( ADDRESS( ROW() + Row_Offset, INDIRECT( "Column_Number_" &amp; A$1), 4,1, tabname) ), "")</f>
        <v/>
      </c>
      <c r="B456" s="10" t="str">
        <f ca="1">TEXT(  IFERROR( VLOOKUP( $D456, CollName_Simplifier_Table[], 2, FALSE),"") &amp;
        INDIRECT( ADDRESS( ROW() + Row_Offset, INDIRECT( "Column_Number_" &amp; $B$1), 4,1, tabname) ), "")</f>
        <v/>
      </c>
      <c r="C456" s="10" t="str">
        <f ca="1">TEXT( INDIRECT( ADDRESS( ROW() + Row_Offset, INDIRECT( "Column_Number_" &amp; C$1), 4,1, tabname) ), "")</f>
        <v/>
      </c>
      <c r="D456" s="10" t="str">
        <f ca="1">TEXT( INDIRECT( ADDRESS( ROW() + Row_Offset, INDIRECT( "Column_Number_" &amp; D$1), 4,1, tabname) ), "")</f>
        <v/>
      </c>
      <c r="E456" s="10" t="str">
        <f ca="1">TEXT( INDIRECT( ADDRESS( ROW() + Row_Offset, INDIRECT( "Column_Number_" &amp; E$1), 4,1, tabname) ), "####")</f>
        <v/>
      </c>
      <c r="F456" s="15"/>
      <c r="G456" s="22" t="str">
        <f ca="1">IFERROR(INDEX(Rank_Table[],MATCH($D456&amp;$A456,Table4[Join],0)),"")</f>
        <v/>
      </c>
      <c r="H456" s="11" t="str">
        <f ca="1">IF(AND(D456="Juvenile Audiobook",LEFT(B456,8)="J CD BIO"),RIGHT(B456,LEN(B456)-9),
IF(AND(D456="Juvenile Audiobook",LEFT(B456,8)="J CD FIC"),B456,
IF(D456="Juvenile Audiobook",RIGHT(B456,LEN(B456)-5),
IF(AND(D456="Teen Audiobook",LEFT(B456,11)="TEEN CD BIO"),RIGHT(B456,LEN(B456)-12),
IF(AND(D456="Teen Audiobook",LEFT(B456,11)="TEEN CD FIC"),B456,
IF(D456="Juvenile Audiobook",RIGHT(B456,LEN(B456)-8),
IF(D456="Juvenile Nonfiction",RIGHT(B456,LEN(B456)-2),
IF(D456="Teen Nonfiction",RIGHT(B456,LEN(B456)-5),
IF(AND(D456="Audiobook",
              NOT(OR(Contains($B456,"CD BIO"),Contains($B456,"CD FIC")))),RIGHT(B456,LEN(B456)-3),
IF(D456="Juvenile Biography",RIGHT(B456,LEN(B456)-2),
IF(D456="Teen Biography",RIGHT(B456,LEN(B456)-5),
IF(AND(D456="Audiobook",
              IFERROR(FIND("BIO",$B456)&gt;0,FALSE)),RIGHT(B456,LEN(B456)-3),
IF(D456="Juvenile Large Type","J "&amp;RIGHT(B456,LEN(B456)-11),
IF(D456="Teen Large Type","TEEN "&amp;RIGHT(B456,LEN(B456)-14),
IF(D456="Reference",RIGHT(B456,LEN(B456)-4),
IF(D456="DVD Educational",RIGHT(B456,LEN(B456)-7),
IF(D456="Juvenile DVD Educational",RIGHT(B456,LEN(B456)-9),
B456)))))))))))))))))</f>
        <v/>
      </c>
      <c r="N456" s="11" t="str">
        <f ca="1">IF(IFERROR(FIND("New",$A456)&gt;0,FALSE),"New ","") &amp; IF(IFERROR(FIND("In Lib",$A456)&gt;0,FALSE),"Reference ","") &amp;
IF(AND(D456="Audiobook",LEFT(B456,6)="CD BIO"),"Biography",
IF(AND(D456="Teen Audiobook",LEFT(B456,11)="TEEN CD BIO"),"Biography",
IF(AND(D456="Juvenile Audiobook",LEFT(B456,8)="J CD BIO"),"Biography",
IF(AND(D456="Audiobook",LEFT(B456,6)="CD FIC"),"Audiobook Fiction",
IF(AND(D456="Teen Audiobook",LEFT(B456,11)="TEEN CD FIC"),"Teen Audiobook",
IF(AND(D456="Juvenile Audiobook",LEFT(B456,8)="J CD FIC"),"Juvenile Audiobook",
IF(D456="Audiobook","Nonfiction",
IF(D456="Juvenile Audiobook","Nonfiction",
IF(D456="Teen Audiobook","Nonfiction",
IF(D456="Juvenile Nonfiction","Nonfiction",
IF(D456="Teen Nonfiction","Nonfiction",
IF(D456="Juvenile Biography","Biography",
IF(D456="Teen Biography","Biography",
IF(D456="ESL","Nonfiction",
IF(LEFT(B456,11)="INTL-VIE J ","International Juvenile",IF(LEFT(B456,11)="INTL-TAG J ","International Juvenile",IF(LEFT(B456,11)="INTL-RUS J ","International Juvenile",IF(LEFT(B456,11)="INTL-KOR J ","International Juvenile",IF(LEFT(B456,11)="INTL-JAP J ","International Juvenile",IF(LEFT(B456,11)="INTL-CHI J ","International Juvenile",IF(LEFT(B456,11)="INTL-SPA J ","International Juvenile",IF(LEFT(B456,14)="INTL-VIE TEEN ","International Teen",IF(LEFT(B456,14)="INTL-TAG TEEN ","International Teen",IF(LEFT(B456,14)="INTL-RUS TEEN ","International Teen",IF(LEFT(B456,14)="INTL-KOR TEEN ","International Teen",IF(LEFT(B456,14)="INTL-JAP TEEN ","International Teen",IF(LEFT(B456,14)="INTL-CHI TEEN ","International Teen",IF(LEFT(B456,14)="INTL-SPA TEEN ","International Teen",IF(LEFT(B456,11)="INTL-VIE E ","International Easy",IF(LEFT(B456,11)="INTL-TAG E ","International Easy",IF(LEFT(B456,11)="INTL-RUS E ","International Easy",IF(LEFT(B456,11)="INTL-JAP E ","International Easy",IF(LEFT(B456,11)="INTL-KOR E ","International Easy",IF(LEFT(B456,11)="INTL-CHI E ","International Easy",IF(LEFT(B456,11)="INTL-SPA E ","International Easy",
IF(D456="Teen Large Type","Teen Fiction",
IF(D456="Juvenile Large Type","Juvenile Fiction",
IF(LEFT(B456,6)="J CD O","Juvenile Compact Disc",
IF(AND(LEFT(B456,4)="TEEN",D456="Fiction"),"Teen Fiction",
IF(D456="DVD Educational","Nonfiction",
IF(D456="Juvenile DVD Educational","Nonfiction",
IF(D456="Reference","Nonfiction",
D456))))))))))))))))))))))))))))))))))))))))))</f>
        <v/>
      </c>
    </row>
    <row r="457" spans="1:14" ht="27" customHeight="1" x14ac:dyDescent="0.25">
      <c r="A457" s="10" t="str">
        <f ca="1">TEXT( INDIRECT( ADDRESS( ROW() + Row_Offset, INDIRECT( "Column_Number_" &amp; A$1), 4,1, tabname) ), "")</f>
        <v/>
      </c>
      <c r="B457" s="10" t="str">
        <f ca="1">TEXT(  IFERROR( VLOOKUP( $D457, CollName_Simplifier_Table[], 2, FALSE),"") &amp;
        INDIRECT( ADDRESS( ROW() + Row_Offset, INDIRECT( "Column_Number_" &amp; $B$1), 4,1, tabname) ), "")</f>
        <v/>
      </c>
      <c r="C457" s="10" t="str">
        <f ca="1">TEXT( INDIRECT( ADDRESS( ROW() + Row_Offset, INDIRECT( "Column_Number_" &amp; C$1), 4,1, tabname) ), "")</f>
        <v/>
      </c>
      <c r="D457" s="10" t="str">
        <f ca="1">TEXT( INDIRECT( ADDRESS( ROW() + Row_Offset, INDIRECT( "Column_Number_" &amp; D$1), 4,1, tabname) ), "")</f>
        <v/>
      </c>
      <c r="E457" s="10" t="str">
        <f ca="1">TEXT( INDIRECT( ADDRESS( ROW() + Row_Offset, INDIRECT( "Column_Number_" &amp; E$1), 4,1, tabname) ), "####")</f>
        <v/>
      </c>
      <c r="F457" s="15"/>
      <c r="G457" s="22" t="str">
        <f ca="1">IFERROR(INDEX(Rank_Table[],MATCH($D457&amp;$A457,Table4[Join],0)),"")</f>
        <v/>
      </c>
      <c r="H457" s="11" t="str">
        <f ca="1">IF(AND(D457="Juvenile Audiobook",LEFT(B457,8)="J CD BIO"),RIGHT(B457,LEN(B457)-9),
IF(AND(D457="Juvenile Audiobook",LEFT(B457,8)="J CD FIC"),B457,
IF(D457="Juvenile Audiobook",RIGHT(B457,LEN(B457)-5),
IF(AND(D457="Teen Audiobook",LEFT(B457,11)="TEEN CD BIO"),RIGHT(B457,LEN(B457)-12),
IF(AND(D457="Teen Audiobook",LEFT(B457,11)="TEEN CD FIC"),B457,
IF(D457="Juvenile Audiobook",RIGHT(B457,LEN(B457)-8),
IF(D457="Juvenile Nonfiction",RIGHT(B457,LEN(B457)-2),
IF(D457="Teen Nonfiction",RIGHT(B457,LEN(B457)-5),
IF(AND(D457="Audiobook",
              NOT(OR(Contains($B457,"CD BIO"),Contains($B457,"CD FIC")))),RIGHT(B457,LEN(B457)-3),
IF(D457="Juvenile Biography",RIGHT(B457,LEN(B457)-2),
IF(D457="Teen Biography",RIGHT(B457,LEN(B457)-5),
IF(AND(D457="Audiobook",
              IFERROR(FIND("BIO",$B457)&gt;0,FALSE)),RIGHT(B457,LEN(B457)-3),
IF(D457="Juvenile Large Type","J "&amp;RIGHT(B457,LEN(B457)-11),
IF(D457="Teen Large Type","TEEN "&amp;RIGHT(B457,LEN(B457)-14),
IF(D457="Reference",RIGHT(B457,LEN(B457)-4),
IF(D457="DVD Educational",RIGHT(B457,LEN(B457)-7),
IF(D457="Juvenile DVD Educational",RIGHT(B457,LEN(B457)-9),
B457)))))))))))))))))</f>
        <v/>
      </c>
      <c r="N457" s="11" t="str">
        <f ca="1">IF(IFERROR(FIND("New",$A457)&gt;0,FALSE),"New ","") &amp; IF(IFERROR(FIND("In Lib",$A457)&gt;0,FALSE),"Reference ","") &amp;
IF(AND(D457="Audiobook",LEFT(B457,6)="CD BIO"),"Biography",
IF(AND(D457="Teen Audiobook",LEFT(B457,11)="TEEN CD BIO"),"Biography",
IF(AND(D457="Juvenile Audiobook",LEFT(B457,8)="J CD BIO"),"Biography",
IF(AND(D457="Audiobook",LEFT(B457,6)="CD FIC"),"Audiobook Fiction",
IF(AND(D457="Teen Audiobook",LEFT(B457,11)="TEEN CD FIC"),"Teen Audiobook",
IF(AND(D457="Juvenile Audiobook",LEFT(B457,8)="J CD FIC"),"Juvenile Audiobook",
IF(D457="Audiobook","Nonfiction",
IF(D457="Juvenile Audiobook","Nonfiction",
IF(D457="Teen Audiobook","Nonfiction",
IF(D457="Juvenile Nonfiction","Nonfiction",
IF(D457="Teen Nonfiction","Nonfiction",
IF(D457="Juvenile Biography","Biography",
IF(D457="Teen Biography","Biography",
IF(D457="ESL","Nonfiction",
IF(LEFT(B457,11)="INTL-VIE J ","International Juvenile",IF(LEFT(B457,11)="INTL-TAG J ","International Juvenile",IF(LEFT(B457,11)="INTL-RUS J ","International Juvenile",IF(LEFT(B457,11)="INTL-KOR J ","International Juvenile",IF(LEFT(B457,11)="INTL-JAP J ","International Juvenile",IF(LEFT(B457,11)="INTL-CHI J ","International Juvenile",IF(LEFT(B457,11)="INTL-SPA J ","International Juvenile",IF(LEFT(B457,14)="INTL-VIE TEEN ","International Teen",IF(LEFT(B457,14)="INTL-TAG TEEN ","International Teen",IF(LEFT(B457,14)="INTL-RUS TEEN ","International Teen",IF(LEFT(B457,14)="INTL-KOR TEEN ","International Teen",IF(LEFT(B457,14)="INTL-JAP TEEN ","International Teen",IF(LEFT(B457,14)="INTL-CHI TEEN ","International Teen",IF(LEFT(B457,14)="INTL-SPA TEEN ","International Teen",IF(LEFT(B457,11)="INTL-VIE E ","International Easy",IF(LEFT(B457,11)="INTL-TAG E ","International Easy",IF(LEFT(B457,11)="INTL-RUS E ","International Easy",IF(LEFT(B457,11)="INTL-JAP E ","International Easy",IF(LEFT(B457,11)="INTL-KOR E ","International Easy",IF(LEFT(B457,11)="INTL-CHI E ","International Easy",IF(LEFT(B457,11)="INTL-SPA E ","International Easy",
IF(D457="Teen Large Type","Teen Fiction",
IF(D457="Juvenile Large Type","Juvenile Fiction",
IF(LEFT(B457,6)="J CD O","Juvenile Compact Disc",
IF(AND(LEFT(B457,4)="TEEN",D457="Fiction"),"Teen Fiction",
IF(D457="DVD Educational","Nonfiction",
IF(D457="Juvenile DVD Educational","Nonfiction",
IF(D457="Reference","Nonfiction",
D457))))))))))))))))))))))))))))))))))))))))))</f>
        <v/>
      </c>
    </row>
    <row r="458" spans="1:14" ht="27" customHeight="1" x14ac:dyDescent="0.25">
      <c r="A458" s="10" t="str">
        <f ca="1">TEXT( INDIRECT( ADDRESS( ROW() + Row_Offset, INDIRECT( "Column_Number_" &amp; A$1), 4,1, tabname) ), "")</f>
        <v/>
      </c>
      <c r="B458" s="10" t="str">
        <f ca="1">TEXT(  IFERROR( VLOOKUP( $D458, CollName_Simplifier_Table[], 2, FALSE),"") &amp;
        INDIRECT( ADDRESS( ROW() + Row_Offset, INDIRECT( "Column_Number_" &amp; $B$1), 4,1, tabname) ), "")</f>
        <v/>
      </c>
      <c r="C458" s="10" t="str">
        <f ca="1">TEXT( INDIRECT( ADDRESS( ROW() + Row_Offset, INDIRECT( "Column_Number_" &amp; C$1), 4,1, tabname) ), "")</f>
        <v/>
      </c>
      <c r="D458" s="10" t="str">
        <f ca="1">TEXT( INDIRECT( ADDRESS( ROW() + Row_Offset, INDIRECT( "Column_Number_" &amp; D$1), 4,1, tabname) ), "")</f>
        <v/>
      </c>
      <c r="E458" s="10" t="str">
        <f ca="1">TEXT( INDIRECT( ADDRESS( ROW() + Row_Offset, INDIRECT( "Column_Number_" &amp; E$1), 4,1, tabname) ), "####")</f>
        <v/>
      </c>
      <c r="F458" s="15"/>
      <c r="G458" s="22" t="str">
        <f ca="1">IFERROR(INDEX(Rank_Table[],MATCH($D458&amp;$A458,Table4[Join],0)),"")</f>
        <v/>
      </c>
      <c r="H458" s="11" t="str">
        <f ca="1">IF(AND(D458="Juvenile Audiobook",LEFT(B458,8)="J CD BIO"),RIGHT(B458,LEN(B458)-9),
IF(AND(D458="Juvenile Audiobook",LEFT(B458,8)="J CD FIC"),B458,
IF(D458="Juvenile Audiobook",RIGHT(B458,LEN(B458)-5),
IF(AND(D458="Teen Audiobook",LEFT(B458,11)="TEEN CD BIO"),RIGHT(B458,LEN(B458)-12),
IF(AND(D458="Teen Audiobook",LEFT(B458,11)="TEEN CD FIC"),B458,
IF(D458="Juvenile Audiobook",RIGHT(B458,LEN(B458)-8),
IF(D458="Juvenile Nonfiction",RIGHT(B458,LEN(B458)-2),
IF(D458="Teen Nonfiction",RIGHT(B458,LEN(B458)-5),
IF(AND(D458="Audiobook",
              NOT(OR(Contains($B458,"CD BIO"),Contains($B458,"CD FIC")))),RIGHT(B458,LEN(B458)-3),
IF(D458="Juvenile Biography",RIGHT(B458,LEN(B458)-2),
IF(D458="Teen Biography",RIGHT(B458,LEN(B458)-5),
IF(AND(D458="Audiobook",
              IFERROR(FIND("BIO",$B458)&gt;0,FALSE)),RIGHT(B458,LEN(B458)-3),
IF(D458="Juvenile Large Type","J "&amp;RIGHT(B458,LEN(B458)-11),
IF(D458="Teen Large Type","TEEN "&amp;RIGHT(B458,LEN(B458)-14),
IF(D458="Reference",RIGHT(B458,LEN(B458)-4),
IF(D458="DVD Educational",RIGHT(B458,LEN(B458)-7),
IF(D458="Juvenile DVD Educational",RIGHT(B458,LEN(B458)-9),
B458)))))))))))))))))</f>
        <v/>
      </c>
      <c r="N458" s="11" t="str">
        <f ca="1">IF(IFERROR(FIND("New",$A458)&gt;0,FALSE),"New ","") &amp; IF(IFERROR(FIND("In Lib",$A458)&gt;0,FALSE),"Reference ","") &amp;
IF(AND(D458="Audiobook",LEFT(B458,6)="CD BIO"),"Biography",
IF(AND(D458="Teen Audiobook",LEFT(B458,11)="TEEN CD BIO"),"Biography",
IF(AND(D458="Juvenile Audiobook",LEFT(B458,8)="J CD BIO"),"Biography",
IF(AND(D458="Audiobook",LEFT(B458,6)="CD FIC"),"Audiobook Fiction",
IF(AND(D458="Teen Audiobook",LEFT(B458,11)="TEEN CD FIC"),"Teen Audiobook",
IF(AND(D458="Juvenile Audiobook",LEFT(B458,8)="J CD FIC"),"Juvenile Audiobook",
IF(D458="Audiobook","Nonfiction",
IF(D458="Juvenile Audiobook","Nonfiction",
IF(D458="Teen Audiobook","Nonfiction",
IF(D458="Juvenile Nonfiction","Nonfiction",
IF(D458="Teen Nonfiction","Nonfiction",
IF(D458="Juvenile Biography","Biography",
IF(D458="Teen Biography","Biography",
IF(D458="ESL","Nonfiction",
IF(LEFT(B458,11)="INTL-VIE J ","International Juvenile",IF(LEFT(B458,11)="INTL-TAG J ","International Juvenile",IF(LEFT(B458,11)="INTL-RUS J ","International Juvenile",IF(LEFT(B458,11)="INTL-KOR J ","International Juvenile",IF(LEFT(B458,11)="INTL-JAP J ","International Juvenile",IF(LEFT(B458,11)="INTL-CHI J ","International Juvenile",IF(LEFT(B458,11)="INTL-SPA J ","International Juvenile",IF(LEFT(B458,14)="INTL-VIE TEEN ","International Teen",IF(LEFT(B458,14)="INTL-TAG TEEN ","International Teen",IF(LEFT(B458,14)="INTL-RUS TEEN ","International Teen",IF(LEFT(B458,14)="INTL-KOR TEEN ","International Teen",IF(LEFT(B458,14)="INTL-JAP TEEN ","International Teen",IF(LEFT(B458,14)="INTL-CHI TEEN ","International Teen",IF(LEFT(B458,14)="INTL-SPA TEEN ","International Teen",IF(LEFT(B458,11)="INTL-VIE E ","International Easy",IF(LEFT(B458,11)="INTL-TAG E ","International Easy",IF(LEFT(B458,11)="INTL-RUS E ","International Easy",IF(LEFT(B458,11)="INTL-JAP E ","International Easy",IF(LEFT(B458,11)="INTL-KOR E ","International Easy",IF(LEFT(B458,11)="INTL-CHI E ","International Easy",IF(LEFT(B458,11)="INTL-SPA E ","International Easy",
IF(D458="Teen Large Type","Teen Fiction",
IF(D458="Juvenile Large Type","Juvenile Fiction",
IF(LEFT(B458,6)="J CD O","Juvenile Compact Disc",
IF(AND(LEFT(B458,4)="TEEN",D458="Fiction"),"Teen Fiction",
IF(D458="DVD Educational","Nonfiction",
IF(D458="Juvenile DVD Educational","Nonfiction",
IF(D458="Reference","Nonfiction",
D458))))))))))))))))))))))))))))))))))))))))))</f>
        <v/>
      </c>
    </row>
    <row r="459" spans="1:14" ht="27" customHeight="1" x14ac:dyDescent="0.25">
      <c r="A459" s="10" t="str">
        <f ca="1">TEXT( INDIRECT( ADDRESS( ROW() + Row_Offset, INDIRECT( "Column_Number_" &amp; A$1), 4,1, tabname) ), "")</f>
        <v/>
      </c>
      <c r="B459" s="10" t="str">
        <f ca="1">TEXT(  IFERROR( VLOOKUP( $D459, CollName_Simplifier_Table[], 2, FALSE),"") &amp;
        INDIRECT( ADDRESS( ROW() + Row_Offset, INDIRECT( "Column_Number_" &amp; $B$1), 4,1, tabname) ), "")</f>
        <v/>
      </c>
      <c r="C459" s="10" t="str">
        <f ca="1">TEXT( INDIRECT( ADDRESS( ROW() + Row_Offset, INDIRECT( "Column_Number_" &amp; C$1), 4,1, tabname) ), "")</f>
        <v/>
      </c>
      <c r="D459" s="10" t="str">
        <f ca="1">TEXT( INDIRECT( ADDRESS( ROW() + Row_Offset, INDIRECT( "Column_Number_" &amp; D$1), 4,1, tabname) ), "")</f>
        <v/>
      </c>
      <c r="E459" s="10" t="str">
        <f ca="1">TEXT( INDIRECT( ADDRESS( ROW() + Row_Offset, INDIRECT( "Column_Number_" &amp; E$1), 4,1, tabname) ), "####")</f>
        <v/>
      </c>
      <c r="F459" s="15"/>
      <c r="G459" s="22" t="str">
        <f ca="1">IFERROR(INDEX(Rank_Table[],MATCH($D459&amp;$A459,Table4[Join],0)),"")</f>
        <v/>
      </c>
      <c r="H459" s="11" t="str">
        <f ca="1">IF(AND(D459="Juvenile Audiobook",LEFT(B459,8)="J CD BIO"),RIGHT(B459,LEN(B459)-9),
IF(AND(D459="Juvenile Audiobook",LEFT(B459,8)="J CD FIC"),B459,
IF(D459="Juvenile Audiobook",RIGHT(B459,LEN(B459)-5),
IF(AND(D459="Teen Audiobook",LEFT(B459,11)="TEEN CD BIO"),RIGHT(B459,LEN(B459)-12),
IF(AND(D459="Teen Audiobook",LEFT(B459,11)="TEEN CD FIC"),B459,
IF(D459="Juvenile Audiobook",RIGHT(B459,LEN(B459)-8),
IF(D459="Juvenile Nonfiction",RIGHT(B459,LEN(B459)-2),
IF(D459="Teen Nonfiction",RIGHT(B459,LEN(B459)-5),
IF(AND(D459="Audiobook",
              NOT(OR(Contains($B459,"CD BIO"),Contains($B459,"CD FIC")))),RIGHT(B459,LEN(B459)-3),
IF(D459="Juvenile Biography",RIGHT(B459,LEN(B459)-2),
IF(D459="Teen Biography",RIGHT(B459,LEN(B459)-5),
IF(AND(D459="Audiobook",
              IFERROR(FIND("BIO",$B459)&gt;0,FALSE)),RIGHT(B459,LEN(B459)-3),
IF(D459="Juvenile Large Type","J "&amp;RIGHT(B459,LEN(B459)-11),
IF(D459="Teen Large Type","TEEN "&amp;RIGHT(B459,LEN(B459)-14),
IF(D459="Reference",RIGHT(B459,LEN(B459)-4),
IF(D459="DVD Educational",RIGHT(B459,LEN(B459)-7),
IF(D459="Juvenile DVD Educational",RIGHT(B459,LEN(B459)-9),
B459)))))))))))))))))</f>
        <v/>
      </c>
      <c r="N459" s="11" t="str">
        <f ca="1">IF(IFERROR(FIND("New",$A459)&gt;0,FALSE),"New ","") &amp; IF(IFERROR(FIND("In Lib",$A459)&gt;0,FALSE),"Reference ","") &amp;
IF(AND(D459="Audiobook",LEFT(B459,6)="CD BIO"),"Biography",
IF(AND(D459="Teen Audiobook",LEFT(B459,11)="TEEN CD BIO"),"Biography",
IF(AND(D459="Juvenile Audiobook",LEFT(B459,8)="J CD BIO"),"Biography",
IF(AND(D459="Audiobook",LEFT(B459,6)="CD FIC"),"Audiobook Fiction",
IF(AND(D459="Teen Audiobook",LEFT(B459,11)="TEEN CD FIC"),"Teen Audiobook",
IF(AND(D459="Juvenile Audiobook",LEFT(B459,8)="J CD FIC"),"Juvenile Audiobook",
IF(D459="Audiobook","Nonfiction",
IF(D459="Juvenile Audiobook","Nonfiction",
IF(D459="Teen Audiobook","Nonfiction",
IF(D459="Juvenile Nonfiction","Nonfiction",
IF(D459="Teen Nonfiction","Nonfiction",
IF(D459="Juvenile Biography","Biography",
IF(D459="Teen Biography","Biography",
IF(D459="ESL","Nonfiction",
IF(LEFT(B459,11)="INTL-VIE J ","International Juvenile",IF(LEFT(B459,11)="INTL-TAG J ","International Juvenile",IF(LEFT(B459,11)="INTL-RUS J ","International Juvenile",IF(LEFT(B459,11)="INTL-KOR J ","International Juvenile",IF(LEFT(B459,11)="INTL-JAP J ","International Juvenile",IF(LEFT(B459,11)="INTL-CHI J ","International Juvenile",IF(LEFT(B459,11)="INTL-SPA J ","International Juvenile",IF(LEFT(B459,14)="INTL-VIE TEEN ","International Teen",IF(LEFT(B459,14)="INTL-TAG TEEN ","International Teen",IF(LEFT(B459,14)="INTL-RUS TEEN ","International Teen",IF(LEFT(B459,14)="INTL-KOR TEEN ","International Teen",IF(LEFT(B459,14)="INTL-JAP TEEN ","International Teen",IF(LEFT(B459,14)="INTL-CHI TEEN ","International Teen",IF(LEFT(B459,14)="INTL-SPA TEEN ","International Teen",IF(LEFT(B459,11)="INTL-VIE E ","International Easy",IF(LEFT(B459,11)="INTL-TAG E ","International Easy",IF(LEFT(B459,11)="INTL-RUS E ","International Easy",IF(LEFT(B459,11)="INTL-JAP E ","International Easy",IF(LEFT(B459,11)="INTL-KOR E ","International Easy",IF(LEFT(B459,11)="INTL-CHI E ","International Easy",IF(LEFT(B459,11)="INTL-SPA E ","International Easy",
IF(D459="Teen Large Type","Teen Fiction",
IF(D459="Juvenile Large Type","Juvenile Fiction",
IF(LEFT(B459,6)="J CD O","Juvenile Compact Disc",
IF(AND(LEFT(B459,4)="TEEN",D459="Fiction"),"Teen Fiction",
IF(D459="DVD Educational","Nonfiction",
IF(D459="Juvenile DVD Educational","Nonfiction",
IF(D459="Reference","Nonfiction",
D459))))))))))))))))))))))))))))))))))))))))))</f>
        <v/>
      </c>
    </row>
    <row r="460" spans="1:14" ht="27" customHeight="1" x14ac:dyDescent="0.25">
      <c r="A460" s="10" t="str">
        <f ca="1">TEXT( INDIRECT( ADDRESS( ROW() + Row_Offset, INDIRECT( "Column_Number_" &amp; A$1), 4,1, tabname) ), "")</f>
        <v/>
      </c>
      <c r="B460" s="10" t="str">
        <f ca="1">TEXT(  IFERROR( VLOOKUP( $D460, CollName_Simplifier_Table[], 2, FALSE),"") &amp;
        INDIRECT( ADDRESS( ROW() + Row_Offset, INDIRECT( "Column_Number_" &amp; $B$1), 4,1, tabname) ), "")</f>
        <v/>
      </c>
      <c r="C460" s="10" t="str">
        <f ca="1">TEXT( INDIRECT( ADDRESS( ROW() + Row_Offset, INDIRECT( "Column_Number_" &amp; C$1), 4,1, tabname) ), "")</f>
        <v/>
      </c>
      <c r="D460" s="10" t="str">
        <f ca="1">TEXT( INDIRECT( ADDRESS( ROW() + Row_Offset, INDIRECT( "Column_Number_" &amp; D$1), 4,1, tabname) ), "")</f>
        <v/>
      </c>
      <c r="E460" s="10" t="str">
        <f ca="1">TEXT( INDIRECT( ADDRESS( ROW() + Row_Offset, INDIRECT( "Column_Number_" &amp; E$1), 4,1, tabname) ), "####")</f>
        <v/>
      </c>
      <c r="F460" s="15"/>
      <c r="G460" s="22" t="str">
        <f ca="1">IFERROR(INDEX(Rank_Table[],MATCH($D460&amp;$A460,Table4[Join],0)),"")</f>
        <v/>
      </c>
      <c r="H460" s="11" t="str">
        <f ca="1">IF(AND(D460="Juvenile Audiobook",LEFT(B460,8)="J CD BIO"),RIGHT(B460,LEN(B460)-9),
IF(AND(D460="Juvenile Audiobook",LEFT(B460,8)="J CD FIC"),B460,
IF(D460="Juvenile Audiobook",RIGHT(B460,LEN(B460)-5),
IF(AND(D460="Teen Audiobook",LEFT(B460,11)="TEEN CD BIO"),RIGHT(B460,LEN(B460)-12),
IF(AND(D460="Teen Audiobook",LEFT(B460,11)="TEEN CD FIC"),B460,
IF(D460="Juvenile Audiobook",RIGHT(B460,LEN(B460)-8),
IF(D460="Juvenile Nonfiction",RIGHT(B460,LEN(B460)-2),
IF(D460="Teen Nonfiction",RIGHT(B460,LEN(B460)-5),
IF(AND(D460="Audiobook",
              NOT(OR(Contains($B460,"CD BIO"),Contains($B460,"CD FIC")))),RIGHT(B460,LEN(B460)-3),
IF(D460="Juvenile Biography",RIGHT(B460,LEN(B460)-2),
IF(D460="Teen Biography",RIGHT(B460,LEN(B460)-5),
IF(AND(D460="Audiobook",
              IFERROR(FIND("BIO",$B460)&gt;0,FALSE)),RIGHT(B460,LEN(B460)-3),
IF(D460="Juvenile Large Type","J "&amp;RIGHT(B460,LEN(B460)-11),
IF(D460="Teen Large Type","TEEN "&amp;RIGHT(B460,LEN(B460)-14),
IF(D460="Reference",RIGHT(B460,LEN(B460)-4),
IF(D460="DVD Educational",RIGHT(B460,LEN(B460)-7),
IF(D460="Juvenile DVD Educational",RIGHT(B460,LEN(B460)-9),
B460)))))))))))))))))</f>
        <v/>
      </c>
      <c r="N460" s="11" t="str">
        <f ca="1">IF(IFERROR(FIND("New",$A460)&gt;0,FALSE),"New ","") &amp; IF(IFERROR(FIND("In Lib",$A460)&gt;0,FALSE),"Reference ","") &amp;
IF(AND(D460="Audiobook",LEFT(B460,6)="CD BIO"),"Biography",
IF(AND(D460="Teen Audiobook",LEFT(B460,11)="TEEN CD BIO"),"Biography",
IF(AND(D460="Juvenile Audiobook",LEFT(B460,8)="J CD BIO"),"Biography",
IF(AND(D460="Audiobook",LEFT(B460,6)="CD FIC"),"Audiobook Fiction",
IF(AND(D460="Teen Audiobook",LEFT(B460,11)="TEEN CD FIC"),"Teen Audiobook",
IF(AND(D460="Juvenile Audiobook",LEFT(B460,8)="J CD FIC"),"Juvenile Audiobook",
IF(D460="Audiobook","Nonfiction",
IF(D460="Juvenile Audiobook","Nonfiction",
IF(D460="Teen Audiobook","Nonfiction",
IF(D460="Juvenile Nonfiction","Nonfiction",
IF(D460="Teen Nonfiction","Nonfiction",
IF(D460="Juvenile Biography","Biography",
IF(D460="Teen Biography","Biography",
IF(D460="ESL","Nonfiction",
IF(LEFT(B460,11)="INTL-VIE J ","International Juvenile",IF(LEFT(B460,11)="INTL-TAG J ","International Juvenile",IF(LEFT(B460,11)="INTL-RUS J ","International Juvenile",IF(LEFT(B460,11)="INTL-KOR J ","International Juvenile",IF(LEFT(B460,11)="INTL-JAP J ","International Juvenile",IF(LEFT(B460,11)="INTL-CHI J ","International Juvenile",IF(LEFT(B460,11)="INTL-SPA J ","International Juvenile",IF(LEFT(B460,14)="INTL-VIE TEEN ","International Teen",IF(LEFT(B460,14)="INTL-TAG TEEN ","International Teen",IF(LEFT(B460,14)="INTL-RUS TEEN ","International Teen",IF(LEFT(B460,14)="INTL-KOR TEEN ","International Teen",IF(LEFT(B460,14)="INTL-JAP TEEN ","International Teen",IF(LEFT(B460,14)="INTL-CHI TEEN ","International Teen",IF(LEFT(B460,14)="INTL-SPA TEEN ","International Teen",IF(LEFT(B460,11)="INTL-VIE E ","International Easy",IF(LEFT(B460,11)="INTL-TAG E ","International Easy",IF(LEFT(B460,11)="INTL-RUS E ","International Easy",IF(LEFT(B460,11)="INTL-JAP E ","International Easy",IF(LEFT(B460,11)="INTL-KOR E ","International Easy",IF(LEFT(B460,11)="INTL-CHI E ","International Easy",IF(LEFT(B460,11)="INTL-SPA E ","International Easy",
IF(D460="Teen Large Type","Teen Fiction",
IF(D460="Juvenile Large Type","Juvenile Fiction",
IF(LEFT(B460,6)="J CD O","Juvenile Compact Disc",
IF(AND(LEFT(B460,4)="TEEN",D460="Fiction"),"Teen Fiction",
IF(D460="DVD Educational","Nonfiction",
IF(D460="Juvenile DVD Educational","Nonfiction",
IF(D460="Reference","Nonfiction",
D460))))))))))))))))))))))))))))))))))))))))))</f>
        <v/>
      </c>
    </row>
    <row r="461" spans="1:14" ht="27" customHeight="1" x14ac:dyDescent="0.25">
      <c r="A461" s="10" t="str">
        <f ca="1">TEXT( INDIRECT( ADDRESS( ROW() + Row_Offset, INDIRECT( "Column_Number_" &amp; A$1), 4,1, tabname) ), "")</f>
        <v/>
      </c>
      <c r="B461" s="10" t="str">
        <f ca="1">TEXT(  IFERROR( VLOOKUP( $D461, CollName_Simplifier_Table[], 2, FALSE),"") &amp;
        INDIRECT( ADDRESS( ROW() + Row_Offset, INDIRECT( "Column_Number_" &amp; $B$1), 4,1, tabname) ), "")</f>
        <v/>
      </c>
      <c r="C461" s="10" t="str">
        <f ca="1">TEXT( INDIRECT( ADDRESS( ROW() + Row_Offset, INDIRECT( "Column_Number_" &amp; C$1), 4,1, tabname) ), "")</f>
        <v/>
      </c>
      <c r="D461" s="10" t="str">
        <f ca="1">TEXT( INDIRECT( ADDRESS( ROW() + Row_Offset, INDIRECT( "Column_Number_" &amp; D$1), 4,1, tabname) ), "")</f>
        <v/>
      </c>
      <c r="E461" s="10" t="str">
        <f ca="1">TEXT( INDIRECT( ADDRESS( ROW() + Row_Offset, INDIRECT( "Column_Number_" &amp; E$1), 4,1, tabname) ), "####")</f>
        <v/>
      </c>
      <c r="F461" s="15"/>
      <c r="G461" s="22" t="str">
        <f ca="1">IFERROR(INDEX(Rank_Table[],MATCH($D461&amp;$A461,Table4[Join],0)),"")</f>
        <v/>
      </c>
      <c r="H461" s="11" t="str">
        <f ca="1">IF(AND(D461="Juvenile Audiobook",LEFT(B461,8)="J CD BIO"),RIGHT(B461,LEN(B461)-9),
IF(AND(D461="Juvenile Audiobook",LEFT(B461,8)="J CD FIC"),B461,
IF(D461="Juvenile Audiobook",RIGHT(B461,LEN(B461)-5),
IF(AND(D461="Teen Audiobook",LEFT(B461,11)="TEEN CD BIO"),RIGHT(B461,LEN(B461)-12),
IF(AND(D461="Teen Audiobook",LEFT(B461,11)="TEEN CD FIC"),B461,
IF(D461="Juvenile Audiobook",RIGHT(B461,LEN(B461)-8),
IF(D461="Juvenile Nonfiction",RIGHT(B461,LEN(B461)-2),
IF(D461="Teen Nonfiction",RIGHT(B461,LEN(B461)-5),
IF(AND(D461="Audiobook",
              NOT(OR(Contains($B461,"CD BIO"),Contains($B461,"CD FIC")))),RIGHT(B461,LEN(B461)-3),
IF(D461="Juvenile Biography",RIGHT(B461,LEN(B461)-2),
IF(D461="Teen Biography",RIGHT(B461,LEN(B461)-5),
IF(AND(D461="Audiobook",
              IFERROR(FIND("BIO",$B461)&gt;0,FALSE)),RIGHT(B461,LEN(B461)-3),
IF(D461="Juvenile Large Type","J "&amp;RIGHT(B461,LEN(B461)-11),
IF(D461="Teen Large Type","TEEN "&amp;RIGHT(B461,LEN(B461)-14),
IF(D461="Reference",RIGHT(B461,LEN(B461)-4),
IF(D461="DVD Educational",RIGHT(B461,LEN(B461)-7),
IF(D461="Juvenile DVD Educational",RIGHT(B461,LEN(B461)-9),
B461)))))))))))))))))</f>
        <v/>
      </c>
      <c r="N461" s="11" t="str">
        <f ca="1">IF(IFERROR(FIND("New",$A461)&gt;0,FALSE),"New ","") &amp; IF(IFERROR(FIND("In Lib",$A461)&gt;0,FALSE),"Reference ","") &amp;
IF(AND(D461="Audiobook",LEFT(B461,6)="CD BIO"),"Biography",
IF(AND(D461="Teen Audiobook",LEFT(B461,11)="TEEN CD BIO"),"Biography",
IF(AND(D461="Juvenile Audiobook",LEFT(B461,8)="J CD BIO"),"Biography",
IF(AND(D461="Audiobook",LEFT(B461,6)="CD FIC"),"Audiobook Fiction",
IF(AND(D461="Teen Audiobook",LEFT(B461,11)="TEEN CD FIC"),"Teen Audiobook",
IF(AND(D461="Juvenile Audiobook",LEFT(B461,8)="J CD FIC"),"Juvenile Audiobook",
IF(D461="Audiobook","Nonfiction",
IF(D461="Juvenile Audiobook","Nonfiction",
IF(D461="Teen Audiobook","Nonfiction",
IF(D461="Juvenile Nonfiction","Nonfiction",
IF(D461="Teen Nonfiction","Nonfiction",
IF(D461="Juvenile Biography","Biography",
IF(D461="Teen Biography","Biography",
IF(D461="ESL","Nonfiction",
IF(LEFT(B461,11)="INTL-VIE J ","International Juvenile",IF(LEFT(B461,11)="INTL-TAG J ","International Juvenile",IF(LEFT(B461,11)="INTL-RUS J ","International Juvenile",IF(LEFT(B461,11)="INTL-KOR J ","International Juvenile",IF(LEFT(B461,11)="INTL-JAP J ","International Juvenile",IF(LEFT(B461,11)="INTL-CHI J ","International Juvenile",IF(LEFT(B461,11)="INTL-SPA J ","International Juvenile",IF(LEFT(B461,14)="INTL-VIE TEEN ","International Teen",IF(LEFT(B461,14)="INTL-TAG TEEN ","International Teen",IF(LEFT(B461,14)="INTL-RUS TEEN ","International Teen",IF(LEFT(B461,14)="INTL-KOR TEEN ","International Teen",IF(LEFT(B461,14)="INTL-JAP TEEN ","International Teen",IF(LEFT(B461,14)="INTL-CHI TEEN ","International Teen",IF(LEFT(B461,14)="INTL-SPA TEEN ","International Teen",IF(LEFT(B461,11)="INTL-VIE E ","International Easy",IF(LEFT(B461,11)="INTL-TAG E ","International Easy",IF(LEFT(B461,11)="INTL-RUS E ","International Easy",IF(LEFT(B461,11)="INTL-JAP E ","International Easy",IF(LEFT(B461,11)="INTL-KOR E ","International Easy",IF(LEFT(B461,11)="INTL-CHI E ","International Easy",IF(LEFT(B461,11)="INTL-SPA E ","International Easy",
IF(D461="Teen Large Type","Teen Fiction",
IF(D461="Juvenile Large Type","Juvenile Fiction",
IF(LEFT(B461,6)="J CD O","Juvenile Compact Disc",
IF(AND(LEFT(B461,4)="TEEN",D461="Fiction"),"Teen Fiction",
IF(D461="DVD Educational","Nonfiction",
IF(D461="Juvenile DVD Educational","Nonfiction",
IF(D461="Reference","Nonfiction",
D461))))))))))))))))))))))))))))))))))))))))))</f>
        <v/>
      </c>
    </row>
    <row r="462" spans="1:14" ht="27" customHeight="1" x14ac:dyDescent="0.25">
      <c r="A462" s="10" t="str">
        <f ca="1">TEXT( INDIRECT( ADDRESS( ROW() + Row_Offset, INDIRECT( "Column_Number_" &amp; A$1), 4,1, tabname) ), "")</f>
        <v/>
      </c>
      <c r="B462" s="10" t="str">
        <f ca="1">TEXT(  IFERROR( VLOOKUP( $D462, CollName_Simplifier_Table[], 2, FALSE),"") &amp;
        INDIRECT( ADDRESS( ROW() + Row_Offset, INDIRECT( "Column_Number_" &amp; $B$1), 4,1, tabname) ), "")</f>
        <v/>
      </c>
      <c r="C462" s="10" t="str">
        <f ca="1">TEXT( INDIRECT( ADDRESS( ROW() + Row_Offset, INDIRECT( "Column_Number_" &amp; C$1), 4,1, tabname) ), "")</f>
        <v/>
      </c>
      <c r="D462" s="10" t="str">
        <f ca="1">TEXT( INDIRECT( ADDRESS( ROW() + Row_Offset, INDIRECT( "Column_Number_" &amp; D$1), 4,1, tabname) ), "")</f>
        <v/>
      </c>
      <c r="E462" s="10" t="str">
        <f ca="1">TEXT( INDIRECT( ADDRESS( ROW() + Row_Offset, INDIRECT( "Column_Number_" &amp; E$1), 4,1, tabname) ), "####")</f>
        <v/>
      </c>
      <c r="F462" s="15"/>
      <c r="G462" s="22" t="str">
        <f ca="1">IFERROR(INDEX(Rank_Table[],MATCH($D462&amp;$A462,Table4[Join],0)),"")</f>
        <v/>
      </c>
      <c r="H462" s="11" t="str">
        <f ca="1">IF(AND(D462="Juvenile Audiobook",LEFT(B462,8)="J CD BIO"),RIGHT(B462,LEN(B462)-9),
IF(AND(D462="Juvenile Audiobook",LEFT(B462,8)="J CD FIC"),B462,
IF(D462="Juvenile Audiobook",RIGHT(B462,LEN(B462)-5),
IF(AND(D462="Teen Audiobook",LEFT(B462,11)="TEEN CD BIO"),RIGHT(B462,LEN(B462)-12),
IF(AND(D462="Teen Audiobook",LEFT(B462,11)="TEEN CD FIC"),B462,
IF(D462="Juvenile Audiobook",RIGHT(B462,LEN(B462)-8),
IF(D462="Juvenile Nonfiction",RIGHT(B462,LEN(B462)-2),
IF(D462="Teen Nonfiction",RIGHT(B462,LEN(B462)-5),
IF(AND(D462="Audiobook",
              NOT(OR(Contains($B462,"CD BIO"),Contains($B462,"CD FIC")))),RIGHT(B462,LEN(B462)-3),
IF(D462="Juvenile Biography",RIGHT(B462,LEN(B462)-2),
IF(D462="Teen Biography",RIGHT(B462,LEN(B462)-5),
IF(AND(D462="Audiobook",
              IFERROR(FIND("BIO",$B462)&gt;0,FALSE)),RIGHT(B462,LEN(B462)-3),
IF(D462="Juvenile Large Type","J "&amp;RIGHT(B462,LEN(B462)-11),
IF(D462="Teen Large Type","TEEN "&amp;RIGHT(B462,LEN(B462)-14),
IF(D462="Reference",RIGHT(B462,LEN(B462)-4),
IF(D462="DVD Educational",RIGHT(B462,LEN(B462)-7),
IF(D462="Juvenile DVD Educational",RIGHT(B462,LEN(B462)-9),
B462)))))))))))))))))</f>
        <v/>
      </c>
      <c r="N462" s="11" t="str">
        <f ca="1">IF(IFERROR(FIND("New",$A462)&gt;0,FALSE),"New ","") &amp; IF(IFERROR(FIND("In Lib",$A462)&gt;0,FALSE),"Reference ","") &amp;
IF(AND(D462="Audiobook",LEFT(B462,6)="CD BIO"),"Biography",
IF(AND(D462="Teen Audiobook",LEFT(B462,11)="TEEN CD BIO"),"Biography",
IF(AND(D462="Juvenile Audiobook",LEFT(B462,8)="J CD BIO"),"Biography",
IF(AND(D462="Audiobook",LEFT(B462,6)="CD FIC"),"Audiobook Fiction",
IF(AND(D462="Teen Audiobook",LEFT(B462,11)="TEEN CD FIC"),"Teen Audiobook",
IF(AND(D462="Juvenile Audiobook",LEFT(B462,8)="J CD FIC"),"Juvenile Audiobook",
IF(D462="Audiobook","Nonfiction",
IF(D462="Juvenile Audiobook","Nonfiction",
IF(D462="Teen Audiobook","Nonfiction",
IF(D462="Juvenile Nonfiction","Nonfiction",
IF(D462="Teen Nonfiction","Nonfiction",
IF(D462="Juvenile Biography","Biography",
IF(D462="Teen Biography","Biography",
IF(D462="ESL","Nonfiction",
IF(LEFT(B462,11)="INTL-VIE J ","International Juvenile",IF(LEFT(B462,11)="INTL-TAG J ","International Juvenile",IF(LEFT(B462,11)="INTL-RUS J ","International Juvenile",IF(LEFT(B462,11)="INTL-KOR J ","International Juvenile",IF(LEFT(B462,11)="INTL-JAP J ","International Juvenile",IF(LEFT(B462,11)="INTL-CHI J ","International Juvenile",IF(LEFT(B462,11)="INTL-SPA J ","International Juvenile",IF(LEFT(B462,14)="INTL-VIE TEEN ","International Teen",IF(LEFT(B462,14)="INTL-TAG TEEN ","International Teen",IF(LEFT(B462,14)="INTL-RUS TEEN ","International Teen",IF(LEFT(B462,14)="INTL-KOR TEEN ","International Teen",IF(LEFT(B462,14)="INTL-JAP TEEN ","International Teen",IF(LEFT(B462,14)="INTL-CHI TEEN ","International Teen",IF(LEFT(B462,14)="INTL-SPA TEEN ","International Teen",IF(LEFT(B462,11)="INTL-VIE E ","International Easy",IF(LEFT(B462,11)="INTL-TAG E ","International Easy",IF(LEFT(B462,11)="INTL-RUS E ","International Easy",IF(LEFT(B462,11)="INTL-JAP E ","International Easy",IF(LEFT(B462,11)="INTL-KOR E ","International Easy",IF(LEFT(B462,11)="INTL-CHI E ","International Easy",IF(LEFT(B462,11)="INTL-SPA E ","International Easy",
IF(D462="Teen Large Type","Teen Fiction",
IF(D462="Juvenile Large Type","Juvenile Fiction",
IF(LEFT(B462,6)="J CD O","Juvenile Compact Disc",
IF(AND(LEFT(B462,4)="TEEN",D462="Fiction"),"Teen Fiction",
IF(D462="DVD Educational","Nonfiction",
IF(D462="Juvenile DVD Educational","Nonfiction",
IF(D462="Reference","Nonfiction",
D462))))))))))))))))))))))))))))))))))))))))))</f>
        <v/>
      </c>
    </row>
    <row r="463" spans="1:14" ht="27" customHeight="1" x14ac:dyDescent="0.25">
      <c r="A463" s="10" t="str">
        <f ca="1">TEXT( INDIRECT( ADDRESS( ROW() + Row_Offset, INDIRECT( "Column_Number_" &amp; A$1), 4,1, tabname) ), "")</f>
        <v/>
      </c>
      <c r="B463" s="10" t="str">
        <f ca="1">TEXT(  IFERROR( VLOOKUP( $D463, CollName_Simplifier_Table[], 2, FALSE),"") &amp;
        INDIRECT( ADDRESS( ROW() + Row_Offset, INDIRECT( "Column_Number_" &amp; $B$1), 4,1, tabname) ), "")</f>
        <v/>
      </c>
      <c r="C463" s="10" t="str">
        <f ca="1">TEXT( INDIRECT( ADDRESS( ROW() + Row_Offset, INDIRECT( "Column_Number_" &amp; C$1), 4,1, tabname) ), "")</f>
        <v/>
      </c>
      <c r="D463" s="10" t="str">
        <f ca="1">TEXT( INDIRECT( ADDRESS( ROW() + Row_Offset, INDIRECT( "Column_Number_" &amp; D$1), 4,1, tabname) ), "")</f>
        <v/>
      </c>
      <c r="E463" s="10" t="str">
        <f ca="1">TEXT( INDIRECT( ADDRESS( ROW() + Row_Offset, INDIRECT( "Column_Number_" &amp; E$1), 4,1, tabname) ), "####")</f>
        <v/>
      </c>
      <c r="F463" s="15"/>
      <c r="G463" s="22" t="str">
        <f ca="1">IFERROR(INDEX(Rank_Table[],MATCH($D463&amp;$A463,Table4[Join],0)),"")</f>
        <v/>
      </c>
      <c r="H463" s="11" t="str">
        <f ca="1">IF(AND(D463="Juvenile Audiobook",LEFT(B463,8)="J CD BIO"),RIGHT(B463,LEN(B463)-9),
IF(AND(D463="Juvenile Audiobook",LEFT(B463,8)="J CD FIC"),B463,
IF(D463="Juvenile Audiobook",RIGHT(B463,LEN(B463)-5),
IF(AND(D463="Teen Audiobook",LEFT(B463,11)="TEEN CD BIO"),RIGHT(B463,LEN(B463)-12),
IF(AND(D463="Teen Audiobook",LEFT(B463,11)="TEEN CD FIC"),B463,
IF(D463="Juvenile Audiobook",RIGHT(B463,LEN(B463)-8),
IF(D463="Juvenile Nonfiction",RIGHT(B463,LEN(B463)-2),
IF(D463="Teen Nonfiction",RIGHT(B463,LEN(B463)-5),
IF(AND(D463="Audiobook",
              NOT(OR(Contains($B463,"CD BIO"),Contains($B463,"CD FIC")))),RIGHT(B463,LEN(B463)-3),
IF(D463="Juvenile Biography",RIGHT(B463,LEN(B463)-2),
IF(D463="Teen Biography",RIGHT(B463,LEN(B463)-5),
IF(AND(D463="Audiobook",
              IFERROR(FIND("BIO",$B463)&gt;0,FALSE)),RIGHT(B463,LEN(B463)-3),
IF(D463="Juvenile Large Type","J "&amp;RIGHT(B463,LEN(B463)-11),
IF(D463="Teen Large Type","TEEN "&amp;RIGHT(B463,LEN(B463)-14),
IF(D463="Reference",RIGHT(B463,LEN(B463)-4),
IF(D463="DVD Educational",RIGHT(B463,LEN(B463)-7),
IF(D463="Juvenile DVD Educational",RIGHT(B463,LEN(B463)-9),
B463)))))))))))))))))</f>
        <v/>
      </c>
      <c r="N463" s="11" t="str">
        <f ca="1">IF(IFERROR(FIND("New",$A463)&gt;0,FALSE),"New ","") &amp; IF(IFERROR(FIND("In Lib",$A463)&gt;0,FALSE),"Reference ","") &amp;
IF(AND(D463="Audiobook",LEFT(B463,6)="CD BIO"),"Biography",
IF(AND(D463="Teen Audiobook",LEFT(B463,11)="TEEN CD BIO"),"Biography",
IF(AND(D463="Juvenile Audiobook",LEFT(B463,8)="J CD BIO"),"Biography",
IF(AND(D463="Audiobook",LEFT(B463,6)="CD FIC"),"Audiobook Fiction",
IF(AND(D463="Teen Audiobook",LEFT(B463,11)="TEEN CD FIC"),"Teen Audiobook",
IF(AND(D463="Juvenile Audiobook",LEFT(B463,8)="J CD FIC"),"Juvenile Audiobook",
IF(D463="Audiobook","Nonfiction",
IF(D463="Juvenile Audiobook","Nonfiction",
IF(D463="Teen Audiobook","Nonfiction",
IF(D463="Juvenile Nonfiction","Nonfiction",
IF(D463="Teen Nonfiction","Nonfiction",
IF(D463="Juvenile Biography","Biography",
IF(D463="Teen Biography","Biography",
IF(D463="ESL","Nonfiction",
IF(LEFT(B463,11)="INTL-VIE J ","International Juvenile",IF(LEFT(B463,11)="INTL-TAG J ","International Juvenile",IF(LEFT(B463,11)="INTL-RUS J ","International Juvenile",IF(LEFT(B463,11)="INTL-KOR J ","International Juvenile",IF(LEFT(B463,11)="INTL-JAP J ","International Juvenile",IF(LEFT(B463,11)="INTL-CHI J ","International Juvenile",IF(LEFT(B463,11)="INTL-SPA J ","International Juvenile",IF(LEFT(B463,14)="INTL-VIE TEEN ","International Teen",IF(LEFT(B463,14)="INTL-TAG TEEN ","International Teen",IF(LEFT(B463,14)="INTL-RUS TEEN ","International Teen",IF(LEFT(B463,14)="INTL-KOR TEEN ","International Teen",IF(LEFT(B463,14)="INTL-JAP TEEN ","International Teen",IF(LEFT(B463,14)="INTL-CHI TEEN ","International Teen",IF(LEFT(B463,14)="INTL-SPA TEEN ","International Teen",IF(LEFT(B463,11)="INTL-VIE E ","International Easy",IF(LEFT(B463,11)="INTL-TAG E ","International Easy",IF(LEFT(B463,11)="INTL-RUS E ","International Easy",IF(LEFT(B463,11)="INTL-JAP E ","International Easy",IF(LEFT(B463,11)="INTL-KOR E ","International Easy",IF(LEFT(B463,11)="INTL-CHI E ","International Easy",IF(LEFT(B463,11)="INTL-SPA E ","International Easy",
IF(D463="Teen Large Type","Teen Fiction",
IF(D463="Juvenile Large Type","Juvenile Fiction",
IF(LEFT(B463,6)="J CD O","Juvenile Compact Disc",
IF(AND(LEFT(B463,4)="TEEN",D463="Fiction"),"Teen Fiction",
IF(D463="DVD Educational","Nonfiction",
IF(D463="Juvenile DVD Educational","Nonfiction",
IF(D463="Reference","Nonfiction",
D463))))))))))))))))))))))))))))))))))))))))))</f>
        <v/>
      </c>
    </row>
    <row r="464" spans="1:14" ht="27" customHeight="1" x14ac:dyDescent="0.25">
      <c r="A464" s="10" t="str">
        <f ca="1">TEXT( INDIRECT( ADDRESS( ROW() + Row_Offset, INDIRECT( "Column_Number_" &amp; A$1), 4,1, tabname) ), "")</f>
        <v/>
      </c>
      <c r="B464" s="10" t="str">
        <f ca="1">TEXT(  IFERROR( VLOOKUP( $D464, CollName_Simplifier_Table[], 2, FALSE),"") &amp;
        INDIRECT( ADDRESS( ROW() + Row_Offset, INDIRECT( "Column_Number_" &amp; $B$1), 4,1, tabname) ), "")</f>
        <v/>
      </c>
      <c r="C464" s="10" t="str">
        <f ca="1">TEXT( INDIRECT( ADDRESS( ROW() + Row_Offset, INDIRECT( "Column_Number_" &amp; C$1), 4,1, tabname) ), "")</f>
        <v/>
      </c>
      <c r="D464" s="10" t="str">
        <f ca="1">TEXT( INDIRECT( ADDRESS( ROW() + Row_Offset, INDIRECT( "Column_Number_" &amp; D$1), 4,1, tabname) ), "")</f>
        <v/>
      </c>
      <c r="E464" s="10" t="str">
        <f ca="1">TEXT( INDIRECT( ADDRESS( ROW() + Row_Offset, INDIRECT( "Column_Number_" &amp; E$1), 4,1, tabname) ), "####")</f>
        <v/>
      </c>
      <c r="F464" s="15"/>
      <c r="G464" s="22" t="str">
        <f ca="1">IFERROR(INDEX(Rank_Table[],MATCH($D464&amp;$A464,Table4[Join],0)),"")</f>
        <v/>
      </c>
      <c r="H464" s="11" t="str">
        <f ca="1">IF(AND(D464="Juvenile Audiobook",LEFT(B464,8)="J CD BIO"),RIGHT(B464,LEN(B464)-9),
IF(AND(D464="Juvenile Audiobook",LEFT(B464,8)="J CD FIC"),B464,
IF(D464="Juvenile Audiobook",RIGHT(B464,LEN(B464)-5),
IF(AND(D464="Teen Audiobook",LEFT(B464,11)="TEEN CD BIO"),RIGHT(B464,LEN(B464)-12),
IF(AND(D464="Teen Audiobook",LEFT(B464,11)="TEEN CD FIC"),B464,
IF(D464="Juvenile Audiobook",RIGHT(B464,LEN(B464)-8),
IF(D464="Juvenile Nonfiction",RIGHT(B464,LEN(B464)-2),
IF(D464="Teen Nonfiction",RIGHT(B464,LEN(B464)-5),
IF(AND(D464="Audiobook",
              NOT(OR(Contains($B464,"CD BIO"),Contains($B464,"CD FIC")))),RIGHT(B464,LEN(B464)-3),
IF(D464="Juvenile Biography",RIGHT(B464,LEN(B464)-2),
IF(D464="Teen Biography",RIGHT(B464,LEN(B464)-5),
IF(AND(D464="Audiobook",
              IFERROR(FIND("BIO",$B464)&gt;0,FALSE)),RIGHT(B464,LEN(B464)-3),
IF(D464="Juvenile Large Type","J "&amp;RIGHT(B464,LEN(B464)-11),
IF(D464="Teen Large Type","TEEN "&amp;RIGHT(B464,LEN(B464)-14),
IF(D464="Reference",RIGHT(B464,LEN(B464)-4),
IF(D464="DVD Educational",RIGHT(B464,LEN(B464)-7),
IF(D464="Juvenile DVD Educational",RIGHT(B464,LEN(B464)-9),
B464)))))))))))))))))</f>
        <v/>
      </c>
      <c r="N464" s="11" t="str">
        <f ca="1">IF(IFERROR(FIND("New",$A464)&gt;0,FALSE),"New ","") &amp; IF(IFERROR(FIND("In Lib",$A464)&gt;0,FALSE),"Reference ","") &amp;
IF(AND(D464="Audiobook",LEFT(B464,6)="CD BIO"),"Biography",
IF(AND(D464="Teen Audiobook",LEFT(B464,11)="TEEN CD BIO"),"Biography",
IF(AND(D464="Juvenile Audiobook",LEFT(B464,8)="J CD BIO"),"Biography",
IF(AND(D464="Audiobook",LEFT(B464,6)="CD FIC"),"Audiobook Fiction",
IF(AND(D464="Teen Audiobook",LEFT(B464,11)="TEEN CD FIC"),"Teen Audiobook",
IF(AND(D464="Juvenile Audiobook",LEFT(B464,8)="J CD FIC"),"Juvenile Audiobook",
IF(D464="Audiobook","Nonfiction",
IF(D464="Juvenile Audiobook","Nonfiction",
IF(D464="Teen Audiobook","Nonfiction",
IF(D464="Juvenile Nonfiction","Nonfiction",
IF(D464="Teen Nonfiction","Nonfiction",
IF(D464="Juvenile Biography","Biography",
IF(D464="Teen Biography","Biography",
IF(D464="ESL","Nonfiction",
IF(LEFT(B464,11)="INTL-VIE J ","International Juvenile",IF(LEFT(B464,11)="INTL-TAG J ","International Juvenile",IF(LEFT(B464,11)="INTL-RUS J ","International Juvenile",IF(LEFT(B464,11)="INTL-KOR J ","International Juvenile",IF(LEFT(B464,11)="INTL-JAP J ","International Juvenile",IF(LEFT(B464,11)="INTL-CHI J ","International Juvenile",IF(LEFT(B464,11)="INTL-SPA J ","International Juvenile",IF(LEFT(B464,14)="INTL-VIE TEEN ","International Teen",IF(LEFT(B464,14)="INTL-TAG TEEN ","International Teen",IF(LEFT(B464,14)="INTL-RUS TEEN ","International Teen",IF(LEFT(B464,14)="INTL-KOR TEEN ","International Teen",IF(LEFT(B464,14)="INTL-JAP TEEN ","International Teen",IF(LEFT(B464,14)="INTL-CHI TEEN ","International Teen",IF(LEFT(B464,14)="INTL-SPA TEEN ","International Teen",IF(LEFT(B464,11)="INTL-VIE E ","International Easy",IF(LEFT(B464,11)="INTL-TAG E ","International Easy",IF(LEFT(B464,11)="INTL-RUS E ","International Easy",IF(LEFT(B464,11)="INTL-JAP E ","International Easy",IF(LEFT(B464,11)="INTL-KOR E ","International Easy",IF(LEFT(B464,11)="INTL-CHI E ","International Easy",IF(LEFT(B464,11)="INTL-SPA E ","International Easy",
IF(D464="Teen Large Type","Teen Fiction",
IF(D464="Juvenile Large Type","Juvenile Fiction",
IF(LEFT(B464,6)="J CD O","Juvenile Compact Disc",
IF(AND(LEFT(B464,4)="TEEN",D464="Fiction"),"Teen Fiction",
IF(D464="DVD Educational","Nonfiction",
IF(D464="Juvenile DVD Educational","Nonfiction",
IF(D464="Reference","Nonfiction",
D464))))))))))))))))))))))))))))))))))))))))))</f>
        <v/>
      </c>
    </row>
    <row r="465" spans="1:14" ht="27" customHeight="1" x14ac:dyDescent="0.25">
      <c r="A465" s="10" t="str">
        <f ca="1">TEXT( INDIRECT( ADDRESS( ROW() + Row_Offset, INDIRECT( "Column_Number_" &amp; A$1), 4,1, tabname) ), "")</f>
        <v/>
      </c>
      <c r="B465" s="10" t="str">
        <f ca="1">TEXT(  IFERROR( VLOOKUP( $D465, CollName_Simplifier_Table[], 2, FALSE),"") &amp;
        INDIRECT( ADDRESS( ROW() + Row_Offset, INDIRECT( "Column_Number_" &amp; $B$1), 4,1, tabname) ), "")</f>
        <v/>
      </c>
      <c r="C465" s="10" t="str">
        <f ca="1">TEXT( INDIRECT( ADDRESS( ROW() + Row_Offset, INDIRECT( "Column_Number_" &amp; C$1), 4,1, tabname) ), "")</f>
        <v/>
      </c>
      <c r="D465" s="10" t="str">
        <f ca="1">TEXT( INDIRECT( ADDRESS( ROW() + Row_Offset, INDIRECT( "Column_Number_" &amp; D$1), 4,1, tabname) ), "")</f>
        <v/>
      </c>
      <c r="E465" s="10" t="str">
        <f ca="1">TEXT( INDIRECT( ADDRESS( ROW() + Row_Offset, INDIRECT( "Column_Number_" &amp; E$1), 4,1, tabname) ), "####")</f>
        <v/>
      </c>
      <c r="F465" s="15"/>
      <c r="G465" s="22" t="str">
        <f ca="1">IFERROR(INDEX(Rank_Table[],MATCH($D465&amp;$A465,Table4[Join],0)),"")</f>
        <v/>
      </c>
      <c r="H465" s="11" t="str">
        <f ca="1">IF(AND(D465="Juvenile Audiobook",LEFT(B465,8)="J CD BIO"),RIGHT(B465,LEN(B465)-9),
IF(AND(D465="Juvenile Audiobook",LEFT(B465,8)="J CD FIC"),B465,
IF(D465="Juvenile Audiobook",RIGHT(B465,LEN(B465)-5),
IF(AND(D465="Teen Audiobook",LEFT(B465,11)="TEEN CD BIO"),RIGHT(B465,LEN(B465)-12),
IF(AND(D465="Teen Audiobook",LEFT(B465,11)="TEEN CD FIC"),B465,
IF(D465="Juvenile Audiobook",RIGHT(B465,LEN(B465)-8),
IF(D465="Juvenile Nonfiction",RIGHT(B465,LEN(B465)-2),
IF(D465="Teen Nonfiction",RIGHT(B465,LEN(B465)-5),
IF(AND(D465="Audiobook",
              NOT(OR(Contains($B465,"CD BIO"),Contains($B465,"CD FIC")))),RIGHT(B465,LEN(B465)-3),
IF(D465="Juvenile Biography",RIGHT(B465,LEN(B465)-2),
IF(D465="Teen Biography",RIGHT(B465,LEN(B465)-5),
IF(AND(D465="Audiobook",
              IFERROR(FIND("BIO",$B465)&gt;0,FALSE)),RIGHT(B465,LEN(B465)-3),
IF(D465="Juvenile Large Type","J "&amp;RIGHT(B465,LEN(B465)-11),
IF(D465="Teen Large Type","TEEN "&amp;RIGHT(B465,LEN(B465)-14),
IF(D465="Reference",RIGHT(B465,LEN(B465)-4),
IF(D465="DVD Educational",RIGHT(B465,LEN(B465)-7),
IF(D465="Juvenile DVD Educational",RIGHT(B465,LEN(B465)-9),
B465)))))))))))))))))</f>
        <v/>
      </c>
      <c r="N465" s="11" t="str">
        <f ca="1">IF(IFERROR(FIND("New",$A465)&gt;0,FALSE),"New ","") &amp; IF(IFERROR(FIND("In Lib",$A465)&gt;0,FALSE),"Reference ","") &amp;
IF(AND(D465="Audiobook",LEFT(B465,6)="CD BIO"),"Biography",
IF(AND(D465="Teen Audiobook",LEFT(B465,11)="TEEN CD BIO"),"Biography",
IF(AND(D465="Juvenile Audiobook",LEFT(B465,8)="J CD BIO"),"Biography",
IF(AND(D465="Audiobook",LEFT(B465,6)="CD FIC"),"Audiobook Fiction",
IF(AND(D465="Teen Audiobook",LEFT(B465,11)="TEEN CD FIC"),"Teen Audiobook",
IF(AND(D465="Juvenile Audiobook",LEFT(B465,8)="J CD FIC"),"Juvenile Audiobook",
IF(D465="Audiobook","Nonfiction",
IF(D465="Juvenile Audiobook","Nonfiction",
IF(D465="Teen Audiobook","Nonfiction",
IF(D465="Juvenile Nonfiction","Nonfiction",
IF(D465="Teen Nonfiction","Nonfiction",
IF(D465="Juvenile Biography","Biography",
IF(D465="Teen Biography","Biography",
IF(D465="ESL","Nonfiction",
IF(LEFT(B465,11)="INTL-VIE J ","International Juvenile",IF(LEFT(B465,11)="INTL-TAG J ","International Juvenile",IF(LEFT(B465,11)="INTL-RUS J ","International Juvenile",IF(LEFT(B465,11)="INTL-KOR J ","International Juvenile",IF(LEFT(B465,11)="INTL-JAP J ","International Juvenile",IF(LEFT(B465,11)="INTL-CHI J ","International Juvenile",IF(LEFT(B465,11)="INTL-SPA J ","International Juvenile",IF(LEFT(B465,14)="INTL-VIE TEEN ","International Teen",IF(LEFT(B465,14)="INTL-TAG TEEN ","International Teen",IF(LEFT(B465,14)="INTL-RUS TEEN ","International Teen",IF(LEFT(B465,14)="INTL-KOR TEEN ","International Teen",IF(LEFT(B465,14)="INTL-JAP TEEN ","International Teen",IF(LEFT(B465,14)="INTL-CHI TEEN ","International Teen",IF(LEFT(B465,14)="INTL-SPA TEEN ","International Teen",IF(LEFT(B465,11)="INTL-VIE E ","International Easy",IF(LEFT(B465,11)="INTL-TAG E ","International Easy",IF(LEFT(B465,11)="INTL-RUS E ","International Easy",IF(LEFT(B465,11)="INTL-JAP E ","International Easy",IF(LEFT(B465,11)="INTL-KOR E ","International Easy",IF(LEFT(B465,11)="INTL-CHI E ","International Easy",IF(LEFT(B465,11)="INTL-SPA E ","International Easy",
IF(D465="Teen Large Type","Teen Fiction",
IF(D465="Juvenile Large Type","Juvenile Fiction",
IF(LEFT(B465,6)="J CD O","Juvenile Compact Disc",
IF(AND(LEFT(B465,4)="TEEN",D465="Fiction"),"Teen Fiction",
IF(D465="DVD Educational","Nonfiction",
IF(D465="Juvenile DVD Educational","Nonfiction",
IF(D465="Reference","Nonfiction",
D465))))))))))))))))))))))))))))))))))))))))))</f>
        <v/>
      </c>
    </row>
    <row r="466" spans="1:14" ht="27" customHeight="1" x14ac:dyDescent="0.25">
      <c r="A466" s="10" t="str">
        <f ca="1">TEXT( INDIRECT( ADDRESS( ROW() + Row_Offset, INDIRECT( "Column_Number_" &amp; A$1), 4,1, tabname) ), "")</f>
        <v/>
      </c>
      <c r="B466" s="10" t="str">
        <f ca="1">TEXT(  IFERROR( VLOOKUP( $D466, CollName_Simplifier_Table[], 2, FALSE),"") &amp;
        INDIRECT( ADDRESS( ROW() + Row_Offset, INDIRECT( "Column_Number_" &amp; $B$1), 4,1, tabname) ), "")</f>
        <v/>
      </c>
      <c r="C466" s="10" t="str">
        <f ca="1">TEXT( INDIRECT( ADDRESS( ROW() + Row_Offset, INDIRECT( "Column_Number_" &amp; C$1), 4,1, tabname) ), "")</f>
        <v/>
      </c>
      <c r="D466" s="10" t="str">
        <f ca="1">TEXT( INDIRECT( ADDRESS( ROW() + Row_Offset, INDIRECT( "Column_Number_" &amp; D$1), 4,1, tabname) ), "")</f>
        <v/>
      </c>
      <c r="E466" s="10" t="str">
        <f ca="1">TEXT( INDIRECT( ADDRESS( ROW() + Row_Offset, INDIRECT( "Column_Number_" &amp; E$1), 4,1, tabname) ), "####")</f>
        <v/>
      </c>
      <c r="F466" s="15"/>
      <c r="G466" s="22" t="str">
        <f ca="1">IFERROR(INDEX(Rank_Table[],MATCH($D466&amp;$A466,Table4[Join],0)),"")</f>
        <v/>
      </c>
      <c r="H466" s="11" t="str">
        <f ca="1">IF(AND(D466="Juvenile Audiobook",LEFT(B466,8)="J CD BIO"),RIGHT(B466,LEN(B466)-9),
IF(AND(D466="Juvenile Audiobook",LEFT(B466,8)="J CD FIC"),B466,
IF(D466="Juvenile Audiobook",RIGHT(B466,LEN(B466)-5),
IF(AND(D466="Teen Audiobook",LEFT(B466,11)="TEEN CD BIO"),RIGHT(B466,LEN(B466)-12),
IF(AND(D466="Teen Audiobook",LEFT(B466,11)="TEEN CD FIC"),B466,
IF(D466="Juvenile Audiobook",RIGHT(B466,LEN(B466)-8),
IF(D466="Juvenile Nonfiction",RIGHT(B466,LEN(B466)-2),
IF(D466="Teen Nonfiction",RIGHT(B466,LEN(B466)-5),
IF(AND(D466="Audiobook",
              NOT(OR(Contains($B466,"CD BIO"),Contains($B466,"CD FIC")))),RIGHT(B466,LEN(B466)-3),
IF(D466="Juvenile Biography",RIGHT(B466,LEN(B466)-2),
IF(D466="Teen Biography",RIGHT(B466,LEN(B466)-5),
IF(AND(D466="Audiobook",
              IFERROR(FIND("BIO",$B466)&gt;0,FALSE)),RIGHT(B466,LEN(B466)-3),
IF(D466="Juvenile Large Type","J "&amp;RIGHT(B466,LEN(B466)-11),
IF(D466="Teen Large Type","TEEN "&amp;RIGHT(B466,LEN(B466)-14),
IF(D466="Reference",RIGHT(B466,LEN(B466)-4),
IF(D466="DVD Educational",RIGHT(B466,LEN(B466)-7),
IF(D466="Juvenile DVD Educational",RIGHT(B466,LEN(B466)-9),
B466)))))))))))))))))</f>
        <v/>
      </c>
      <c r="N466" s="11" t="str">
        <f ca="1">IF(IFERROR(FIND("New",$A466)&gt;0,FALSE),"New ","") &amp; IF(IFERROR(FIND("In Lib",$A466)&gt;0,FALSE),"Reference ","") &amp;
IF(AND(D466="Audiobook",LEFT(B466,6)="CD BIO"),"Biography",
IF(AND(D466="Teen Audiobook",LEFT(B466,11)="TEEN CD BIO"),"Biography",
IF(AND(D466="Juvenile Audiobook",LEFT(B466,8)="J CD BIO"),"Biography",
IF(AND(D466="Audiobook",LEFT(B466,6)="CD FIC"),"Audiobook Fiction",
IF(AND(D466="Teen Audiobook",LEFT(B466,11)="TEEN CD FIC"),"Teen Audiobook",
IF(AND(D466="Juvenile Audiobook",LEFT(B466,8)="J CD FIC"),"Juvenile Audiobook",
IF(D466="Audiobook","Nonfiction",
IF(D466="Juvenile Audiobook","Nonfiction",
IF(D466="Teen Audiobook","Nonfiction",
IF(D466="Juvenile Nonfiction","Nonfiction",
IF(D466="Teen Nonfiction","Nonfiction",
IF(D466="Juvenile Biography","Biography",
IF(D466="Teen Biography","Biography",
IF(D466="ESL","Nonfiction",
IF(LEFT(B466,11)="INTL-VIE J ","International Juvenile",IF(LEFT(B466,11)="INTL-TAG J ","International Juvenile",IF(LEFT(B466,11)="INTL-RUS J ","International Juvenile",IF(LEFT(B466,11)="INTL-KOR J ","International Juvenile",IF(LEFT(B466,11)="INTL-JAP J ","International Juvenile",IF(LEFT(B466,11)="INTL-CHI J ","International Juvenile",IF(LEFT(B466,11)="INTL-SPA J ","International Juvenile",IF(LEFT(B466,14)="INTL-VIE TEEN ","International Teen",IF(LEFT(B466,14)="INTL-TAG TEEN ","International Teen",IF(LEFT(B466,14)="INTL-RUS TEEN ","International Teen",IF(LEFT(B466,14)="INTL-KOR TEEN ","International Teen",IF(LEFT(B466,14)="INTL-JAP TEEN ","International Teen",IF(LEFT(B466,14)="INTL-CHI TEEN ","International Teen",IF(LEFT(B466,14)="INTL-SPA TEEN ","International Teen",IF(LEFT(B466,11)="INTL-VIE E ","International Easy",IF(LEFT(B466,11)="INTL-TAG E ","International Easy",IF(LEFT(B466,11)="INTL-RUS E ","International Easy",IF(LEFT(B466,11)="INTL-JAP E ","International Easy",IF(LEFT(B466,11)="INTL-KOR E ","International Easy",IF(LEFT(B466,11)="INTL-CHI E ","International Easy",IF(LEFT(B466,11)="INTL-SPA E ","International Easy",
IF(D466="Teen Large Type","Teen Fiction",
IF(D466="Juvenile Large Type","Juvenile Fiction",
IF(LEFT(B466,6)="J CD O","Juvenile Compact Disc",
IF(AND(LEFT(B466,4)="TEEN",D466="Fiction"),"Teen Fiction",
IF(D466="DVD Educational","Nonfiction",
IF(D466="Juvenile DVD Educational","Nonfiction",
IF(D466="Reference","Nonfiction",
D466))))))))))))))))))))))))))))))))))))))))))</f>
        <v/>
      </c>
    </row>
    <row r="467" spans="1:14" ht="27" customHeight="1" x14ac:dyDescent="0.25">
      <c r="A467" s="10" t="str">
        <f ca="1">TEXT( INDIRECT( ADDRESS( ROW() + Row_Offset, INDIRECT( "Column_Number_" &amp; A$1), 4,1, tabname) ), "")</f>
        <v/>
      </c>
      <c r="B467" s="10" t="str">
        <f ca="1">TEXT(  IFERROR( VLOOKUP( $D467, CollName_Simplifier_Table[], 2, FALSE),"") &amp;
        INDIRECT( ADDRESS( ROW() + Row_Offset, INDIRECT( "Column_Number_" &amp; $B$1), 4,1, tabname) ), "")</f>
        <v/>
      </c>
      <c r="C467" s="10" t="str">
        <f ca="1">TEXT( INDIRECT( ADDRESS( ROW() + Row_Offset, INDIRECT( "Column_Number_" &amp; C$1), 4,1, tabname) ), "")</f>
        <v/>
      </c>
      <c r="D467" s="10" t="str">
        <f ca="1">TEXT( INDIRECT( ADDRESS( ROW() + Row_Offset, INDIRECT( "Column_Number_" &amp; D$1), 4,1, tabname) ), "")</f>
        <v/>
      </c>
      <c r="E467" s="10" t="str">
        <f ca="1">TEXT( INDIRECT( ADDRESS( ROW() + Row_Offset, INDIRECT( "Column_Number_" &amp; E$1), 4,1, tabname) ), "####")</f>
        <v/>
      </c>
      <c r="F467" s="15"/>
      <c r="G467" s="22" t="str">
        <f ca="1">IFERROR(INDEX(Rank_Table[],MATCH($D467&amp;$A467,Table4[Join],0)),"")</f>
        <v/>
      </c>
      <c r="H467" s="11" t="str">
        <f ca="1">IF(AND(D467="Juvenile Audiobook",LEFT(B467,8)="J CD BIO"),RIGHT(B467,LEN(B467)-9),
IF(AND(D467="Juvenile Audiobook",LEFT(B467,8)="J CD FIC"),B467,
IF(D467="Juvenile Audiobook",RIGHT(B467,LEN(B467)-5),
IF(AND(D467="Teen Audiobook",LEFT(B467,11)="TEEN CD BIO"),RIGHT(B467,LEN(B467)-12),
IF(AND(D467="Teen Audiobook",LEFT(B467,11)="TEEN CD FIC"),B467,
IF(D467="Juvenile Audiobook",RIGHT(B467,LEN(B467)-8),
IF(D467="Juvenile Nonfiction",RIGHT(B467,LEN(B467)-2),
IF(D467="Teen Nonfiction",RIGHT(B467,LEN(B467)-5),
IF(AND(D467="Audiobook",
              NOT(OR(Contains($B467,"CD BIO"),Contains($B467,"CD FIC")))),RIGHT(B467,LEN(B467)-3),
IF(D467="Juvenile Biography",RIGHT(B467,LEN(B467)-2),
IF(D467="Teen Biography",RIGHT(B467,LEN(B467)-5),
IF(AND(D467="Audiobook",
              IFERROR(FIND("BIO",$B467)&gt;0,FALSE)),RIGHT(B467,LEN(B467)-3),
IF(D467="Juvenile Large Type","J "&amp;RIGHT(B467,LEN(B467)-11),
IF(D467="Teen Large Type","TEEN "&amp;RIGHT(B467,LEN(B467)-14),
IF(D467="Reference",RIGHT(B467,LEN(B467)-4),
IF(D467="DVD Educational",RIGHT(B467,LEN(B467)-7),
IF(D467="Juvenile DVD Educational",RIGHT(B467,LEN(B467)-9),
B467)))))))))))))))))</f>
        <v/>
      </c>
      <c r="N467" s="11" t="str">
        <f ca="1">IF(IFERROR(FIND("New",$A467)&gt;0,FALSE),"New ","") &amp; IF(IFERROR(FIND("In Lib",$A467)&gt;0,FALSE),"Reference ","") &amp;
IF(AND(D467="Audiobook",LEFT(B467,6)="CD BIO"),"Biography",
IF(AND(D467="Teen Audiobook",LEFT(B467,11)="TEEN CD BIO"),"Biography",
IF(AND(D467="Juvenile Audiobook",LEFT(B467,8)="J CD BIO"),"Biography",
IF(AND(D467="Audiobook",LEFT(B467,6)="CD FIC"),"Audiobook Fiction",
IF(AND(D467="Teen Audiobook",LEFT(B467,11)="TEEN CD FIC"),"Teen Audiobook",
IF(AND(D467="Juvenile Audiobook",LEFT(B467,8)="J CD FIC"),"Juvenile Audiobook",
IF(D467="Audiobook","Nonfiction",
IF(D467="Juvenile Audiobook","Nonfiction",
IF(D467="Teen Audiobook","Nonfiction",
IF(D467="Juvenile Nonfiction","Nonfiction",
IF(D467="Teen Nonfiction","Nonfiction",
IF(D467="Juvenile Biography","Biography",
IF(D467="Teen Biography","Biography",
IF(D467="ESL","Nonfiction",
IF(LEFT(B467,11)="INTL-VIE J ","International Juvenile",IF(LEFT(B467,11)="INTL-TAG J ","International Juvenile",IF(LEFT(B467,11)="INTL-RUS J ","International Juvenile",IF(LEFT(B467,11)="INTL-KOR J ","International Juvenile",IF(LEFT(B467,11)="INTL-JAP J ","International Juvenile",IF(LEFT(B467,11)="INTL-CHI J ","International Juvenile",IF(LEFT(B467,11)="INTL-SPA J ","International Juvenile",IF(LEFT(B467,14)="INTL-VIE TEEN ","International Teen",IF(LEFT(B467,14)="INTL-TAG TEEN ","International Teen",IF(LEFT(B467,14)="INTL-RUS TEEN ","International Teen",IF(LEFT(B467,14)="INTL-KOR TEEN ","International Teen",IF(LEFT(B467,14)="INTL-JAP TEEN ","International Teen",IF(LEFT(B467,14)="INTL-CHI TEEN ","International Teen",IF(LEFT(B467,14)="INTL-SPA TEEN ","International Teen",IF(LEFT(B467,11)="INTL-VIE E ","International Easy",IF(LEFT(B467,11)="INTL-TAG E ","International Easy",IF(LEFT(B467,11)="INTL-RUS E ","International Easy",IF(LEFT(B467,11)="INTL-JAP E ","International Easy",IF(LEFT(B467,11)="INTL-KOR E ","International Easy",IF(LEFT(B467,11)="INTL-CHI E ","International Easy",IF(LEFT(B467,11)="INTL-SPA E ","International Easy",
IF(D467="Teen Large Type","Teen Fiction",
IF(D467="Juvenile Large Type","Juvenile Fiction",
IF(LEFT(B467,6)="J CD O","Juvenile Compact Disc",
IF(AND(LEFT(B467,4)="TEEN",D467="Fiction"),"Teen Fiction",
IF(D467="DVD Educational","Nonfiction",
IF(D467="Juvenile DVD Educational","Nonfiction",
IF(D467="Reference","Nonfiction",
D467))))))))))))))))))))))))))))))))))))))))))</f>
        <v/>
      </c>
    </row>
    <row r="468" spans="1:14" ht="27" customHeight="1" x14ac:dyDescent="0.25">
      <c r="A468" s="10" t="str">
        <f ca="1">TEXT( INDIRECT( ADDRESS( ROW() + Row_Offset, INDIRECT( "Column_Number_" &amp; A$1), 4,1, tabname) ), "")</f>
        <v/>
      </c>
      <c r="B468" s="10" t="str">
        <f ca="1">TEXT(  IFERROR( VLOOKUP( $D468, CollName_Simplifier_Table[], 2, FALSE),"") &amp;
        INDIRECT( ADDRESS( ROW() + Row_Offset, INDIRECT( "Column_Number_" &amp; $B$1), 4,1, tabname) ), "")</f>
        <v/>
      </c>
      <c r="C468" s="10" t="str">
        <f ca="1">TEXT( INDIRECT( ADDRESS( ROW() + Row_Offset, INDIRECT( "Column_Number_" &amp; C$1), 4,1, tabname) ), "")</f>
        <v/>
      </c>
      <c r="D468" s="10" t="str">
        <f ca="1">TEXT( INDIRECT( ADDRESS( ROW() + Row_Offset, INDIRECT( "Column_Number_" &amp; D$1), 4,1, tabname) ), "")</f>
        <v/>
      </c>
      <c r="E468" s="10" t="str">
        <f ca="1">TEXT( INDIRECT( ADDRESS( ROW() + Row_Offset, INDIRECT( "Column_Number_" &amp; E$1), 4,1, tabname) ), "####")</f>
        <v/>
      </c>
      <c r="F468" s="15"/>
      <c r="G468" s="22" t="str">
        <f ca="1">IFERROR(INDEX(Rank_Table[],MATCH($D468&amp;$A468,Table4[Join],0)),"")</f>
        <v/>
      </c>
      <c r="H468" s="11" t="str">
        <f ca="1">IF(AND(D468="Juvenile Audiobook",LEFT(B468,8)="J CD BIO"),RIGHT(B468,LEN(B468)-9),
IF(AND(D468="Juvenile Audiobook",LEFT(B468,8)="J CD FIC"),B468,
IF(D468="Juvenile Audiobook",RIGHT(B468,LEN(B468)-5),
IF(AND(D468="Teen Audiobook",LEFT(B468,11)="TEEN CD BIO"),RIGHT(B468,LEN(B468)-12),
IF(AND(D468="Teen Audiobook",LEFT(B468,11)="TEEN CD FIC"),B468,
IF(D468="Juvenile Audiobook",RIGHT(B468,LEN(B468)-8),
IF(D468="Juvenile Nonfiction",RIGHT(B468,LEN(B468)-2),
IF(D468="Teen Nonfiction",RIGHT(B468,LEN(B468)-5),
IF(AND(D468="Audiobook",
              NOT(OR(Contains($B468,"CD BIO"),Contains($B468,"CD FIC")))),RIGHT(B468,LEN(B468)-3),
IF(D468="Juvenile Biography",RIGHT(B468,LEN(B468)-2),
IF(D468="Teen Biography",RIGHT(B468,LEN(B468)-5),
IF(AND(D468="Audiobook",
              IFERROR(FIND("BIO",$B468)&gt;0,FALSE)),RIGHT(B468,LEN(B468)-3),
IF(D468="Juvenile Large Type","J "&amp;RIGHT(B468,LEN(B468)-11),
IF(D468="Teen Large Type","TEEN "&amp;RIGHT(B468,LEN(B468)-14),
IF(D468="Reference",RIGHT(B468,LEN(B468)-4),
IF(D468="DVD Educational",RIGHT(B468,LEN(B468)-7),
IF(D468="Juvenile DVD Educational",RIGHT(B468,LEN(B468)-9),
B468)))))))))))))))))</f>
        <v/>
      </c>
      <c r="N468" s="11" t="str">
        <f ca="1">IF(IFERROR(FIND("New",$A468)&gt;0,FALSE),"New ","") &amp; IF(IFERROR(FIND("In Lib",$A468)&gt;0,FALSE),"Reference ","") &amp;
IF(AND(D468="Audiobook",LEFT(B468,6)="CD BIO"),"Biography",
IF(AND(D468="Teen Audiobook",LEFT(B468,11)="TEEN CD BIO"),"Biography",
IF(AND(D468="Juvenile Audiobook",LEFT(B468,8)="J CD BIO"),"Biography",
IF(AND(D468="Audiobook",LEFT(B468,6)="CD FIC"),"Audiobook Fiction",
IF(AND(D468="Teen Audiobook",LEFT(B468,11)="TEEN CD FIC"),"Teen Audiobook",
IF(AND(D468="Juvenile Audiobook",LEFT(B468,8)="J CD FIC"),"Juvenile Audiobook",
IF(D468="Audiobook","Nonfiction",
IF(D468="Juvenile Audiobook","Nonfiction",
IF(D468="Teen Audiobook","Nonfiction",
IF(D468="Juvenile Nonfiction","Nonfiction",
IF(D468="Teen Nonfiction","Nonfiction",
IF(D468="Juvenile Biography","Biography",
IF(D468="Teen Biography","Biography",
IF(D468="ESL","Nonfiction",
IF(LEFT(B468,11)="INTL-VIE J ","International Juvenile",IF(LEFT(B468,11)="INTL-TAG J ","International Juvenile",IF(LEFT(B468,11)="INTL-RUS J ","International Juvenile",IF(LEFT(B468,11)="INTL-KOR J ","International Juvenile",IF(LEFT(B468,11)="INTL-JAP J ","International Juvenile",IF(LEFT(B468,11)="INTL-CHI J ","International Juvenile",IF(LEFT(B468,11)="INTL-SPA J ","International Juvenile",IF(LEFT(B468,14)="INTL-VIE TEEN ","International Teen",IF(LEFT(B468,14)="INTL-TAG TEEN ","International Teen",IF(LEFT(B468,14)="INTL-RUS TEEN ","International Teen",IF(LEFT(B468,14)="INTL-KOR TEEN ","International Teen",IF(LEFT(B468,14)="INTL-JAP TEEN ","International Teen",IF(LEFT(B468,14)="INTL-CHI TEEN ","International Teen",IF(LEFT(B468,14)="INTL-SPA TEEN ","International Teen",IF(LEFT(B468,11)="INTL-VIE E ","International Easy",IF(LEFT(B468,11)="INTL-TAG E ","International Easy",IF(LEFT(B468,11)="INTL-RUS E ","International Easy",IF(LEFT(B468,11)="INTL-JAP E ","International Easy",IF(LEFT(B468,11)="INTL-KOR E ","International Easy",IF(LEFT(B468,11)="INTL-CHI E ","International Easy",IF(LEFT(B468,11)="INTL-SPA E ","International Easy",
IF(D468="Teen Large Type","Teen Fiction",
IF(D468="Juvenile Large Type","Juvenile Fiction",
IF(LEFT(B468,6)="J CD O","Juvenile Compact Disc",
IF(AND(LEFT(B468,4)="TEEN",D468="Fiction"),"Teen Fiction",
IF(D468="DVD Educational","Nonfiction",
IF(D468="Juvenile DVD Educational","Nonfiction",
IF(D468="Reference","Nonfiction",
D468))))))))))))))))))))))))))))))))))))))))))</f>
        <v/>
      </c>
    </row>
    <row r="469" spans="1:14" ht="27" customHeight="1" x14ac:dyDescent="0.25">
      <c r="A469" s="10" t="str">
        <f ca="1">TEXT( INDIRECT( ADDRESS( ROW() + Row_Offset, INDIRECT( "Column_Number_" &amp; A$1), 4,1, tabname) ), "")</f>
        <v/>
      </c>
      <c r="B469" s="10" t="str">
        <f ca="1">TEXT(  IFERROR( VLOOKUP( $D469, CollName_Simplifier_Table[], 2, FALSE),"") &amp;
        INDIRECT( ADDRESS( ROW() + Row_Offset, INDIRECT( "Column_Number_" &amp; $B$1), 4,1, tabname) ), "")</f>
        <v/>
      </c>
      <c r="C469" s="10" t="str">
        <f ca="1">TEXT( INDIRECT( ADDRESS( ROW() + Row_Offset, INDIRECT( "Column_Number_" &amp; C$1), 4,1, tabname) ), "")</f>
        <v/>
      </c>
      <c r="D469" s="10" t="str">
        <f ca="1">TEXT( INDIRECT( ADDRESS( ROW() + Row_Offset, INDIRECT( "Column_Number_" &amp; D$1), 4,1, tabname) ), "")</f>
        <v/>
      </c>
      <c r="E469" s="10" t="str">
        <f ca="1">TEXT( INDIRECT( ADDRESS( ROW() + Row_Offset, INDIRECT( "Column_Number_" &amp; E$1), 4,1, tabname) ), "####")</f>
        <v/>
      </c>
      <c r="F469" s="15"/>
      <c r="G469" s="22" t="str">
        <f ca="1">IFERROR(INDEX(Rank_Table[],MATCH($D469&amp;$A469,Table4[Join],0)),"")</f>
        <v/>
      </c>
      <c r="H469" s="11" t="str">
        <f ca="1">IF(AND(D469="Juvenile Audiobook",LEFT(B469,8)="J CD BIO"),RIGHT(B469,LEN(B469)-9),
IF(AND(D469="Juvenile Audiobook",LEFT(B469,8)="J CD FIC"),B469,
IF(D469="Juvenile Audiobook",RIGHT(B469,LEN(B469)-5),
IF(AND(D469="Teen Audiobook",LEFT(B469,11)="TEEN CD BIO"),RIGHT(B469,LEN(B469)-12),
IF(AND(D469="Teen Audiobook",LEFT(B469,11)="TEEN CD FIC"),B469,
IF(D469="Juvenile Audiobook",RIGHT(B469,LEN(B469)-8),
IF(D469="Juvenile Nonfiction",RIGHT(B469,LEN(B469)-2),
IF(D469="Teen Nonfiction",RIGHT(B469,LEN(B469)-5),
IF(AND(D469="Audiobook",
              NOT(OR(Contains($B469,"CD BIO"),Contains($B469,"CD FIC")))),RIGHT(B469,LEN(B469)-3),
IF(D469="Juvenile Biography",RIGHT(B469,LEN(B469)-2),
IF(D469="Teen Biography",RIGHT(B469,LEN(B469)-5),
IF(AND(D469="Audiobook",
              IFERROR(FIND("BIO",$B469)&gt;0,FALSE)),RIGHT(B469,LEN(B469)-3),
IF(D469="Juvenile Large Type","J "&amp;RIGHT(B469,LEN(B469)-11),
IF(D469="Teen Large Type","TEEN "&amp;RIGHT(B469,LEN(B469)-14),
IF(D469="Reference",RIGHT(B469,LEN(B469)-4),
IF(D469="DVD Educational",RIGHT(B469,LEN(B469)-7),
IF(D469="Juvenile DVD Educational",RIGHT(B469,LEN(B469)-9),
B469)))))))))))))))))</f>
        <v/>
      </c>
      <c r="N469" s="11" t="str">
        <f ca="1">IF(IFERROR(FIND("New",$A469)&gt;0,FALSE),"New ","") &amp; IF(IFERROR(FIND("In Lib",$A469)&gt;0,FALSE),"Reference ","") &amp;
IF(AND(D469="Audiobook",LEFT(B469,6)="CD BIO"),"Biography",
IF(AND(D469="Teen Audiobook",LEFT(B469,11)="TEEN CD BIO"),"Biography",
IF(AND(D469="Juvenile Audiobook",LEFT(B469,8)="J CD BIO"),"Biography",
IF(AND(D469="Audiobook",LEFT(B469,6)="CD FIC"),"Audiobook Fiction",
IF(AND(D469="Teen Audiobook",LEFT(B469,11)="TEEN CD FIC"),"Teen Audiobook",
IF(AND(D469="Juvenile Audiobook",LEFT(B469,8)="J CD FIC"),"Juvenile Audiobook",
IF(D469="Audiobook","Nonfiction",
IF(D469="Juvenile Audiobook","Nonfiction",
IF(D469="Teen Audiobook","Nonfiction",
IF(D469="Juvenile Nonfiction","Nonfiction",
IF(D469="Teen Nonfiction","Nonfiction",
IF(D469="Juvenile Biography","Biography",
IF(D469="Teen Biography","Biography",
IF(D469="ESL","Nonfiction",
IF(LEFT(B469,11)="INTL-VIE J ","International Juvenile",IF(LEFT(B469,11)="INTL-TAG J ","International Juvenile",IF(LEFT(B469,11)="INTL-RUS J ","International Juvenile",IF(LEFT(B469,11)="INTL-KOR J ","International Juvenile",IF(LEFT(B469,11)="INTL-JAP J ","International Juvenile",IF(LEFT(B469,11)="INTL-CHI J ","International Juvenile",IF(LEFT(B469,11)="INTL-SPA J ","International Juvenile",IF(LEFT(B469,14)="INTL-VIE TEEN ","International Teen",IF(LEFT(B469,14)="INTL-TAG TEEN ","International Teen",IF(LEFT(B469,14)="INTL-RUS TEEN ","International Teen",IF(LEFT(B469,14)="INTL-KOR TEEN ","International Teen",IF(LEFT(B469,14)="INTL-JAP TEEN ","International Teen",IF(LEFT(B469,14)="INTL-CHI TEEN ","International Teen",IF(LEFT(B469,14)="INTL-SPA TEEN ","International Teen",IF(LEFT(B469,11)="INTL-VIE E ","International Easy",IF(LEFT(B469,11)="INTL-TAG E ","International Easy",IF(LEFT(B469,11)="INTL-RUS E ","International Easy",IF(LEFT(B469,11)="INTL-JAP E ","International Easy",IF(LEFT(B469,11)="INTL-KOR E ","International Easy",IF(LEFT(B469,11)="INTL-CHI E ","International Easy",IF(LEFT(B469,11)="INTL-SPA E ","International Easy",
IF(D469="Teen Large Type","Teen Fiction",
IF(D469="Juvenile Large Type","Juvenile Fiction",
IF(LEFT(B469,6)="J CD O","Juvenile Compact Disc",
IF(AND(LEFT(B469,4)="TEEN",D469="Fiction"),"Teen Fiction",
IF(D469="DVD Educational","Nonfiction",
IF(D469="Juvenile DVD Educational","Nonfiction",
IF(D469="Reference","Nonfiction",
D469))))))))))))))))))))))))))))))))))))))))))</f>
        <v/>
      </c>
    </row>
    <row r="470" spans="1:14" ht="27" customHeight="1" x14ac:dyDescent="0.25">
      <c r="A470" s="10" t="str">
        <f ca="1">TEXT( INDIRECT( ADDRESS( ROW() + Row_Offset, INDIRECT( "Column_Number_" &amp; A$1), 4,1, tabname) ), "")</f>
        <v/>
      </c>
      <c r="B470" s="10" t="str">
        <f ca="1">TEXT(  IFERROR( VLOOKUP( $D470, CollName_Simplifier_Table[], 2, FALSE),"") &amp;
        INDIRECT( ADDRESS( ROW() + Row_Offset, INDIRECT( "Column_Number_" &amp; $B$1), 4,1, tabname) ), "")</f>
        <v/>
      </c>
      <c r="C470" s="10" t="str">
        <f ca="1">TEXT( INDIRECT( ADDRESS( ROW() + Row_Offset, INDIRECT( "Column_Number_" &amp; C$1), 4,1, tabname) ), "")</f>
        <v/>
      </c>
      <c r="D470" s="10" t="str">
        <f ca="1">TEXT( INDIRECT( ADDRESS( ROW() + Row_Offset, INDIRECT( "Column_Number_" &amp; D$1), 4,1, tabname) ), "")</f>
        <v/>
      </c>
      <c r="E470" s="10" t="str">
        <f ca="1">TEXT( INDIRECT( ADDRESS( ROW() + Row_Offset, INDIRECT( "Column_Number_" &amp; E$1), 4,1, tabname) ), "####")</f>
        <v/>
      </c>
      <c r="F470" s="15"/>
      <c r="G470" s="22" t="str">
        <f ca="1">IFERROR(INDEX(Rank_Table[],MATCH($D470&amp;$A470,Table4[Join],0)),"")</f>
        <v/>
      </c>
      <c r="H470" s="11" t="str">
        <f ca="1">IF(AND(D470="Juvenile Audiobook",LEFT(B470,8)="J CD BIO"),RIGHT(B470,LEN(B470)-9),
IF(AND(D470="Juvenile Audiobook",LEFT(B470,8)="J CD FIC"),B470,
IF(D470="Juvenile Audiobook",RIGHT(B470,LEN(B470)-5),
IF(AND(D470="Teen Audiobook",LEFT(B470,11)="TEEN CD BIO"),RIGHT(B470,LEN(B470)-12),
IF(AND(D470="Teen Audiobook",LEFT(B470,11)="TEEN CD FIC"),B470,
IF(D470="Juvenile Audiobook",RIGHT(B470,LEN(B470)-8),
IF(D470="Juvenile Nonfiction",RIGHT(B470,LEN(B470)-2),
IF(D470="Teen Nonfiction",RIGHT(B470,LEN(B470)-5),
IF(AND(D470="Audiobook",
              NOT(OR(Contains($B470,"CD BIO"),Contains($B470,"CD FIC")))),RIGHT(B470,LEN(B470)-3),
IF(D470="Juvenile Biography",RIGHT(B470,LEN(B470)-2),
IF(D470="Teen Biography",RIGHT(B470,LEN(B470)-5),
IF(AND(D470="Audiobook",
              IFERROR(FIND("BIO",$B470)&gt;0,FALSE)),RIGHT(B470,LEN(B470)-3),
IF(D470="Juvenile Large Type","J "&amp;RIGHT(B470,LEN(B470)-11),
IF(D470="Teen Large Type","TEEN "&amp;RIGHT(B470,LEN(B470)-14),
IF(D470="Reference",RIGHT(B470,LEN(B470)-4),
IF(D470="DVD Educational",RIGHT(B470,LEN(B470)-7),
IF(D470="Juvenile DVD Educational",RIGHT(B470,LEN(B470)-9),
B470)))))))))))))))))</f>
        <v/>
      </c>
      <c r="N470" s="11" t="str">
        <f ca="1">IF(IFERROR(FIND("New",$A470)&gt;0,FALSE),"New ","") &amp; IF(IFERROR(FIND("In Lib",$A470)&gt;0,FALSE),"Reference ","") &amp;
IF(AND(D470="Audiobook",LEFT(B470,6)="CD BIO"),"Biography",
IF(AND(D470="Teen Audiobook",LEFT(B470,11)="TEEN CD BIO"),"Biography",
IF(AND(D470="Juvenile Audiobook",LEFT(B470,8)="J CD BIO"),"Biography",
IF(AND(D470="Audiobook",LEFT(B470,6)="CD FIC"),"Audiobook Fiction",
IF(AND(D470="Teen Audiobook",LEFT(B470,11)="TEEN CD FIC"),"Teen Audiobook",
IF(AND(D470="Juvenile Audiobook",LEFT(B470,8)="J CD FIC"),"Juvenile Audiobook",
IF(D470="Audiobook","Nonfiction",
IF(D470="Juvenile Audiobook","Nonfiction",
IF(D470="Teen Audiobook","Nonfiction",
IF(D470="Juvenile Nonfiction","Nonfiction",
IF(D470="Teen Nonfiction","Nonfiction",
IF(D470="Juvenile Biography","Biography",
IF(D470="Teen Biography","Biography",
IF(D470="ESL","Nonfiction",
IF(LEFT(B470,11)="INTL-VIE J ","International Juvenile",IF(LEFT(B470,11)="INTL-TAG J ","International Juvenile",IF(LEFT(B470,11)="INTL-RUS J ","International Juvenile",IF(LEFT(B470,11)="INTL-KOR J ","International Juvenile",IF(LEFT(B470,11)="INTL-JAP J ","International Juvenile",IF(LEFT(B470,11)="INTL-CHI J ","International Juvenile",IF(LEFT(B470,11)="INTL-SPA J ","International Juvenile",IF(LEFT(B470,14)="INTL-VIE TEEN ","International Teen",IF(LEFT(B470,14)="INTL-TAG TEEN ","International Teen",IF(LEFT(B470,14)="INTL-RUS TEEN ","International Teen",IF(LEFT(B470,14)="INTL-KOR TEEN ","International Teen",IF(LEFT(B470,14)="INTL-JAP TEEN ","International Teen",IF(LEFT(B470,14)="INTL-CHI TEEN ","International Teen",IF(LEFT(B470,14)="INTL-SPA TEEN ","International Teen",IF(LEFT(B470,11)="INTL-VIE E ","International Easy",IF(LEFT(B470,11)="INTL-TAG E ","International Easy",IF(LEFT(B470,11)="INTL-RUS E ","International Easy",IF(LEFT(B470,11)="INTL-JAP E ","International Easy",IF(LEFT(B470,11)="INTL-KOR E ","International Easy",IF(LEFT(B470,11)="INTL-CHI E ","International Easy",IF(LEFT(B470,11)="INTL-SPA E ","International Easy",
IF(D470="Teen Large Type","Teen Fiction",
IF(D470="Juvenile Large Type","Juvenile Fiction",
IF(LEFT(B470,6)="J CD O","Juvenile Compact Disc",
IF(AND(LEFT(B470,4)="TEEN",D470="Fiction"),"Teen Fiction",
IF(D470="DVD Educational","Nonfiction",
IF(D470="Juvenile DVD Educational","Nonfiction",
IF(D470="Reference","Nonfiction",
D470))))))))))))))))))))))))))))))))))))))))))</f>
        <v/>
      </c>
    </row>
    <row r="471" spans="1:14" ht="27" customHeight="1" x14ac:dyDescent="0.25">
      <c r="A471" s="10" t="str">
        <f ca="1">TEXT( INDIRECT( ADDRESS( ROW() + Row_Offset, INDIRECT( "Column_Number_" &amp; A$1), 4,1, tabname) ), "")</f>
        <v/>
      </c>
      <c r="B471" s="10" t="str">
        <f ca="1">TEXT(  IFERROR( VLOOKUP( $D471, CollName_Simplifier_Table[], 2, FALSE),"") &amp;
        INDIRECT( ADDRESS( ROW() + Row_Offset, INDIRECT( "Column_Number_" &amp; $B$1), 4,1, tabname) ), "")</f>
        <v/>
      </c>
      <c r="C471" s="10" t="str">
        <f ca="1">TEXT( INDIRECT( ADDRESS( ROW() + Row_Offset, INDIRECT( "Column_Number_" &amp; C$1), 4,1, tabname) ), "")</f>
        <v/>
      </c>
      <c r="D471" s="10" t="str">
        <f ca="1">TEXT( INDIRECT( ADDRESS( ROW() + Row_Offset, INDIRECT( "Column_Number_" &amp; D$1), 4,1, tabname) ), "")</f>
        <v/>
      </c>
      <c r="E471" s="10" t="str">
        <f ca="1">TEXT( INDIRECT( ADDRESS( ROW() + Row_Offset, INDIRECT( "Column_Number_" &amp; E$1), 4,1, tabname) ), "####")</f>
        <v/>
      </c>
      <c r="F471" s="15"/>
      <c r="G471" s="22" t="str">
        <f ca="1">IFERROR(INDEX(Rank_Table[],MATCH($D471&amp;$A471,Table4[Join],0)),"")</f>
        <v/>
      </c>
      <c r="H471" s="11" t="str">
        <f ca="1">IF(AND(D471="Juvenile Audiobook",LEFT(B471,8)="J CD BIO"),RIGHT(B471,LEN(B471)-9),
IF(AND(D471="Juvenile Audiobook",LEFT(B471,8)="J CD FIC"),B471,
IF(D471="Juvenile Audiobook",RIGHT(B471,LEN(B471)-5),
IF(AND(D471="Teen Audiobook",LEFT(B471,11)="TEEN CD BIO"),RIGHT(B471,LEN(B471)-12),
IF(AND(D471="Teen Audiobook",LEFT(B471,11)="TEEN CD FIC"),B471,
IF(D471="Juvenile Audiobook",RIGHT(B471,LEN(B471)-8),
IF(D471="Juvenile Nonfiction",RIGHT(B471,LEN(B471)-2),
IF(D471="Teen Nonfiction",RIGHT(B471,LEN(B471)-5),
IF(AND(D471="Audiobook",
              NOT(OR(Contains($B471,"CD BIO"),Contains($B471,"CD FIC")))),RIGHT(B471,LEN(B471)-3),
IF(D471="Juvenile Biography",RIGHT(B471,LEN(B471)-2),
IF(D471="Teen Biography",RIGHT(B471,LEN(B471)-5),
IF(AND(D471="Audiobook",
              IFERROR(FIND("BIO",$B471)&gt;0,FALSE)),RIGHT(B471,LEN(B471)-3),
IF(D471="Juvenile Large Type","J "&amp;RIGHT(B471,LEN(B471)-11),
IF(D471="Teen Large Type","TEEN "&amp;RIGHT(B471,LEN(B471)-14),
IF(D471="Reference",RIGHT(B471,LEN(B471)-4),
IF(D471="DVD Educational",RIGHT(B471,LEN(B471)-7),
IF(D471="Juvenile DVD Educational",RIGHT(B471,LEN(B471)-9),
B471)))))))))))))))))</f>
        <v/>
      </c>
      <c r="N471" s="11" t="str">
        <f ca="1">IF(IFERROR(FIND("New",$A471)&gt;0,FALSE),"New ","") &amp; IF(IFERROR(FIND("In Lib",$A471)&gt;0,FALSE),"Reference ","") &amp;
IF(AND(D471="Audiobook",LEFT(B471,6)="CD BIO"),"Biography",
IF(AND(D471="Teen Audiobook",LEFT(B471,11)="TEEN CD BIO"),"Biography",
IF(AND(D471="Juvenile Audiobook",LEFT(B471,8)="J CD BIO"),"Biography",
IF(AND(D471="Audiobook",LEFT(B471,6)="CD FIC"),"Audiobook Fiction",
IF(AND(D471="Teen Audiobook",LEFT(B471,11)="TEEN CD FIC"),"Teen Audiobook",
IF(AND(D471="Juvenile Audiobook",LEFT(B471,8)="J CD FIC"),"Juvenile Audiobook",
IF(D471="Audiobook","Nonfiction",
IF(D471="Juvenile Audiobook","Nonfiction",
IF(D471="Teen Audiobook","Nonfiction",
IF(D471="Juvenile Nonfiction","Nonfiction",
IF(D471="Teen Nonfiction","Nonfiction",
IF(D471="Juvenile Biography","Biography",
IF(D471="Teen Biography","Biography",
IF(D471="ESL","Nonfiction",
IF(LEFT(B471,11)="INTL-VIE J ","International Juvenile",IF(LEFT(B471,11)="INTL-TAG J ","International Juvenile",IF(LEFT(B471,11)="INTL-RUS J ","International Juvenile",IF(LEFT(B471,11)="INTL-KOR J ","International Juvenile",IF(LEFT(B471,11)="INTL-JAP J ","International Juvenile",IF(LEFT(B471,11)="INTL-CHI J ","International Juvenile",IF(LEFT(B471,11)="INTL-SPA J ","International Juvenile",IF(LEFT(B471,14)="INTL-VIE TEEN ","International Teen",IF(LEFT(B471,14)="INTL-TAG TEEN ","International Teen",IF(LEFT(B471,14)="INTL-RUS TEEN ","International Teen",IF(LEFT(B471,14)="INTL-KOR TEEN ","International Teen",IF(LEFT(B471,14)="INTL-JAP TEEN ","International Teen",IF(LEFT(B471,14)="INTL-CHI TEEN ","International Teen",IF(LEFT(B471,14)="INTL-SPA TEEN ","International Teen",IF(LEFT(B471,11)="INTL-VIE E ","International Easy",IF(LEFT(B471,11)="INTL-TAG E ","International Easy",IF(LEFT(B471,11)="INTL-RUS E ","International Easy",IF(LEFT(B471,11)="INTL-JAP E ","International Easy",IF(LEFT(B471,11)="INTL-KOR E ","International Easy",IF(LEFT(B471,11)="INTL-CHI E ","International Easy",IF(LEFT(B471,11)="INTL-SPA E ","International Easy",
IF(D471="Teen Large Type","Teen Fiction",
IF(D471="Juvenile Large Type","Juvenile Fiction",
IF(LEFT(B471,6)="J CD O","Juvenile Compact Disc",
IF(AND(LEFT(B471,4)="TEEN",D471="Fiction"),"Teen Fiction",
IF(D471="DVD Educational","Nonfiction",
IF(D471="Juvenile DVD Educational","Nonfiction",
IF(D471="Reference","Nonfiction",
D471))))))))))))))))))))))))))))))))))))))))))</f>
        <v/>
      </c>
    </row>
    <row r="472" spans="1:14" ht="27" customHeight="1" x14ac:dyDescent="0.25">
      <c r="A472" s="10" t="str">
        <f ca="1">TEXT( INDIRECT( ADDRESS( ROW() + Row_Offset, INDIRECT( "Column_Number_" &amp; A$1), 4,1, tabname) ), "")</f>
        <v/>
      </c>
      <c r="B472" s="10" t="str">
        <f ca="1">TEXT(  IFERROR( VLOOKUP( $D472, CollName_Simplifier_Table[], 2, FALSE),"") &amp;
        INDIRECT( ADDRESS( ROW() + Row_Offset, INDIRECT( "Column_Number_" &amp; $B$1), 4,1, tabname) ), "")</f>
        <v/>
      </c>
      <c r="C472" s="10" t="str">
        <f ca="1">TEXT( INDIRECT( ADDRESS( ROW() + Row_Offset, INDIRECT( "Column_Number_" &amp; C$1), 4,1, tabname) ), "")</f>
        <v/>
      </c>
      <c r="D472" s="10" t="str">
        <f ca="1">TEXT( INDIRECT( ADDRESS( ROW() + Row_Offset, INDIRECT( "Column_Number_" &amp; D$1), 4,1, tabname) ), "")</f>
        <v/>
      </c>
      <c r="E472" s="10" t="str">
        <f ca="1">TEXT( INDIRECT( ADDRESS( ROW() + Row_Offset, INDIRECT( "Column_Number_" &amp; E$1), 4,1, tabname) ), "####")</f>
        <v/>
      </c>
      <c r="F472" s="15"/>
      <c r="G472" s="22" t="str">
        <f ca="1">IFERROR(INDEX(Rank_Table[],MATCH($D472&amp;$A472,Table4[Join],0)),"")</f>
        <v/>
      </c>
      <c r="H472" s="11" t="str">
        <f ca="1">IF(AND(D472="Juvenile Audiobook",LEFT(B472,8)="J CD BIO"),RIGHT(B472,LEN(B472)-9),
IF(AND(D472="Juvenile Audiobook",LEFT(B472,8)="J CD FIC"),B472,
IF(D472="Juvenile Audiobook",RIGHT(B472,LEN(B472)-5),
IF(AND(D472="Teen Audiobook",LEFT(B472,11)="TEEN CD BIO"),RIGHT(B472,LEN(B472)-12),
IF(AND(D472="Teen Audiobook",LEFT(B472,11)="TEEN CD FIC"),B472,
IF(D472="Juvenile Audiobook",RIGHT(B472,LEN(B472)-8),
IF(D472="Juvenile Nonfiction",RIGHT(B472,LEN(B472)-2),
IF(D472="Teen Nonfiction",RIGHT(B472,LEN(B472)-5),
IF(AND(D472="Audiobook",
              NOT(OR(Contains($B472,"CD BIO"),Contains($B472,"CD FIC")))),RIGHT(B472,LEN(B472)-3),
IF(D472="Juvenile Biography",RIGHT(B472,LEN(B472)-2),
IF(D472="Teen Biography",RIGHT(B472,LEN(B472)-5),
IF(AND(D472="Audiobook",
              IFERROR(FIND("BIO",$B472)&gt;0,FALSE)),RIGHT(B472,LEN(B472)-3),
IF(D472="Juvenile Large Type","J "&amp;RIGHT(B472,LEN(B472)-11),
IF(D472="Teen Large Type","TEEN "&amp;RIGHT(B472,LEN(B472)-14),
IF(D472="Reference",RIGHT(B472,LEN(B472)-4),
IF(D472="DVD Educational",RIGHT(B472,LEN(B472)-7),
IF(D472="Juvenile DVD Educational",RIGHT(B472,LEN(B472)-9),
B472)))))))))))))))))</f>
        <v/>
      </c>
      <c r="N472" s="11" t="str">
        <f ca="1">IF(IFERROR(FIND("New",$A472)&gt;0,FALSE),"New ","") &amp; IF(IFERROR(FIND("In Lib",$A472)&gt;0,FALSE),"Reference ","") &amp;
IF(AND(D472="Audiobook",LEFT(B472,6)="CD BIO"),"Biography",
IF(AND(D472="Teen Audiobook",LEFT(B472,11)="TEEN CD BIO"),"Biography",
IF(AND(D472="Juvenile Audiobook",LEFT(B472,8)="J CD BIO"),"Biography",
IF(AND(D472="Audiobook",LEFT(B472,6)="CD FIC"),"Audiobook Fiction",
IF(AND(D472="Teen Audiobook",LEFT(B472,11)="TEEN CD FIC"),"Teen Audiobook",
IF(AND(D472="Juvenile Audiobook",LEFT(B472,8)="J CD FIC"),"Juvenile Audiobook",
IF(D472="Audiobook","Nonfiction",
IF(D472="Juvenile Audiobook","Nonfiction",
IF(D472="Teen Audiobook","Nonfiction",
IF(D472="Juvenile Nonfiction","Nonfiction",
IF(D472="Teen Nonfiction","Nonfiction",
IF(D472="Juvenile Biography","Biography",
IF(D472="Teen Biography","Biography",
IF(D472="ESL","Nonfiction",
IF(LEFT(B472,11)="INTL-VIE J ","International Juvenile",IF(LEFT(B472,11)="INTL-TAG J ","International Juvenile",IF(LEFT(B472,11)="INTL-RUS J ","International Juvenile",IF(LEFT(B472,11)="INTL-KOR J ","International Juvenile",IF(LEFT(B472,11)="INTL-JAP J ","International Juvenile",IF(LEFT(B472,11)="INTL-CHI J ","International Juvenile",IF(LEFT(B472,11)="INTL-SPA J ","International Juvenile",IF(LEFT(B472,14)="INTL-VIE TEEN ","International Teen",IF(LEFT(B472,14)="INTL-TAG TEEN ","International Teen",IF(LEFT(B472,14)="INTL-RUS TEEN ","International Teen",IF(LEFT(B472,14)="INTL-KOR TEEN ","International Teen",IF(LEFT(B472,14)="INTL-JAP TEEN ","International Teen",IF(LEFT(B472,14)="INTL-CHI TEEN ","International Teen",IF(LEFT(B472,14)="INTL-SPA TEEN ","International Teen",IF(LEFT(B472,11)="INTL-VIE E ","International Easy",IF(LEFT(B472,11)="INTL-TAG E ","International Easy",IF(LEFT(B472,11)="INTL-RUS E ","International Easy",IF(LEFT(B472,11)="INTL-JAP E ","International Easy",IF(LEFT(B472,11)="INTL-KOR E ","International Easy",IF(LEFT(B472,11)="INTL-CHI E ","International Easy",IF(LEFT(B472,11)="INTL-SPA E ","International Easy",
IF(D472="Teen Large Type","Teen Fiction",
IF(D472="Juvenile Large Type","Juvenile Fiction",
IF(LEFT(B472,6)="J CD O","Juvenile Compact Disc",
IF(AND(LEFT(B472,4)="TEEN",D472="Fiction"),"Teen Fiction",
IF(D472="DVD Educational","Nonfiction",
IF(D472="Juvenile DVD Educational","Nonfiction",
IF(D472="Reference","Nonfiction",
D472))))))))))))))))))))))))))))))))))))))))))</f>
        <v/>
      </c>
    </row>
    <row r="473" spans="1:14" ht="27" customHeight="1" x14ac:dyDescent="0.25">
      <c r="A473" s="10" t="str">
        <f ca="1">TEXT( INDIRECT( ADDRESS( ROW() + Row_Offset, INDIRECT( "Column_Number_" &amp; A$1), 4,1, tabname) ), "")</f>
        <v/>
      </c>
      <c r="B473" s="10" t="str">
        <f ca="1">TEXT(  IFERROR( VLOOKUP( $D473, CollName_Simplifier_Table[], 2, FALSE),"") &amp;
        INDIRECT( ADDRESS( ROW() + Row_Offset, INDIRECT( "Column_Number_" &amp; $B$1), 4,1, tabname) ), "")</f>
        <v/>
      </c>
      <c r="C473" s="10" t="str">
        <f ca="1">TEXT( INDIRECT( ADDRESS( ROW() + Row_Offset, INDIRECT( "Column_Number_" &amp; C$1), 4,1, tabname) ), "")</f>
        <v/>
      </c>
      <c r="D473" s="10" t="str">
        <f ca="1">TEXT( INDIRECT( ADDRESS( ROW() + Row_Offset, INDIRECT( "Column_Number_" &amp; D$1), 4,1, tabname) ), "")</f>
        <v/>
      </c>
      <c r="E473" s="10" t="str">
        <f ca="1">TEXT( INDIRECT( ADDRESS( ROW() + Row_Offset, INDIRECT( "Column_Number_" &amp; E$1), 4,1, tabname) ), "####")</f>
        <v/>
      </c>
      <c r="F473" s="15"/>
      <c r="G473" s="22" t="str">
        <f ca="1">IFERROR(INDEX(Rank_Table[],MATCH($D473&amp;$A473,Table4[Join],0)),"")</f>
        <v/>
      </c>
      <c r="H473" s="11" t="str">
        <f ca="1">IF(AND(D473="Juvenile Audiobook",LEFT(B473,8)="J CD BIO"),RIGHT(B473,LEN(B473)-9),
IF(AND(D473="Juvenile Audiobook",LEFT(B473,8)="J CD FIC"),B473,
IF(D473="Juvenile Audiobook",RIGHT(B473,LEN(B473)-5),
IF(AND(D473="Teen Audiobook",LEFT(B473,11)="TEEN CD BIO"),RIGHT(B473,LEN(B473)-12),
IF(AND(D473="Teen Audiobook",LEFT(B473,11)="TEEN CD FIC"),B473,
IF(D473="Juvenile Audiobook",RIGHT(B473,LEN(B473)-8),
IF(D473="Juvenile Nonfiction",RIGHT(B473,LEN(B473)-2),
IF(D473="Teen Nonfiction",RIGHT(B473,LEN(B473)-5),
IF(AND(D473="Audiobook",
              NOT(OR(Contains($B473,"CD BIO"),Contains($B473,"CD FIC")))),RIGHT(B473,LEN(B473)-3),
IF(D473="Juvenile Biography",RIGHT(B473,LEN(B473)-2),
IF(D473="Teen Biography",RIGHT(B473,LEN(B473)-5),
IF(AND(D473="Audiobook",
              IFERROR(FIND("BIO",$B473)&gt;0,FALSE)),RIGHT(B473,LEN(B473)-3),
IF(D473="Juvenile Large Type","J "&amp;RIGHT(B473,LEN(B473)-11),
IF(D473="Teen Large Type","TEEN "&amp;RIGHT(B473,LEN(B473)-14),
IF(D473="Reference",RIGHT(B473,LEN(B473)-4),
IF(D473="DVD Educational",RIGHT(B473,LEN(B473)-7),
IF(D473="Juvenile DVD Educational",RIGHT(B473,LEN(B473)-9),
B473)))))))))))))))))</f>
        <v/>
      </c>
      <c r="N473" s="11" t="str">
        <f ca="1">IF(IFERROR(FIND("New",$A473)&gt;0,FALSE),"New ","") &amp; IF(IFERROR(FIND("In Lib",$A473)&gt;0,FALSE),"Reference ","") &amp;
IF(AND(D473="Audiobook",LEFT(B473,6)="CD BIO"),"Biography",
IF(AND(D473="Teen Audiobook",LEFT(B473,11)="TEEN CD BIO"),"Biography",
IF(AND(D473="Juvenile Audiobook",LEFT(B473,8)="J CD BIO"),"Biography",
IF(AND(D473="Audiobook",LEFT(B473,6)="CD FIC"),"Audiobook Fiction",
IF(AND(D473="Teen Audiobook",LEFT(B473,11)="TEEN CD FIC"),"Teen Audiobook",
IF(AND(D473="Juvenile Audiobook",LEFT(B473,8)="J CD FIC"),"Juvenile Audiobook",
IF(D473="Audiobook","Nonfiction",
IF(D473="Juvenile Audiobook","Nonfiction",
IF(D473="Teen Audiobook","Nonfiction",
IF(D473="Juvenile Nonfiction","Nonfiction",
IF(D473="Teen Nonfiction","Nonfiction",
IF(D473="Juvenile Biography","Biography",
IF(D473="Teen Biography","Biography",
IF(D473="ESL","Nonfiction",
IF(LEFT(B473,11)="INTL-VIE J ","International Juvenile",IF(LEFT(B473,11)="INTL-TAG J ","International Juvenile",IF(LEFT(B473,11)="INTL-RUS J ","International Juvenile",IF(LEFT(B473,11)="INTL-KOR J ","International Juvenile",IF(LEFT(B473,11)="INTL-JAP J ","International Juvenile",IF(LEFT(B473,11)="INTL-CHI J ","International Juvenile",IF(LEFT(B473,11)="INTL-SPA J ","International Juvenile",IF(LEFT(B473,14)="INTL-VIE TEEN ","International Teen",IF(LEFT(B473,14)="INTL-TAG TEEN ","International Teen",IF(LEFT(B473,14)="INTL-RUS TEEN ","International Teen",IF(LEFT(B473,14)="INTL-KOR TEEN ","International Teen",IF(LEFT(B473,14)="INTL-JAP TEEN ","International Teen",IF(LEFT(B473,14)="INTL-CHI TEEN ","International Teen",IF(LEFT(B473,14)="INTL-SPA TEEN ","International Teen",IF(LEFT(B473,11)="INTL-VIE E ","International Easy",IF(LEFT(B473,11)="INTL-TAG E ","International Easy",IF(LEFT(B473,11)="INTL-RUS E ","International Easy",IF(LEFT(B473,11)="INTL-JAP E ","International Easy",IF(LEFT(B473,11)="INTL-KOR E ","International Easy",IF(LEFT(B473,11)="INTL-CHI E ","International Easy",IF(LEFT(B473,11)="INTL-SPA E ","International Easy",
IF(D473="Teen Large Type","Teen Fiction",
IF(D473="Juvenile Large Type","Juvenile Fiction",
IF(LEFT(B473,6)="J CD O","Juvenile Compact Disc",
IF(AND(LEFT(B473,4)="TEEN",D473="Fiction"),"Teen Fiction",
IF(D473="DVD Educational","Nonfiction",
IF(D473="Juvenile DVD Educational","Nonfiction",
IF(D473="Reference","Nonfiction",
D473))))))))))))))))))))))))))))))))))))))))))</f>
        <v/>
      </c>
    </row>
    <row r="474" spans="1:14" ht="27" customHeight="1" x14ac:dyDescent="0.25">
      <c r="A474" s="10" t="str">
        <f ca="1">TEXT( INDIRECT( ADDRESS( ROW() + Row_Offset, INDIRECT( "Column_Number_" &amp; A$1), 4,1, tabname) ), "")</f>
        <v/>
      </c>
      <c r="B474" s="10" t="str">
        <f ca="1">TEXT(  IFERROR( VLOOKUP( $D474, CollName_Simplifier_Table[], 2, FALSE),"") &amp;
        INDIRECT( ADDRESS( ROW() + Row_Offset, INDIRECT( "Column_Number_" &amp; $B$1), 4,1, tabname) ), "")</f>
        <v/>
      </c>
      <c r="C474" s="10" t="str">
        <f ca="1">TEXT( INDIRECT( ADDRESS( ROW() + Row_Offset, INDIRECT( "Column_Number_" &amp; C$1), 4,1, tabname) ), "")</f>
        <v/>
      </c>
      <c r="D474" s="10" t="str">
        <f ca="1">TEXT( INDIRECT( ADDRESS( ROW() + Row_Offset, INDIRECT( "Column_Number_" &amp; D$1), 4,1, tabname) ), "")</f>
        <v/>
      </c>
      <c r="E474" s="10" t="str">
        <f ca="1">TEXT( INDIRECT( ADDRESS( ROW() + Row_Offset, INDIRECT( "Column_Number_" &amp; E$1), 4,1, tabname) ), "####")</f>
        <v/>
      </c>
      <c r="F474" s="15"/>
      <c r="G474" s="22" t="str">
        <f ca="1">IFERROR(INDEX(Rank_Table[],MATCH($D474&amp;$A474,Table4[Join],0)),"")</f>
        <v/>
      </c>
      <c r="H474" s="11" t="str">
        <f ca="1">IF(AND(D474="Juvenile Audiobook",LEFT(B474,8)="J CD BIO"),RIGHT(B474,LEN(B474)-9),
IF(AND(D474="Juvenile Audiobook",LEFT(B474,8)="J CD FIC"),B474,
IF(D474="Juvenile Audiobook",RIGHT(B474,LEN(B474)-5),
IF(AND(D474="Teen Audiobook",LEFT(B474,11)="TEEN CD BIO"),RIGHT(B474,LEN(B474)-12),
IF(AND(D474="Teen Audiobook",LEFT(B474,11)="TEEN CD FIC"),B474,
IF(D474="Juvenile Audiobook",RIGHT(B474,LEN(B474)-8),
IF(D474="Juvenile Nonfiction",RIGHT(B474,LEN(B474)-2),
IF(D474="Teen Nonfiction",RIGHT(B474,LEN(B474)-5),
IF(AND(D474="Audiobook",
              NOT(OR(Contains($B474,"CD BIO"),Contains($B474,"CD FIC")))),RIGHT(B474,LEN(B474)-3),
IF(D474="Juvenile Biography",RIGHT(B474,LEN(B474)-2),
IF(D474="Teen Biography",RIGHT(B474,LEN(B474)-5),
IF(AND(D474="Audiobook",
              IFERROR(FIND("BIO",$B474)&gt;0,FALSE)),RIGHT(B474,LEN(B474)-3),
IF(D474="Juvenile Large Type","J "&amp;RIGHT(B474,LEN(B474)-11),
IF(D474="Teen Large Type","TEEN "&amp;RIGHT(B474,LEN(B474)-14),
IF(D474="Reference",RIGHT(B474,LEN(B474)-4),
IF(D474="DVD Educational",RIGHT(B474,LEN(B474)-7),
IF(D474="Juvenile DVD Educational",RIGHT(B474,LEN(B474)-9),
B474)))))))))))))))))</f>
        <v/>
      </c>
      <c r="N474" s="11" t="str">
        <f ca="1">IF(IFERROR(FIND("New",$A474)&gt;0,FALSE),"New ","") &amp; IF(IFERROR(FIND("In Lib",$A474)&gt;0,FALSE),"Reference ","") &amp;
IF(AND(D474="Audiobook",LEFT(B474,6)="CD BIO"),"Biography",
IF(AND(D474="Teen Audiobook",LEFT(B474,11)="TEEN CD BIO"),"Biography",
IF(AND(D474="Juvenile Audiobook",LEFT(B474,8)="J CD BIO"),"Biography",
IF(AND(D474="Audiobook",LEFT(B474,6)="CD FIC"),"Audiobook Fiction",
IF(AND(D474="Teen Audiobook",LEFT(B474,11)="TEEN CD FIC"),"Teen Audiobook",
IF(AND(D474="Juvenile Audiobook",LEFT(B474,8)="J CD FIC"),"Juvenile Audiobook",
IF(D474="Audiobook","Nonfiction",
IF(D474="Juvenile Audiobook","Nonfiction",
IF(D474="Teen Audiobook","Nonfiction",
IF(D474="Juvenile Nonfiction","Nonfiction",
IF(D474="Teen Nonfiction","Nonfiction",
IF(D474="Juvenile Biography","Biography",
IF(D474="Teen Biography","Biography",
IF(D474="ESL","Nonfiction",
IF(LEFT(B474,11)="INTL-VIE J ","International Juvenile",IF(LEFT(B474,11)="INTL-TAG J ","International Juvenile",IF(LEFT(B474,11)="INTL-RUS J ","International Juvenile",IF(LEFT(B474,11)="INTL-KOR J ","International Juvenile",IF(LEFT(B474,11)="INTL-JAP J ","International Juvenile",IF(LEFT(B474,11)="INTL-CHI J ","International Juvenile",IF(LEFT(B474,11)="INTL-SPA J ","International Juvenile",IF(LEFT(B474,14)="INTL-VIE TEEN ","International Teen",IF(LEFT(B474,14)="INTL-TAG TEEN ","International Teen",IF(LEFT(B474,14)="INTL-RUS TEEN ","International Teen",IF(LEFT(B474,14)="INTL-KOR TEEN ","International Teen",IF(LEFT(B474,14)="INTL-JAP TEEN ","International Teen",IF(LEFT(B474,14)="INTL-CHI TEEN ","International Teen",IF(LEFT(B474,14)="INTL-SPA TEEN ","International Teen",IF(LEFT(B474,11)="INTL-VIE E ","International Easy",IF(LEFT(B474,11)="INTL-TAG E ","International Easy",IF(LEFT(B474,11)="INTL-RUS E ","International Easy",IF(LEFT(B474,11)="INTL-JAP E ","International Easy",IF(LEFT(B474,11)="INTL-KOR E ","International Easy",IF(LEFT(B474,11)="INTL-CHI E ","International Easy",IF(LEFT(B474,11)="INTL-SPA E ","International Easy",
IF(D474="Teen Large Type","Teen Fiction",
IF(D474="Juvenile Large Type","Juvenile Fiction",
IF(LEFT(B474,6)="J CD O","Juvenile Compact Disc",
IF(AND(LEFT(B474,4)="TEEN",D474="Fiction"),"Teen Fiction",
IF(D474="DVD Educational","Nonfiction",
IF(D474="Juvenile DVD Educational","Nonfiction",
IF(D474="Reference","Nonfiction",
D474))))))))))))))))))))))))))))))))))))))))))</f>
        <v/>
      </c>
    </row>
    <row r="475" spans="1:14" ht="27" customHeight="1" x14ac:dyDescent="0.25">
      <c r="A475" s="10" t="str">
        <f ca="1">TEXT( INDIRECT( ADDRESS( ROW() + Row_Offset, INDIRECT( "Column_Number_" &amp; A$1), 4,1, tabname) ), "")</f>
        <v/>
      </c>
      <c r="B475" s="10" t="str">
        <f ca="1">TEXT(  IFERROR( VLOOKUP( $D475, CollName_Simplifier_Table[], 2, FALSE),"") &amp;
        INDIRECT( ADDRESS( ROW() + Row_Offset, INDIRECT( "Column_Number_" &amp; $B$1), 4,1, tabname) ), "")</f>
        <v/>
      </c>
      <c r="C475" s="10" t="str">
        <f ca="1">TEXT( INDIRECT( ADDRESS( ROW() + Row_Offset, INDIRECT( "Column_Number_" &amp; C$1), 4,1, tabname) ), "")</f>
        <v/>
      </c>
      <c r="D475" s="10" t="str">
        <f ca="1">TEXT( INDIRECT( ADDRESS( ROW() + Row_Offset, INDIRECT( "Column_Number_" &amp; D$1), 4,1, tabname) ), "")</f>
        <v/>
      </c>
      <c r="E475" s="10" t="str">
        <f ca="1">TEXT( INDIRECT( ADDRESS( ROW() + Row_Offset, INDIRECT( "Column_Number_" &amp; E$1), 4,1, tabname) ), "####")</f>
        <v/>
      </c>
      <c r="F475" s="15"/>
      <c r="G475" s="22" t="str">
        <f ca="1">IFERROR(INDEX(Rank_Table[],MATCH($D475&amp;$A475,Table4[Join],0)),"")</f>
        <v/>
      </c>
      <c r="H475" s="11" t="str">
        <f ca="1">IF(AND(D475="Juvenile Audiobook",LEFT(B475,8)="J CD BIO"),RIGHT(B475,LEN(B475)-9),
IF(AND(D475="Juvenile Audiobook",LEFT(B475,8)="J CD FIC"),B475,
IF(D475="Juvenile Audiobook",RIGHT(B475,LEN(B475)-5),
IF(AND(D475="Teen Audiobook",LEFT(B475,11)="TEEN CD BIO"),RIGHT(B475,LEN(B475)-12),
IF(AND(D475="Teen Audiobook",LEFT(B475,11)="TEEN CD FIC"),B475,
IF(D475="Juvenile Audiobook",RIGHT(B475,LEN(B475)-8),
IF(D475="Juvenile Nonfiction",RIGHT(B475,LEN(B475)-2),
IF(D475="Teen Nonfiction",RIGHT(B475,LEN(B475)-5),
IF(AND(D475="Audiobook",
              NOT(OR(Contains($B475,"CD BIO"),Contains($B475,"CD FIC")))),RIGHT(B475,LEN(B475)-3),
IF(D475="Juvenile Biography",RIGHT(B475,LEN(B475)-2),
IF(D475="Teen Biography",RIGHT(B475,LEN(B475)-5),
IF(AND(D475="Audiobook",
              IFERROR(FIND("BIO",$B475)&gt;0,FALSE)),RIGHT(B475,LEN(B475)-3),
IF(D475="Juvenile Large Type","J "&amp;RIGHT(B475,LEN(B475)-11),
IF(D475="Teen Large Type","TEEN "&amp;RIGHT(B475,LEN(B475)-14),
IF(D475="Reference",RIGHT(B475,LEN(B475)-4),
IF(D475="DVD Educational",RIGHT(B475,LEN(B475)-7),
IF(D475="Juvenile DVD Educational",RIGHT(B475,LEN(B475)-9),
B475)))))))))))))))))</f>
        <v/>
      </c>
      <c r="N475" s="11" t="str">
        <f ca="1">IF(IFERROR(FIND("New",$A475)&gt;0,FALSE),"New ","") &amp; IF(IFERROR(FIND("In Lib",$A475)&gt;0,FALSE),"Reference ","") &amp;
IF(AND(D475="Audiobook",LEFT(B475,6)="CD BIO"),"Biography",
IF(AND(D475="Teen Audiobook",LEFT(B475,11)="TEEN CD BIO"),"Biography",
IF(AND(D475="Juvenile Audiobook",LEFT(B475,8)="J CD BIO"),"Biography",
IF(AND(D475="Audiobook",LEFT(B475,6)="CD FIC"),"Audiobook Fiction",
IF(AND(D475="Teen Audiobook",LEFT(B475,11)="TEEN CD FIC"),"Teen Audiobook",
IF(AND(D475="Juvenile Audiobook",LEFT(B475,8)="J CD FIC"),"Juvenile Audiobook",
IF(D475="Audiobook","Nonfiction",
IF(D475="Juvenile Audiobook","Nonfiction",
IF(D475="Teen Audiobook","Nonfiction",
IF(D475="Juvenile Nonfiction","Nonfiction",
IF(D475="Teen Nonfiction","Nonfiction",
IF(D475="Juvenile Biography","Biography",
IF(D475="Teen Biography","Biography",
IF(D475="ESL","Nonfiction",
IF(LEFT(B475,11)="INTL-VIE J ","International Juvenile",IF(LEFT(B475,11)="INTL-TAG J ","International Juvenile",IF(LEFT(B475,11)="INTL-RUS J ","International Juvenile",IF(LEFT(B475,11)="INTL-KOR J ","International Juvenile",IF(LEFT(B475,11)="INTL-JAP J ","International Juvenile",IF(LEFT(B475,11)="INTL-CHI J ","International Juvenile",IF(LEFT(B475,11)="INTL-SPA J ","International Juvenile",IF(LEFT(B475,14)="INTL-VIE TEEN ","International Teen",IF(LEFT(B475,14)="INTL-TAG TEEN ","International Teen",IF(LEFT(B475,14)="INTL-RUS TEEN ","International Teen",IF(LEFT(B475,14)="INTL-KOR TEEN ","International Teen",IF(LEFT(B475,14)="INTL-JAP TEEN ","International Teen",IF(LEFT(B475,14)="INTL-CHI TEEN ","International Teen",IF(LEFT(B475,14)="INTL-SPA TEEN ","International Teen",IF(LEFT(B475,11)="INTL-VIE E ","International Easy",IF(LEFT(B475,11)="INTL-TAG E ","International Easy",IF(LEFT(B475,11)="INTL-RUS E ","International Easy",IF(LEFT(B475,11)="INTL-JAP E ","International Easy",IF(LEFT(B475,11)="INTL-KOR E ","International Easy",IF(LEFT(B475,11)="INTL-CHI E ","International Easy",IF(LEFT(B475,11)="INTL-SPA E ","International Easy",
IF(D475="Teen Large Type","Teen Fiction",
IF(D475="Juvenile Large Type","Juvenile Fiction",
IF(LEFT(B475,6)="J CD O","Juvenile Compact Disc",
IF(AND(LEFT(B475,4)="TEEN",D475="Fiction"),"Teen Fiction",
IF(D475="DVD Educational","Nonfiction",
IF(D475="Juvenile DVD Educational","Nonfiction",
IF(D475="Reference","Nonfiction",
D475))))))))))))))))))))))))))))))))))))))))))</f>
        <v/>
      </c>
    </row>
    <row r="476" spans="1:14" ht="27" customHeight="1" x14ac:dyDescent="0.25">
      <c r="A476" s="10" t="str">
        <f ca="1">TEXT( INDIRECT( ADDRESS( ROW() + Row_Offset, INDIRECT( "Column_Number_" &amp; A$1), 4,1, tabname) ), "")</f>
        <v/>
      </c>
      <c r="B476" s="10" t="str">
        <f ca="1">TEXT(  IFERROR( VLOOKUP( $D476, CollName_Simplifier_Table[], 2, FALSE),"") &amp;
        INDIRECT( ADDRESS( ROW() + Row_Offset, INDIRECT( "Column_Number_" &amp; $B$1), 4,1, tabname) ), "")</f>
        <v/>
      </c>
      <c r="C476" s="10" t="str">
        <f ca="1">TEXT( INDIRECT( ADDRESS( ROW() + Row_Offset, INDIRECT( "Column_Number_" &amp; C$1), 4,1, tabname) ), "")</f>
        <v/>
      </c>
      <c r="D476" s="10" t="str">
        <f ca="1">TEXT( INDIRECT( ADDRESS( ROW() + Row_Offset, INDIRECT( "Column_Number_" &amp; D$1), 4,1, tabname) ), "")</f>
        <v/>
      </c>
      <c r="E476" s="10" t="str">
        <f ca="1">TEXT( INDIRECT( ADDRESS( ROW() + Row_Offset, INDIRECT( "Column_Number_" &amp; E$1), 4,1, tabname) ), "####")</f>
        <v/>
      </c>
      <c r="F476" s="15"/>
      <c r="G476" s="22" t="str">
        <f ca="1">IFERROR(INDEX(Rank_Table[],MATCH($D476&amp;$A476,Table4[Join],0)),"")</f>
        <v/>
      </c>
      <c r="H476" s="11" t="str">
        <f ca="1">IF(AND(D476="Juvenile Audiobook",LEFT(B476,8)="J CD BIO"),RIGHT(B476,LEN(B476)-9),
IF(AND(D476="Juvenile Audiobook",LEFT(B476,8)="J CD FIC"),B476,
IF(D476="Juvenile Audiobook",RIGHT(B476,LEN(B476)-5),
IF(AND(D476="Teen Audiobook",LEFT(B476,11)="TEEN CD BIO"),RIGHT(B476,LEN(B476)-12),
IF(AND(D476="Teen Audiobook",LEFT(B476,11)="TEEN CD FIC"),B476,
IF(D476="Juvenile Audiobook",RIGHT(B476,LEN(B476)-8),
IF(D476="Juvenile Nonfiction",RIGHT(B476,LEN(B476)-2),
IF(D476="Teen Nonfiction",RIGHT(B476,LEN(B476)-5),
IF(AND(D476="Audiobook",
              NOT(OR(Contains($B476,"CD BIO"),Contains($B476,"CD FIC")))),RIGHT(B476,LEN(B476)-3),
IF(D476="Juvenile Biography",RIGHT(B476,LEN(B476)-2),
IF(D476="Teen Biography",RIGHT(B476,LEN(B476)-5),
IF(AND(D476="Audiobook",
              IFERROR(FIND("BIO",$B476)&gt;0,FALSE)),RIGHT(B476,LEN(B476)-3),
IF(D476="Juvenile Large Type","J "&amp;RIGHT(B476,LEN(B476)-11),
IF(D476="Teen Large Type","TEEN "&amp;RIGHT(B476,LEN(B476)-14),
IF(D476="Reference",RIGHT(B476,LEN(B476)-4),
IF(D476="DVD Educational",RIGHT(B476,LEN(B476)-7),
IF(D476="Juvenile DVD Educational",RIGHT(B476,LEN(B476)-9),
B476)))))))))))))))))</f>
        <v/>
      </c>
      <c r="N476" s="11" t="str">
        <f ca="1">IF(IFERROR(FIND("New",$A476)&gt;0,FALSE),"New ","") &amp; IF(IFERROR(FIND("In Lib",$A476)&gt;0,FALSE),"Reference ","") &amp;
IF(AND(D476="Audiobook",LEFT(B476,6)="CD BIO"),"Biography",
IF(AND(D476="Teen Audiobook",LEFT(B476,11)="TEEN CD BIO"),"Biography",
IF(AND(D476="Juvenile Audiobook",LEFT(B476,8)="J CD BIO"),"Biography",
IF(AND(D476="Audiobook",LEFT(B476,6)="CD FIC"),"Audiobook Fiction",
IF(AND(D476="Teen Audiobook",LEFT(B476,11)="TEEN CD FIC"),"Teen Audiobook",
IF(AND(D476="Juvenile Audiobook",LEFT(B476,8)="J CD FIC"),"Juvenile Audiobook",
IF(D476="Audiobook","Nonfiction",
IF(D476="Juvenile Audiobook","Nonfiction",
IF(D476="Teen Audiobook","Nonfiction",
IF(D476="Juvenile Nonfiction","Nonfiction",
IF(D476="Teen Nonfiction","Nonfiction",
IF(D476="Juvenile Biography","Biography",
IF(D476="Teen Biography","Biography",
IF(D476="ESL","Nonfiction",
IF(LEFT(B476,11)="INTL-VIE J ","International Juvenile",IF(LEFT(B476,11)="INTL-TAG J ","International Juvenile",IF(LEFT(B476,11)="INTL-RUS J ","International Juvenile",IF(LEFT(B476,11)="INTL-KOR J ","International Juvenile",IF(LEFT(B476,11)="INTL-JAP J ","International Juvenile",IF(LEFT(B476,11)="INTL-CHI J ","International Juvenile",IF(LEFT(B476,11)="INTL-SPA J ","International Juvenile",IF(LEFT(B476,14)="INTL-VIE TEEN ","International Teen",IF(LEFT(B476,14)="INTL-TAG TEEN ","International Teen",IF(LEFT(B476,14)="INTL-RUS TEEN ","International Teen",IF(LEFT(B476,14)="INTL-KOR TEEN ","International Teen",IF(LEFT(B476,14)="INTL-JAP TEEN ","International Teen",IF(LEFT(B476,14)="INTL-CHI TEEN ","International Teen",IF(LEFT(B476,14)="INTL-SPA TEEN ","International Teen",IF(LEFT(B476,11)="INTL-VIE E ","International Easy",IF(LEFT(B476,11)="INTL-TAG E ","International Easy",IF(LEFT(B476,11)="INTL-RUS E ","International Easy",IF(LEFT(B476,11)="INTL-JAP E ","International Easy",IF(LEFT(B476,11)="INTL-KOR E ","International Easy",IF(LEFT(B476,11)="INTL-CHI E ","International Easy",IF(LEFT(B476,11)="INTL-SPA E ","International Easy",
IF(D476="Teen Large Type","Teen Fiction",
IF(D476="Juvenile Large Type","Juvenile Fiction",
IF(LEFT(B476,6)="J CD O","Juvenile Compact Disc",
IF(AND(LEFT(B476,4)="TEEN",D476="Fiction"),"Teen Fiction",
IF(D476="DVD Educational","Nonfiction",
IF(D476="Juvenile DVD Educational","Nonfiction",
IF(D476="Reference","Nonfiction",
D476))))))))))))))))))))))))))))))))))))))))))</f>
        <v/>
      </c>
    </row>
    <row r="477" spans="1:14" ht="27" customHeight="1" x14ac:dyDescent="0.25">
      <c r="A477" s="10" t="str">
        <f ca="1">TEXT( INDIRECT( ADDRESS( ROW() + Row_Offset, INDIRECT( "Column_Number_" &amp; A$1), 4,1, tabname) ), "")</f>
        <v/>
      </c>
      <c r="B477" s="10" t="str">
        <f ca="1">TEXT(  IFERROR( VLOOKUP( $D477, CollName_Simplifier_Table[], 2, FALSE),"") &amp;
        INDIRECT( ADDRESS( ROW() + Row_Offset, INDIRECT( "Column_Number_" &amp; $B$1), 4,1, tabname) ), "")</f>
        <v/>
      </c>
      <c r="C477" s="10" t="str">
        <f ca="1">TEXT( INDIRECT( ADDRESS( ROW() + Row_Offset, INDIRECT( "Column_Number_" &amp; C$1), 4,1, tabname) ), "")</f>
        <v/>
      </c>
      <c r="D477" s="10" t="str">
        <f ca="1">TEXT( INDIRECT( ADDRESS( ROW() + Row_Offset, INDIRECT( "Column_Number_" &amp; D$1), 4,1, tabname) ), "")</f>
        <v/>
      </c>
      <c r="E477" s="10" t="str">
        <f ca="1">TEXT( INDIRECT( ADDRESS( ROW() + Row_Offset, INDIRECT( "Column_Number_" &amp; E$1), 4,1, tabname) ), "####")</f>
        <v/>
      </c>
      <c r="F477" s="15"/>
      <c r="G477" s="22" t="str">
        <f ca="1">IFERROR(INDEX(Rank_Table[],MATCH($D477&amp;$A477,Table4[Join],0)),"")</f>
        <v/>
      </c>
      <c r="H477" s="11" t="str">
        <f ca="1">IF(AND(D477="Juvenile Audiobook",LEFT(B477,8)="J CD BIO"),RIGHT(B477,LEN(B477)-9),
IF(AND(D477="Juvenile Audiobook",LEFT(B477,8)="J CD FIC"),B477,
IF(D477="Juvenile Audiobook",RIGHT(B477,LEN(B477)-5),
IF(AND(D477="Teen Audiobook",LEFT(B477,11)="TEEN CD BIO"),RIGHT(B477,LEN(B477)-12),
IF(AND(D477="Teen Audiobook",LEFT(B477,11)="TEEN CD FIC"),B477,
IF(D477="Juvenile Audiobook",RIGHT(B477,LEN(B477)-8),
IF(D477="Juvenile Nonfiction",RIGHT(B477,LEN(B477)-2),
IF(D477="Teen Nonfiction",RIGHT(B477,LEN(B477)-5),
IF(AND(D477="Audiobook",
              NOT(OR(Contains($B477,"CD BIO"),Contains($B477,"CD FIC")))),RIGHT(B477,LEN(B477)-3),
IF(D477="Juvenile Biography",RIGHT(B477,LEN(B477)-2),
IF(D477="Teen Biography",RIGHT(B477,LEN(B477)-5),
IF(AND(D477="Audiobook",
              IFERROR(FIND("BIO",$B477)&gt;0,FALSE)),RIGHT(B477,LEN(B477)-3),
IF(D477="Juvenile Large Type","J "&amp;RIGHT(B477,LEN(B477)-11),
IF(D477="Teen Large Type","TEEN "&amp;RIGHT(B477,LEN(B477)-14),
IF(D477="Reference",RIGHT(B477,LEN(B477)-4),
IF(D477="DVD Educational",RIGHT(B477,LEN(B477)-7),
IF(D477="Juvenile DVD Educational",RIGHT(B477,LEN(B477)-9),
B477)))))))))))))))))</f>
        <v/>
      </c>
      <c r="N477" s="11" t="str">
        <f ca="1">IF(IFERROR(FIND("New",$A477)&gt;0,FALSE),"New ","") &amp; IF(IFERROR(FIND("In Lib",$A477)&gt;0,FALSE),"Reference ","") &amp;
IF(AND(D477="Audiobook",LEFT(B477,6)="CD BIO"),"Biography",
IF(AND(D477="Teen Audiobook",LEFT(B477,11)="TEEN CD BIO"),"Biography",
IF(AND(D477="Juvenile Audiobook",LEFT(B477,8)="J CD BIO"),"Biography",
IF(AND(D477="Audiobook",LEFT(B477,6)="CD FIC"),"Audiobook Fiction",
IF(AND(D477="Teen Audiobook",LEFT(B477,11)="TEEN CD FIC"),"Teen Audiobook",
IF(AND(D477="Juvenile Audiobook",LEFT(B477,8)="J CD FIC"),"Juvenile Audiobook",
IF(D477="Audiobook","Nonfiction",
IF(D477="Juvenile Audiobook","Nonfiction",
IF(D477="Teen Audiobook","Nonfiction",
IF(D477="Juvenile Nonfiction","Nonfiction",
IF(D477="Teen Nonfiction","Nonfiction",
IF(D477="Juvenile Biography","Biography",
IF(D477="Teen Biography","Biography",
IF(D477="ESL","Nonfiction",
IF(LEFT(B477,11)="INTL-VIE J ","International Juvenile",IF(LEFT(B477,11)="INTL-TAG J ","International Juvenile",IF(LEFT(B477,11)="INTL-RUS J ","International Juvenile",IF(LEFT(B477,11)="INTL-KOR J ","International Juvenile",IF(LEFT(B477,11)="INTL-JAP J ","International Juvenile",IF(LEFT(B477,11)="INTL-CHI J ","International Juvenile",IF(LEFT(B477,11)="INTL-SPA J ","International Juvenile",IF(LEFT(B477,14)="INTL-VIE TEEN ","International Teen",IF(LEFT(B477,14)="INTL-TAG TEEN ","International Teen",IF(LEFT(B477,14)="INTL-RUS TEEN ","International Teen",IF(LEFT(B477,14)="INTL-KOR TEEN ","International Teen",IF(LEFT(B477,14)="INTL-JAP TEEN ","International Teen",IF(LEFT(B477,14)="INTL-CHI TEEN ","International Teen",IF(LEFT(B477,14)="INTL-SPA TEEN ","International Teen",IF(LEFT(B477,11)="INTL-VIE E ","International Easy",IF(LEFT(B477,11)="INTL-TAG E ","International Easy",IF(LEFT(B477,11)="INTL-RUS E ","International Easy",IF(LEFT(B477,11)="INTL-JAP E ","International Easy",IF(LEFT(B477,11)="INTL-KOR E ","International Easy",IF(LEFT(B477,11)="INTL-CHI E ","International Easy",IF(LEFT(B477,11)="INTL-SPA E ","International Easy",
IF(D477="Teen Large Type","Teen Fiction",
IF(D477="Juvenile Large Type","Juvenile Fiction",
IF(LEFT(B477,6)="J CD O","Juvenile Compact Disc",
IF(AND(LEFT(B477,4)="TEEN",D477="Fiction"),"Teen Fiction",
IF(D477="DVD Educational","Nonfiction",
IF(D477="Juvenile DVD Educational","Nonfiction",
IF(D477="Reference","Nonfiction",
D477))))))))))))))))))))))))))))))))))))))))))</f>
        <v/>
      </c>
    </row>
    <row r="478" spans="1:14" ht="27" customHeight="1" x14ac:dyDescent="0.25">
      <c r="A478" s="10" t="str">
        <f ca="1">TEXT( INDIRECT( ADDRESS( ROW() + Row_Offset, INDIRECT( "Column_Number_" &amp; A$1), 4,1, tabname) ), "")</f>
        <v/>
      </c>
      <c r="B478" s="10" t="str">
        <f ca="1">TEXT(  IFERROR( VLOOKUP( $D478, CollName_Simplifier_Table[], 2, FALSE),"") &amp;
        INDIRECT( ADDRESS( ROW() + Row_Offset, INDIRECT( "Column_Number_" &amp; $B$1), 4,1, tabname) ), "")</f>
        <v/>
      </c>
      <c r="C478" s="10" t="str">
        <f ca="1">TEXT( INDIRECT( ADDRESS( ROW() + Row_Offset, INDIRECT( "Column_Number_" &amp; C$1), 4,1, tabname) ), "")</f>
        <v/>
      </c>
      <c r="D478" s="10" t="str">
        <f ca="1">TEXT( INDIRECT( ADDRESS( ROW() + Row_Offset, INDIRECT( "Column_Number_" &amp; D$1), 4,1, tabname) ), "")</f>
        <v/>
      </c>
      <c r="E478" s="10" t="str">
        <f ca="1">TEXT( INDIRECT( ADDRESS( ROW() + Row_Offset, INDIRECT( "Column_Number_" &amp; E$1), 4,1, tabname) ), "####")</f>
        <v/>
      </c>
      <c r="F478" s="15"/>
      <c r="G478" s="22" t="str">
        <f ca="1">IFERROR(INDEX(Rank_Table[],MATCH($D478&amp;$A478,Table4[Join],0)),"")</f>
        <v/>
      </c>
      <c r="H478" s="11" t="str">
        <f ca="1">IF(AND(D478="Juvenile Audiobook",LEFT(B478,8)="J CD BIO"),RIGHT(B478,LEN(B478)-9),
IF(AND(D478="Juvenile Audiobook",LEFT(B478,8)="J CD FIC"),B478,
IF(D478="Juvenile Audiobook",RIGHT(B478,LEN(B478)-5),
IF(AND(D478="Teen Audiobook",LEFT(B478,11)="TEEN CD BIO"),RIGHT(B478,LEN(B478)-12),
IF(AND(D478="Teen Audiobook",LEFT(B478,11)="TEEN CD FIC"),B478,
IF(D478="Juvenile Audiobook",RIGHT(B478,LEN(B478)-8),
IF(D478="Juvenile Nonfiction",RIGHT(B478,LEN(B478)-2),
IF(D478="Teen Nonfiction",RIGHT(B478,LEN(B478)-5),
IF(AND(D478="Audiobook",
              NOT(OR(Contains($B478,"CD BIO"),Contains($B478,"CD FIC")))),RIGHT(B478,LEN(B478)-3),
IF(D478="Juvenile Biography",RIGHT(B478,LEN(B478)-2),
IF(D478="Teen Biography",RIGHT(B478,LEN(B478)-5),
IF(AND(D478="Audiobook",
              IFERROR(FIND("BIO",$B478)&gt;0,FALSE)),RIGHT(B478,LEN(B478)-3),
IF(D478="Juvenile Large Type","J "&amp;RIGHT(B478,LEN(B478)-11),
IF(D478="Teen Large Type","TEEN "&amp;RIGHT(B478,LEN(B478)-14),
IF(D478="Reference",RIGHT(B478,LEN(B478)-4),
IF(D478="DVD Educational",RIGHT(B478,LEN(B478)-7),
IF(D478="Juvenile DVD Educational",RIGHT(B478,LEN(B478)-9),
B478)))))))))))))))))</f>
        <v/>
      </c>
      <c r="N478" s="11" t="str">
        <f ca="1">IF(IFERROR(FIND("New",$A478)&gt;0,FALSE),"New ","") &amp; IF(IFERROR(FIND("In Lib",$A478)&gt;0,FALSE),"Reference ","") &amp;
IF(AND(D478="Audiobook",LEFT(B478,6)="CD BIO"),"Biography",
IF(AND(D478="Teen Audiobook",LEFT(B478,11)="TEEN CD BIO"),"Biography",
IF(AND(D478="Juvenile Audiobook",LEFT(B478,8)="J CD BIO"),"Biography",
IF(AND(D478="Audiobook",LEFT(B478,6)="CD FIC"),"Audiobook Fiction",
IF(AND(D478="Teen Audiobook",LEFT(B478,11)="TEEN CD FIC"),"Teen Audiobook",
IF(AND(D478="Juvenile Audiobook",LEFT(B478,8)="J CD FIC"),"Juvenile Audiobook",
IF(D478="Audiobook","Nonfiction",
IF(D478="Juvenile Audiobook","Nonfiction",
IF(D478="Teen Audiobook","Nonfiction",
IF(D478="Juvenile Nonfiction","Nonfiction",
IF(D478="Teen Nonfiction","Nonfiction",
IF(D478="Juvenile Biography","Biography",
IF(D478="Teen Biography","Biography",
IF(D478="ESL","Nonfiction",
IF(LEFT(B478,11)="INTL-VIE J ","International Juvenile",IF(LEFT(B478,11)="INTL-TAG J ","International Juvenile",IF(LEFT(B478,11)="INTL-RUS J ","International Juvenile",IF(LEFT(B478,11)="INTL-KOR J ","International Juvenile",IF(LEFT(B478,11)="INTL-JAP J ","International Juvenile",IF(LEFT(B478,11)="INTL-CHI J ","International Juvenile",IF(LEFT(B478,11)="INTL-SPA J ","International Juvenile",IF(LEFT(B478,14)="INTL-VIE TEEN ","International Teen",IF(LEFT(B478,14)="INTL-TAG TEEN ","International Teen",IF(LEFT(B478,14)="INTL-RUS TEEN ","International Teen",IF(LEFT(B478,14)="INTL-KOR TEEN ","International Teen",IF(LEFT(B478,14)="INTL-JAP TEEN ","International Teen",IF(LEFT(B478,14)="INTL-CHI TEEN ","International Teen",IF(LEFT(B478,14)="INTL-SPA TEEN ","International Teen",IF(LEFT(B478,11)="INTL-VIE E ","International Easy",IF(LEFT(B478,11)="INTL-TAG E ","International Easy",IF(LEFT(B478,11)="INTL-RUS E ","International Easy",IF(LEFT(B478,11)="INTL-JAP E ","International Easy",IF(LEFT(B478,11)="INTL-KOR E ","International Easy",IF(LEFT(B478,11)="INTL-CHI E ","International Easy",IF(LEFT(B478,11)="INTL-SPA E ","International Easy",
IF(D478="Teen Large Type","Teen Fiction",
IF(D478="Juvenile Large Type","Juvenile Fiction",
IF(LEFT(B478,6)="J CD O","Juvenile Compact Disc",
IF(AND(LEFT(B478,4)="TEEN",D478="Fiction"),"Teen Fiction",
IF(D478="DVD Educational","Nonfiction",
IF(D478="Juvenile DVD Educational","Nonfiction",
IF(D478="Reference","Nonfiction",
D478))))))))))))))))))))))))))))))))))))))))))</f>
        <v/>
      </c>
    </row>
    <row r="479" spans="1:14" ht="27" customHeight="1" x14ac:dyDescent="0.25">
      <c r="A479" s="10" t="str">
        <f ca="1">TEXT( INDIRECT( ADDRESS( ROW() + Row_Offset, INDIRECT( "Column_Number_" &amp; A$1), 4,1, tabname) ), "")</f>
        <v/>
      </c>
      <c r="B479" s="10" t="str">
        <f ca="1">TEXT(  IFERROR( VLOOKUP( $D479, CollName_Simplifier_Table[], 2, FALSE),"") &amp;
        INDIRECT( ADDRESS( ROW() + Row_Offset, INDIRECT( "Column_Number_" &amp; $B$1), 4,1, tabname) ), "")</f>
        <v/>
      </c>
      <c r="C479" s="10" t="str">
        <f ca="1">TEXT( INDIRECT( ADDRESS( ROW() + Row_Offset, INDIRECT( "Column_Number_" &amp; C$1), 4,1, tabname) ), "")</f>
        <v/>
      </c>
      <c r="D479" s="10" t="str">
        <f ca="1">TEXT( INDIRECT( ADDRESS( ROW() + Row_Offset, INDIRECT( "Column_Number_" &amp; D$1), 4,1, tabname) ), "")</f>
        <v/>
      </c>
      <c r="E479" s="10" t="str">
        <f ca="1">TEXT( INDIRECT( ADDRESS( ROW() + Row_Offset, INDIRECT( "Column_Number_" &amp; E$1), 4,1, tabname) ), "####")</f>
        <v/>
      </c>
      <c r="F479" s="15"/>
      <c r="G479" s="22" t="str">
        <f ca="1">IFERROR(INDEX(Rank_Table[],MATCH($D479&amp;$A479,Table4[Join],0)),"")</f>
        <v/>
      </c>
      <c r="H479" s="11" t="str">
        <f ca="1">IF(AND(D479="Juvenile Audiobook",LEFT(B479,8)="J CD BIO"),RIGHT(B479,LEN(B479)-9),
IF(AND(D479="Juvenile Audiobook",LEFT(B479,8)="J CD FIC"),B479,
IF(D479="Juvenile Audiobook",RIGHT(B479,LEN(B479)-5),
IF(AND(D479="Teen Audiobook",LEFT(B479,11)="TEEN CD BIO"),RIGHT(B479,LEN(B479)-12),
IF(AND(D479="Teen Audiobook",LEFT(B479,11)="TEEN CD FIC"),B479,
IF(D479="Juvenile Audiobook",RIGHT(B479,LEN(B479)-8),
IF(D479="Juvenile Nonfiction",RIGHT(B479,LEN(B479)-2),
IF(D479="Teen Nonfiction",RIGHT(B479,LEN(B479)-5),
IF(AND(D479="Audiobook",
              NOT(OR(Contains($B479,"CD BIO"),Contains($B479,"CD FIC")))),RIGHT(B479,LEN(B479)-3),
IF(D479="Juvenile Biography",RIGHT(B479,LEN(B479)-2),
IF(D479="Teen Biography",RIGHT(B479,LEN(B479)-5),
IF(AND(D479="Audiobook",
              IFERROR(FIND("BIO",$B479)&gt;0,FALSE)),RIGHT(B479,LEN(B479)-3),
IF(D479="Juvenile Large Type","J "&amp;RIGHT(B479,LEN(B479)-11),
IF(D479="Teen Large Type","TEEN "&amp;RIGHT(B479,LEN(B479)-14),
IF(D479="Reference",RIGHT(B479,LEN(B479)-4),
IF(D479="DVD Educational",RIGHT(B479,LEN(B479)-7),
IF(D479="Juvenile DVD Educational",RIGHT(B479,LEN(B479)-9),
B479)))))))))))))))))</f>
        <v/>
      </c>
      <c r="N479" s="11" t="str">
        <f ca="1">IF(IFERROR(FIND("New",$A479)&gt;0,FALSE),"New ","") &amp; IF(IFERROR(FIND("In Lib",$A479)&gt;0,FALSE),"Reference ","") &amp;
IF(AND(D479="Audiobook",LEFT(B479,6)="CD BIO"),"Biography",
IF(AND(D479="Teen Audiobook",LEFT(B479,11)="TEEN CD BIO"),"Biography",
IF(AND(D479="Juvenile Audiobook",LEFT(B479,8)="J CD BIO"),"Biography",
IF(AND(D479="Audiobook",LEFT(B479,6)="CD FIC"),"Audiobook Fiction",
IF(AND(D479="Teen Audiobook",LEFT(B479,11)="TEEN CD FIC"),"Teen Audiobook",
IF(AND(D479="Juvenile Audiobook",LEFT(B479,8)="J CD FIC"),"Juvenile Audiobook",
IF(D479="Audiobook","Nonfiction",
IF(D479="Juvenile Audiobook","Nonfiction",
IF(D479="Teen Audiobook","Nonfiction",
IF(D479="Juvenile Nonfiction","Nonfiction",
IF(D479="Teen Nonfiction","Nonfiction",
IF(D479="Juvenile Biography","Biography",
IF(D479="Teen Biography","Biography",
IF(D479="ESL","Nonfiction",
IF(LEFT(B479,11)="INTL-VIE J ","International Juvenile",IF(LEFT(B479,11)="INTL-TAG J ","International Juvenile",IF(LEFT(B479,11)="INTL-RUS J ","International Juvenile",IF(LEFT(B479,11)="INTL-KOR J ","International Juvenile",IF(LEFT(B479,11)="INTL-JAP J ","International Juvenile",IF(LEFT(B479,11)="INTL-CHI J ","International Juvenile",IF(LEFT(B479,11)="INTL-SPA J ","International Juvenile",IF(LEFT(B479,14)="INTL-VIE TEEN ","International Teen",IF(LEFT(B479,14)="INTL-TAG TEEN ","International Teen",IF(LEFT(B479,14)="INTL-RUS TEEN ","International Teen",IF(LEFT(B479,14)="INTL-KOR TEEN ","International Teen",IF(LEFT(B479,14)="INTL-JAP TEEN ","International Teen",IF(LEFT(B479,14)="INTL-CHI TEEN ","International Teen",IF(LEFT(B479,14)="INTL-SPA TEEN ","International Teen",IF(LEFT(B479,11)="INTL-VIE E ","International Easy",IF(LEFT(B479,11)="INTL-TAG E ","International Easy",IF(LEFT(B479,11)="INTL-RUS E ","International Easy",IF(LEFT(B479,11)="INTL-JAP E ","International Easy",IF(LEFT(B479,11)="INTL-KOR E ","International Easy",IF(LEFT(B479,11)="INTL-CHI E ","International Easy",IF(LEFT(B479,11)="INTL-SPA E ","International Easy",
IF(D479="Teen Large Type","Teen Fiction",
IF(D479="Juvenile Large Type","Juvenile Fiction",
IF(LEFT(B479,6)="J CD O","Juvenile Compact Disc",
IF(AND(LEFT(B479,4)="TEEN",D479="Fiction"),"Teen Fiction",
IF(D479="DVD Educational","Nonfiction",
IF(D479="Juvenile DVD Educational","Nonfiction",
IF(D479="Reference","Nonfiction",
D479))))))))))))))))))))))))))))))))))))))))))</f>
        <v/>
      </c>
    </row>
    <row r="480" spans="1:14" ht="27" customHeight="1" x14ac:dyDescent="0.25">
      <c r="A480" s="10" t="str">
        <f ca="1">TEXT( INDIRECT( ADDRESS( ROW() + Row_Offset, INDIRECT( "Column_Number_" &amp; A$1), 4,1, tabname) ), "")</f>
        <v/>
      </c>
      <c r="B480" s="10" t="str">
        <f ca="1">TEXT(  IFERROR( VLOOKUP( $D480, CollName_Simplifier_Table[], 2, FALSE),"") &amp;
        INDIRECT( ADDRESS( ROW() + Row_Offset, INDIRECT( "Column_Number_" &amp; $B$1), 4,1, tabname) ), "")</f>
        <v/>
      </c>
      <c r="C480" s="10" t="str">
        <f ca="1">TEXT( INDIRECT( ADDRESS( ROW() + Row_Offset, INDIRECT( "Column_Number_" &amp; C$1), 4,1, tabname) ), "")</f>
        <v/>
      </c>
      <c r="D480" s="10" t="str">
        <f ca="1">TEXT( INDIRECT( ADDRESS( ROW() + Row_Offset, INDIRECT( "Column_Number_" &amp; D$1), 4,1, tabname) ), "")</f>
        <v/>
      </c>
      <c r="E480" s="10" t="str">
        <f ca="1">TEXT( INDIRECT( ADDRESS( ROW() + Row_Offset, INDIRECT( "Column_Number_" &amp; E$1), 4,1, tabname) ), "####")</f>
        <v/>
      </c>
      <c r="F480" s="15"/>
      <c r="G480" s="22" t="str">
        <f ca="1">IFERROR(INDEX(Rank_Table[],MATCH($D480&amp;$A480,Table4[Join],0)),"")</f>
        <v/>
      </c>
      <c r="H480" s="11" t="str">
        <f ca="1">IF(AND(D480="Juvenile Audiobook",LEFT(B480,8)="J CD BIO"),RIGHT(B480,LEN(B480)-9),
IF(AND(D480="Juvenile Audiobook",LEFT(B480,8)="J CD FIC"),B480,
IF(D480="Juvenile Audiobook",RIGHT(B480,LEN(B480)-5),
IF(AND(D480="Teen Audiobook",LEFT(B480,11)="TEEN CD BIO"),RIGHT(B480,LEN(B480)-12),
IF(AND(D480="Teen Audiobook",LEFT(B480,11)="TEEN CD FIC"),B480,
IF(D480="Juvenile Audiobook",RIGHT(B480,LEN(B480)-8),
IF(D480="Juvenile Nonfiction",RIGHT(B480,LEN(B480)-2),
IF(D480="Teen Nonfiction",RIGHT(B480,LEN(B480)-5),
IF(AND(D480="Audiobook",
              NOT(OR(Contains($B480,"CD BIO"),Contains($B480,"CD FIC")))),RIGHT(B480,LEN(B480)-3),
IF(D480="Juvenile Biography",RIGHT(B480,LEN(B480)-2),
IF(D480="Teen Biography",RIGHT(B480,LEN(B480)-5),
IF(AND(D480="Audiobook",
              IFERROR(FIND("BIO",$B480)&gt;0,FALSE)),RIGHT(B480,LEN(B480)-3),
IF(D480="Juvenile Large Type","J "&amp;RIGHT(B480,LEN(B480)-11),
IF(D480="Teen Large Type","TEEN "&amp;RIGHT(B480,LEN(B480)-14),
IF(D480="Reference",RIGHT(B480,LEN(B480)-4),
IF(D480="DVD Educational",RIGHT(B480,LEN(B480)-7),
IF(D480="Juvenile DVD Educational",RIGHT(B480,LEN(B480)-9),
B480)))))))))))))))))</f>
        <v/>
      </c>
      <c r="N480" s="11" t="str">
        <f ca="1">IF(IFERROR(FIND("New",$A480)&gt;0,FALSE),"New ","") &amp; IF(IFERROR(FIND("In Lib",$A480)&gt;0,FALSE),"Reference ","") &amp;
IF(AND(D480="Audiobook",LEFT(B480,6)="CD BIO"),"Biography",
IF(AND(D480="Teen Audiobook",LEFT(B480,11)="TEEN CD BIO"),"Biography",
IF(AND(D480="Juvenile Audiobook",LEFT(B480,8)="J CD BIO"),"Biography",
IF(AND(D480="Audiobook",LEFT(B480,6)="CD FIC"),"Audiobook Fiction",
IF(AND(D480="Teen Audiobook",LEFT(B480,11)="TEEN CD FIC"),"Teen Audiobook",
IF(AND(D480="Juvenile Audiobook",LEFT(B480,8)="J CD FIC"),"Juvenile Audiobook",
IF(D480="Audiobook","Nonfiction",
IF(D480="Juvenile Audiobook","Nonfiction",
IF(D480="Teen Audiobook","Nonfiction",
IF(D480="Juvenile Nonfiction","Nonfiction",
IF(D480="Teen Nonfiction","Nonfiction",
IF(D480="Juvenile Biography","Biography",
IF(D480="Teen Biography","Biography",
IF(D480="ESL","Nonfiction",
IF(LEFT(B480,11)="INTL-VIE J ","International Juvenile",IF(LEFT(B480,11)="INTL-TAG J ","International Juvenile",IF(LEFT(B480,11)="INTL-RUS J ","International Juvenile",IF(LEFT(B480,11)="INTL-KOR J ","International Juvenile",IF(LEFT(B480,11)="INTL-JAP J ","International Juvenile",IF(LEFT(B480,11)="INTL-CHI J ","International Juvenile",IF(LEFT(B480,11)="INTL-SPA J ","International Juvenile",IF(LEFT(B480,14)="INTL-VIE TEEN ","International Teen",IF(LEFT(B480,14)="INTL-TAG TEEN ","International Teen",IF(LEFT(B480,14)="INTL-RUS TEEN ","International Teen",IF(LEFT(B480,14)="INTL-KOR TEEN ","International Teen",IF(LEFT(B480,14)="INTL-JAP TEEN ","International Teen",IF(LEFT(B480,14)="INTL-CHI TEEN ","International Teen",IF(LEFT(B480,14)="INTL-SPA TEEN ","International Teen",IF(LEFT(B480,11)="INTL-VIE E ","International Easy",IF(LEFT(B480,11)="INTL-TAG E ","International Easy",IF(LEFT(B480,11)="INTL-RUS E ","International Easy",IF(LEFT(B480,11)="INTL-JAP E ","International Easy",IF(LEFT(B480,11)="INTL-KOR E ","International Easy",IF(LEFT(B480,11)="INTL-CHI E ","International Easy",IF(LEFT(B480,11)="INTL-SPA E ","International Easy",
IF(D480="Teen Large Type","Teen Fiction",
IF(D480="Juvenile Large Type","Juvenile Fiction",
IF(LEFT(B480,6)="J CD O","Juvenile Compact Disc",
IF(AND(LEFT(B480,4)="TEEN",D480="Fiction"),"Teen Fiction",
IF(D480="DVD Educational","Nonfiction",
IF(D480="Juvenile DVD Educational","Nonfiction",
IF(D480="Reference","Nonfiction",
D480))))))))))))))))))))))))))))))))))))))))))</f>
        <v/>
      </c>
    </row>
    <row r="481" spans="1:14" ht="27" customHeight="1" x14ac:dyDescent="0.25">
      <c r="A481" s="10" t="str">
        <f ca="1">TEXT( INDIRECT( ADDRESS( ROW() + Row_Offset, INDIRECT( "Column_Number_" &amp; A$1), 4,1, tabname) ), "")</f>
        <v/>
      </c>
      <c r="B481" s="10" t="str">
        <f ca="1">TEXT(  IFERROR( VLOOKUP( $D481, CollName_Simplifier_Table[], 2, FALSE),"") &amp;
        INDIRECT( ADDRESS( ROW() + Row_Offset, INDIRECT( "Column_Number_" &amp; $B$1), 4,1, tabname) ), "")</f>
        <v/>
      </c>
      <c r="C481" s="10" t="str">
        <f ca="1">TEXT( INDIRECT( ADDRESS( ROW() + Row_Offset, INDIRECT( "Column_Number_" &amp; C$1), 4,1, tabname) ), "")</f>
        <v/>
      </c>
      <c r="D481" s="10" t="str">
        <f ca="1">TEXT( INDIRECT( ADDRESS( ROW() + Row_Offset, INDIRECT( "Column_Number_" &amp; D$1), 4,1, tabname) ), "")</f>
        <v/>
      </c>
      <c r="E481" s="10" t="str">
        <f ca="1">TEXT( INDIRECT( ADDRESS( ROW() + Row_Offset, INDIRECT( "Column_Number_" &amp; E$1), 4,1, tabname) ), "####")</f>
        <v/>
      </c>
      <c r="F481" s="15"/>
      <c r="G481" s="22" t="str">
        <f ca="1">IFERROR(INDEX(Rank_Table[],MATCH($D481&amp;$A481,Table4[Join],0)),"")</f>
        <v/>
      </c>
      <c r="H481" s="11" t="str">
        <f ca="1">IF(AND(D481="Juvenile Audiobook",LEFT(B481,8)="J CD BIO"),RIGHT(B481,LEN(B481)-9),
IF(AND(D481="Juvenile Audiobook",LEFT(B481,8)="J CD FIC"),B481,
IF(D481="Juvenile Audiobook",RIGHT(B481,LEN(B481)-5),
IF(AND(D481="Teen Audiobook",LEFT(B481,11)="TEEN CD BIO"),RIGHT(B481,LEN(B481)-12),
IF(AND(D481="Teen Audiobook",LEFT(B481,11)="TEEN CD FIC"),B481,
IF(D481="Juvenile Audiobook",RIGHT(B481,LEN(B481)-8),
IF(D481="Juvenile Nonfiction",RIGHT(B481,LEN(B481)-2),
IF(D481="Teen Nonfiction",RIGHT(B481,LEN(B481)-5),
IF(AND(D481="Audiobook",
              NOT(OR(Contains($B481,"CD BIO"),Contains($B481,"CD FIC")))),RIGHT(B481,LEN(B481)-3),
IF(D481="Juvenile Biography",RIGHT(B481,LEN(B481)-2),
IF(D481="Teen Biography",RIGHT(B481,LEN(B481)-5),
IF(AND(D481="Audiobook",
              IFERROR(FIND("BIO",$B481)&gt;0,FALSE)),RIGHT(B481,LEN(B481)-3),
IF(D481="Juvenile Large Type","J "&amp;RIGHT(B481,LEN(B481)-11),
IF(D481="Teen Large Type","TEEN "&amp;RIGHT(B481,LEN(B481)-14),
IF(D481="Reference",RIGHT(B481,LEN(B481)-4),
IF(D481="DVD Educational",RIGHT(B481,LEN(B481)-7),
IF(D481="Juvenile DVD Educational",RIGHT(B481,LEN(B481)-9),
B481)))))))))))))))))</f>
        <v/>
      </c>
      <c r="N481" s="11" t="str">
        <f ca="1">IF(IFERROR(FIND("New",$A481)&gt;0,FALSE),"New ","") &amp; IF(IFERROR(FIND("In Lib",$A481)&gt;0,FALSE),"Reference ","") &amp;
IF(AND(D481="Audiobook",LEFT(B481,6)="CD BIO"),"Biography",
IF(AND(D481="Teen Audiobook",LEFT(B481,11)="TEEN CD BIO"),"Biography",
IF(AND(D481="Juvenile Audiobook",LEFT(B481,8)="J CD BIO"),"Biography",
IF(AND(D481="Audiobook",LEFT(B481,6)="CD FIC"),"Audiobook Fiction",
IF(AND(D481="Teen Audiobook",LEFT(B481,11)="TEEN CD FIC"),"Teen Audiobook",
IF(AND(D481="Juvenile Audiobook",LEFT(B481,8)="J CD FIC"),"Juvenile Audiobook",
IF(D481="Audiobook","Nonfiction",
IF(D481="Juvenile Audiobook","Nonfiction",
IF(D481="Teen Audiobook","Nonfiction",
IF(D481="Juvenile Nonfiction","Nonfiction",
IF(D481="Teen Nonfiction","Nonfiction",
IF(D481="Juvenile Biography","Biography",
IF(D481="Teen Biography","Biography",
IF(D481="ESL","Nonfiction",
IF(LEFT(B481,11)="INTL-VIE J ","International Juvenile",IF(LEFT(B481,11)="INTL-TAG J ","International Juvenile",IF(LEFT(B481,11)="INTL-RUS J ","International Juvenile",IF(LEFT(B481,11)="INTL-KOR J ","International Juvenile",IF(LEFT(B481,11)="INTL-JAP J ","International Juvenile",IF(LEFT(B481,11)="INTL-CHI J ","International Juvenile",IF(LEFT(B481,11)="INTL-SPA J ","International Juvenile",IF(LEFT(B481,14)="INTL-VIE TEEN ","International Teen",IF(LEFT(B481,14)="INTL-TAG TEEN ","International Teen",IF(LEFT(B481,14)="INTL-RUS TEEN ","International Teen",IF(LEFT(B481,14)="INTL-KOR TEEN ","International Teen",IF(LEFT(B481,14)="INTL-JAP TEEN ","International Teen",IF(LEFT(B481,14)="INTL-CHI TEEN ","International Teen",IF(LEFT(B481,14)="INTL-SPA TEEN ","International Teen",IF(LEFT(B481,11)="INTL-VIE E ","International Easy",IF(LEFT(B481,11)="INTL-TAG E ","International Easy",IF(LEFT(B481,11)="INTL-RUS E ","International Easy",IF(LEFT(B481,11)="INTL-JAP E ","International Easy",IF(LEFT(B481,11)="INTL-KOR E ","International Easy",IF(LEFT(B481,11)="INTL-CHI E ","International Easy",IF(LEFT(B481,11)="INTL-SPA E ","International Easy",
IF(D481="Teen Large Type","Teen Fiction",
IF(D481="Juvenile Large Type","Juvenile Fiction",
IF(LEFT(B481,6)="J CD O","Juvenile Compact Disc",
IF(AND(LEFT(B481,4)="TEEN",D481="Fiction"),"Teen Fiction",
IF(D481="DVD Educational","Nonfiction",
IF(D481="Juvenile DVD Educational","Nonfiction",
IF(D481="Reference","Nonfiction",
D481))))))))))))))))))))))))))))))))))))))))))</f>
        <v/>
      </c>
    </row>
    <row r="482" spans="1:14" ht="27" customHeight="1" x14ac:dyDescent="0.25">
      <c r="A482" s="10" t="str">
        <f ca="1">TEXT( INDIRECT( ADDRESS( ROW() + Row_Offset, INDIRECT( "Column_Number_" &amp; A$1), 4,1, tabname) ), "")</f>
        <v/>
      </c>
      <c r="B482" s="10" t="str">
        <f ca="1">TEXT(  IFERROR( VLOOKUP( $D482, CollName_Simplifier_Table[], 2, FALSE),"") &amp;
        INDIRECT( ADDRESS( ROW() + Row_Offset, INDIRECT( "Column_Number_" &amp; $B$1), 4,1, tabname) ), "")</f>
        <v/>
      </c>
      <c r="C482" s="10" t="str">
        <f ca="1">TEXT( INDIRECT( ADDRESS( ROW() + Row_Offset, INDIRECT( "Column_Number_" &amp; C$1), 4,1, tabname) ), "")</f>
        <v/>
      </c>
      <c r="D482" s="10" t="str">
        <f ca="1">TEXT( INDIRECT( ADDRESS( ROW() + Row_Offset, INDIRECT( "Column_Number_" &amp; D$1), 4,1, tabname) ), "")</f>
        <v/>
      </c>
      <c r="E482" s="10" t="str">
        <f ca="1">TEXT( INDIRECT( ADDRESS( ROW() + Row_Offset, INDIRECT( "Column_Number_" &amp; E$1), 4,1, tabname) ), "####")</f>
        <v/>
      </c>
      <c r="F482" s="15"/>
      <c r="G482" s="22" t="str">
        <f ca="1">IFERROR(INDEX(Rank_Table[],MATCH($D482&amp;$A482,Table4[Join],0)),"")</f>
        <v/>
      </c>
      <c r="H482" s="11" t="str">
        <f ca="1">IF(AND(D482="Juvenile Audiobook",LEFT(B482,8)="J CD BIO"),RIGHT(B482,LEN(B482)-9),
IF(AND(D482="Juvenile Audiobook",LEFT(B482,8)="J CD FIC"),B482,
IF(D482="Juvenile Audiobook",RIGHT(B482,LEN(B482)-5),
IF(AND(D482="Teen Audiobook",LEFT(B482,11)="TEEN CD BIO"),RIGHT(B482,LEN(B482)-12),
IF(AND(D482="Teen Audiobook",LEFT(B482,11)="TEEN CD FIC"),B482,
IF(D482="Juvenile Audiobook",RIGHT(B482,LEN(B482)-8),
IF(D482="Juvenile Nonfiction",RIGHT(B482,LEN(B482)-2),
IF(D482="Teen Nonfiction",RIGHT(B482,LEN(B482)-5),
IF(AND(D482="Audiobook",
              NOT(OR(Contains($B482,"CD BIO"),Contains($B482,"CD FIC")))),RIGHT(B482,LEN(B482)-3),
IF(D482="Juvenile Biography",RIGHT(B482,LEN(B482)-2),
IF(D482="Teen Biography",RIGHT(B482,LEN(B482)-5),
IF(AND(D482="Audiobook",
              IFERROR(FIND("BIO",$B482)&gt;0,FALSE)),RIGHT(B482,LEN(B482)-3),
IF(D482="Juvenile Large Type","J "&amp;RIGHT(B482,LEN(B482)-11),
IF(D482="Teen Large Type","TEEN "&amp;RIGHT(B482,LEN(B482)-14),
IF(D482="Reference",RIGHT(B482,LEN(B482)-4),
IF(D482="DVD Educational",RIGHT(B482,LEN(B482)-7),
IF(D482="Juvenile DVD Educational",RIGHT(B482,LEN(B482)-9),
B482)))))))))))))))))</f>
        <v/>
      </c>
      <c r="N482" s="11" t="str">
        <f ca="1">IF(IFERROR(FIND("New",$A482)&gt;0,FALSE),"New ","") &amp; IF(IFERROR(FIND("In Lib",$A482)&gt;0,FALSE),"Reference ","") &amp;
IF(AND(D482="Audiobook",LEFT(B482,6)="CD BIO"),"Biography",
IF(AND(D482="Teen Audiobook",LEFT(B482,11)="TEEN CD BIO"),"Biography",
IF(AND(D482="Juvenile Audiobook",LEFT(B482,8)="J CD BIO"),"Biography",
IF(AND(D482="Audiobook",LEFT(B482,6)="CD FIC"),"Audiobook Fiction",
IF(AND(D482="Teen Audiobook",LEFT(B482,11)="TEEN CD FIC"),"Teen Audiobook",
IF(AND(D482="Juvenile Audiobook",LEFT(B482,8)="J CD FIC"),"Juvenile Audiobook",
IF(D482="Audiobook","Nonfiction",
IF(D482="Juvenile Audiobook","Nonfiction",
IF(D482="Teen Audiobook","Nonfiction",
IF(D482="Juvenile Nonfiction","Nonfiction",
IF(D482="Teen Nonfiction","Nonfiction",
IF(D482="Juvenile Biography","Biography",
IF(D482="Teen Biography","Biography",
IF(D482="ESL","Nonfiction",
IF(LEFT(B482,11)="INTL-VIE J ","International Juvenile",IF(LEFT(B482,11)="INTL-TAG J ","International Juvenile",IF(LEFT(B482,11)="INTL-RUS J ","International Juvenile",IF(LEFT(B482,11)="INTL-KOR J ","International Juvenile",IF(LEFT(B482,11)="INTL-JAP J ","International Juvenile",IF(LEFT(B482,11)="INTL-CHI J ","International Juvenile",IF(LEFT(B482,11)="INTL-SPA J ","International Juvenile",IF(LEFT(B482,14)="INTL-VIE TEEN ","International Teen",IF(LEFT(B482,14)="INTL-TAG TEEN ","International Teen",IF(LEFT(B482,14)="INTL-RUS TEEN ","International Teen",IF(LEFT(B482,14)="INTL-KOR TEEN ","International Teen",IF(LEFT(B482,14)="INTL-JAP TEEN ","International Teen",IF(LEFT(B482,14)="INTL-CHI TEEN ","International Teen",IF(LEFT(B482,14)="INTL-SPA TEEN ","International Teen",IF(LEFT(B482,11)="INTL-VIE E ","International Easy",IF(LEFT(B482,11)="INTL-TAG E ","International Easy",IF(LEFT(B482,11)="INTL-RUS E ","International Easy",IF(LEFT(B482,11)="INTL-JAP E ","International Easy",IF(LEFT(B482,11)="INTL-KOR E ","International Easy",IF(LEFT(B482,11)="INTL-CHI E ","International Easy",IF(LEFT(B482,11)="INTL-SPA E ","International Easy",
IF(D482="Teen Large Type","Teen Fiction",
IF(D482="Juvenile Large Type","Juvenile Fiction",
IF(LEFT(B482,6)="J CD O","Juvenile Compact Disc",
IF(AND(LEFT(B482,4)="TEEN",D482="Fiction"),"Teen Fiction",
IF(D482="DVD Educational","Nonfiction",
IF(D482="Juvenile DVD Educational","Nonfiction",
IF(D482="Reference","Nonfiction",
D482))))))))))))))))))))))))))))))))))))))))))</f>
        <v/>
      </c>
    </row>
    <row r="483" spans="1:14" ht="27" customHeight="1" x14ac:dyDescent="0.25">
      <c r="A483" s="10" t="str">
        <f ca="1">TEXT( INDIRECT( ADDRESS( ROW() + Row_Offset, INDIRECT( "Column_Number_" &amp; A$1), 4,1, tabname) ), "")</f>
        <v/>
      </c>
      <c r="B483" s="10" t="str">
        <f ca="1">TEXT(  IFERROR( VLOOKUP( $D483, CollName_Simplifier_Table[], 2, FALSE),"") &amp;
        INDIRECT( ADDRESS( ROW() + Row_Offset, INDIRECT( "Column_Number_" &amp; $B$1), 4,1, tabname) ), "")</f>
        <v/>
      </c>
      <c r="C483" s="10" t="str">
        <f ca="1">TEXT( INDIRECT( ADDRESS( ROW() + Row_Offset, INDIRECT( "Column_Number_" &amp; C$1), 4,1, tabname) ), "")</f>
        <v/>
      </c>
      <c r="D483" s="10" t="str">
        <f ca="1">TEXT( INDIRECT( ADDRESS( ROW() + Row_Offset, INDIRECT( "Column_Number_" &amp; D$1), 4,1, tabname) ), "")</f>
        <v/>
      </c>
      <c r="E483" s="10" t="str">
        <f ca="1">TEXT( INDIRECT( ADDRESS( ROW() + Row_Offset, INDIRECT( "Column_Number_" &amp; E$1), 4,1, tabname) ), "####")</f>
        <v/>
      </c>
      <c r="F483" s="15"/>
      <c r="G483" s="22" t="str">
        <f ca="1">IFERROR(INDEX(Rank_Table[],MATCH($D483&amp;$A483,Table4[Join],0)),"")</f>
        <v/>
      </c>
      <c r="H483" s="11" t="str">
        <f ca="1">IF(AND(D483="Juvenile Audiobook",LEFT(B483,8)="J CD BIO"),RIGHT(B483,LEN(B483)-9),
IF(AND(D483="Juvenile Audiobook",LEFT(B483,8)="J CD FIC"),B483,
IF(D483="Juvenile Audiobook",RIGHT(B483,LEN(B483)-5),
IF(AND(D483="Teen Audiobook",LEFT(B483,11)="TEEN CD BIO"),RIGHT(B483,LEN(B483)-12),
IF(AND(D483="Teen Audiobook",LEFT(B483,11)="TEEN CD FIC"),B483,
IF(D483="Juvenile Audiobook",RIGHT(B483,LEN(B483)-8),
IF(D483="Juvenile Nonfiction",RIGHT(B483,LEN(B483)-2),
IF(D483="Teen Nonfiction",RIGHT(B483,LEN(B483)-5),
IF(AND(D483="Audiobook",
              NOT(OR(Contains($B483,"CD BIO"),Contains($B483,"CD FIC")))),RIGHT(B483,LEN(B483)-3),
IF(D483="Juvenile Biography",RIGHT(B483,LEN(B483)-2),
IF(D483="Teen Biography",RIGHT(B483,LEN(B483)-5),
IF(AND(D483="Audiobook",
              IFERROR(FIND("BIO",$B483)&gt;0,FALSE)),RIGHT(B483,LEN(B483)-3),
IF(D483="Juvenile Large Type","J "&amp;RIGHT(B483,LEN(B483)-11),
IF(D483="Teen Large Type","TEEN "&amp;RIGHT(B483,LEN(B483)-14),
IF(D483="Reference",RIGHT(B483,LEN(B483)-4),
IF(D483="DVD Educational",RIGHT(B483,LEN(B483)-7),
IF(D483="Juvenile DVD Educational",RIGHT(B483,LEN(B483)-9),
B483)))))))))))))))))</f>
        <v/>
      </c>
      <c r="N483" s="11" t="str">
        <f ca="1">IF(IFERROR(FIND("New",$A483)&gt;0,FALSE),"New ","") &amp; IF(IFERROR(FIND("In Lib",$A483)&gt;0,FALSE),"Reference ","") &amp;
IF(AND(D483="Audiobook",LEFT(B483,6)="CD BIO"),"Biography",
IF(AND(D483="Teen Audiobook",LEFT(B483,11)="TEEN CD BIO"),"Biography",
IF(AND(D483="Juvenile Audiobook",LEFT(B483,8)="J CD BIO"),"Biography",
IF(AND(D483="Audiobook",LEFT(B483,6)="CD FIC"),"Audiobook Fiction",
IF(AND(D483="Teen Audiobook",LEFT(B483,11)="TEEN CD FIC"),"Teen Audiobook",
IF(AND(D483="Juvenile Audiobook",LEFT(B483,8)="J CD FIC"),"Juvenile Audiobook",
IF(D483="Audiobook","Nonfiction",
IF(D483="Juvenile Audiobook","Nonfiction",
IF(D483="Teen Audiobook","Nonfiction",
IF(D483="Juvenile Nonfiction","Nonfiction",
IF(D483="Teen Nonfiction","Nonfiction",
IF(D483="Juvenile Biography","Biography",
IF(D483="Teen Biography","Biography",
IF(D483="ESL","Nonfiction",
IF(LEFT(B483,11)="INTL-VIE J ","International Juvenile",IF(LEFT(B483,11)="INTL-TAG J ","International Juvenile",IF(LEFT(B483,11)="INTL-RUS J ","International Juvenile",IF(LEFT(B483,11)="INTL-KOR J ","International Juvenile",IF(LEFT(B483,11)="INTL-JAP J ","International Juvenile",IF(LEFT(B483,11)="INTL-CHI J ","International Juvenile",IF(LEFT(B483,11)="INTL-SPA J ","International Juvenile",IF(LEFT(B483,14)="INTL-VIE TEEN ","International Teen",IF(LEFT(B483,14)="INTL-TAG TEEN ","International Teen",IF(LEFT(B483,14)="INTL-RUS TEEN ","International Teen",IF(LEFT(B483,14)="INTL-KOR TEEN ","International Teen",IF(LEFT(B483,14)="INTL-JAP TEEN ","International Teen",IF(LEFT(B483,14)="INTL-CHI TEEN ","International Teen",IF(LEFT(B483,14)="INTL-SPA TEEN ","International Teen",IF(LEFT(B483,11)="INTL-VIE E ","International Easy",IF(LEFT(B483,11)="INTL-TAG E ","International Easy",IF(LEFT(B483,11)="INTL-RUS E ","International Easy",IF(LEFT(B483,11)="INTL-JAP E ","International Easy",IF(LEFT(B483,11)="INTL-KOR E ","International Easy",IF(LEFT(B483,11)="INTL-CHI E ","International Easy",IF(LEFT(B483,11)="INTL-SPA E ","International Easy",
IF(D483="Teen Large Type","Teen Fiction",
IF(D483="Juvenile Large Type","Juvenile Fiction",
IF(LEFT(B483,6)="J CD O","Juvenile Compact Disc",
IF(AND(LEFT(B483,4)="TEEN",D483="Fiction"),"Teen Fiction",
IF(D483="DVD Educational","Nonfiction",
IF(D483="Juvenile DVD Educational","Nonfiction",
IF(D483="Reference","Nonfiction",
D483))))))))))))))))))))))))))))))))))))))))))</f>
        <v/>
      </c>
    </row>
    <row r="484" spans="1:14" ht="27" customHeight="1" x14ac:dyDescent="0.25">
      <c r="A484" s="10" t="str">
        <f ca="1">TEXT( INDIRECT( ADDRESS( ROW() + Row_Offset, INDIRECT( "Column_Number_" &amp; A$1), 4,1, tabname) ), "")</f>
        <v/>
      </c>
      <c r="B484" s="10" t="str">
        <f ca="1">TEXT(  IFERROR( VLOOKUP( $D484, CollName_Simplifier_Table[], 2, FALSE),"") &amp;
        INDIRECT( ADDRESS( ROW() + Row_Offset, INDIRECT( "Column_Number_" &amp; $B$1), 4,1, tabname) ), "")</f>
        <v/>
      </c>
      <c r="C484" s="10" t="str">
        <f ca="1">TEXT( INDIRECT( ADDRESS( ROW() + Row_Offset, INDIRECT( "Column_Number_" &amp; C$1), 4,1, tabname) ), "")</f>
        <v/>
      </c>
      <c r="D484" s="10" t="str">
        <f ca="1">TEXT( INDIRECT( ADDRESS( ROW() + Row_Offset, INDIRECT( "Column_Number_" &amp; D$1), 4,1, tabname) ), "")</f>
        <v/>
      </c>
      <c r="E484" s="10" t="str">
        <f ca="1">TEXT( INDIRECT( ADDRESS( ROW() + Row_Offset, INDIRECT( "Column_Number_" &amp; E$1), 4,1, tabname) ), "####")</f>
        <v/>
      </c>
      <c r="F484" s="15"/>
      <c r="G484" s="22" t="str">
        <f ca="1">IFERROR(INDEX(Rank_Table[],MATCH($D484&amp;$A484,Table4[Join],0)),"")</f>
        <v/>
      </c>
      <c r="H484" s="11" t="str">
        <f ca="1">IF(AND(D484="Juvenile Audiobook",LEFT(B484,8)="J CD BIO"),RIGHT(B484,LEN(B484)-9),
IF(AND(D484="Juvenile Audiobook",LEFT(B484,8)="J CD FIC"),B484,
IF(D484="Juvenile Audiobook",RIGHT(B484,LEN(B484)-5),
IF(AND(D484="Teen Audiobook",LEFT(B484,11)="TEEN CD BIO"),RIGHT(B484,LEN(B484)-12),
IF(AND(D484="Teen Audiobook",LEFT(B484,11)="TEEN CD FIC"),B484,
IF(D484="Juvenile Audiobook",RIGHT(B484,LEN(B484)-8),
IF(D484="Juvenile Nonfiction",RIGHT(B484,LEN(B484)-2),
IF(D484="Teen Nonfiction",RIGHT(B484,LEN(B484)-5),
IF(AND(D484="Audiobook",
              NOT(OR(Contains($B484,"CD BIO"),Contains($B484,"CD FIC")))),RIGHT(B484,LEN(B484)-3),
IF(D484="Juvenile Biography",RIGHT(B484,LEN(B484)-2),
IF(D484="Teen Biography",RIGHT(B484,LEN(B484)-5),
IF(AND(D484="Audiobook",
              IFERROR(FIND("BIO",$B484)&gt;0,FALSE)),RIGHT(B484,LEN(B484)-3),
IF(D484="Juvenile Large Type","J "&amp;RIGHT(B484,LEN(B484)-11),
IF(D484="Teen Large Type","TEEN "&amp;RIGHT(B484,LEN(B484)-14),
IF(D484="Reference",RIGHT(B484,LEN(B484)-4),
IF(D484="DVD Educational",RIGHT(B484,LEN(B484)-7),
IF(D484="Juvenile DVD Educational",RIGHT(B484,LEN(B484)-9),
B484)))))))))))))))))</f>
        <v/>
      </c>
      <c r="N484" s="11" t="str">
        <f ca="1">IF(IFERROR(FIND("New",$A484)&gt;0,FALSE),"New ","") &amp; IF(IFERROR(FIND("In Lib",$A484)&gt;0,FALSE),"Reference ","") &amp;
IF(AND(D484="Audiobook",LEFT(B484,6)="CD BIO"),"Biography",
IF(AND(D484="Teen Audiobook",LEFT(B484,11)="TEEN CD BIO"),"Biography",
IF(AND(D484="Juvenile Audiobook",LEFT(B484,8)="J CD BIO"),"Biography",
IF(AND(D484="Audiobook",LEFT(B484,6)="CD FIC"),"Audiobook Fiction",
IF(AND(D484="Teen Audiobook",LEFT(B484,11)="TEEN CD FIC"),"Teen Audiobook",
IF(AND(D484="Juvenile Audiobook",LEFT(B484,8)="J CD FIC"),"Juvenile Audiobook",
IF(D484="Audiobook","Nonfiction",
IF(D484="Juvenile Audiobook","Nonfiction",
IF(D484="Teen Audiobook","Nonfiction",
IF(D484="Juvenile Nonfiction","Nonfiction",
IF(D484="Teen Nonfiction","Nonfiction",
IF(D484="Juvenile Biography","Biography",
IF(D484="Teen Biography","Biography",
IF(D484="ESL","Nonfiction",
IF(LEFT(B484,11)="INTL-VIE J ","International Juvenile",IF(LEFT(B484,11)="INTL-TAG J ","International Juvenile",IF(LEFT(B484,11)="INTL-RUS J ","International Juvenile",IF(LEFT(B484,11)="INTL-KOR J ","International Juvenile",IF(LEFT(B484,11)="INTL-JAP J ","International Juvenile",IF(LEFT(B484,11)="INTL-CHI J ","International Juvenile",IF(LEFT(B484,11)="INTL-SPA J ","International Juvenile",IF(LEFT(B484,14)="INTL-VIE TEEN ","International Teen",IF(LEFT(B484,14)="INTL-TAG TEEN ","International Teen",IF(LEFT(B484,14)="INTL-RUS TEEN ","International Teen",IF(LEFT(B484,14)="INTL-KOR TEEN ","International Teen",IF(LEFT(B484,14)="INTL-JAP TEEN ","International Teen",IF(LEFT(B484,14)="INTL-CHI TEEN ","International Teen",IF(LEFT(B484,14)="INTL-SPA TEEN ","International Teen",IF(LEFT(B484,11)="INTL-VIE E ","International Easy",IF(LEFT(B484,11)="INTL-TAG E ","International Easy",IF(LEFT(B484,11)="INTL-RUS E ","International Easy",IF(LEFT(B484,11)="INTL-JAP E ","International Easy",IF(LEFT(B484,11)="INTL-KOR E ","International Easy",IF(LEFT(B484,11)="INTL-CHI E ","International Easy",IF(LEFT(B484,11)="INTL-SPA E ","International Easy",
IF(D484="Teen Large Type","Teen Fiction",
IF(D484="Juvenile Large Type","Juvenile Fiction",
IF(LEFT(B484,6)="J CD O","Juvenile Compact Disc",
IF(AND(LEFT(B484,4)="TEEN",D484="Fiction"),"Teen Fiction",
IF(D484="DVD Educational","Nonfiction",
IF(D484="Juvenile DVD Educational","Nonfiction",
IF(D484="Reference","Nonfiction",
D484))))))))))))))))))))))))))))))))))))))))))</f>
        <v/>
      </c>
    </row>
    <row r="485" spans="1:14" ht="27" customHeight="1" x14ac:dyDescent="0.25">
      <c r="A485" s="10" t="str">
        <f ca="1">TEXT( INDIRECT( ADDRESS( ROW() + Row_Offset, INDIRECT( "Column_Number_" &amp; A$1), 4,1, tabname) ), "")</f>
        <v/>
      </c>
      <c r="B485" s="10" t="str">
        <f ca="1">TEXT(  IFERROR( VLOOKUP( $D485, CollName_Simplifier_Table[], 2, FALSE),"") &amp;
        INDIRECT( ADDRESS( ROW() + Row_Offset, INDIRECT( "Column_Number_" &amp; $B$1), 4,1, tabname) ), "")</f>
        <v/>
      </c>
      <c r="C485" s="10" t="str">
        <f ca="1">TEXT( INDIRECT( ADDRESS( ROW() + Row_Offset, INDIRECT( "Column_Number_" &amp; C$1), 4,1, tabname) ), "")</f>
        <v/>
      </c>
      <c r="D485" s="10" t="str">
        <f ca="1">TEXT( INDIRECT( ADDRESS( ROW() + Row_Offset, INDIRECT( "Column_Number_" &amp; D$1), 4,1, tabname) ), "")</f>
        <v/>
      </c>
      <c r="E485" s="10" t="str">
        <f ca="1">TEXT( INDIRECT( ADDRESS( ROW() + Row_Offset, INDIRECT( "Column_Number_" &amp; E$1), 4,1, tabname) ), "####")</f>
        <v/>
      </c>
      <c r="F485" s="15"/>
      <c r="G485" s="22" t="str">
        <f ca="1">IFERROR(INDEX(Rank_Table[],MATCH($D485&amp;$A485,Table4[Join],0)),"")</f>
        <v/>
      </c>
      <c r="H485" s="11" t="str">
        <f ca="1">IF(AND(D485="Juvenile Audiobook",LEFT(B485,8)="J CD BIO"),RIGHT(B485,LEN(B485)-9),
IF(AND(D485="Juvenile Audiobook",LEFT(B485,8)="J CD FIC"),B485,
IF(D485="Juvenile Audiobook",RIGHT(B485,LEN(B485)-5),
IF(AND(D485="Teen Audiobook",LEFT(B485,11)="TEEN CD BIO"),RIGHT(B485,LEN(B485)-12),
IF(AND(D485="Teen Audiobook",LEFT(B485,11)="TEEN CD FIC"),B485,
IF(D485="Juvenile Audiobook",RIGHT(B485,LEN(B485)-8),
IF(D485="Juvenile Nonfiction",RIGHT(B485,LEN(B485)-2),
IF(D485="Teen Nonfiction",RIGHT(B485,LEN(B485)-5),
IF(AND(D485="Audiobook",
              NOT(OR(Contains($B485,"CD BIO"),Contains($B485,"CD FIC")))),RIGHT(B485,LEN(B485)-3),
IF(D485="Juvenile Biography",RIGHT(B485,LEN(B485)-2),
IF(D485="Teen Biography",RIGHT(B485,LEN(B485)-5),
IF(AND(D485="Audiobook",
              IFERROR(FIND("BIO",$B485)&gt;0,FALSE)),RIGHT(B485,LEN(B485)-3),
IF(D485="Juvenile Large Type","J "&amp;RIGHT(B485,LEN(B485)-11),
IF(D485="Teen Large Type","TEEN "&amp;RIGHT(B485,LEN(B485)-14),
IF(D485="Reference",RIGHT(B485,LEN(B485)-4),
IF(D485="DVD Educational",RIGHT(B485,LEN(B485)-7),
IF(D485="Juvenile DVD Educational",RIGHT(B485,LEN(B485)-9),
B485)))))))))))))))))</f>
        <v/>
      </c>
      <c r="N485" s="11" t="str">
        <f ca="1">IF(IFERROR(FIND("New",$A485)&gt;0,FALSE),"New ","") &amp; IF(IFERROR(FIND("In Lib",$A485)&gt;0,FALSE),"Reference ","") &amp;
IF(AND(D485="Audiobook",LEFT(B485,6)="CD BIO"),"Biography",
IF(AND(D485="Teen Audiobook",LEFT(B485,11)="TEEN CD BIO"),"Biography",
IF(AND(D485="Juvenile Audiobook",LEFT(B485,8)="J CD BIO"),"Biography",
IF(AND(D485="Audiobook",LEFT(B485,6)="CD FIC"),"Audiobook Fiction",
IF(AND(D485="Teen Audiobook",LEFT(B485,11)="TEEN CD FIC"),"Teen Audiobook",
IF(AND(D485="Juvenile Audiobook",LEFT(B485,8)="J CD FIC"),"Juvenile Audiobook",
IF(D485="Audiobook","Nonfiction",
IF(D485="Juvenile Audiobook","Nonfiction",
IF(D485="Teen Audiobook","Nonfiction",
IF(D485="Juvenile Nonfiction","Nonfiction",
IF(D485="Teen Nonfiction","Nonfiction",
IF(D485="Juvenile Biography","Biography",
IF(D485="Teen Biography","Biography",
IF(D485="ESL","Nonfiction",
IF(LEFT(B485,11)="INTL-VIE J ","International Juvenile",IF(LEFT(B485,11)="INTL-TAG J ","International Juvenile",IF(LEFT(B485,11)="INTL-RUS J ","International Juvenile",IF(LEFT(B485,11)="INTL-KOR J ","International Juvenile",IF(LEFT(B485,11)="INTL-JAP J ","International Juvenile",IF(LEFT(B485,11)="INTL-CHI J ","International Juvenile",IF(LEFT(B485,11)="INTL-SPA J ","International Juvenile",IF(LEFT(B485,14)="INTL-VIE TEEN ","International Teen",IF(LEFT(B485,14)="INTL-TAG TEEN ","International Teen",IF(LEFT(B485,14)="INTL-RUS TEEN ","International Teen",IF(LEFT(B485,14)="INTL-KOR TEEN ","International Teen",IF(LEFT(B485,14)="INTL-JAP TEEN ","International Teen",IF(LEFT(B485,14)="INTL-CHI TEEN ","International Teen",IF(LEFT(B485,14)="INTL-SPA TEEN ","International Teen",IF(LEFT(B485,11)="INTL-VIE E ","International Easy",IF(LEFT(B485,11)="INTL-TAG E ","International Easy",IF(LEFT(B485,11)="INTL-RUS E ","International Easy",IF(LEFT(B485,11)="INTL-JAP E ","International Easy",IF(LEFT(B485,11)="INTL-KOR E ","International Easy",IF(LEFT(B485,11)="INTL-CHI E ","International Easy",IF(LEFT(B485,11)="INTL-SPA E ","International Easy",
IF(D485="Teen Large Type","Teen Fiction",
IF(D485="Juvenile Large Type","Juvenile Fiction",
IF(LEFT(B485,6)="J CD O","Juvenile Compact Disc",
IF(AND(LEFT(B485,4)="TEEN",D485="Fiction"),"Teen Fiction",
IF(D485="DVD Educational","Nonfiction",
IF(D485="Juvenile DVD Educational","Nonfiction",
IF(D485="Reference","Nonfiction",
D485))))))))))))))))))))))))))))))))))))))))))</f>
        <v/>
      </c>
    </row>
    <row r="486" spans="1:14" ht="27" customHeight="1" x14ac:dyDescent="0.25">
      <c r="A486" s="10" t="str">
        <f ca="1">TEXT( INDIRECT( ADDRESS( ROW() + Row_Offset, INDIRECT( "Column_Number_" &amp; A$1), 4,1, tabname) ), "")</f>
        <v/>
      </c>
      <c r="B486" s="10" t="str">
        <f ca="1">TEXT(  IFERROR( VLOOKUP( $D486, CollName_Simplifier_Table[], 2, FALSE),"") &amp;
        INDIRECT( ADDRESS( ROW() + Row_Offset, INDIRECT( "Column_Number_" &amp; $B$1), 4,1, tabname) ), "")</f>
        <v/>
      </c>
      <c r="C486" s="10" t="str">
        <f ca="1">TEXT( INDIRECT( ADDRESS( ROW() + Row_Offset, INDIRECT( "Column_Number_" &amp; C$1), 4,1, tabname) ), "")</f>
        <v/>
      </c>
      <c r="D486" s="10" t="str">
        <f ca="1">TEXT( INDIRECT( ADDRESS( ROW() + Row_Offset, INDIRECT( "Column_Number_" &amp; D$1), 4,1, tabname) ), "")</f>
        <v/>
      </c>
      <c r="E486" s="10" t="str">
        <f ca="1">TEXT( INDIRECT( ADDRESS( ROW() + Row_Offset, INDIRECT( "Column_Number_" &amp; E$1), 4,1, tabname) ), "####")</f>
        <v/>
      </c>
      <c r="F486" s="15"/>
      <c r="G486" s="22" t="str">
        <f ca="1">IFERROR(INDEX(Rank_Table[],MATCH($D486&amp;$A486,Table4[Join],0)),"")</f>
        <v/>
      </c>
      <c r="H486" s="11" t="str">
        <f ca="1">IF(AND(D486="Juvenile Audiobook",LEFT(B486,8)="J CD BIO"),RIGHT(B486,LEN(B486)-9),
IF(AND(D486="Juvenile Audiobook",LEFT(B486,8)="J CD FIC"),B486,
IF(D486="Juvenile Audiobook",RIGHT(B486,LEN(B486)-5),
IF(AND(D486="Teen Audiobook",LEFT(B486,11)="TEEN CD BIO"),RIGHT(B486,LEN(B486)-12),
IF(AND(D486="Teen Audiobook",LEFT(B486,11)="TEEN CD FIC"),B486,
IF(D486="Juvenile Audiobook",RIGHT(B486,LEN(B486)-8),
IF(D486="Juvenile Nonfiction",RIGHT(B486,LEN(B486)-2),
IF(D486="Teen Nonfiction",RIGHT(B486,LEN(B486)-5),
IF(AND(D486="Audiobook",
              NOT(OR(Contains($B486,"CD BIO"),Contains($B486,"CD FIC")))),RIGHT(B486,LEN(B486)-3),
IF(D486="Juvenile Biography",RIGHT(B486,LEN(B486)-2),
IF(D486="Teen Biography",RIGHT(B486,LEN(B486)-5),
IF(AND(D486="Audiobook",
              IFERROR(FIND("BIO",$B486)&gt;0,FALSE)),RIGHT(B486,LEN(B486)-3),
IF(D486="Juvenile Large Type","J "&amp;RIGHT(B486,LEN(B486)-11),
IF(D486="Teen Large Type","TEEN "&amp;RIGHT(B486,LEN(B486)-14),
IF(D486="Reference",RIGHT(B486,LEN(B486)-4),
IF(D486="DVD Educational",RIGHT(B486,LEN(B486)-7),
IF(D486="Juvenile DVD Educational",RIGHT(B486,LEN(B486)-9),
B486)))))))))))))))))</f>
        <v/>
      </c>
      <c r="N486" s="11" t="str">
        <f ca="1">IF(IFERROR(FIND("New",$A486)&gt;0,FALSE),"New ","") &amp; IF(IFERROR(FIND("In Lib",$A486)&gt;0,FALSE),"Reference ","") &amp;
IF(AND(D486="Audiobook",LEFT(B486,6)="CD BIO"),"Biography",
IF(AND(D486="Teen Audiobook",LEFT(B486,11)="TEEN CD BIO"),"Biography",
IF(AND(D486="Juvenile Audiobook",LEFT(B486,8)="J CD BIO"),"Biography",
IF(AND(D486="Audiobook",LEFT(B486,6)="CD FIC"),"Audiobook Fiction",
IF(AND(D486="Teen Audiobook",LEFT(B486,11)="TEEN CD FIC"),"Teen Audiobook",
IF(AND(D486="Juvenile Audiobook",LEFT(B486,8)="J CD FIC"),"Juvenile Audiobook",
IF(D486="Audiobook","Nonfiction",
IF(D486="Juvenile Audiobook","Nonfiction",
IF(D486="Teen Audiobook","Nonfiction",
IF(D486="Juvenile Nonfiction","Nonfiction",
IF(D486="Teen Nonfiction","Nonfiction",
IF(D486="Juvenile Biography","Biography",
IF(D486="Teen Biography","Biography",
IF(D486="ESL","Nonfiction",
IF(LEFT(B486,11)="INTL-VIE J ","International Juvenile",IF(LEFT(B486,11)="INTL-TAG J ","International Juvenile",IF(LEFT(B486,11)="INTL-RUS J ","International Juvenile",IF(LEFT(B486,11)="INTL-KOR J ","International Juvenile",IF(LEFT(B486,11)="INTL-JAP J ","International Juvenile",IF(LEFT(B486,11)="INTL-CHI J ","International Juvenile",IF(LEFT(B486,11)="INTL-SPA J ","International Juvenile",IF(LEFT(B486,14)="INTL-VIE TEEN ","International Teen",IF(LEFT(B486,14)="INTL-TAG TEEN ","International Teen",IF(LEFT(B486,14)="INTL-RUS TEEN ","International Teen",IF(LEFT(B486,14)="INTL-KOR TEEN ","International Teen",IF(LEFT(B486,14)="INTL-JAP TEEN ","International Teen",IF(LEFT(B486,14)="INTL-CHI TEEN ","International Teen",IF(LEFT(B486,14)="INTL-SPA TEEN ","International Teen",IF(LEFT(B486,11)="INTL-VIE E ","International Easy",IF(LEFT(B486,11)="INTL-TAG E ","International Easy",IF(LEFT(B486,11)="INTL-RUS E ","International Easy",IF(LEFT(B486,11)="INTL-JAP E ","International Easy",IF(LEFT(B486,11)="INTL-KOR E ","International Easy",IF(LEFT(B486,11)="INTL-CHI E ","International Easy",IF(LEFT(B486,11)="INTL-SPA E ","International Easy",
IF(D486="Teen Large Type","Teen Fiction",
IF(D486="Juvenile Large Type","Juvenile Fiction",
IF(LEFT(B486,6)="J CD O","Juvenile Compact Disc",
IF(AND(LEFT(B486,4)="TEEN",D486="Fiction"),"Teen Fiction",
IF(D486="DVD Educational","Nonfiction",
IF(D486="Juvenile DVD Educational","Nonfiction",
IF(D486="Reference","Nonfiction",
D486))))))))))))))))))))))))))))))))))))))))))</f>
        <v/>
      </c>
    </row>
    <row r="487" spans="1:14" ht="27" customHeight="1" x14ac:dyDescent="0.25">
      <c r="A487" s="10" t="str">
        <f ca="1">TEXT( INDIRECT( ADDRESS( ROW() + Row_Offset, INDIRECT( "Column_Number_" &amp; A$1), 4,1, tabname) ), "")</f>
        <v/>
      </c>
      <c r="B487" s="10" t="str">
        <f ca="1">TEXT(  IFERROR( VLOOKUP( $D487, CollName_Simplifier_Table[], 2, FALSE),"") &amp;
        INDIRECT( ADDRESS( ROW() + Row_Offset, INDIRECT( "Column_Number_" &amp; $B$1), 4,1, tabname) ), "")</f>
        <v/>
      </c>
      <c r="C487" s="10" t="str">
        <f ca="1">TEXT( INDIRECT( ADDRESS( ROW() + Row_Offset, INDIRECT( "Column_Number_" &amp; C$1), 4,1, tabname) ), "")</f>
        <v/>
      </c>
      <c r="D487" s="10" t="str">
        <f ca="1">TEXT( INDIRECT( ADDRESS( ROW() + Row_Offset, INDIRECT( "Column_Number_" &amp; D$1), 4,1, tabname) ), "")</f>
        <v/>
      </c>
      <c r="E487" s="10" t="str">
        <f ca="1">TEXT( INDIRECT( ADDRESS( ROW() + Row_Offset, INDIRECT( "Column_Number_" &amp; E$1), 4,1, tabname) ), "####")</f>
        <v/>
      </c>
      <c r="F487" s="15"/>
      <c r="G487" s="22" t="str">
        <f ca="1">IFERROR(INDEX(Rank_Table[],MATCH($D487&amp;$A487,Table4[Join],0)),"")</f>
        <v/>
      </c>
      <c r="H487" s="11" t="str">
        <f ca="1">IF(AND(D487="Juvenile Audiobook",LEFT(B487,8)="J CD BIO"),RIGHT(B487,LEN(B487)-9),
IF(AND(D487="Juvenile Audiobook",LEFT(B487,8)="J CD FIC"),B487,
IF(D487="Juvenile Audiobook",RIGHT(B487,LEN(B487)-5),
IF(AND(D487="Teen Audiobook",LEFT(B487,11)="TEEN CD BIO"),RIGHT(B487,LEN(B487)-12),
IF(AND(D487="Teen Audiobook",LEFT(B487,11)="TEEN CD FIC"),B487,
IF(D487="Juvenile Audiobook",RIGHT(B487,LEN(B487)-8),
IF(D487="Juvenile Nonfiction",RIGHT(B487,LEN(B487)-2),
IF(D487="Teen Nonfiction",RIGHT(B487,LEN(B487)-5),
IF(AND(D487="Audiobook",
              NOT(OR(Contains($B487,"CD BIO"),Contains($B487,"CD FIC")))),RIGHT(B487,LEN(B487)-3),
IF(D487="Juvenile Biography",RIGHT(B487,LEN(B487)-2),
IF(D487="Teen Biography",RIGHT(B487,LEN(B487)-5),
IF(AND(D487="Audiobook",
              IFERROR(FIND("BIO",$B487)&gt;0,FALSE)),RIGHT(B487,LEN(B487)-3),
IF(D487="Juvenile Large Type","J "&amp;RIGHT(B487,LEN(B487)-11),
IF(D487="Teen Large Type","TEEN "&amp;RIGHT(B487,LEN(B487)-14),
IF(D487="Reference",RIGHT(B487,LEN(B487)-4),
IF(D487="DVD Educational",RIGHT(B487,LEN(B487)-7),
IF(D487="Juvenile DVD Educational",RIGHT(B487,LEN(B487)-9),
B487)))))))))))))))))</f>
        <v/>
      </c>
      <c r="N487" s="11" t="str">
        <f ca="1">IF(IFERROR(FIND("New",$A487)&gt;0,FALSE),"New ","") &amp; IF(IFERROR(FIND("In Lib",$A487)&gt;0,FALSE),"Reference ","") &amp;
IF(AND(D487="Audiobook",LEFT(B487,6)="CD BIO"),"Biography",
IF(AND(D487="Teen Audiobook",LEFT(B487,11)="TEEN CD BIO"),"Biography",
IF(AND(D487="Juvenile Audiobook",LEFT(B487,8)="J CD BIO"),"Biography",
IF(AND(D487="Audiobook",LEFT(B487,6)="CD FIC"),"Audiobook Fiction",
IF(AND(D487="Teen Audiobook",LEFT(B487,11)="TEEN CD FIC"),"Teen Audiobook",
IF(AND(D487="Juvenile Audiobook",LEFT(B487,8)="J CD FIC"),"Juvenile Audiobook",
IF(D487="Audiobook","Nonfiction",
IF(D487="Juvenile Audiobook","Nonfiction",
IF(D487="Teen Audiobook","Nonfiction",
IF(D487="Juvenile Nonfiction","Nonfiction",
IF(D487="Teen Nonfiction","Nonfiction",
IF(D487="Juvenile Biography","Biography",
IF(D487="Teen Biography","Biography",
IF(D487="ESL","Nonfiction",
IF(LEFT(B487,11)="INTL-VIE J ","International Juvenile",IF(LEFT(B487,11)="INTL-TAG J ","International Juvenile",IF(LEFT(B487,11)="INTL-RUS J ","International Juvenile",IF(LEFT(B487,11)="INTL-KOR J ","International Juvenile",IF(LEFT(B487,11)="INTL-JAP J ","International Juvenile",IF(LEFT(B487,11)="INTL-CHI J ","International Juvenile",IF(LEFT(B487,11)="INTL-SPA J ","International Juvenile",IF(LEFT(B487,14)="INTL-VIE TEEN ","International Teen",IF(LEFT(B487,14)="INTL-TAG TEEN ","International Teen",IF(LEFT(B487,14)="INTL-RUS TEEN ","International Teen",IF(LEFT(B487,14)="INTL-KOR TEEN ","International Teen",IF(LEFT(B487,14)="INTL-JAP TEEN ","International Teen",IF(LEFT(B487,14)="INTL-CHI TEEN ","International Teen",IF(LEFT(B487,14)="INTL-SPA TEEN ","International Teen",IF(LEFT(B487,11)="INTL-VIE E ","International Easy",IF(LEFT(B487,11)="INTL-TAG E ","International Easy",IF(LEFT(B487,11)="INTL-RUS E ","International Easy",IF(LEFT(B487,11)="INTL-JAP E ","International Easy",IF(LEFT(B487,11)="INTL-KOR E ","International Easy",IF(LEFT(B487,11)="INTL-CHI E ","International Easy",IF(LEFT(B487,11)="INTL-SPA E ","International Easy",
IF(D487="Teen Large Type","Teen Fiction",
IF(D487="Juvenile Large Type","Juvenile Fiction",
IF(LEFT(B487,6)="J CD O","Juvenile Compact Disc",
IF(AND(LEFT(B487,4)="TEEN",D487="Fiction"),"Teen Fiction",
IF(D487="DVD Educational","Nonfiction",
IF(D487="Juvenile DVD Educational","Nonfiction",
IF(D487="Reference","Nonfiction",
D487))))))))))))))))))))))))))))))))))))))))))</f>
        <v/>
      </c>
    </row>
    <row r="488" spans="1:14" ht="27" customHeight="1" x14ac:dyDescent="0.25">
      <c r="A488" s="10" t="str">
        <f ca="1">TEXT( INDIRECT( ADDRESS( ROW() + Row_Offset, INDIRECT( "Column_Number_" &amp; A$1), 4,1, tabname) ), "")</f>
        <v/>
      </c>
      <c r="B488" s="10" t="str">
        <f ca="1">TEXT(  IFERROR( VLOOKUP( $D488, CollName_Simplifier_Table[], 2, FALSE),"") &amp;
        INDIRECT( ADDRESS( ROW() + Row_Offset, INDIRECT( "Column_Number_" &amp; $B$1), 4,1, tabname) ), "")</f>
        <v/>
      </c>
      <c r="C488" s="10" t="str">
        <f ca="1">TEXT( INDIRECT( ADDRESS( ROW() + Row_Offset, INDIRECT( "Column_Number_" &amp; C$1), 4,1, tabname) ), "")</f>
        <v/>
      </c>
      <c r="D488" s="10" t="str">
        <f ca="1">TEXT( INDIRECT( ADDRESS( ROW() + Row_Offset, INDIRECT( "Column_Number_" &amp; D$1), 4,1, tabname) ), "")</f>
        <v/>
      </c>
      <c r="E488" s="10" t="str">
        <f ca="1">TEXT( INDIRECT( ADDRESS( ROW() + Row_Offset, INDIRECT( "Column_Number_" &amp; E$1), 4,1, tabname) ), "####")</f>
        <v/>
      </c>
      <c r="F488" s="15"/>
      <c r="G488" s="22" t="str">
        <f ca="1">IFERROR(INDEX(Rank_Table[],MATCH($D488&amp;$A488,Table4[Join],0)),"")</f>
        <v/>
      </c>
      <c r="H488" s="11" t="str">
        <f ca="1">IF(AND(D488="Juvenile Audiobook",LEFT(B488,8)="J CD BIO"),RIGHT(B488,LEN(B488)-9),
IF(AND(D488="Juvenile Audiobook",LEFT(B488,8)="J CD FIC"),B488,
IF(D488="Juvenile Audiobook",RIGHT(B488,LEN(B488)-5),
IF(AND(D488="Teen Audiobook",LEFT(B488,11)="TEEN CD BIO"),RIGHT(B488,LEN(B488)-12),
IF(AND(D488="Teen Audiobook",LEFT(B488,11)="TEEN CD FIC"),B488,
IF(D488="Juvenile Audiobook",RIGHT(B488,LEN(B488)-8),
IF(D488="Juvenile Nonfiction",RIGHT(B488,LEN(B488)-2),
IF(D488="Teen Nonfiction",RIGHT(B488,LEN(B488)-5),
IF(AND(D488="Audiobook",
              NOT(OR(Contains($B488,"CD BIO"),Contains($B488,"CD FIC")))),RIGHT(B488,LEN(B488)-3),
IF(D488="Juvenile Biography",RIGHT(B488,LEN(B488)-2),
IF(D488="Teen Biography",RIGHT(B488,LEN(B488)-5),
IF(AND(D488="Audiobook",
              IFERROR(FIND("BIO",$B488)&gt;0,FALSE)),RIGHT(B488,LEN(B488)-3),
IF(D488="Juvenile Large Type","J "&amp;RIGHT(B488,LEN(B488)-11),
IF(D488="Teen Large Type","TEEN "&amp;RIGHT(B488,LEN(B488)-14),
IF(D488="Reference",RIGHT(B488,LEN(B488)-4),
IF(D488="DVD Educational",RIGHT(B488,LEN(B488)-7),
IF(D488="Juvenile DVD Educational",RIGHT(B488,LEN(B488)-9),
B488)))))))))))))))))</f>
        <v/>
      </c>
      <c r="N488" s="11" t="str">
        <f ca="1">IF(IFERROR(FIND("New",$A488)&gt;0,FALSE),"New ","") &amp; IF(IFERROR(FIND("In Lib",$A488)&gt;0,FALSE),"Reference ","") &amp;
IF(AND(D488="Audiobook",LEFT(B488,6)="CD BIO"),"Biography",
IF(AND(D488="Teen Audiobook",LEFT(B488,11)="TEEN CD BIO"),"Biography",
IF(AND(D488="Juvenile Audiobook",LEFT(B488,8)="J CD BIO"),"Biography",
IF(AND(D488="Audiobook",LEFT(B488,6)="CD FIC"),"Audiobook Fiction",
IF(AND(D488="Teen Audiobook",LEFT(B488,11)="TEEN CD FIC"),"Teen Audiobook",
IF(AND(D488="Juvenile Audiobook",LEFT(B488,8)="J CD FIC"),"Juvenile Audiobook",
IF(D488="Audiobook","Nonfiction",
IF(D488="Juvenile Audiobook","Nonfiction",
IF(D488="Teen Audiobook","Nonfiction",
IF(D488="Juvenile Nonfiction","Nonfiction",
IF(D488="Teen Nonfiction","Nonfiction",
IF(D488="Juvenile Biography","Biography",
IF(D488="Teen Biography","Biography",
IF(D488="ESL","Nonfiction",
IF(LEFT(B488,11)="INTL-VIE J ","International Juvenile",IF(LEFT(B488,11)="INTL-TAG J ","International Juvenile",IF(LEFT(B488,11)="INTL-RUS J ","International Juvenile",IF(LEFT(B488,11)="INTL-KOR J ","International Juvenile",IF(LEFT(B488,11)="INTL-JAP J ","International Juvenile",IF(LEFT(B488,11)="INTL-CHI J ","International Juvenile",IF(LEFT(B488,11)="INTL-SPA J ","International Juvenile",IF(LEFT(B488,14)="INTL-VIE TEEN ","International Teen",IF(LEFT(B488,14)="INTL-TAG TEEN ","International Teen",IF(LEFT(B488,14)="INTL-RUS TEEN ","International Teen",IF(LEFT(B488,14)="INTL-KOR TEEN ","International Teen",IF(LEFT(B488,14)="INTL-JAP TEEN ","International Teen",IF(LEFT(B488,14)="INTL-CHI TEEN ","International Teen",IF(LEFT(B488,14)="INTL-SPA TEEN ","International Teen",IF(LEFT(B488,11)="INTL-VIE E ","International Easy",IF(LEFT(B488,11)="INTL-TAG E ","International Easy",IF(LEFT(B488,11)="INTL-RUS E ","International Easy",IF(LEFT(B488,11)="INTL-JAP E ","International Easy",IF(LEFT(B488,11)="INTL-KOR E ","International Easy",IF(LEFT(B488,11)="INTL-CHI E ","International Easy",IF(LEFT(B488,11)="INTL-SPA E ","International Easy",
IF(D488="Teen Large Type","Teen Fiction",
IF(D488="Juvenile Large Type","Juvenile Fiction",
IF(LEFT(B488,6)="J CD O","Juvenile Compact Disc",
IF(AND(LEFT(B488,4)="TEEN",D488="Fiction"),"Teen Fiction",
IF(D488="DVD Educational","Nonfiction",
IF(D488="Juvenile DVD Educational","Nonfiction",
IF(D488="Reference","Nonfiction",
D488))))))))))))))))))))))))))))))))))))))))))</f>
        <v/>
      </c>
    </row>
    <row r="489" spans="1:14" ht="27" customHeight="1" x14ac:dyDescent="0.25">
      <c r="A489" s="10" t="str">
        <f ca="1">TEXT( INDIRECT( ADDRESS( ROW() + Row_Offset, INDIRECT( "Column_Number_" &amp; A$1), 4,1, tabname) ), "")</f>
        <v/>
      </c>
      <c r="B489" s="10" t="str">
        <f ca="1">TEXT(  IFERROR( VLOOKUP( $D489, CollName_Simplifier_Table[], 2, FALSE),"") &amp;
        INDIRECT( ADDRESS( ROW() + Row_Offset, INDIRECT( "Column_Number_" &amp; $B$1), 4,1, tabname) ), "")</f>
        <v/>
      </c>
      <c r="C489" s="10" t="str">
        <f ca="1">TEXT( INDIRECT( ADDRESS( ROW() + Row_Offset, INDIRECT( "Column_Number_" &amp; C$1), 4,1, tabname) ), "")</f>
        <v/>
      </c>
      <c r="D489" s="10" t="str">
        <f ca="1">TEXT( INDIRECT( ADDRESS( ROW() + Row_Offset, INDIRECT( "Column_Number_" &amp; D$1), 4,1, tabname) ), "")</f>
        <v/>
      </c>
      <c r="E489" s="10" t="str">
        <f ca="1">TEXT( INDIRECT( ADDRESS( ROW() + Row_Offset, INDIRECT( "Column_Number_" &amp; E$1), 4,1, tabname) ), "####")</f>
        <v/>
      </c>
      <c r="F489" s="15"/>
      <c r="G489" s="22" t="str">
        <f ca="1">IFERROR(INDEX(Rank_Table[],MATCH($D489&amp;$A489,Table4[Join],0)),"")</f>
        <v/>
      </c>
      <c r="H489" s="11" t="str">
        <f ca="1">IF(AND(D489="Juvenile Audiobook",LEFT(B489,8)="J CD BIO"),RIGHT(B489,LEN(B489)-9),
IF(AND(D489="Juvenile Audiobook",LEFT(B489,8)="J CD FIC"),B489,
IF(D489="Juvenile Audiobook",RIGHT(B489,LEN(B489)-5),
IF(AND(D489="Teen Audiobook",LEFT(B489,11)="TEEN CD BIO"),RIGHT(B489,LEN(B489)-12),
IF(AND(D489="Teen Audiobook",LEFT(B489,11)="TEEN CD FIC"),B489,
IF(D489="Juvenile Audiobook",RIGHT(B489,LEN(B489)-8),
IF(D489="Juvenile Nonfiction",RIGHT(B489,LEN(B489)-2),
IF(D489="Teen Nonfiction",RIGHT(B489,LEN(B489)-5),
IF(AND(D489="Audiobook",
              NOT(OR(Contains($B489,"CD BIO"),Contains($B489,"CD FIC")))),RIGHT(B489,LEN(B489)-3),
IF(D489="Juvenile Biography",RIGHT(B489,LEN(B489)-2),
IF(D489="Teen Biography",RIGHT(B489,LEN(B489)-5),
IF(AND(D489="Audiobook",
              IFERROR(FIND("BIO",$B489)&gt;0,FALSE)),RIGHT(B489,LEN(B489)-3),
IF(D489="Juvenile Large Type","J "&amp;RIGHT(B489,LEN(B489)-11),
IF(D489="Teen Large Type","TEEN "&amp;RIGHT(B489,LEN(B489)-14),
IF(D489="Reference",RIGHT(B489,LEN(B489)-4),
IF(D489="DVD Educational",RIGHT(B489,LEN(B489)-7),
IF(D489="Juvenile DVD Educational",RIGHT(B489,LEN(B489)-9),
B489)))))))))))))))))</f>
        <v/>
      </c>
      <c r="N489" s="11" t="str">
        <f ca="1">IF(IFERROR(FIND("New",$A489)&gt;0,FALSE),"New ","") &amp; IF(IFERROR(FIND("In Lib",$A489)&gt;0,FALSE),"Reference ","") &amp;
IF(AND(D489="Audiobook",LEFT(B489,6)="CD BIO"),"Biography",
IF(AND(D489="Teen Audiobook",LEFT(B489,11)="TEEN CD BIO"),"Biography",
IF(AND(D489="Juvenile Audiobook",LEFT(B489,8)="J CD BIO"),"Biography",
IF(AND(D489="Audiobook",LEFT(B489,6)="CD FIC"),"Audiobook Fiction",
IF(AND(D489="Teen Audiobook",LEFT(B489,11)="TEEN CD FIC"),"Teen Audiobook",
IF(AND(D489="Juvenile Audiobook",LEFT(B489,8)="J CD FIC"),"Juvenile Audiobook",
IF(D489="Audiobook","Nonfiction",
IF(D489="Juvenile Audiobook","Nonfiction",
IF(D489="Teen Audiobook","Nonfiction",
IF(D489="Juvenile Nonfiction","Nonfiction",
IF(D489="Teen Nonfiction","Nonfiction",
IF(D489="Juvenile Biography","Biography",
IF(D489="Teen Biography","Biography",
IF(D489="ESL","Nonfiction",
IF(LEFT(B489,11)="INTL-VIE J ","International Juvenile",IF(LEFT(B489,11)="INTL-TAG J ","International Juvenile",IF(LEFT(B489,11)="INTL-RUS J ","International Juvenile",IF(LEFT(B489,11)="INTL-KOR J ","International Juvenile",IF(LEFT(B489,11)="INTL-JAP J ","International Juvenile",IF(LEFT(B489,11)="INTL-CHI J ","International Juvenile",IF(LEFT(B489,11)="INTL-SPA J ","International Juvenile",IF(LEFT(B489,14)="INTL-VIE TEEN ","International Teen",IF(LEFT(B489,14)="INTL-TAG TEEN ","International Teen",IF(LEFT(B489,14)="INTL-RUS TEEN ","International Teen",IF(LEFT(B489,14)="INTL-KOR TEEN ","International Teen",IF(LEFT(B489,14)="INTL-JAP TEEN ","International Teen",IF(LEFT(B489,14)="INTL-CHI TEEN ","International Teen",IF(LEFT(B489,14)="INTL-SPA TEEN ","International Teen",IF(LEFT(B489,11)="INTL-VIE E ","International Easy",IF(LEFT(B489,11)="INTL-TAG E ","International Easy",IF(LEFT(B489,11)="INTL-RUS E ","International Easy",IF(LEFT(B489,11)="INTL-JAP E ","International Easy",IF(LEFT(B489,11)="INTL-KOR E ","International Easy",IF(LEFT(B489,11)="INTL-CHI E ","International Easy",IF(LEFT(B489,11)="INTL-SPA E ","International Easy",
IF(D489="Teen Large Type","Teen Fiction",
IF(D489="Juvenile Large Type","Juvenile Fiction",
IF(LEFT(B489,6)="J CD O","Juvenile Compact Disc",
IF(AND(LEFT(B489,4)="TEEN",D489="Fiction"),"Teen Fiction",
IF(D489="DVD Educational","Nonfiction",
IF(D489="Juvenile DVD Educational","Nonfiction",
IF(D489="Reference","Nonfiction",
D489))))))))))))))))))))))))))))))))))))))))))</f>
        <v/>
      </c>
    </row>
    <row r="490" spans="1:14" ht="27" customHeight="1" x14ac:dyDescent="0.25">
      <c r="A490" s="10" t="str">
        <f ca="1">TEXT( INDIRECT( ADDRESS( ROW() + Row_Offset, INDIRECT( "Column_Number_" &amp; A$1), 4,1, tabname) ), "")</f>
        <v/>
      </c>
      <c r="B490" s="10" t="str">
        <f ca="1">TEXT(  IFERROR( VLOOKUP( $D490, CollName_Simplifier_Table[], 2, FALSE),"") &amp;
        INDIRECT( ADDRESS( ROW() + Row_Offset, INDIRECT( "Column_Number_" &amp; $B$1), 4,1, tabname) ), "")</f>
        <v/>
      </c>
      <c r="C490" s="10" t="str">
        <f ca="1">TEXT( INDIRECT( ADDRESS( ROW() + Row_Offset, INDIRECT( "Column_Number_" &amp; C$1), 4,1, tabname) ), "")</f>
        <v/>
      </c>
      <c r="D490" s="10" t="str">
        <f ca="1">TEXT( INDIRECT( ADDRESS( ROW() + Row_Offset, INDIRECT( "Column_Number_" &amp; D$1), 4,1, tabname) ), "")</f>
        <v/>
      </c>
      <c r="E490" s="10" t="str">
        <f ca="1">TEXT( INDIRECT( ADDRESS( ROW() + Row_Offset, INDIRECT( "Column_Number_" &amp; E$1), 4,1, tabname) ), "####")</f>
        <v/>
      </c>
      <c r="F490" s="15"/>
      <c r="G490" s="22" t="str">
        <f ca="1">IFERROR(INDEX(Rank_Table[],MATCH($D490&amp;$A490,Table4[Join],0)),"")</f>
        <v/>
      </c>
      <c r="H490" s="11" t="str">
        <f ca="1">IF(AND(D490="Juvenile Audiobook",LEFT(B490,8)="J CD BIO"),RIGHT(B490,LEN(B490)-9),
IF(AND(D490="Juvenile Audiobook",LEFT(B490,8)="J CD FIC"),B490,
IF(D490="Juvenile Audiobook",RIGHT(B490,LEN(B490)-5),
IF(AND(D490="Teen Audiobook",LEFT(B490,11)="TEEN CD BIO"),RIGHT(B490,LEN(B490)-12),
IF(AND(D490="Teen Audiobook",LEFT(B490,11)="TEEN CD FIC"),B490,
IF(D490="Juvenile Audiobook",RIGHT(B490,LEN(B490)-8),
IF(D490="Juvenile Nonfiction",RIGHT(B490,LEN(B490)-2),
IF(D490="Teen Nonfiction",RIGHT(B490,LEN(B490)-5),
IF(AND(D490="Audiobook",
              NOT(OR(Contains($B490,"CD BIO"),Contains($B490,"CD FIC")))),RIGHT(B490,LEN(B490)-3),
IF(D490="Juvenile Biography",RIGHT(B490,LEN(B490)-2),
IF(D490="Teen Biography",RIGHT(B490,LEN(B490)-5),
IF(AND(D490="Audiobook",
              IFERROR(FIND("BIO",$B490)&gt;0,FALSE)),RIGHT(B490,LEN(B490)-3),
IF(D490="Juvenile Large Type","J "&amp;RIGHT(B490,LEN(B490)-11),
IF(D490="Teen Large Type","TEEN "&amp;RIGHT(B490,LEN(B490)-14),
IF(D490="Reference",RIGHT(B490,LEN(B490)-4),
IF(D490="DVD Educational",RIGHT(B490,LEN(B490)-7),
IF(D490="Juvenile DVD Educational",RIGHT(B490,LEN(B490)-9),
B490)))))))))))))))))</f>
        <v/>
      </c>
      <c r="N490" s="11" t="str">
        <f ca="1">IF(IFERROR(FIND("New",$A490)&gt;0,FALSE),"New ","") &amp; IF(IFERROR(FIND("In Lib",$A490)&gt;0,FALSE),"Reference ","") &amp;
IF(AND(D490="Audiobook",LEFT(B490,6)="CD BIO"),"Biography",
IF(AND(D490="Teen Audiobook",LEFT(B490,11)="TEEN CD BIO"),"Biography",
IF(AND(D490="Juvenile Audiobook",LEFT(B490,8)="J CD BIO"),"Biography",
IF(AND(D490="Audiobook",LEFT(B490,6)="CD FIC"),"Audiobook Fiction",
IF(AND(D490="Teen Audiobook",LEFT(B490,11)="TEEN CD FIC"),"Teen Audiobook",
IF(AND(D490="Juvenile Audiobook",LEFT(B490,8)="J CD FIC"),"Juvenile Audiobook",
IF(D490="Audiobook","Nonfiction",
IF(D490="Juvenile Audiobook","Nonfiction",
IF(D490="Teen Audiobook","Nonfiction",
IF(D490="Juvenile Nonfiction","Nonfiction",
IF(D490="Teen Nonfiction","Nonfiction",
IF(D490="Juvenile Biography","Biography",
IF(D490="Teen Biography","Biography",
IF(D490="ESL","Nonfiction",
IF(LEFT(B490,11)="INTL-VIE J ","International Juvenile",IF(LEFT(B490,11)="INTL-TAG J ","International Juvenile",IF(LEFT(B490,11)="INTL-RUS J ","International Juvenile",IF(LEFT(B490,11)="INTL-KOR J ","International Juvenile",IF(LEFT(B490,11)="INTL-JAP J ","International Juvenile",IF(LEFT(B490,11)="INTL-CHI J ","International Juvenile",IF(LEFT(B490,11)="INTL-SPA J ","International Juvenile",IF(LEFT(B490,14)="INTL-VIE TEEN ","International Teen",IF(LEFT(B490,14)="INTL-TAG TEEN ","International Teen",IF(LEFT(B490,14)="INTL-RUS TEEN ","International Teen",IF(LEFT(B490,14)="INTL-KOR TEEN ","International Teen",IF(LEFT(B490,14)="INTL-JAP TEEN ","International Teen",IF(LEFT(B490,14)="INTL-CHI TEEN ","International Teen",IF(LEFT(B490,14)="INTL-SPA TEEN ","International Teen",IF(LEFT(B490,11)="INTL-VIE E ","International Easy",IF(LEFT(B490,11)="INTL-TAG E ","International Easy",IF(LEFT(B490,11)="INTL-RUS E ","International Easy",IF(LEFT(B490,11)="INTL-JAP E ","International Easy",IF(LEFT(B490,11)="INTL-KOR E ","International Easy",IF(LEFT(B490,11)="INTL-CHI E ","International Easy",IF(LEFT(B490,11)="INTL-SPA E ","International Easy",
IF(D490="Teen Large Type","Teen Fiction",
IF(D490="Juvenile Large Type","Juvenile Fiction",
IF(LEFT(B490,6)="J CD O","Juvenile Compact Disc",
IF(AND(LEFT(B490,4)="TEEN",D490="Fiction"),"Teen Fiction",
IF(D490="DVD Educational","Nonfiction",
IF(D490="Juvenile DVD Educational","Nonfiction",
IF(D490="Reference","Nonfiction",
D490))))))))))))))))))))))))))))))))))))))))))</f>
        <v/>
      </c>
    </row>
    <row r="491" spans="1:14" ht="27" customHeight="1" x14ac:dyDescent="0.25">
      <c r="A491" s="10" t="str">
        <f ca="1">TEXT( INDIRECT( ADDRESS( ROW() + Row_Offset, INDIRECT( "Column_Number_" &amp; A$1), 4,1, tabname) ), "")</f>
        <v/>
      </c>
      <c r="B491" s="10" t="str">
        <f ca="1">TEXT(  IFERROR( VLOOKUP( $D491, CollName_Simplifier_Table[], 2, FALSE),"") &amp;
        INDIRECT( ADDRESS( ROW() + Row_Offset, INDIRECT( "Column_Number_" &amp; $B$1), 4,1, tabname) ), "")</f>
        <v/>
      </c>
      <c r="C491" s="10" t="str">
        <f ca="1">TEXT( INDIRECT( ADDRESS( ROW() + Row_Offset, INDIRECT( "Column_Number_" &amp; C$1), 4,1, tabname) ), "")</f>
        <v/>
      </c>
      <c r="D491" s="10" t="str">
        <f ca="1">TEXT( INDIRECT( ADDRESS( ROW() + Row_Offset, INDIRECT( "Column_Number_" &amp; D$1), 4,1, tabname) ), "")</f>
        <v/>
      </c>
      <c r="E491" s="10" t="str">
        <f ca="1">TEXT( INDIRECT( ADDRESS( ROW() + Row_Offset, INDIRECT( "Column_Number_" &amp; E$1), 4,1, tabname) ), "####")</f>
        <v/>
      </c>
      <c r="F491" s="15"/>
      <c r="G491" s="22" t="str">
        <f ca="1">IFERROR(INDEX(Rank_Table[],MATCH($D491&amp;$A491,Table4[Join],0)),"")</f>
        <v/>
      </c>
      <c r="H491" s="11" t="str">
        <f ca="1">IF(AND(D491="Juvenile Audiobook",LEFT(B491,8)="J CD BIO"),RIGHT(B491,LEN(B491)-9),
IF(AND(D491="Juvenile Audiobook",LEFT(B491,8)="J CD FIC"),B491,
IF(D491="Juvenile Audiobook",RIGHT(B491,LEN(B491)-5),
IF(AND(D491="Teen Audiobook",LEFT(B491,11)="TEEN CD BIO"),RIGHT(B491,LEN(B491)-12),
IF(AND(D491="Teen Audiobook",LEFT(B491,11)="TEEN CD FIC"),B491,
IF(D491="Juvenile Audiobook",RIGHT(B491,LEN(B491)-8),
IF(D491="Juvenile Nonfiction",RIGHT(B491,LEN(B491)-2),
IF(D491="Teen Nonfiction",RIGHT(B491,LEN(B491)-5),
IF(AND(D491="Audiobook",
              NOT(OR(Contains($B491,"CD BIO"),Contains($B491,"CD FIC")))),RIGHT(B491,LEN(B491)-3),
IF(D491="Juvenile Biography",RIGHT(B491,LEN(B491)-2),
IF(D491="Teen Biography",RIGHT(B491,LEN(B491)-5),
IF(AND(D491="Audiobook",
              IFERROR(FIND("BIO",$B491)&gt;0,FALSE)),RIGHT(B491,LEN(B491)-3),
IF(D491="Juvenile Large Type","J "&amp;RIGHT(B491,LEN(B491)-11),
IF(D491="Teen Large Type","TEEN "&amp;RIGHT(B491,LEN(B491)-14),
IF(D491="Reference",RIGHT(B491,LEN(B491)-4),
IF(D491="DVD Educational",RIGHT(B491,LEN(B491)-7),
IF(D491="Juvenile DVD Educational",RIGHT(B491,LEN(B491)-9),
B491)))))))))))))))))</f>
        <v/>
      </c>
      <c r="N491" s="11" t="str">
        <f ca="1">IF(IFERROR(FIND("New",$A491)&gt;0,FALSE),"New ","") &amp; IF(IFERROR(FIND("In Lib",$A491)&gt;0,FALSE),"Reference ","") &amp;
IF(AND(D491="Audiobook",LEFT(B491,6)="CD BIO"),"Biography",
IF(AND(D491="Teen Audiobook",LEFT(B491,11)="TEEN CD BIO"),"Biography",
IF(AND(D491="Juvenile Audiobook",LEFT(B491,8)="J CD BIO"),"Biography",
IF(AND(D491="Audiobook",LEFT(B491,6)="CD FIC"),"Audiobook Fiction",
IF(AND(D491="Teen Audiobook",LEFT(B491,11)="TEEN CD FIC"),"Teen Audiobook",
IF(AND(D491="Juvenile Audiobook",LEFT(B491,8)="J CD FIC"),"Juvenile Audiobook",
IF(D491="Audiobook","Nonfiction",
IF(D491="Juvenile Audiobook","Nonfiction",
IF(D491="Teen Audiobook","Nonfiction",
IF(D491="Juvenile Nonfiction","Nonfiction",
IF(D491="Teen Nonfiction","Nonfiction",
IF(D491="Juvenile Biography","Biography",
IF(D491="Teen Biography","Biography",
IF(D491="ESL","Nonfiction",
IF(LEFT(B491,11)="INTL-VIE J ","International Juvenile",IF(LEFT(B491,11)="INTL-TAG J ","International Juvenile",IF(LEFT(B491,11)="INTL-RUS J ","International Juvenile",IF(LEFT(B491,11)="INTL-KOR J ","International Juvenile",IF(LEFT(B491,11)="INTL-JAP J ","International Juvenile",IF(LEFT(B491,11)="INTL-CHI J ","International Juvenile",IF(LEFT(B491,11)="INTL-SPA J ","International Juvenile",IF(LEFT(B491,14)="INTL-VIE TEEN ","International Teen",IF(LEFT(B491,14)="INTL-TAG TEEN ","International Teen",IF(LEFT(B491,14)="INTL-RUS TEEN ","International Teen",IF(LEFT(B491,14)="INTL-KOR TEEN ","International Teen",IF(LEFT(B491,14)="INTL-JAP TEEN ","International Teen",IF(LEFT(B491,14)="INTL-CHI TEEN ","International Teen",IF(LEFT(B491,14)="INTL-SPA TEEN ","International Teen",IF(LEFT(B491,11)="INTL-VIE E ","International Easy",IF(LEFT(B491,11)="INTL-TAG E ","International Easy",IF(LEFT(B491,11)="INTL-RUS E ","International Easy",IF(LEFT(B491,11)="INTL-JAP E ","International Easy",IF(LEFT(B491,11)="INTL-KOR E ","International Easy",IF(LEFT(B491,11)="INTL-CHI E ","International Easy",IF(LEFT(B491,11)="INTL-SPA E ","International Easy",
IF(D491="Teen Large Type","Teen Fiction",
IF(D491="Juvenile Large Type","Juvenile Fiction",
IF(LEFT(B491,6)="J CD O","Juvenile Compact Disc",
IF(AND(LEFT(B491,4)="TEEN",D491="Fiction"),"Teen Fiction",
IF(D491="DVD Educational","Nonfiction",
IF(D491="Juvenile DVD Educational","Nonfiction",
IF(D491="Reference","Nonfiction",
D491))))))))))))))))))))))))))))))))))))))))))</f>
        <v/>
      </c>
    </row>
    <row r="492" spans="1:14" ht="27" customHeight="1" x14ac:dyDescent="0.25">
      <c r="A492" s="10" t="str">
        <f ca="1">TEXT( INDIRECT( ADDRESS( ROW() + Row_Offset, INDIRECT( "Column_Number_" &amp; A$1), 4,1, tabname) ), "")</f>
        <v/>
      </c>
      <c r="B492" s="10" t="str">
        <f ca="1">TEXT(  IFERROR( VLOOKUP( $D492, CollName_Simplifier_Table[], 2, FALSE),"") &amp;
        INDIRECT( ADDRESS( ROW() + Row_Offset, INDIRECT( "Column_Number_" &amp; $B$1), 4,1, tabname) ), "")</f>
        <v/>
      </c>
      <c r="C492" s="10" t="str">
        <f ca="1">TEXT( INDIRECT( ADDRESS( ROW() + Row_Offset, INDIRECT( "Column_Number_" &amp; C$1), 4,1, tabname) ), "")</f>
        <v/>
      </c>
      <c r="D492" s="10" t="str">
        <f ca="1">TEXT( INDIRECT( ADDRESS( ROW() + Row_Offset, INDIRECT( "Column_Number_" &amp; D$1), 4,1, tabname) ), "")</f>
        <v/>
      </c>
      <c r="E492" s="10" t="str">
        <f ca="1">TEXT( INDIRECT( ADDRESS( ROW() + Row_Offset, INDIRECT( "Column_Number_" &amp; E$1), 4,1, tabname) ), "####")</f>
        <v/>
      </c>
      <c r="F492" s="15"/>
      <c r="G492" s="22" t="str">
        <f ca="1">IFERROR(INDEX(Rank_Table[],MATCH($D492&amp;$A492,Table4[Join],0)),"")</f>
        <v/>
      </c>
      <c r="H492" s="11" t="str">
        <f ca="1">IF(AND(D492="Juvenile Audiobook",LEFT(B492,8)="J CD BIO"),RIGHT(B492,LEN(B492)-9),
IF(AND(D492="Juvenile Audiobook",LEFT(B492,8)="J CD FIC"),B492,
IF(D492="Juvenile Audiobook",RIGHT(B492,LEN(B492)-5),
IF(AND(D492="Teen Audiobook",LEFT(B492,11)="TEEN CD BIO"),RIGHT(B492,LEN(B492)-12),
IF(AND(D492="Teen Audiobook",LEFT(B492,11)="TEEN CD FIC"),B492,
IF(D492="Juvenile Audiobook",RIGHT(B492,LEN(B492)-8),
IF(D492="Juvenile Nonfiction",RIGHT(B492,LEN(B492)-2),
IF(D492="Teen Nonfiction",RIGHT(B492,LEN(B492)-5),
IF(AND(D492="Audiobook",
              NOT(OR(Contains($B492,"CD BIO"),Contains($B492,"CD FIC")))),RIGHT(B492,LEN(B492)-3),
IF(D492="Juvenile Biography",RIGHT(B492,LEN(B492)-2),
IF(D492="Teen Biography",RIGHT(B492,LEN(B492)-5),
IF(AND(D492="Audiobook",
              IFERROR(FIND("BIO",$B492)&gt;0,FALSE)),RIGHT(B492,LEN(B492)-3),
IF(D492="Juvenile Large Type","J "&amp;RIGHT(B492,LEN(B492)-11),
IF(D492="Teen Large Type","TEEN "&amp;RIGHT(B492,LEN(B492)-14),
IF(D492="Reference",RIGHT(B492,LEN(B492)-4),
IF(D492="DVD Educational",RIGHT(B492,LEN(B492)-7),
IF(D492="Juvenile DVD Educational",RIGHT(B492,LEN(B492)-9),
B492)))))))))))))))))</f>
        <v/>
      </c>
      <c r="N492" s="11" t="str">
        <f ca="1">IF(IFERROR(FIND("New",$A492)&gt;0,FALSE),"New ","") &amp; IF(IFERROR(FIND("In Lib",$A492)&gt;0,FALSE),"Reference ","") &amp;
IF(AND(D492="Audiobook",LEFT(B492,6)="CD BIO"),"Biography",
IF(AND(D492="Teen Audiobook",LEFT(B492,11)="TEEN CD BIO"),"Biography",
IF(AND(D492="Juvenile Audiobook",LEFT(B492,8)="J CD BIO"),"Biography",
IF(AND(D492="Audiobook",LEFT(B492,6)="CD FIC"),"Audiobook Fiction",
IF(AND(D492="Teen Audiobook",LEFT(B492,11)="TEEN CD FIC"),"Teen Audiobook",
IF(AND(D492="Juvenile Audiobook",LEFT(B492,8)="J CD FIC"),"Juvenile Audiobook",
IF(D492="Audiobook","Nonfiction",
IF(D492="Juvenile Audiobook","Nonfiction",
IF(D492="Teen Audiobook","Nonfiction",
IF(D492="Juvenile Nonfiction","Nonfiction",
IF(D492="Teen Nonfiction","Nonfiction",
IF(D492="Juvenile Biography","Biography",
IF(D492="Teen Biography","Biography",
IF(D492="ESL","Nonfiction",
IF(LEFT(B492,11)="INTL-VIE J ","International Juvenile",IF(LEFT(B492,11)="INTL-TAG J ","International Juvenile",IF(LEFT(B492,11)="INTL-RUS J ","International Juvenile",IF(LEFT(B492,11)="INTL-KOR J ","International Juvenile",IF(LEFT(B492,11)="INTL-JAP J ","International Juvenile",IF(LEFT(B492,11)="INTL-CHI J ","International Juvenile",IF(LEFT(B492,11)="INTL-SPA J ","International Juvenile",IF(LEFT(B492,14)="INTL-VIE TEEN ","International Teen",IF(LEFT(B492,14)="INTL-TAG TEEN ","International Teen",IF(LEFT(B492,14)="INTL-RUS TEEN ","International Teen",IF(LEFT(B492,14)="INTL-KOR TEEN ","International Teen",IF(LEFT(B492,14)="INTL-JAP TEEN ","International Teen",IF(LEFT(B492,14)="INTL-CHI TEEN ","International Teen",IF(LEFT(B492,14)="INTL-SPA TEEN ","International Teen",IF(LEFT(B492,11)="INTL-VIE E ","International Easy",IF(LEFT(B492,11)="INTL-TAG E ","International Easy",IF(LEFT(B492,11)="INTL-RUS E ","International Easy",IF(LEFT(B492,11)="INTL-JAP E ","International Easy",IF(LEFT(B492,11)="INTL-KOR E ","International Easy",IF(LEFT(B492,11)="INTL-CHI E ","International Easy",IF(LEFT(B492,11)="INTL-SPA E ","International Easy",
IF(D492="Teen Large Type","Teen Fiction",
IF(D492="Juvenile Large Type","Juvenile Fiction",
IF(LEFT(B492,6)="J CD O","Juvenile Compact Disc",
IF(AND(LEFT(B492,4)="TEEN",D492="Fiction"),"Teen Fiction",
IF(D492="DVD Educational","Nonfiction",
IF(D492="Juvenile DVD Educational","Nonfiction",
IF(D492="Reference","Nonfiction",
D492))))))))))))))))))))))))))))))))))))))))))</f>
        <v/>
      </c>
    </row>
    <row r="493" spans="1:14" ht="27" customHeight="1" x14ac:dyDescent="0.25">
      <c r="A493" s="10" t="str">
        <f ca="1">TEXT( INDIRECT( ADDRESS( ROW() + Row_Offset, INDIRECT( "Column_Number_" &amp; A$1), 4,1, tabname) ), "")</f>
        <v/>
      </c>
      <c r="B493" s="10" t="str">
        <f ca="1">TEXT(  IFERROR( VLOOKUP( $D493, CollName_Simplifier_Table[], 2, FALSE),"") &amp;
        INDIRECT( ADDRESS( ROW() + Row_Offset, INDIRECT( "Column_Number_" &amp; $B$1), 4,1, tabname) ), "")</f>
        <v/>
      </c>
      <c r="C493" s="10" t="str">
        <f ca="1">TEXT( INDIRECT( ADDRESS( ROW() + Row_Offset, INDIRECT( "Column_Number_" &amp; C$1), 4,1, tabname) ), "")</f>
        <v/>
      </c>
      <c r="D493" s="10" t="str">
        <f ca="1">TEXT( INDIRECT( ADDRESS( ROW() + Row_Offset, INDIRECT( "Column_Number_" &amp; D$1), 4,1, tabname) ), "")</f>
        <v/>
      </c>
      <c r="E493" s="10" t="str">
        <f ca="1">TEXT( INDIRECT( ADDRESS( ROW() + Row_Offset, INDIRECT( "Column_Number_" &amp; E$1), 4,1, tabname) ), "####")</f>
        <v/>
      </c>
      <c r="F493" s="15"/>
      <c r="G493" s="22" t="str">
        <f ca="1">IFERROR(INDEX(Rank_Table[],MATCH($D493&amp;$A493,Table4[Join],0)),"")</f>
        <v/>
      </c>
      <c r="H493" s="11" t="str">
        <f ca="1">IF(AND(D493="Juvenile Audiobook",LEFT(B493,8)="J CD BIO"),RIGHT(B493,LEN(B493)-9),
IF(AND(D493="Juvenile Audiobook",LEFT(B493,8)="J CD FIC"),B493,
IF(D493="Juvenile Audiobook",RIGHT(B493,LEN(B493)-5),
IF(AND(D493="Teen Audiobook",LEFT(B493,11)="TEEN CD BIO"),RIGHT(B493,LEN(B493)-12),
IF(AND(D493="Teen Audiobook",LEFT(B493,11)="TEEN CD FIC"),B493,
IF(D493="Juvenile Audiobook",RIGHT(B493,LEN(B493)-8),
IF(D493="Juvenile Nonfiction",RIGHT(B493,LEN(B493)-2),
IF(D493="Teen Nonfiction",RIGHT(B493,LEN(B493)-5),
IF(AND(D493="Audiobook",
              NOT(OR(Contains($B493,"CD BIO"),Contains($B493,"CD FIC")))),RIGHT(B493,LEN(B493)-3),
IF(D493="Juvenile Biography",RIGHT(B493,LEN(B493)-2),
IF(D493="Teen Biography",RIGHT(B493,LEN(B493)-5),
IF(AND(D493="Audiobook",
              IFERROR(FIND("BIO",$B493)&gt;0,FALSE)),RIGHT(B493,LEN(B493)-3),
IF(D493="Juvenile Large Type","J "&amp;RIGHT(B493,LEN(B493)-11),
IF(D493="Teen Large Type","TEEN "&amp;RIGHT(B493,LEN(B493)-14),
IF(D493="Reference",RIGHT(B493,LEN(B493)-4),
IF(D493="DVD Educational",RIGHT(B493,LEN(B493)-7),
IF(D493="Juvenile DVD Educational",RIGHT(B493,LEN(B493)-9),
B493)))))))))))))))))</f>
        <v/>
      </c>
      <c r="N493" s="11" t="str">
        <f ca="1">IF(IFERROR(FIND("New",$A493)&gt;0,FALSE),"New ","") &amp; IF(IFERROR(FIND("In Lib",$A493)&gt;0,FALSE),"Reference ","") &amp;
IF(AND(D493="Audiobook",LEFT(B493,6)="CD BIO"),"Biography",
IF(AND(D493="Teen Audiobook",LEFT(B493,11)="TEEN CD BIO"),"Biography",
IF(AND(D493="Juvenile Audiobook",LEFT(B493,8)="J CD BIO"),"Biography",
IF(AND(D493="Audiobook",LEFT(B493,6)="CD FIC"),"Audiobook Fiction",
IF(AND(D493="Teen Audiobook",LEFT(B493,11)="TEEN CD FIC"),"Teen Audiobook",
IF(AND(D493="Juvenile Audiobook",LEFT(B493,8)="J CD FIC"),"Juvenile Audiobook",
IF(D493="Audiobook","Nonfiction",
IF(D493="Juvenile Audiobook","Nonfiction",
IF(D493="Teen Audiobook","Nonfiction",
IF(D493="Juvenile Nonfiction","Nonfiction",
IF(D493="Teen Nonfiction","Nonfiction",
IF(D493="Juvenile Biography","Biography",
IF(D493="Teen Biography","Biography",
IF(D493="ESL","Nonfiction",
IF(LEFT(B493,11)="INTL-VIE J ","International Juvenile",IF(LEFT(B493,11)="INTL-TAG J ","International Juvenile",IF(LEFT(B493,11)="INTL-RUS J ","International Juvenile",IF(LEFT(B493,11)="INTL-KOR J ","International Juvenile",IF(LEFT(B493,11)="INTL-JAP J ","International Juvenile",IF(LEFT(B493,11)="INTL-CHI J ","International Juvenile",IF(LEFT(B493,11)="INTL-SPA J ","International Juvenile",IF(LEFT(B493,14)="INTL-VIE TEEN ","International Teen",IF(LEFT(B493,14)="INTL-TAG TEEN ","International Teen",IF(LEFT(B493,14)="INTL-RUS TEEN ","International Teen",IF(LEFT(B493,14)="INTL-KOR TEEN ","International Teen",IF(LEFT(B493,14)="INTL-JAP TEEN ","International Teen",IF(LEFT(B493,14)="INTL-CHI TEEN ","International Teen",IF(LEFT(B493,14)="INTL-SPA TEEN ","International Teen",IF(LEFT(B493,11)="INTL-VIE E ","International Easy",IF(LEFT(B493,11)="INTL-TAG E ","International Easy",IF(LEFT(B493,11)="INTL-RUS E ","International Easy",IF(LEFT(B493,11)="INTL-JAP E ","International Easy",IF(LEFT(B493,11)="INTL-KOR E ","International Easy",IF(LEFT(B493,11)="INTL-CHI E ","International Easy",IF(LEFT(B493,11)="INTL-SPA E ","International Easy",
IF(D493="Teen Large Type","Teen Fiction",
IF(D493="Juvenile Large Type","Juvenile Fiction",
IF(LEFT(B493,6)="J CD O","Juvenile Compact Disc",
IF(AND(LEFT(B493,4)="TEEN",D493="Fiction"),"Teen Fiction",
IF(D493="DVD Educational","Nonfiction",
IF(D493="Juvenile DVD Educational","Nonfiction",
IF(D493="Reference","Nonfiction",
D493))))))))))))))))))))))))))))))))))))))))))</f>
        <v/>
      </c>
    </row>
    <row r="494" spans="1:14" ht="27" customHeight="1" x14ac:dyDescent="0.25">
      <c r="A494" s="10" t="str">
        <f ca="1">TEXT( INDIRECT( ADDRESS( ROW() + Row_Offset, INDIRECT( "Column_Number_" &amp; A$1), 4,1, tabname) ), "")</f>
        <v/>
      </c>
      <c r="B494" s="10" t="str">
        <f ca="1">TEXT(  IFERROR( VLOOKUP( $D494, CollName_Simplifier_Table[], 2, FALSE),"") &amp;
        INDIRECT( ADDRESS( ROW() + Row_Offset, INDIRECT( "Column_Number_" &amp; $B$1), 4,1, tabname) ), "")</f>
        <v/>
      </c>
      <c r="C494" s="10" t="str">
        <f ca="1">TEXT( INDIRECT( ADDRESS( ROW() + Row_Offset, INDIRECT( "Column_Number_" &amp; C$1), 4,1, tabname) ), "")</f>
        <v/>
      </c>
      <c r="D494" s="10" t="str">
        <f ca="1">TEXT( INDIRECT( ADDRESS( ROW() + Row_Offset, INDIRECT( "Column_Number_" &amp; D$1), 4,1, tabname) ), "")</f>
        <v/>
      </c>
      <c r="E494" s="10" t="str">
        <f ca="1">TEXT( INDIRECT( ADDRESS( ROW() + Row_Offset, INDIRECT( "Column_Number_" &amp; E$1), 4,1, tabname) ), "####")</f>
        <v/>
      </c>
      <c r="F494" s="15"/>
      <c r="G494" s="22" t="str">
        <f ca="1">IFERROR(INDEX(Rank_Table[],MATCH($D494&amp;$A494,Table4[Join],0)),"")</f>
        <v/>
      </c>
      <c r="H494" s="11" t="str">
        <f ca="1">IF(AND(D494="Juvenile Audiobook",LEFT(B494,8)="J CD BIO"),RIGHT(B494,LEN(B494)-9),
IF(AND(D494="Juvenile Audiobook",LEFT(B494,8)="J CD FIC"),B494,
IF(D494="Juvenile Audiobook",RIGHT(B494,LEN(B494)-5),
IF(AND(D494="Teen Audiobook",LEFT(B494,11)="TEEN CD BIO"),RIGHT(B494,LEN(B494)-12),
IF(AND(D494="Teen Audiobook",LEFT(B494,11)="TEEN CD FIC"),B494,
IF(D494="Juvenile Audiobook",RIGHT(B494,LEN(B494)-8),
IF(D494="Juvenile Nonfiction",RIGHT(B494,LEN(B494)-2),
IF(D494="Teen Nonfiction",RIGHT(B494,LEN(B494)-5),
IF(AND(D494="Audiobook",
              NOT(OR(Contains($B494,"CD BIO"),Contains($B494,"CD FIC")))),RIGHT(B494,LEN(B494)-3),
IF(D494="Juvenile Biography",RIGHT(B494,LEN(B494)-2),
IF(D494="Teen Biography",RIGHT(B494,LEN(B494)-5),
IF(AND(D494="Audiobook",
              IFERROR(FIND("BIO",$B494)&gt;0,FALSE)),RIGHT(B494,LEN(B494)-3),
IF(D494="Juvenile Large Type","J "&amp;RIGHT(B494,LEN(B494)-11),
IF(D494="Teen Large Type","TEEN "&amp;RIGHT(B494,LEN(B494)-14),
IF(D494="Reference",RIGHT(B494,LEN(B494)-4),
IF(D494="DVD Educational",RIGHT(B494,LEN(B494)-7),
IF(D494="Juvenile DVD Educational",RIGHT(B494,LEN(B494)-9),
B494)))))))))))))))))</f>
        <v/>
      </c>
      <c r="N494" s="11" t="str">
        <f ca="1">IF(IFERROR(FIND("New",$A494)&gt;0,FALSE),"New ","") &amp; IF(IFERROR(FIND("In Lib",$A494)&gt;0,FALSE),"Reference ","") &amp;
IF(AND(D494="Audiobook",LEFT(B494,6)="CD BIO"),"Biography",
IF(AND(D494="Teen Audiobook",LEFT(B494,11)="TEEN CD BIO"),"Biography",
IF(AND(D494="Juvenile Audiobook",LEFT(B494,8)="J CD BIO"),"Biography",
IF(AND(D494="Audiobook",LEFT(B494,6)="CD FIC"),"Audiobook Fiction",
IF(AND(D494="Teen Audiobook",LEFT(B494,11)="TEEN CD FIC"),"Teen Audiobook",
IF(AND(D494="Juvenile Audiobook",LEFT(B494,8)="J CD FIC"),"Juvenile Audiobook",
IF(D494="Audiobook","Nonfiction",
IF(D494="Juvenile Audiobook","Nonfiction",
IF(D494="Teen Audiobook","Nonfiction",
IF(D494="Juvenile Nonfiction","Nonfiction",
IF(D494="Teen Nonfiction","Nonfiction",
IF(D494="Juvenile Biography","Biography",
IF(D494="Teen Biography","Biography",
IF(D494="ESL","Nonfiction",
IF(LEFT(B494,11)="INTL-VIE J ","International Juvenile",IF(LEFT(B494,11)="INTL-TAG J ","International Juvenile",IF(LEFT(B494,11)="INTL-RUS J ","International Juvenile",IF(LEFT(B494,11)="INTL-KOR J ","International Juvenile",IF(LEFT(B494,11)="INTL-JAP J ","International Juvenile",IF(LEFT(B494,11)="INTL-CHI J ","International Juvenile",IF(LEFT(B494,11)="INTL-SPA J ","International Juvenile",IF(LEFT(B494,14)="INTL-VIE TEEN ","International Teen",IF(LEFT(B494,14)="INTL-TAG TEEN ","International Teen",IF(LEFT(B494,14)="INTL-RUS TEEN ","International Teen",IF(LEFT(B494,14)="INTL-KOR TEEN ","International Teen",IF(LEFT(B494,14)="INTL-JAP TEEN ","International Teen",IF(LEFT(B494,14)="INTL-CHI TEEN ","International Teen",IF(LEFT(B494,14)="INTL-SPA TEEN ","International Teen",IF(LEFT(B494,11)="INTL-VIE E ","International Easy",IF(LEFT(B494,11)="INTL-TAG E ","International Easy",IF(LEFT(B494,11)="INTL-RUS E ","International Easy",IF(LEFT(B494,11)="INTL-JAP E ","International Easy",IF(LEFT(B494,11)="INTL-KOR E ","International Easy",IF(LEFT(B494,11)="INTL-CHI E ","International Easy",IF(LEFT(B494,11)="INTL-SPA E ","International Easy",
IF(D494="Teen Large Type","Teen Fiction",
IF(D494="Juvenile Large Type","Juvenile Fiction",
IF(LEFT(B494,6)="J CD O","Juvenile Compact Disc",
IF(AND(LEFT(B494,4)="TEEN",D494="Fiction"),"Teen Fiction",
IF(D494="DVD Educational","Nonfiction",
IF(D494="Juvenile DVD Educational","Nonfiction",
IF(D494="Reference","Nonfiction",
D494))))))))))))))))))))))))))))))))))))))))))</f>
        <v/>
      </c>
    </row>
    <row r="495" spans="1:14" ht="27" customHeight="1" x14ac:dyDescent="0.25">
      <c r="A495" s="10" t="str">
        <f ca="1">TEXT( INDIRECT( ADDRESS( ROW() + Row_Offset, INDIRECT( "Column_Number_" &amp; A$1), 4,1, tabname) ), "")</f>
        <v/>
      </c>
      <c r="B495" s="10" t="str">
        <f ca="1">TEXT(  IFERROR( VLOOKUP( $D495, CollName_Simplifier_Table[], 2, FALSE),"") &amp;
        INDIRECT( ADDRESS( ROW() + Row_Offset, INDIRECT( "Column_Number_" &amp; $B$1), 4,1, tabname) ), "")</f>
        <v/>
      </c>
      <c r="C495" s="10" t="str">
        <f ca="1">TEXT( INDIRECT( ADDRESS( ROW() + Row_Offset, INDIRECT( "Column_Number_" &amp; C$1), 4,1, tabname) ), "")</f>
        <v/>
      </c>
      <c r="D495" s="10" t="str">
        <f ca="1">TEXT( INDIRECT( ADDRESS( ROW() + Row_Offset, INDIRECT( "Column_Number_" &amp; D$1), 4,1, tabname) ), "")</f>
        <v/>
      </c>
      <c r="E495" s="10" t="str">
        <f ca="1">TEXT( INDIRECT( ADDRESS( ROW() + Row_Offset, INDIRECT( "Column_Number_" &amp; E$1), 4,1, tabname) ), "####")</f>
        <v/>
      </c>
      <c r="F495" s="15"/>
      <c r="G495" s="22" t="str">
        <f ca="1">IFERROR(INDEX(Rank_Table[],MATCH($D495&amp;$A495,Table4[Join],0)),"")</f>
        <v/>
      </c>
      <c r="H495" s="11" t="str">
        <f ca="1">IF(AND(D495="Juvenile Audiobook",LEFT(B495,8)="J CD BIO"),RIGHT(B495,LEN(B495)-9),
IF(AND(D495="Juvenile Audiobook",LEFT(B495,8)="J CD FIC"),B495,
IF(D495="Juvenile Audiobook",RIGHT(B495,LEN(B495)-5),
IF(AND(D495="Teen Audiobook",LEFT(B495,11)="TEEN CD BIO"),RIGHT(B495,LEN(B495)-12),
IF(AND(D495="Teen Audiobook",LEFT(B495,11)="TEEN CD FIC"),B495,
IF(D495="Juvenile Audiobook",RIGHT(B495,LEN(B495)-8),
IF(D495="Juvenile Nonfiction",RIGHT(B495,LEN(B495)-2),
IF(D495="Teen Nonfiction",RIGHT(B495,LEN(B495)-5),
IF(AND(D495="Audiobook",
              NOT(OR(Contains($B495,"CD BIO"),Contains($B495,"CD FIC")))),RIGHT(B495,LEN(B495)-3),
IF(D495="Juvenile Biography",RIGHT(B495,LEN(B495)-2),
IF(D495="Teen Biography",RIGHT(B495,LEN(B495)-5),
IF(AND(D495="Audiobook",
              IFERROR(FIND("BIO",$B495)&gt;0,FALSE)),RIGHT(B495,LEN(B495)-3),
IF(D495="Juvenile Large Type","J "&amp;RIGHT(B495,LEN(B495)-11),
IF(D495="Teen Large Type","TEEN "&amp;RIGHT(B495,LEN(B495)-14),
IF(D495="Reference",RIGHT(B495,LEN(B495)-4),
IF(D495="DVD Educational",RIGHT(B495,LEN(B495)-7),
IF(D495="Juvenile DVD Educational",RIGHT(B495,LEN(B495)-9),
B495)))))))))))))))))</f>
        <v/>
      </c>
      <c r="N495" s="11" t="str">
        <f ca="1">IF(IFERROR(FIND("New",$A495)&gt;0,FALSE),"New ","") &amp; IF(IFERROR(FIND("In Lib",$A495)&gt;0,FALSE),"Reference ","") &amp;
IF(AND(D495="Audiobook",LEFT(B495,6)="CD BIO"),"Biography",
IF(AND(D495="Teen Audiobook",LEFT(B495,11)="TEEN CD BIO"),"Biography",
IF(AND(D495="Juvenile Audiobook",LEFT(B495,8)="J CD BIO"),"Biography",
IF(AND(D495="Audiobook",LEFT(B495,6)="CD FIC"),"Audiobook Fiction",
IF(AND(D495="Teen Audiobook",LEFT(B495,11)="TEEN CD FIC"),"Teen Audiobook",
IF(AND(D495="Juvenile Audiobook",LEFT(B495,8)="J CD FIC"),"Juvenile Audiobook",
IF(D495="Audiobook","Nonfiction",
IF(D495="Juvenile Audiobook","Nonfiction",
IF(D495="Teen Audiobook","Nonfiction",
IF(D495="Juvenile Nonfiction","Nonfiction",
IF(D495="Teen Nonfiction","Nonfiction",
IF(D495="Juvenile Biography","Biography",
IF(D495="Teen Biography","Biography",
IF(D495="ESL","Nonfiction",
IF(LEFT(B495,11)="INTL-VIE J ","International Juvenile",IF(LEFT(B495,11)="INTL-TAG J ","International Juvenile",IF(LEFT(B495,11)="INTL-RUS J ","International Juvenile",IF(LEFT(B495,11)="INTL-KOR J ","International Juvenile",IF(LEFT(B495,11)="INTL-JAP J ","International Juvenile",IF(LEFT(B495,11)="INTL-CHI J ","International Juvenile",IF(LEFT(B495,11)="INTL-SPA J ","International Juvenile",IF(LEFT(B495,14)="INTL-VIE TEEN ","International Teen",IF(LEFT(B495,14)="INTL-TAG TEEN ","International Teen",IF(LEFT(B495,14)="INTL-RUS TEEN ","International Teen",IF(LEFT(B495,14)="INTL-KOR TEEN ","International Teen",IF(LEFT(B495,14)="INTL-JAP TEEN ","International Teen",IF(LEFT(B495,14)="INTL-CHI TEEN ","International Teen",IF(LEFT(B495,14)="INTL-SPA TEEN ","International Teen",IF(LEFT(B495,11)="INTL-VIE E ","International Easy",IF(LEFT(B495,11)="INTL-TAG E ","International Easy",IF(LEFT(B495,11)="INTL-RUS E ","International Easy",IF(LEFT(B495,11)="INTL-JAP E ","International Easy",IF(LEFT(B495,11)="INTL-KOR E ","International Easy",IF(LEFT(B495,11)="INTL-CHI E ","International Easy",IF(LEFT(B495,11)="INTL-SPA E ","International Easy",
IF(D495="Teen Large Type","Teen Fiction",
IF(D495="Juvenile Large Type","Juvenile Fiction",
IF(LEFT(B495,6)="J CD O","Juvenile Compact Disc",
IF(AND(LEFT(B495,4)="TEEN",D495="Fiction"),"Teen Fiction",
IF(D495="DVD Educational","Nonfiction",
IF(D495="Juvenile DVD Educational","Nonfiction",
IF(D495="Reference","Nonfiction",
D495))))))))))))))))))))))))))))))))))))))))))</f>
        <v/>
      </c>
    </row>
    <row r="496" spans="1:14" ht="27" customHeight="1" x14ac:dyDescent="0.25">
      <c r="A496" s="10" t="str">
        <f ca="1">TEXT( INDIRECT( ADDRESS( ROW() + Row_Offset, INDIRECT( "Column_Number_" &amp; A$1), 4,1, tabname) ), "")</f>
        <v/>
      </c>
      <c r="B496" s="10" t="str">
        <f ca="1">TEXT(  IFERROR( VLOOKUP( $D496, CollName_Simplifier_Table[], 2, FALSE),"") &amp;
        INDIRECT( ADDRESS( ROW() + Row_Offset, INDIRECT( "Column_Number_" &amp; $B$1), 4,1, tabname) ), "")</f>
        <v/>
      </c>
      <c r="C496" s="10" t="str">
        <f ca="1">TEXT( INDIRECT( ADDRESS( ROW() + Row_Offset, INDIRECT( "Column_Number_" &amp; C$1), 4,1, tabname) ), "")</f>
        <v/>
      </c>
      <c r="D496" s="10" t="str">
        <f ca="1">TEXT( INDIRECT( ADDRESS( ROW() + Row_Offset, INDIRECT( "Column_Number_" &amp; D$1), 4,1, tabname) ), "")</f>
        <v/>
      </c>
      <c r="E496" s="10" t="str">
        <f ca="1">TEXT( INDIRECT( ADDRESS( ROW() + Row_Offset, INDIRECT( "Column_Number_" &amp; E$1), 4,1, tabname) ), "####")</f>
        <v/>
      </c>
      <c r="F496" s="15"/>
      <c r="G496" s="22" t="str">
        <f ca="1">IFERROR(INDEX(Rank_Table[],MATCH($D496&amp;$A496,Table4[Join],0)),"")</f>
        <v/>
      </c>
      <c r="H496" s="11" t="str">
        <f ca="1">IF(AND(D496="Juvenile Audiobook",LEFT(B496,8)="J CD BIO"),RIGHT(B496,LEN(B496)-9),
IF(AND(D496="Juvenile Audiobook",LEFT(B496,8)="J CD FIC"),B496,
IF(D496="Juvenile Audiobook",RIGHT(B496,LEN(B496)-5),
IF(AND(D496="Teen Audiobook",LEFT(B496,11)="TEEN CD BIO"),RIGHT(B496,LEN(B496)-12),
IF(AND(D496="Teen Audiobook",LEFT(B496,11)="TEEN CD FIC"),B496,
IF(D496="Juvenile Audiobook",RIGHT(B496,LEN(B496)-8),
IF(D496="Juvenile Nonfiction",RIGHT(B496,LEN(B496)-2),
IF(D496="Teen Nonfiction",RIGHT(B496,LEN(B496)-5),
IF(AND(D496="Audiobook",
              NOT(OR(Contains($B496,"CD BIO"),Contains($B496,"CD FIC")))),RIGHT(B496,LEN(B496)-3),
IF(D496="Juvenile Biography",RIGHT(B496,LEN(B496)-2),
IF(D496="Teen Biography",RIGHT(B496,LEN(B496)-5),
IF(AND(D496="Audiobook",
              IFERROR(FIND("BIO",$B496)&gt;0,FALSE)),RIGHT(B496,LEN(B496)-3),
IF(D496="Juvenile Large Type","J "&amp;RIGHT(B496,LEN(B496)-11),
IF(D496="Teen Large Type","TEEN "&amp;RIGHT(B496,LEN(B496)-14),
IF(D496="Reference",RIGHT(B496,LEN(B496)-4),
IF(D496="DVD Educational",RIGHT(B496,LEN(B496)-7),
IF(D496="Juvenile DVD Educational",RIGHT(B496,LEN(B496)-9),
B496)))))))))))))))))</f>
        <v/>
      </c>
      <c r="N496" s="11" t="str">
        <f ca="1">IF(IFERROR(FIND("New",$A496)&gt;0,FALSE),"New ","") &amp; IF(IFERROR(FIND("In Lib",$A496)&gt;0,FALSE),"Reference ","") &amp;
IF(AND(D496="Audiobook",LEFT(B496,6)="CD BIO"),"Biography",
IF(AND(D496="Teen Audiobook",LEFT(B496,11)="TEEN CD BIO"),"Biography",
IF(AND(D496="Juvenile Audiobook",LEFT(B496,8)="J CD BIO"),"Biography",
IF(AND(D496="Audiobook",LEFT(B496,6)="CD FIC"),"Audiobook Fiction",
IF(AND(D496="Teen Audiobook",LEFT(B496,11)="TEEN CD FIC"),"Teen Audiobook",
IF(AND(D496="Juvenile Audiobook",LEFT(B496,8)="J CD FIC"),"Juvenile Audiobook",
IF(D496="Audiobook","Nonfiction",
IF(D496="Juvenile Audiobook","Nonfiction",
IF(D496="Teen Audiobook","Nonfiction",
IF(D496="Juvenile Nonfiction","Nonfiction",
IF(D496="Teen Nonfiction","Nonfiction",
IF(D496="Juvenile Biography","Biography",
IF(D496="Teen Biography","Biography",
IF(D496="ESL","Nonfiction",
IF(LEFT(B496,11)="INTL-VIE J ","International Juvenile",IF(LEFT(B496,11)="INTL-TAG J ","International Juvenile",IF(LEFT(B496,11)="INTL-RUS J ","International Juvenile",IF(LEFT(B496,11)="INTL-KOR J ","International Juvenile",IF(LEFT(B496,11)="INTL-JAP J ","International Juvenile",IF(LEFT(B496,11)="INTL-CHI J ","International Juvenile",IF(LEFT(B496,11)="INTL-SPA J ","International Juvenile",IF(LEFT(B496,14)="INTL-VIE TEEN ","International Teen",IF(LEFT(B496,14)="INTL-TAG TEEN ","International Teen",IF(LEFT(B496,14)="INTL-RUS TEEN ","International Teen",IF(LEFT(B496,14)="INTL-KOR TEEN ","International Teen",IF(LEFT(B496,14)="INTL-JAP TEEN ","International Teen",IF(LEFT(B496,14)="INTL-CHI TEEN ","International Teen",IF(LEFT(B496,14)="INTL-SPA TEEN ","International Teen",IF(LEFT(B496,11)="INTL-VIE E ","International Easy",IF(LEFT(B496,11)="INTL-TAG E ","International Easy",IF(LEFT(B496,11)="INTL-RUS E ","International Easy",IF(LEFT(B496,11)="INTL-JAP E ","International Easy",IF(LEFT(B496,11)="INTL-KOR E ","International Easy",IF(LEFT(B496,11)="INTL-CHI E ","International Easy",IF(LEFT(B496,11)="INTL-SPA E ","International Easy",
IF(D496="Teen Large Type","Teen Fiction",
IF(D496="Juvenile Large Type","Juvenile Fiction",
IF(LEFT(B496,6)="J CD O","Juvenile Compact Disc",
IF(AND(LEFT(B496,4)="TEEN",D496="Fiction"),"Teen Fiction",
IF(D496="DVD Educational","Nonfiction",
IF(D496="Juvenile DVD Educational","Nonfiction",
IF(D496="Reference","Nonfiction",
D496))))))))))))))))))))))))))))))))))))))))))</f>
        <v/>
      </c>
    </row>
    <row r="497" spans="1:14" ht="27" customHeight="1" x14ac:dyDescent="0.25">
      <c r="A497" s="10" t="str">
        <f ca="1">TEXT( INDIRECT( ADDRESS( ROW() + Row_Offset, INDIRECT( "Column_Number_" &amp; A$1), 4,1, tabname) ), "")</f>
        <v/>
      </c>
      <c r="B497" s="10" t="str">
        <f ca="1">TEXT(  IFERROR( VLOOKUP( $D497, CollName_Simplifier_Table[], 2, FALSE),"") &amp;
        INDIRECT( ADDRESS( ROW() + Row_Offset, INDIRECT( "Column_Number_" &amp; $B$1), 4,1, tabname) ), "")</f>
        <v/>
      </c>
      <c r="C497" s="10" t="str">
        <f ca="1">TEXT( INDIRECT( ADDRESS( ROW() + Row_Offset, INDIRECT( "Column_Number_" &amp; C$1), 4,1, tabname) ), "")</f>
        <v/>
      </c>
      <c r="D497" s="10" t="str">
        <f ca="1">TEXT( INDIRECT( ADDRESS( ROW() + Row_Offset, INDIRECT( "Column_Number_" &amp; D$1), 4,1, tabname) ), "")</f>
        <v/>
      </c>
      <c r="E497" s="10" t="str">
        <f ca="1">TEXT( INDIRECT( ADDRESS( ROW() + Row_Offset, INDIRECT( "Column_Number_" &amp; E$1), 4,1, tabname) ), "####")</f>
        <v/>
      </c>
      <c r="F497" s="15"/>
      <c r="G497" s="22" t="str">
        <f ca="1">IFERROR(INDEX(Rank_Table[],MATCH($D497&amp;$A497,Table4[Join],0)),"")</f>
        <v/>
      </c>
      <c r="H497" s="11" t="str">
        <f ca="1">IF(AND(D497="Juvenile Audiobook",LEFT(B497,8)="J CD BIO"),RIGHT(B497,LEN(B497)-9),
IF(AND(D497="Juvenile Audiobook",LEFT(B497,8)="J CD FIC"),B497,
IF(D497="Juvenile Audiobook",RIGHT(B497,LEN(B497)-5),
IF(AND(D497="Teen Audiobook",LEFT(B497,11)="TEEN CD BIO"),RIGHT(B497,LEN(B497)-12),
IF(AND(D497="Teen Audiobook",LEFT(B497,11)="TEEN CD FIC"),B497,
IF(D497="Juvenile Audiobook",RIGHT(B497,LEN(B497)-8),
IF(D497="Juvenile Nonfiction",RIGHT(B497,LEN(B497)-2),
IF(D497="Teen Nonfiction",RIGHT(B497,LEN(B497)-5),
IF(AND(D497="Audiobook",
              NOT(OR(Contains($B497,"CD BIO"),Contains($B497,"CD FIC")))),RIGHT(B497,LEN(B497)-3),
IF(D497="Juvenile Biography",RIGHT(B497,LEN(B497)-2),
IF(D497="Teen Biography",RIGHT(B497,LEN(B497)-5),
IF(AND(D497="Audiobook",
              IFERROR(FIND("BIO",$B497)&gt;0,FALSE)),RIGHT(B497,LEN(B497)-3),
IF(D497="Juvenile Large Type","J "&amp;RIGHT(B497,LEN(B497)-11),
IF(D497="Teen Large Type","TEEN "&amp;RIGHT(B497,LEN(B497)-14),
IF(D497="Reference",RIGHT(B497,LEN(B497)-4),
IF(D497="DVD Educational",RIGHT(B497,LEN(B497)-7),
IF(D497="Juvenile DVD Educational",RIGHT(B497,LEN(B497)-9),
B497)))))))))))))))))</f>
        <v/>
      </c>
      <c r="N497" s="11" t="str">
        <f ca="1">IF(IFERROR(FIND("New",$A497)&gt;0,FALSE),"New ","") &amp; IF(IFERROR(FIND("In Lib",$A497)&gt;0,FALSE),"Reference ","") &amp;
IF(AND(D497="Audiobook",LEFT(B497,6)="CD BIO"),"Biography",
IF(AND(D497="Teen Audiobook",LEFT(B497,11)="TEEN CD BIO"),"Biography",
IF(AND(D497="Juvenile Audiobook",LEFT(B497,8)="J CD BIO"),"Biography",
IF(AND(D497="Audiobook",LEFT(B497,6)="CD FIC"),"Audiobook Fiction",
IF(AND(D497="Teen Audiobook",LEFT(B497,11)="TEEN CD FIC"),"Teen Audiobook",
IF(AND(D497="Juvenile Audiobook",LEFT(B497,8)="J CD FIC"),"Juvenile Audiobook",
IF(D497="Audiobook","Nonfiction",
IF(D497="Juvenile Audiobook","Nonfiction",
IF(D497="Teen Audiobook","Nonfiction",
IF(D497="Juvenile Nonfiction","Nonfiction",
IF(D497="Teen Nonfiction","Nonfiction",
IF(D497="Juvenile Biography","Biography",
IF(D497="Teen Biography","Biography",
IF(D497="ESL","Nonfiction",
IF(LEFT(B497,11)="INTL-VIE J ","International Juvenile",IF(LEFT(B497,11)="INTL-TAG J ","International Juvenile",IF(LEFT(B497,11)="INTL-RUS J ","International Juvenile",IF(LEFT(B497,11)="INTL-KOR J ","International Juvenile",IF(LEFT(B497,11)="INTL-JAP J ","International Juvenile",IF(LEFT(B497,11)="INTL-CHI J ","International Juvenile",IF(LEFT(B497,11)="INTL-SPA J ","International Juvenile",IF(LEFT(B497,14)="INTL-VIE TEEN ","International Teen",IF(LEFT(B497,14)="INTL-TAG TEEN ","International Teen",IF(LEFT(B497,14)="INTL-RUS TEEN ","International Teen",IF(LEFT(B497,14)="INTL-KOR TEEN ","International Teen",IF(LEFT(B497,14)="INTL-JAP TEEN ","International Teen",IF(LEFT(B497,14)="INTL-CHI TEEN ","International Teen",IF(LEFT(B497,14)="INTL-SPA TEEN ","International Teen",IF(LEFT(B497,11)="INTL-VIE E ","International Easy",IF(LEFT(B497,11)="INTL-TAG E ","International Easy",IF(LEFT(B497,11)="INTL-RUS E ","International Easy",IF(LEFT(B497,11)="INTL-JAP E ","International Easy",IF(LEFT(B497,11)="INTL-KOR E ","International Easy",IF(LEFT(B497,11)="INTL-CHI E ","International Easy",IF(LEFT(B497,11)="INTL-SPA E ","International Easy",
IF(D497="Teen Large Type","Teen Fiction",
IF(D497="Juvenile Large Type","Juvenile Fiction",
IF(LEFT(B497,6)="J CD O","Juvenile Compact Disc",
IF(AND(LEFT(B497,4)="TEEN",D497="Fiction"),"Teen Fiction",
IF(D497="DVD Educational","Nonfiction",
IF(D497="Juvenile DVD Educational","Nonfiction",
IF(D497="Reference","Nonfiction",
D497))))))))))))))))))))))))))))))))))))))))))</f>
        <v/>
      </c>
    </row>
    <row r="498" spans="1:14" ht="27" customHeight="1" x14ac:dyDescent="0.25">
      <c r="A498" s="10" t="str">
        <f ca="1">TEXT( INDIRECT( ADDRESS( ROW() + Row_Offset, INDIRECT( "Column_Number_" &amp; A$1), 4,1, tabname) ), "")</f>
        <v/>
      </c>
      <c r="B498" s="10" t="str">
        <f ca="1">TEXT(  IFERROR( VLOOKUP( $D498, CollName_Simplifier_Table[], 2, FALSE),"") &amp;
        INDIRECT( ADDRESS( ROW() + Row_Offset, INDIRECT( "Column_Number_" &amp; $B$1), 4,1, tabname) ), "")</f>
        <v/>
      </c>
      <c r="C498" s="10" t="str">
        <f ca="1">TEXT( INDIRECT( ADDRESS( ROW() + Row_Offset, INDIRECT( "Column_Number_" &amp; C$1), 4,1, tabname) ), "")</f>
        <v/>
      </c>
      <c r="D498" s="10" t="str">
        <f ca="1">TEXT( INDIRECT( ADDRESS( ROW() + Row_Offset, INDIRECT( "Column_Number_" &amp; D$1), 4,1, tabname) ), "")</f>
        <v/>
      </c>
      <c r="E498" s="10" t="str">
        <f ca="1">TEXT( INDIRECT( ADDRESS( ROW() + Row_Offset, INDIRECT( "Column_Number_" &amp; E$1), 4,1, tabname) ), "####")</f>
        <v/>
      </c>
      <c r="F498" s="15"/>
      <c r="G498" s="22" t="str">
        <f ca="1">IFERROR(INDEX(Rank_Table[],MATCH($D498&amp;$A498,Table4[Join],0)),"")</f>
        <v/>
      </c>
      <c r="H498" s="11" t="str">
        <f ca="1">IF(AND(D498="Juvenile Audiobook",LEFT(B498,8)="J CD BIO"),RIGHT(B498,LEN(B498)-9),
IF(AND(D498="Juvenile Audiobook",LEFT(B498,8)="J CD FIC"),B498,
IF(D498="Juvenile Audiobook",RIGHT(B498,LEN(B498)-5),
IF(AND(D498="Teen Audiobook",LEFT(B498,11)="TEEN CD BIO"),RIGHT(B498,LEN(B498)-12),
IF(AND(D498="Teen Audiobook",LEFT(B498,11)="TEEN CD FIC"),B498,
IF(D498="Juvenile Audiobook",RIGHT(B498,LEN(B498)-8),
IF(D498="Juvenile Nonfiction",RIGHT(B498,LEN(B498)-2),
IF(D498="Teen Nonfiction",RIGHT(B498,LEN(B498)-5),
IF(AND(D498="Audiobook",
              NOT(OR(Contains($B498,"CD BIO"),Contains($B498,"CD FIC")))),RIGHT(B498,LEN(B498)-3),
IF(D498="Juvenile Biography",RIGHT(B498,LEN(B498)-2),
IF(D498="Teen Biography",RIGHT(B498,LEN(B498)-5),
IF(AND(D498="Audiobook",
              IFERROR(FIND("BIO",$B498)&gt;0,FALSE)),RIGHT(B498,LEN(B498)-3),
IF(D498="Juvenile Large Type","J "&amp;RIGHT(B498,LEN(B498)-11),
IF(D498="Teen Large Type","TEEN "&amp;RIGHT(B498,LEN(B498)-14),
IF(D498="Reference",RIGHT(B498,LEN(B498)-4),
IF(D498="DVD Educational",RIGHT(B498,LEN(B498)-7),
IF(D498="Juvenile DVD Educational",RIGHT(B498,LEN(B498)-9),
B498)))))))))))))))))</f>
        <v/>
      </c>
      <c r="N498" s="11" t="str">
        <f ca="1">IF(IFERROR(FIND("New",$A498)&gt;0,FALSE),"New ","") &amp; IF(IFERROR(FIND("In Lib",$A498)&gt;0,FALSE),"Reference ","") &amp;
IF(AND(D498="Audiobook",LEFT(B498,6)="CD BIO"),"Biography",
IF(AND(D498="Teen Audiobook",LEFT(B498,11)="TEEN CD BIO"),"Biography",
IF(AND(D498="Juvenile Audiobook",LEFT(B498,8)="J CD BIO"),"Biography",
IF(AND(D498="Audiobook",LEFT(B498,6)="CD FIC"),"Audiobook Fiction",
IF(AND(D498="Teen Audiobook",LEFT(B498,11)="TEEN CD FIC"),"Teen Audiobook",
IF(AND(D498="Juvenile Audiobook",LEFT(B498,8)="J CD FIC"),"Juvenile Audiobook",
IF(D498="Audiobook","Nonfiction",
IF(D498="Juvenile Audiobook","Nonfiction",
IF(D498="Teen Audiobook","Nonfiction",
IF(D498="Juvenile Nonfiction","Nonfiction",
IF(D498="Teen Nonfiction","Nonfiction",
IF(D498="Juvenile Biography","Biography",
IF(D498="Teen Biography","Biography",
IF(D498="ESL","Nonfiction",
IF(LEFT(B498,11)="INTL-VIE J ","International Juvenile",IF(LEFT(B498,11)="INTL-TAG J ","International Juvenile",IF(LEFT(B498,11)="INTL-RUS J ","International Juvenile",IF(LEFT(B498,11)="INTL-KOR J ","International Juvenile",IF(LEFT(B498,11)="INTL-JAP J ","International Juvenile",IF(LEFT(B498,11)="INTL-CHI J ","International Juvenile",IF(LEFT(B498,11)="INTL-SPA J ","International Juvenile",IF(LEFT(B498,14)="INTL-VIE TEEN ","International Teen",IF(LEFT(B498,14)="INTL-TAG TEEN ","International Teen",IF(LEFT(B498,14)="INTL-RUS TEEN ","International Teen",IF(LEFT(B498,14)="INTL-KOR TEEN ","International Teen",IF(LEFT(B498,14)="INTL-JAP TEEN ","International Teen",IF(LEFT(B498,14)="INTL-CHI TEEN ","International Teen",IF(LEFT(B498,14)="INTL-SPA TEEN ","International Teen",IF(LEFT(B498,11)="INTL-VIE E ","International Easy",IF(LEFT(B498,11)="INTL-TAG E ","International Easy",IF(LEFT(B498,11)="INTL-RUS E ","International Easy",IF(LEFT(B498,11)="INTL-JAP E ","International Easy",IF(LEFT(B498,11)="INTL-KOR E ","International Easy",IF(LEFT(B498,11)="INTL-CHI E ","International Easy",IF(LEFT(B498,11)="INTL-SPA E ","International Easy",
IF(D498="Teen Large Type","Teen Fiction",
IF(D498="Juvenile Large Type","Juvenile Fiction",
IF(LEFT(B498,6)="J CD O","Juvenile Compact Disc",
IF(AND(LEFT(B498,4)="TEEN",D498="Fiction"),"Teen Fiction",
IF(D498="DVD Educational","Nonfiction",
IF(D498="Juvenile DVD Educational","Nonfiction",
IF(D498="Reference","Nonfiction",
D498))))))))))))))))))))))))))))))))))))))))))</f>
        <v/>
      </c>
    </row>
    <row r="499" spans="1:14" ht="27" customHeight="1" x14ac:dyDescent="0.25">
      <c r="A499" s="10" t="str">
        <f ca="1">TEXT( INDIRECT( ADDRESS( ROW() + Row_Offset, INDIRECT( "Column_Number_" &amp; A$1), 4,1, tabname) ), "")</f>
        <v/>
      </c>
      <c r="B499" s="10" t="str">
        <f ca="1">TEXT(  IFERROR( VLOOKUP( $D499, CollName_Simplifier_Table[], 2, FALSE),"") &amp;
        INDIRECT( ADDRESS( ROW() + Row_Offset, INDIRECT( "Column_Number_" &amp; $B$1), 4,1, tabname) ), "")</f>
        <v/>
      </c>
      <c r="C499" s="10" t="str">
        <f ca="1">TEXT( INDIRECT( ADDRESS( ROW() + Row_Offset, INDIRECT( "Column_Number_" &amp; C$1), 4,1, tabname) ), "")</f>
        <v/>
      </c>
      <c r="D499" s="10" t="str">
        <f ca="1">TEXT( INDIRECT( ADDRESS( ROW() + Row_Offset, INDIRECT( "Column_Number_" &amp; D$1), 4,1, tabname) ), "")</f>
        <v/>
      </c>
      <c r="E499" s="10" t="str">
        <f ca="1">TEXT( INDIRECT( ADDRESS( ROW() + Row_Offset, INDIRECT( "Column_Number_" &amp; E$1), 4,1, tabname) ), "####")</f>
        <v/>
      </c>
      <c r="F499" s="15"/>
      <c r="G499" s="22" t="str">
        <f ca="1">IFERROR(INDEX(Rank_Table[],MATCH($D499&amp;$A499,Table4[Join],0)),"")</f>
        <v/>
      </c>
      <c r="H499" s="11" t="str">
        <f ca="1">IF(AND(D499="Juvenile Audiobook",LEFT(B499,8)="J CD BIO"),RIGHT(B499,LEN(B499)-9),
IF(AND(D499="Juvenile Audiobook",LEFT(B499,8)="J CD FIC"),B499,
IF(D499="Juvenile Audiobook",RIGHT(B499,LEN(B499)-5),
IF(AND(D499="Teen Audiobook",LEFT(B499,11)="TEEN CD BIO"),RIGHT(B499,LEN(B499)-12),
IF(AND(D499="Teen Audiobook",LEFT(B499,11)="TEEN CD FIC"),B499,
IF(D499="Juvenile Audiobook",RIGHT(B499,LEN(B499)-8),
IF(D499="Juvenile Nonfiction",RIGHT(B499,LEN(B499)-2),
IF(D499="Teen Nonfiction",RIGHT(B499,LEN(B499)-5),
IF(AND(D499="Audiobook",
              NOT(OR(Contains($B499,"CD BIO"),Contains($B499,"CD FIC")))),RIGHT(B499,LEN(B499)-3),
IF(D499="Juvenile Biography",RIGHT(B499,LEN(B499)-2),
IF(D499="Teen Biography",RIGHT(B499,LEN(B499)-5),
IF(AND(D499="Audiobook",
              IFERROR(FIND("BIO",$B499)&gt;0,FALSE)),RIGHT(B499,LEN(B499)-3),
IF(D499="Juvenile Large Type","J "&amp;RIGHT(B499,LEN(B499)-11),
IF(D499="Teen Large Type","TEEN "&amp;RIGHT(B499,LEN(B499)-14),
IF(D499="Reference",RIGHT(B499,LEN(B499)-4),
IF(D499="DVD Educational",RIGHT(B499,LEN(B499)-7),
IF(D499="Juvenile DVD Educational",RIGHT(B499,LEN(B499)-9),
B499)))))))))))))))))</f>
        <v/>
      </c>
      <c r="N499" s="11" t="str">
        <f ca="1">IF(IFERROR(FIND("New",$A499)&gt;0,FALSE),"New ","") &amp; IF(IFERROR(FIND("In Lib",$A499)&gt;0,FALSE),"Reference ","") &amp;
IF(AND(D499="Audiobook",LEFT(B499,6)="CD BIO"),"Biography",
IF(AND(D499="Teen Audiobook",LEFT(B499,11)="TEEN CD BIO"),"Biography",
IF(AND(D499="Juvenile Audiobook",LEFT(B499,8)="J CD BIO"),"Biography",
IF(AND(D499="Audiobook",LEFT(B499,6)="CD FIC"),"Audiobook Fiction",
IF(AND(D499="Teen Audiobook",LEFT(B499,11)="TEEN CD FIC"),"Teen Audiobook",
IF(AND(D499="Juvenile Audiobook",LEFT(B499,8)="J CD FIC"),"Juvenile Audiobook",
IF(D499="Audiobook","Nonfiction",
IF(D499="Juvenile Audiobook","Nonfiction",
IF(D499="Teen Audiobook","Nonfiction",
IF(D499="Juvenile Nonfiction","Nonfiction",
IF(D499="Teen Nonfiction","Nonfiction",
IF(D499="Juvenile Biography","Biography",
IF(D499="Teen Biography","Biography",
IF(D499="ESL","Nonfiction",
IF(LEFT(B499,11)="INTL-VIE J ","International Juvenile",IF(LEFT(B499,11)="INTL-TAG J ","International Juvenile",IF(LEFT(B499,11)="INTL-RUS J ","International Juvenile",IF(LEFT(B499,11)="INTL-KOR J ","International Juvenile",IF(LEFT(B499,11)="INTL-JAP J ","International Juvenile",IF(LEFT(B499,11)="INTL-CHI J ","International Juvenile",IF(LEFT(B499,11)="INTL-SPA J ","International Juvenile",IF(LEFT(B499,14)="INTL-VIE TEEN ","International Teen",IF(LEFT(B499,14)="INTL-TAG TEEN ","International Teen",IF(LEFT(B499,14)="INTL-RUS TEEN ","International Teen",IF(LEFT(B499,14)="INTL-KOR TEEN ","International Teen",IF(LEFT(B499,14)="INTL-JAP TEEN ","International Teen",IF(LEFT(B499,14)="INTL-CHI TEEN ","International Teen",IF(LEFT(B499,14)="INTL-SPA TEEN ","International Teen",IF(LEFT(B499,11)="INTL-VIE E ","International Easy",IF(LEFT(B499,11)="INTL-TAG E ","International Easy",IF(LEFT(B499,11)="INTL-RUS E ","International Easy",IF(LEFT(B499,11)="INTL-JAP E ","International Easy",IF(LEFT(B499,11)="INTL-KOR E ","International Easy",IF(LEFT(B499,11)="INTL-CHI E ","International Easy",IF(LEFT(B499,11)="INTL-SPA E ","International Easy",
IF(D499="Teen Large Type","Teen Fiction",
IF(D499="Juvenile Large Type","Juvenile Fiction",
IF(LEFT(B499,6)="J CD O","Juvenile Compact Disc",
IF(AND(LEFT(B499,4)="TEEN",D499="Fiction"),"Teen Fiction",
IF(D499="DVD Educational","Nonfiction",
IF(D499="Juvenile DVD Educational","Nonfiction",
IF(D499="Reference","Nonfiction",
D499))))))))))))))))))))))))))))))))))))))))))</f>
        <v/>
      </c>
    </row>
    <row r="500" spans="1:14" ht="27" customHeight="1" x14ac:dyDescent="0.25">
      <c r="A500" s="10" t="str">
        <f ca="1">TEXT( INDIRECT( ADDRESS( ROW() + Row_Offset, INDIRECT( "Column_Number_" &amp; A$1), 4,1, tabname) ), "")</f>
        <v/>
      </c>
      <c r="B500" s="10" t="str">
        <f ca="1">TEXT(  IFERROR( VLOOKUP( $D500, CollName_Simplifier_Table[], 2, FALSE),"") &amp;
        INDIRECT( ADDRESS( ROW() + Row_Offset, INDIRECT( "Column_Number_" &amp; $B$1), 4,1, tabname) ), "")</f>
        <v/>
      </c>
      <c r="C500" s="10" t="str">
        <f ca="1">TEXT( INDIRECT( ADDRESS( ROW() + Row_Offset, INDIRECT( "Column_Number_" &amp; C$1), 4,1, tabname) ), "")</f>
        <v/>
      </c>
      <c r="D500" s="10" t="str">
        <f ca="1">TEXT( INDIRECT( ADDRESS( ROW() + Row_Offset, INDIRECT( "Column_Number_" &amp; D$1), 4,1, tabname) ), "")</f>
        <v/>
      </c>
      <c r="E500" s="10" t="str">
        <f ca="1">TEXT( INDIRECT( ADDRESS( ROW() + Row_Offset, INDIRECT( "Column_Number_" &amp; E$1), 4,1, tabname) ), "####")</f>
        <v/>
      </c>
      <c r="F500" s="15"/>
      <c r="G500" s="22" t="str">
        <f ca="1">IFERROR(INDEX(Rank_Table[],MATCH($D500&amp;$A500,Table4[Join],0)),"")</f>
        <v/>
      </c>
      <c r="H500" s="11" t="str">
        <f ca="1">IF(AND(D500="Juvenile Audiobook",LEFT(B500,8)="J CD BIO"),RIGHT(B500,LEN(B500)-9),
IF(AND(D500="Juvenile Audiobook",LEFT(B500,8)="J CD FIC"),B500,
IF(D500="Juvenile Audiobook",RIGHT(B500,LEN(B500)-5),
IF(AND(D500="Teen Audiobook",LEFT(B500,11)="TEEN CD BIO"),RIGHT(B500,LEN(B500)-12),
IF(AND(D500="Teen Audiobook",LEFT(B500,11)="TEEN CD FIC"),B500,
IF(D500="Juvenile Audiobook",RIGHT(B500,LEN(B500)-8),
IF(D500="Juvenile Nonfiction",RIGHT(B500,LEN(B500)-2),
IF(D500="Teen Nonfiction",RIGHT(B500,LEN(B500)-5),
IF(AND(D500="Audiobook",
              NOT(OR(Contains($B500,"CD BIO"),Contains($B500,"CD FIC")))),RIGHT(B500,LEN(B500)-3),
IF(D500="Juvenile Biography",RIGHT(B500,LEN(B500)-2),
IF(D500="Teen Biography",RIGHT(B500,LEN(B500)-5),
IF(AND(D500="Audiobook",
              IFERROR(FIND("BIO",$B500)&gt;0,FALSE)),RIGHT(B500,LEN(B500)-3),
IF(D500="Juvenile Large Type","J "&amp;RIGHT(B500,LEN(B500)-11),
IF(D500="Teen Large Type","TEEN "&amp;RIGHT(B500,LEN(B500)-14),
IF(D500="Reference",RIGHT(B500,LEN(B500)-4),
IF(D500="DVD Educational",RIGHT(B500,LEN(B500)-7),
IF(D500="Juvenile DVD Educational",RIGHT(B500,LEN(B500)-9),
B500)))))))))))))))))</f>
        <v/>
      </c>
      <c r="N500" s="11" t="str">
        <f ca="1">IF(IFERROR(FIND("New",$A500)&gt;0,FALSE),"New ","") &amp; IF(IFERROR(FIND("In Lib",$A500)&gt;0,FALSE),"Reference ","") &amp;
IF(AND(D500="Audiobook",LEFT(B500,6)="CD BIO"),"Biography",
IF(AND(D500="Teen Audiobook",LEFT(B500,11)="TEEN CD BIO"),"Biography",
IF(AND(D500="Juvenile Audiobook",LEFT(B500,8)="J CD BIO"),"Biography",
IF(AND(D500="Audiobook",LEFT(B500,6)="CD FIC"),"Audiobook Fiction",
IF(AND(D500="Teen Audiobook",LEFT(B500,11)="TEEN CD FIC"),"Teen Audiobook",
IF(AND(D500="Juvenile Audiobook",LEFT(B500,8)="J CD FIC"),"Juvenile Audiobook",
IF(D500="Audiobook","Nonfiction",
IF(D500="Juvenile Audiobook","Nonfiction",
IF(D500="Teen Audiobook","Nonfiction",
IF(D500="Juvenile Nonfiction","Nonfiction",
IF(D500="Teen Nonfiction","Nonfiction",
IF(D500="Juvenile Biography","Biography",
IF(D500="Teen Biography","Biography",
IF(D500="ESL","Nonfiction",
IF(LEFT(B500,11)="INTL-VIE J ","International Juvenile",IF(LEFT(B500,11)="INTL-TAG J ","International Juvenile",IF(LEFT(B500,11)="INTL-RUS J ","International Juvenile",IF(LEFT(B500,11)="INTL-KOR J ","International Juvenile",IF(LEFT(B500,11)="INTL-JAP J ","International Juvenile",IF(LEFT(B500,11)="INTL-CHI J ","International Juvenile",IF(LEFT(B500,11)="INTL-SPA J ","International Juvenile",IF(LEFT(B500,14)="INTL-VIE TEEN ","International Teen",IF(LEFT(B500,14)="INTL-TAG TEEN ","International Teen",IF(LEFT(B500,14)="INTL-RUS TEEN ","International Teen",IF(LEFT(B500,14)="INTL-KOR TEEN ","International Teen",IF(LEFT(B500,14)="INTL-JAP TEEN ","International Teen",IF(LEFT(B500,14)="INTL-CHI TEEN ","International Teen",IF(LEFT(B500,14)="INTL-SPA TEEN ","International Teen",IF(LEFT(B500,11)="INTL-VIE E ","International Easy",IF(LEFT(B500,11)="INTL-TAG E ","International Easy",IF(LEFT(B500,11)="INTL-RUS E ","International Easy",IF(LEFT(B500,11)="INTL-JAP E ","International Easy",IF(LEFT(B500,11)="INTL-KOR E ","International Easy",IF(LEFT(B500,11)="INTL-CHI E ","International Easy",IF(LEFT(B500,11)="INTL-SPA E ","International Easy",
IF(D500="Teen Large Type","Teen Fiction",
IF(D500="Juvenile Large Type","Juvenile Fiction",
IF(LEFT(B500,6)="J CD O","Juvenile Compact Disc",
IF(AND(LEFT(B500,4)="TEEN",D500="Fiction"),"Teen Fiction",
IF(D500="DVD Educational","Nonfiction",
IF(D500="Juvenile DVD Educational","Nonfiction",
IF(D500="Reference","Nonfiction",
D500))))))))))))))))))))))))))))))))))))))))))</f>
        <v/>
      </c>
    </row>
  </sheetData>
  <phoneticPr fontId="0" type="noConversion"/>
  <pageMargins left="0.25" right="0.25" top="0.25" bottom="0.65" header="0.25" footer="0.25"/>
  <pageSetup fitToHeight="0" orientation="portrait" r:id="rId1"/>
  <headerFooter alignWithMargins="0">
    <oddFooter xml:space="preserve">&amp;L&amp;D&amp;R Page &amp;P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ort">
                <anchor moveWithCells="1" sizeWithCells="1">
                  <from>
                    <xdr:col>8</xdr:col>
                    <xdr:colOff>45720</xdr:colOff>
                    <xdr:row>1</xdr:row>
                    <xdr:rowOff>38100</xdr:rowOff>
                  </from>
                  <to>
                    <xdr:col>10</xdr:col>
                    <xdr:colOff>289560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35"/>
  <sheetViews>
    <sheetView workbookViewId="0">
      <selection activeCell="A6" sqref="A6"/>
    </sheetView>
  </sheetViews>
  <sheetFormatPr defaultRowHeight="13.2" x14ac:dyDescent="0.25"/>
  <cols>
    <col min="1" max="1" width="8.109375" bestFit="1" customWidth="1"/>
    <col min="2" max="2" width="28" customWidth="1"/>
    <col min="3" max="3" width="12.6640625" customWidth="1"/>
    <col min="6" max="6" width="19.5546875" bestFit="1" customWidth="1"/>
    <col min="7" max="7" width="10.109375" bestFit="1" customWidth="1"/>
  </cols>
  <sheetData>
    <row r="1" spans="2:3" ht="15.6" thickBot="1" x14ac:dyDescent="0.3">
      <c r="B1" s="5" t="s">
        <v>4</v>
      </c>
      <c r="C1" s="13" t="s">
        <v>15</v>
      </c>
    </row>
    <row r="2" spans="2:3" ht="13.8" thickBot="1" x14ac:dyDescent="0.3"/>
    <row r="3" spans="2:3" ht="13.8" thickBot="1" x14ac:dyDescent="0.3">
      <c r="B3" s="18" t="s">
        <v>5</v>
      </c>
      <c r="C3" s="19"/>
    </row>
    <row r="4" spans="2:3" ht="27" thickBot="1" x14ac:dyDescent="0.3">
      <c r="B4" s="6" t="s">
        <v>6</v>
      </c>
      <c r="C4" s="14">
        <v>4</v>
      </c>
    </row>
    <row r="5" spans="2:3" x14ac:dyDescent="0.25">
      <c r="B5" s="1" t="s">
        <v>7</v>
      </c>
      <c r="C5" s="2">
        <f t="shared" ref="C5:C12" ca="1" si="0">MATCH("*" &amp; SUBSTITUTE($B5,"Column Number ","") &amp; "*",
OFFSET(INDIRECT( ADDRESS( 1, 1,,, tabname ) &amp; ":" &amp; ADDRESS( 1, 10 )), Row_Offset, 0),0)</f>
        <v>2</v>
      </c>
    </row>
    <row r="6" spans="2:3" x14ac:dyDescent="0.25">
      <c r="B6" s="1" t="s">
        <v>8</v>
      </c>
      <c r="C6" s="2">
        <f t="shared" ca="1" si="0"/>
        <v>3</v>
      </c>
    </row>
    <row r="7" spans="2:3" x14ac:dyDescent="0.25">
      <c r="B7" s="1" t="s">
        <v>9</v>
      </c>
      <c r="C7" s="2">
        <f t="shared" ca="1" si="0"/>
        <v>4</v>
      </c>
    </row>
    <row r="8" spans="2:3" x14ac:dyDescent="0.25">
      <c r="B8" s="1" t="s">
        <v>10</v>
      </c>
      <c r="C8" s="2">
        <f t="shared" ca="1" si="0"/>
        <v>6</v>
      </c>
    </row>
    <row r="9" spans="2:3" x14ac:dyDescent="0.25">
      <c r="B9" s="1" t="s">
        <v>11</v>
      </c>
      <c r="C9" s="2">
        <f ca="1">MATCH("*" &amp; SUBSTITUTE($B9,"Column Number ","") &amp; "*",
OFFSET(INDIRECT( ADDRESS( 1, 1,,, tabname ) &amp; ":" &amp; ADDRESS( 1, 10 )), Row_Offset, 0),0)</f>
        <v>1</v>
      </c>
    </row>
    <row r="10" spans="2:3" x14ac:dyDescent="0.25">
      <c r="B10" s="1" t="s">
        <v>12</v>
      </c>
      <c r="C10" s="2">
        <f t="shared" ca="1" si="0"/>
        <v>7</v>
      </c>
    </row>
    <row r="11" spans="2:3" x14ac:dyDescent="0.25">
      <c r="B11" s="1" t="s">
        <v>13</v>
      </c>
      <c r="C11" s="2">
        <f t="shared" ca="1" si="0"/>
        <v>5</v>
      </c>
    </row>
    <row r="12" spans="2:3" ht="13.8" thickBot="1" x14ac:dyDescent="0.3">
      <c r="B12" s="3" t="s">
        <v>14</v>
      </c>
      <c r="C12" s="4">
        <f t="shared" ca="1" si="0"/>
        <v>7</v>
      </c>
    </row>
    <row r="15" spans="2:3" ht="13.8" thickBot="1" x14ac:dyDescent="0.3">
      <c r="B15" s="17" t="s">
        <v>1</v>
      </c>
      <c r="C15" s="17" t="s">
        <v>16</v>
      </c>
    </row>
    <row r="16" spans="2:3" x14ac:dyDescent="0.25">
      <c r="B16" s="16" t="s">
        <v>17</v>
      </c>
      <c r="C16" s="16" t="s">
        <v>18</v>
      </c>
    </row>
    <row r="17" spans="2:3" x14ac:dyDescent="0.25">
      <c r="B17" s="16" t="s">
        <v>19</v>
      </c>
      <c r="C17" s="16" t="s">
        <v>20</v>
      </c>
    </row>
    <row r="18" spans="2:3" x14ac:dyDescent="0.25">
      <c r="B18" s="16" t="s">
        <v>21</v>
      </c>
      <c r="C18" s="16" t="s">
        <v>22</v>
      </c>
    </row>
    <row r="19" spans="2:3" x14ac:dyDescent="0.25">
      <c r="B19" s="16" t="s">
        <v>23</v>
      </c>
      <c r="C19" s="16" t="s">
        <v>24</v>
      </c>
    </row>
    <row r="20" spans="2:3" x14ac:dyDescent="0.25">
      <c r="B20" s="16" t="s">
        <v>25</v>
      </c>
      <c r="C20" s="16" t="s">
        <v>26</v>
      </c>
    </row>
    <row r="21" spans="2:3" x14ac:dyDescent="0.25">
      <c r="B21" s="16" t="s">
        <v>27</v>
      </c>
      <c r="C21" s="16" t="s">
        <v>28</v>
      </c>
    </row>
    <row r="22" spans="2:3" x14ac:dyDescent="0.25">
      <c r="B22" s="16" t="s">
        <v>29</v>
      </c>
      <c r="C22" s="16" t="s">
        <v>30</v>
      </c>
    </row>
    <row r="23" spans="2:3" x14ac:dyDescent="0.25">
      <c r="B23" s="16" t="s">
        <v>31</v>
      </c>
      <c r="C23" s="16" t="s">
        <v>32</v>
      </c>
    </row>
    <row r="24" spans="2:3" x14ac:dyDescent="0.25">
      <c r="B24" s="16" t="s">
        <v>33</v>
      </c>
      <c r="C24" s="16" t="s">
        <v>34</v>
      </c>
    </row>
    <row r="25" spans="2:3" x14ac:dyDescent="0.25">
      <c r="B25" s="16" t="s">
        <v>35</v>
      </c>
      <c r="C25" s="16" t="s">
        <v>36</v>
      </c>
    </row>
    <row r="26" spans="2:3" x14ac:dyDescent="0.25">
      <c r="B26" s="16" t="s">
        <v>37</v>
      </c>
      <c r="C26" s="16" t="s">
        <v>38</v>
      </c>
    </row>
    <row r="27" spans="2:3" x14ac:dyDescent="0.25">
      <c r="B27" s="16" t="s">
        <v>39</v>
      </c>
      <c r="C27" s="16" t="s">
        <v>24</v>
      </c>
    </row>
    <row r="28" spans="2:3" x14ac:dyDescent="0.25">
      <c r="B28" s="16" t="s">
        <v>40</v>
      </c>
      <c r="C28" s="16" t="s">
        <v>41</v>
      </c>
    </row>
    <row r="29" spans="2:3" x14ac:dyDescent="0.25">
      <c r="B29" s="16" t="s">
        <v>42</v>
      </c>
      <c r="C29" s="16" t="s">
        <v>43</v>
      </c>
    </row>
    <row r="30" spans="2:3" x14ac:dyDescent="0.25">
      <c r="B30" s="16" t="s">
        <v>44</v>
      </c>
      <c r="C30" s="16" t="s">
        <v>20</v>
      </c>
    </row>
    <row r="31" spans="2:3" x14ac:dyDescent="0.25">
      <c r="B31" s="16" t="s">
        <v>45</v>
      </c>
      <c r="C31" s="16" t="s">
        <v>28</v>
      </c>
    </row>
    <row r="32" spans="2:3" x14ac:dyDescent="0.25">
      <c r="B32" s="16" t="s">
        <v>46</v>
      </c>
      <c r="C32" s="16" t="s">
        <v>47</v>
      </c>
    </row>
    <row r="33" spans="2:3" x14ac:dyDescent="0.25">
      <c r="B33" s="16" t="s">
        <v>48</v>
      </c>
      <c r="C33" s="16" t="s">
        <v>49</v>
      </c>
    </row>
    <row r="34" spans="2:3" x14ac:dyDescent="0.25">
      <c r="B34" s="16" t="s">
        <v>50</v>
      </c>
      <c r="C34" s="16" t="s">
        <v>51</v>
      </c>
    </row>
    <row r="35" spans="2:3" x14ac:dyDescent="0.25">
      <c r="B35" s="16" t="s">
        <v>52</v>
      </c>
      <c r="C35" s="16" t="s">
        <v>53</v>
      </c>
    </row>
  </sheetData>
  <mergeCells count="1">
    <mergeCell ref="B3:C3"/>
  </mergeCell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87"/>
  <sheetViews>
    <sheetView workbookViewId="0">
      <selection activeCell="B16" sqref="B16"/>
    </sheetView>
  </sheetViews>
  <sheetFormatPr defaultRowHeight="13.2" x14ac:dyDescent="0.25"/>
  <cols>
    <col min="2" max="2" width="26.77734375" bestFit="1" customWidth="1"/>
    <col min="3" max="3" width="26.77734375" style="20" hidden="1" customWidth="1"/>
    <col min="4" max="4" width="18.77734375" style="20" hidden="1" customWidth="1"/>
    <col min="5" max="5" width="43" style="28" hidden="1" customWidth="1"/>
    <col min="6" max="6" width="16.88671875" style="20" bestFit="1" customWidth="1"/>
    <col min="9" max="9" width="5.44140625" bestFit="1" customWidth="1"/>
  </cols>
  <sheetData>
    <row r="1" spans="2:9" s="24" customFormat="1" ht="26.4" x14ac:dyDescent="0.25">
      <c r="B1" s="25" t="s">
        <v>1</v>
      </c>
      <c r="C1" s="23" t="s">
        <v>104</v>
      </c>
      <c r="D1" s="23" t="s">
        <v>105</v>
      </c>
      <c r="E1" s="23" t="s">
        <v>103</v>
      </c>
      <c r="F1" s="25" t="s">
        <v>54</v>
      </c>
      <c r="I1" s="23" t="s">
        <v>81</v>
      </c>
    </row>
    <row r="2" spans="2:9" x14ac:dyDescent="0.25">
      <c r="B2" s="27" t="s">
        <v>100</v>
      </c>
      <c r="C2" s="20" t="s">
        <v>143</v>
      </c>
      <c r="D2" s="20" t="s">
        <v>142</v>
      </c>
      <c r="E2" s="20" t="str">
        <f>Table4[[#This Row],[CollectionName]]&amp;Table4[[#This Row],[Location]]</f>
        <v>Teen Nonfiction</v>
      </c>
      <c r="F2" s="27" t="s">
        <v>102</v>
      </c>
      <c r="I2">
        <v>1</v>
      </c>
    </row>
    <row r="3" spans="2:9" x14ac:dyDescent="0.25">
      <c r="B3" s="27" t="s">
        <v>100</v>
      </c>
      <c r="C3" s="20" t="s">
        <v>143</v>
      </c>
      <c r="D3" s="20" t="s">
        <v>142</v>
      </c>
      <c r="E3" s="20" t="str">
        <f>Table4[[#This Row],[CollectionName]]&amp;Table4[[#This Row],[Location]]</f>
        <v>Teen NonfictionIn Library Use Only</v>
      </c>
      <c r="F3" s="27" t="s">
        <v>80</v>
      </c>
      <c r="I3">
        <v>2</v>
      </c>
    </row>
    <row r="4" spans="2:9" x14ac:dyDescent="0.25">
      <c r="B4" s="27" t="s">
        <v>98</v>
      </c>
      <c r="C4" s="20" t="s">
        <v>143</v>
      </c>
      <c r="D4" s="20" t="s">
        <v>145</v>
      </c>
      <c r="E4" s="20" t="str">
        <f>Table4[[#This Row],[CollectionName]]&amp;Table4[[#This Row],[Location]]</f>
        <v>Teen Explore</v>
      </c>
      <c r="F4" s="27" t="s">
        <v>102</v>
      </c>
      <c r="I4">
        <v>3</v>
      </c>
    </row>
    <row r="5" spans="2:9" x14ac:dyDescent="0.25">
      <c r="B5" s="27" t="s">
        <v>98</v>
      </c>
      <c r="C5" s="20" t="s">
        <v>143</v>
      </c>
      <c r="D5" s="20" t="s">
        <v>145</v>
      </c>
      <c r="E5" s="20" t="str">
        <f>Table4[[#This Row],[CollectionName]]&amp;Table4[[#This Row],[Location]]</f>
        <v>Teen ExploreIn Library Use Only</v>
      </c>
      <c r="F5" s="27" t="s">
        <v>80</v>
      </c>
      <c r="I5">
        <v>4</v>
      </c>
    </row>
    <row r="6" spans="2:9" x14ac:dyDescent="0.25">
      <c r="B6" s="27" t="s">
        <v>56</v>
      </c>
      <c r="C6" s="20" t="s">
        <v>56</v>
      </c>
      <c r="D6" s="20" t="s">
        <v>102</v>
      </c>
      <c r="E6" s="20" t="str">
        <f>Table4[[#This Row],[CollectionName]]&amp;Table4[[#This Row],[Location]]</f>
        <v>Nonfiction</v>
      </c>
      <c r="F6" s="27" t="s">
        <v>102</v>
      </c>
      <c r="I6">
        <v>5</v>
      </c>
    </row>
    <row r="7" spans="2:9" x14ac:dyDescent="0.25">
      <c r="B7" s="27" t="s">
        <v>56</v>
      </c>
      <c r="C7" s="20" t="s">
        <v>56</v>
      </c>
      <c r="D7" s="20" t="s">
        <v>102</v>
      </c>
      <c r="E7" s="20" t="str">
        <f>Table4[[#This Row],[CollectionName]]&amp;Table4[[#This Row],[Location]]</f>
        <v>NonfictionIn Library Use Only</v>
      </c>
      <c r="F7" s="27" t="s">
        <v>80</v>
      </c>
      <c r="I7">
        <v>6</v>
      </c>
    </row>
    <row r="8" spans="2:9" x14ac:dyDescent="0.25">
      <c r="B8" s="27" t="s">
        <v>93</v>
      </c>
      <c r="C8" s="20" t="s">
        <v>134</v>
      </c>
      <c r="D8" s="20" t="s">
        <v>142</v>
      </c>
      <c r="E8" s="20" t="str">
        <f>Table4[[#This Row],[CollectionName]]&amp;Table4[[#This Row],[Location]]</f>
        <v>Juvenile Nonfiction</v>
      </c>
      <c r="F8" s="27" t="s">
        <v>102</v>
      </c>
      <c r="I8">
        <v>7</v>
      </c>
    </row>
    <row r="9" spans="2:9" x14ac:dyDescent="0.25">
      <c r="B9" s="27" t="s">
        <v>93</v>
      </c>
      <c r="C9" s="20" t="s">
        <v>134</v>
      </c>
      <c r="D9" s="20" t="s">
        <v>142</v>
      </c>
      <c r="E9" s="20" t="str">
        <f>Table4[[#This Row],[CollectionName]]&amp;Table4[[#This Row],[Location]]</f>
        <v>Juvenile NonfictionIn Library Use Only</v>
      </c>
      <c r="F9" s="27" t="s">
        <v>80</v>
      </c>
      <c r="I9">
        <v>8</v>
      </c>
    </row>
    <row r="10" spans="2:9" x14ac:dyDescent="0.25">
      <c r="B10" s="27" t="s">
        <v>86</v>
      </c>
      <c r="C10" s="20" t="s">
        <v>106</v>
      </c>
      <c r="D10" s="20" t="s">
        <v>110</v>
      </c>
      <c r="E10" s="20" t="str">
        <f>Table4[[#This Row],[CollectionName]]&amp;Table4[[#This Row],[Location]]</f>
        <v>DVD Educational</v>
      </c>
      <c r="F10" s="27" t="s">
        <v>102</v>
      </c>
      <c r="I10">
        <v>9</v>
      </c>
    </row>
    <row r="11" spans="2:9" x14ac:dyDescent="0.25">
      <c r="B11" s="27" t="s">
        <v>86</v>
      </c>
      <c r="C11" s="20" t="s">
        <v>106</v>
      </c>
      <c r="D11" s="20" t="s">
        <v>110</v>
      </c>
      <c r="E11" s="20" t="str">
        <f>Table4[[#This Row],[CollectionName]]&amp;Table4[[#This Row],[Location]]</f>
        <v>DVD EducationalIn Library Use Only</v>
      </c>
      <c r="F11" s="27" t="s">
        <v>80</v>
      </c>
      <c r="I11">
        <v>10</v>
      </c>
    </row>
    <row r="12" spans="2:9" x14ac:dyDescent="0.25">
      <c r="B12" s="27" t="s">
        <v>96</v>
      </c>
      <c r="C12" s="20" t="s">
        <v>143</v>
      </c>
      <c r="D12" s="20" t="s">
        <v>135</v>
      </c>
      <c r="E12" s="20" t="str">
        <f>Table4[[#This Row],[CollectionName]]&amp;Table4[[#This Row],[Location]]</f>
        <v>Teen Biography</v>
      </c>
      <c r="F12" s="27" t="s">
        <v>102</v>
      </c>
      <c r="I12">
        <v>11</v>
      </c>
    </row>
    <row r="13" spans="2:9" x14ac:dyDescent="0.25">
      <c r="B13" s="27" t="s">
        <v>96</v>
      </c>
      <c r="C13" s="20" t="s">
        <v>143</v>
      </c>
      <c r="D13" s="20" t="s">
        <v>135</v>
      </c>
      <c r="E13" s="20" t="str">
        <f>Table4[[#This Row],[CollectionName]]&amp;Table4[[#This Row],[Location]]</f>
        <v>Teen BiographyIn Library Use Only</v>
      </c>
      <c r="F13" s="27" t="s">
        <v>80</v>
      </c>
      <c r="I13">
        <v>12</v>
      </c>
    </row>
    <row r="14" spans="2:9" x14ac:dyDescent="0.25">
      <c r="B14" s="27" t="s">
        <v>89</v>
      </c>
      <c r="C14" s="20" t="s">
        <v>134</v>
      </c>
      <c r="D14" s="20" t="s">
        <v>135</v>
      </c>
      <c r="E14" s="20" t="str">
        <f>Table4[[#This Row],[CollectionName]]&amp;Table4[[#This Row],[Location]]</f>
        <v>Juvenile Biography</v>
      </c>
      <c r="F14" s="27" t="s">
        <v>102</v>
      </c>
      <c r="I14">
        <v>13</v>
      </c>
    </row>
    <row r="15" spans="2:9" x14ac:dyDescent="0.25">
      <c r="B15" s="27" t="s">
        <v>89</v>
      </c>
      <c r="C15" s="20" t="s">
        <v>134</v>
      </c>
      <c r="D15" s="20" t="s">
        <v>135</v>
      </c>
      <c r="E15" s="20" t="str">
        <f>Table4[[#This Row],[CollectionName]]&amp;Table4[[#This Row],[Location]]</f>
        <v>Juvenile BiographyIn Library Use Only</v>
      </c>
      <c r="F15" s="27" t="s">
        <v>80</v>
      </c>
      <c r="I15">
        <v>14</v>
      </c>
    </row>
    <row r="16" spans="2:9" x14ac:dyDescent="0.25">
      <c r="B16" s="27" t="s">
        <v>57</v>
      </c>
      <c r="C16" s="20" t="s">
        <v>57</v>
      </c>
      <c r="D16" s="20" t="s">
        <v>102</v>
      </c>
      <c r="E16" s="20" t="str">
        <f>Table4[[#This Row],[CollectionName]]&amp;Table4[[#This Row],[Location]]</f>
        <v>Biography</v>
      </c>
      <c r="F16" s="27" t="s">
        <v>102</v>
      </c>
      <c r="I16">
        <v>15</v>
      </c>
    </row>
    <row r="17" spans="2:9" x14ac:dyDescent="0.25">
      <c r="B17" s="27" t="s">
        <v>57</v>
      </c>
      <c r="C17" s="20" t="s">
        <v>57</v>
      </c>
      <c r="D17" s="20" t="s">
        <v>102</v>
      </c>
      <c r="E17" s="20" t="str">
        <f>Table4[[#This Row],[CollectionName]]&amp;Table4[[#This Row],[Location]]</f>
        <v>BiographyIn Library Use Only</v>
      </c>
      <c r="F17" s="27" t="s">
        <v>80</v>
      </c>
      <c r="I17">
        <v>16</v>
      </c>
    </row>
    <row r="18" spans="2:9" x14ac:dyDescent="0.25">
      <c r="B18" s="27" t="s">
        <v>58</v>
      </c>
      <c r="C18" s="20" t="s">
        <v>143</v>
      </c>
      <c r="D18" s="20" t="s">
        <v>122</v>
      </c>
      <c r="E18" s="20" t="str">
        <f>Table4[[#This Row],[CollectionName]]&amp;Table4[[#This Row],[Location]]</f>
        <v>Teen Audiobook</v>
      </c>
      <c r="F18" s="27" t="s">
        <v>102</v>
      </c>
      <c r="I18">
        <v>17</v>
      </c>
    </row>
    <row r="19" spans="2:9" x14ac:dyDescent="0.25">
      <c r="B19" s="27" t="s">
        <v>58</v>
      </c>
      <c r="C19" s="20" t="s">
        <v>143</v>
      </c>
      <c r="D19" s="20" t="s">
        <v>122</v>
      </c>
      <c r="E19" s="20" t="str">
        <f>Table4[[#This Row],[CollectionName]]&amp;Table4[[#This Row],[Location]]</f>
        <v>Teen AudiobookIn Library Use Only</v>
      </c>
      <c r="F19" s="27" t="s">
        <v>80</v>
      </c>
      <c r="I19">
        <v>18</v>
      </c>
    </row>
    <row r="20" spans="2:9" x14ac:dyDescent="0.25">
      <c r="B20" s="27" t="s">
        <v>101</v>
      </c>
      <c r="C20" s="20" t="s">
        <v>143</v>
      </c>
      <c r="D20" s="20" t="s">
        <v>147</v>
      </c>
      <c r="E20" s="20" t="str">
        <f>Table4[[#This Row],[CollectionName]]&amp;Table4[[#This Row],[Location]]</f>
        <v>Teen Paperbacks</v>
      </c>
      <c r="F20" s="27" t="s">
        <v>102</v>
      </c>
      <c r="I20">
        <v>19</v>
      </c>
    </row>
    <row r="21" spans="2:9" x14ac:dyDescent="0.25">
      <c r="B21" s="27" t="s">
        <v>101</v>
      </c>
      <c r="C21" s="20" t="s">
        <v>143</v>
      </c>
      <c r="D21" s="20" t="s">
        <v>147</v>
      </c>
      <c r="E21" s="20" t="str">
        <f>Table4[[#This Row],[CollectionName]]&amp;Table4[[#This Row],[Location]]</f>
        <v>Teen PaperbacksNew Books</v>
      </c>
      <c r="F21" s="27" t="s">
        <v>79</v>
      </c>
      <c r="I21">
        <v>20</v>
      </c>
    </row>
    <row r="22" spans="2:9" x14ac:dyDescent="0.25">
      <c r="B22" s="27" t="s">
        <v>101</v>
      </c>
      <c r="C22" s="20" t="s">
        <v>143</v>
      </c>
      <c r="D22" s="20" t="s">
        <v>147</v>
      </c>
      <c r="E22" s="20" t="str">
        <f>Table4[[#This Row],[CollectionName]]&amp;Table4[[#This Row],[Location]]</f>
        <v>Teen PaperbacksIn Library Use Only</v>
      </c>
      <c r="F22" s="27" t="s">
        <v>80</v>
      </c>
      <c r="I22">
        <v>21</v>
      </c>
    </row>
    <row r="23" spans="2:9" x14ac:dyDescent="0.25">
      <c r="B23" s="27" t="s">
        <v>59</v>
      </c>
      <c r="C23" s="20" t="s">
        <v>143</v>
      </c>
      <c r="D23" s="20" t="s">
        <v>139</v>
      </c>
      <c r="E23" s="20" t="str">
        <f>Table4[[#This Row],[CollectionName]]&amp;Table4[[#This Row],[Location]]</f>
        <v>Teen Fiction</v>
      </c>
      <c r="F23" s="27" t="s">
        <v>102</v>
      </c>
      <c r="I23">
        <v>22</v>
      </c>
    </row>
    <row r="24" spans="2:9" x14ac:dyDescent="0.25">
      <c r="B24" s="27" t="s">
        <v>59</v>
      </c>
      <c r="C24" s="20" t="s">
        <v>143</v>
      </c>
      <c r="D24" s="20" t="s">
        <v>139</v>
      </c>
      <c r="E24" s="20" t="str">
        <f>Table4[[#This Row],[CollectionName]]&amp;Table4[[#This Row],[Location]]</f>
        <v>Teen FictionNew Books</v>
      </c>
      <c r="F24" s="27" t="s">
        <v>79</v>
      </c>
      <c r="I24">
        <v>23</v>
      </c>
    </row>
    <row r="25" spans="2:9" x14ac:dyDescent="0.25">
      <c r="B25" s="27" t="s">
        <v>59</v>
      </c>
      <c r="C25" s="20" t="s">
        <v>143</v>
      </c>
      <c r="D25" s="20" t="s">
        <v>139</v>
      </c>
      <c r="E25" s="20" t="str">
        <f>Table4[[#This Row],[CollectionName]]&amp;Table4[[#This Row],[Location]]</f>
        <v>Teen FictionIn Library Use Only</v>
      </c>
      <c r="F25" s="27" t="s">
        <v>80</v>
      </c>
      <c r="I25">
        <v>24</v>
      </c>
    </row>
    <row r="26" spans="2:9" x14ac:dyDescent="0.25">
      <c r="B26" s="27" t="s">
        <v>97</v>
      </c>
      <c r="C26" s="20" t="s">
        <v>143</v>
      </c>
      <c r="D26" s="20" t="s">
        <v>144</v>
      </c>
      <c r="E26" s="20" t="str">
        <f>Table4[[#This Row],[CollectionName]]&amp;Table4[[#This Row],[Location]]</f>
        <v>Teen Classics Paperbacks</v>
      </c>
      <c r="F26" s="27" t="s">
        <v>102</v>
      </c>
      <c r="I26">
        <v>25</v>
      </c>
    </row>
    <row r="27" spans="2:9" x14ac:dyDescent="0.25">
      <c r="B27" s="27" t="s">
        <v>97</v>
      </c>
      <c r="C27" s="20" t="s">
        <v>143</v>
      </c>
      <c r="D27" s="20" t="s">
        <v>144</v>
      </c>
      <c r="E27" s="20" t="str">
        <f>Table4[[#This Row],[CollectionName]]&amp;Table4[[#This Row],[Location]]</f>
        <v>Teen Classics PaperbacksNew Books</v>
      </c>
      <c r="F27" s="27" t="s">
        <v>79</v>
      </c>
      <c r="I27">
        <v>26</v>
      </c>
    </row>
    <row r="28" spans="2:9" x14ac:dyDescent="0.25">
      <c r="B28" s="27" t="s">
        <v>97</v>
      </c>
      <c r="C28" s="20" t="s">
        <v>143</v>
      </c>
      <c r="D28" s="20" t="s">
        <v>144</v>
      </c>
      <c r="E28" s="20" t="str">
        <f>Table4[[#This Row],[CollectionName]]&amp;Table4[[#This Row],[Location]]</f>
        <v>Teen Classics PaperbacksIn Library Use Only</v>
      </c>
      <c r="F28" s="27" t="s">
        <v>80</v>
      </c>
      <c r="I28">
        <v>27</v>
      </c>
    </row>
    <row r="29" spans="2:9" x14ac:dyDescent="0.25">
      <c r="B29" s="27" t="s">
        <v>25</v>
      </c>
      <c r="C29" s="20" t="s">
        <v>25</v>
      </c>
      <c r="D29" s="20" t="s">
        <v>102</v>
      </c>
      <c r="E29" s="20" t="str">
        <f>Table4[[#This Row],[CollectionName]]&amp;Table4[[#This Row],[Location]]</f>
        <v>Graphic Novel</v>
      </c>
      <c r="F29" s="27" t="s">
        <v>102</v>
      </c>
      <c r="I29">
        <v>28</v>
      </c>
    </row>
    <row r="30" spans="2:9" x14ac:dyDescent="0.25">
      <c r="B30" s="27" t="s">
        <v>25</v>
      </c>
      <c r="C30" s="20" t="s">
        <v>25</v>
      </c>
      <c r="D30" s="20" t="s">
        <v>102</v>
      </c>
      <c r="E30" s="20" t="str">
        <f>Table4[[#This Row],[CollectionName]]&amp;Table4[[#This Row],[Location]]</f>
        <v>Graphic NovelIn Library Use Only</v>
      </c>
      <c r="F30" s="27" t="s">
        <v>80</v>
      </c>
      <c r="I30">
        <v>29</v>
      </c>
    </row>
    <row r="31" spans="2:9" x14ac:dyDescent="0.25">
      <c r="B31" s="27" t="s">
        <v>99</v>
      </c>
      <c r="C31" s="20" t="s">
        <v>143</v>
      </c>
      <c r="D31" s="20" t="s">
        <v>140</v>
      </c>
      <c r="E31" s="20" t="str">
        <f>Table4[[#This Row],[CollectionName]]&amp;Table4[[#This Row],[Location]]</f>
        <v>Teen Large Type</v>
      </c>
      <c r="F31" s="27" t="s">
        <v>102</v>
      </c>
      <c r="I31">
        <v>30</v>
      </c>
    </row>
    <row r="32" spans="2:9" x14ac:dyDescent="0.25">
      <c r="B32" s="27" t="s">
        <v>99</v>
      </c>
      <c r="C32" s="20" t="s">
        <v>143</v>
      </c>
      <c r="D32" s="20" t="s">
        <v>140</v>
      </c>
      <c r="E32" s="20" t="str">
        <f>Table4[[#This Row],[CollectionName]]&amp;Table4[[#This Row],[Location]]</f>
        <v>Teen Large TypeIn Library Use Only</v>
      </c>
      <c r="F32" s="27" t="s">
        <v>80</v>
      </c>
      <c r="I32">
        <v>31</v>
      </c>
    </row>
    <row r="33" spans="2:9" x14ac:dyDescent="0.25">
      <c r="B33" s="27" t="s">
        <v>60</v>
      </c>
      <c r="C33" s="20" t="s">
        <v>60</v>
      </c>
      <c r="D33" s="20" t="s">
        <v>102</v>
      </c>
      <c r="E33" s="20" t="str">
        <f>Table4[[#This Row],[CollectionName]]&amp;Table4[[#This Row],[Location]]</f>
        <v>Large Type</v>
      </c>
      <c r="F33" s="27" t="s">
        <v>102</v>
      </c>
      <c r="I33">
        <v>32</v>
      </c>
    </row>
    <row r="34" spans="2:9" x14ac:dyDescent="0.25">
      <c r="B34" s="27" t="s">
        <v>60</v>
      </c>
      <c r="C34" s="20" t="s">
        <v>60</v>
      </c>
      <c r="D34" s="20" t="s">
        <v>102</v>
      </c>
      <c r="E34" s="20" t="str">
        <f>Table4[[#This Row],[CollectionName]]&amp;Table4[[#This Row],[Location]]</f>
        <v>Large TypeIn Library Use Only</v>
      </c>
      <c r="F34" s="27" t="s">
        <v>80</v>
      </c>
      <c r="I34">
        <v>33</v>
      </c>
    </row>
    <row r="35" spans="2:9" x14ac:dyDescent="0.25">
      <c r="B35" s="27" t="s">
        <v>91</v>
      </c>
      <c r="C35" s="20" t="s">
        <v>134</v>
      </c>
      <c r="D35" s="20" t="s">
        <v>140</v>
      </c>
      <c r="E35" s="20" t="str">
        <f>Table4[[#This Row],[CollectionName]]&amp;Table4[[#This Row],[Location]]</f>
        <v>Juvenile Large Type</v>
      </c>
      <c r="F35" s="27" t="s">
        <v>102</v>
      </c>
      <c r="I35">
        <v>34</v>
      </c>
    </row>
    <row r="36" spans="2:9" x14ac:dyDescent="0.25">
      <c r="B36" s="27" t="s">
        <v>91</v>
      </c>
      <c r="C36" s="20" t="s">
        <v>134</v>
      </c>
      <c r="D36" s="20" t="s">
        <v>140</v>
      </c>
      <c r="E36" s="20" t="str">
        <f>Table4[[#This Row],[CollectionName]]&amp;Table4[[#This Row],[Location]]</f>
        <v>Juvenile Large TypeIn Library Use Only</v>
      </c>
      <c r="F36" s="27" t="s">
        <v>80</v>
      </c>
      <c r="I36">
        <v>35</v>
      </c>
    </row>
    <row r="37" spans="2:9" x14ac:dyDescent="0.25">
      <c r="B37" s="27" t="s">
        <v>61</v>
      </c>
      <c r="C37" s="20" t="s">
        <v>61</v>
      </c>
      <c r="D37" s="20" t="s">
        <v>102</v>
      </c>
      <c r="E37" s="20" t="str">
        <f>Table4[[#This Row],[CollectionName]]&amp;Table4[[#This Row],[Location]]</f>
        <v>Fiction</v>
      </c>
      <c r="F37" s="27" t="s">
        <v>102</v>
      </c>
      <c r="I37">
        <v>36</v>
      </c>
    </row>
    <row r="38" spans="2:9" x14ac:dyDescent="0.25">
      <c r="B38" s="27" t="s">
        <v>61</v>
      </c>
      <c r="C38" s="20" t="s">
        <v>61</v>
      </c>
      <c r="D38" s="20" t="s">
        <v>102</v>
      </c>
      <c r="E38" s="20" t="str">
        <f>Table4[[#This Row],[CollectionName]]&amp;Table4[[#This Row],[Location]]</f>
        <v>FictionIn Library Use Only</v>
      </c>
      <c r="F38" s="27" t="s">
        <v>80</v>
      </c>
      <c r="I38">
        <v>37</v>
      </c>
    </row>
    <row r="39" spans="2:9" x14ac:dyDescent="0.25">
      <c r="B39" s="27" t="s">
        <v>27</v>
      </c>
      <c r="C39" s="20" t="s">
        <v>61</v>
      </c>
      <c r="D39" s="20" t="s">
        <v>125</v>
      </c>
      <c r="E39" s="20" t="str">
        <f>Table4[[#This Row],[CollectionName]]&amp;Table4[[#This Row],[Location]]</f>
        <v>Fiction Sci Fi</v>
      </c>
      <c r="F39" s="27" t="s">
        <v>102</v>
      </c>
      <c r="I39">
        <v>38</v>
      </c>
    </row>
    <row r="40" spans="2:9" x14ac:dyDescent="0.25">
      <c r="B40" s="27" t="s">
        <v>27</v>
      </c>
      <c r="C40" s="20" t="s">
        <v>61</v>
      </c>
      <c r="D40" s="20" t="s">
        <v>125</v>
      </c>
      <c r="E40" s="20" t="str">
        <f>Table4[[#This Row],[CollectionName]]&amp;Table4[[#This Row],[Location]]</f>
        <v>Fiction Sci FiIn Library Use Only</v>
      </c>
      <c r="F40" s="27" t="s">
        <v>80</v>
      </c>
      <c r="I40">
        <v>39</v>
      </c>
    </row>
    <row r="41" spans="2:9" x14ac:dyDescent="0.25">
      <c r="B41" s="27" t="s">
        <v>23</v>
      </c>
      <c r="C41" s="20" t="s">
        <v>61</v>
      </c>
      <c r="D41" s="20" t="s">
        <v>112</v>
      </c>
      <c r="E41" s="20" t="str">
        <f>Table4[[#This Row],[CollectionName]]&amp;Table4[[#This Row],[Location]]</f>
        <v>Fiction Fantasy</v>
      </c>
      <c r="F41" s="27" t="s">
        <v>102</v>
      </c>
      <c r="I41">
        <v>40</v>
      </c>
    </row>
    <row r="42" spans="2:9" x14ac:dyDescent="0.25">
      <c r="B42" s="27" t="s">
        <v>23</v>
      </c>
      <c r="C42" s="20" t="s">
        <v>61</v>
      </c>
      <c r="D42" s="20" t="s">
        <v>112</v>
      </c>
      <c r="E42" s="20" t="str">
        <f>Table4[[#This Row],[CollectionName]]&amp;Table4[[#This Row],[Location]]</f>
        <v>Fiction FantasyIn Library Use Only</v>
      </c>
      <c r="F42" s="27" t="s">
        <v>80</v>
      </c>
      <c r="I42">
        <v>41</v>
      </c>
    </row>
    <row r="43" spans="2:9" x14ac:dyDescent="0.25">
      <c r="B43" s="27" t="s">
        <v>19</v>
      </c>
      <c r="C43" s="20" t="s">
        <v>61</v>
      </c>
      <c r="D43" s="20" t="s">
        <v>116</v>
      </c>
      <c r="E43" s="20" t="str">
        <f>Table4[[#This Row],[CollectionName]]&amp;Table4[[#This Row],[Location]]</f>
        <v>Fiction Mystery</v>
      </c>
      <c r="F43" s="27" t="s">
        <v>102</v>
      </c>
      <c r="I43">
        <v>42</v>
      </c>
    </row>
    <row r="44" spans="2:9" x14ac:dyDescent="0.25">
      <c r="B44" s="27" t="s">
        <v>19</v>
      </c>
      <c r="C44" s="20" t="s">
        <v>61</v>
      </c>
      <c r="D44" s="20" t="s">
        <v>116</v>
      </c>
      <c r="E44" s="20" t="str">
        <f>Table4[[#This Row],[CollectionName]]&amp;Table4[[#This Row],[Location]]</f>
        <v>Fiction MysteryIn Library Use Only</v>
      </c>
      <c r="F44" s="27" t="s">
        <v>80</v>
      </c>
      <c r="I44">
        <v>43</v>
      </c>
    </row>
    <row r="45" spans="2:9" x14ac:dyDescent="0.25">
      <c r="B45" s="26" t="s">
        <v>82</v>
      </c>
      <c r="C45" s="20" t="s">
        <v>82</v>
      </c>
      <c r="D45" s="21" t="s">
        <v>102</v>
      </c>
      <c r="E45" s="21" t="str">
        <f>Table4[[#This Row],[CollectionName]]&amp;Table4[[#This Row],[Location]]</f>
        <v>Audiobook</v>
      </c>
      <c r="F45" s="26" t="s">
        <v>102</v>
      </c>
      <c r="I45">
        <v>44</v>
      </c>
    </row>
    <row r="46" spans="2:9" x14ac:dyDescent="0.25">
      <c r="B46" s="26" t="s">
        <v>82</v>
      </c>
      <c r="C46" s="20" t="s">
        <v>82</v>
      </c>
      <c r="D46" s="21" t="s">
        <v>102</v>
      </c>
      <c r="E46" s="21" t="str">
        <f>Table4[[#This Row],[CollectionName]]&amp;Table4[[#This Row],[Location]]</f>
        <v>AudiobookIn Library Use Only</v>
      </c>
      <c r="F46" s="26" t="s">
        <v>80</v>
      </c>
      <c r="I46">
        <v>45</v>
      </c>
    </row>
    <row r="47" spans="2:9" x14ac:dyDescent="0.25">
      <c r="B47" s="27" t="s">
        <v>62</v>
      </c>
      <c r="C47" s="20" t="s">
        <v>134</v>
      </c>
      <c r="D47" s="20" t="s">
        <v>139</v>
      </c>
      <c r="E47" s="20" t="str">
        <f>Table4[[#This Row],[CollectionName]]&amp;Table4[[#This Row],[Location]]</f>
        <v>Juvenile Fiction</v>
      </c>
      <c r="F47" s="27" t="s">
        <v>102</v>
      </c>
      <c r="I47">
        <v>46</v>
      </c>
    </row>
    <row r="48" spans="2:9" x14ac:dyDescent="0.25">
      <c r="B48" s="27" t="s">
        <v>62</v>
      </c>
      <c r="C48" s="20" t="s">
        <v>134</v>
      </c>
      <c r="D48" s="20" t="s">
        <v>139</v>
      </c>
      <c r="E48" s="20" t="str">
        <f>Table4[[#This Row],[CollectionName]]&amp;Table4[[#This Row],[Location]]</f>
        <v>Juvenile FictionIn Library Use Only</v>
      </c>
      <c r="F48" s="27" t="s">
        <v>80</v>
      </c>
      <c r="I48">
        <v>47</v>
      </c>
    </row>
    <row r="49" spans="2:9" x14ac:dyDescent="0.25">
      <c r="B49" s="27" t="s">
        <v>77</v>
      </c>
      <c r="C49" s="20" t="s">
        <v>134</v>
      </c>
      <c r="D49" s="20" t="s">
        <v>122</v>
      </c>
      <c r="E49" s="20" t="str">
        <f>Table4[[#This Row],[CollectionName]]&amp;Table4[[#This Row],[Location]]</f>
        <v>Juvenile Audiobook</v>
      </c>
      <c r="F49" s="27" t="s">
        <v>102</v>
      </c>
      <c r="I49">
        <v>48</v>
      </c>
    </row>
    <row r="50" spans="2:9" x14ac:dyDescent="0.25">
      <c r="B50" s="27" t="s">
        <v>77</v>
      </c>
      <c r="C50" s="20" t="s">
        <v>134</v>
      </c>
      <c r="D50" s="20" t="s">
        <v>122</v>
      </c>
      <c r="E50" s="20" t="str">
        <f>Table4[[#This Row],[CollectionName]]&amp;Table4[[#This Row],[Location]]</f>
        <v>Juvenile AudiobookIn Library Use Only</v>
      </c>
      <c r="F50" s="27" t="s">
        <v>80</v>
      </c>
      <c r="I50">
        <v>49</v>
      </c>
    </row>
    <row r="51" spans="2:9" x14ac:dyDescent="0.25">
      <c r="B51" s="27" t="s">
        <v>90</v>
      </c>
      <c r="C51" s="20" t="s">
        <v>134</v>
      </c>
      <c r="D51" s="20" t="s">
        <v>138</v>
      </c>
      <c r="E51" s="20" t="str">
        <f>Table4[[#This Row],[CollectionName]]&amp;Table4[[#This Row],[Location]]</f>
        <v>Juvenile DVD Educational</v>
      </c>
      <c r="F51" s="27" t="s">
        <v>102</v>
      </c>
      <c r="I51">
        <v>50</v>
      </c>
    </row>
    <row r="52" spans="2:9" x14ac:dyDescent="0.25">
      <c r="B52" s="27" t="s">
        <v>90</v>
      </c>
      <c r="C52" s="20" t="s">
        <v>134</v>
      </c>
      <c r="D52" s="20" t="s">
        <v>138</v>
      </c>
      <c r="E52" s="20" t="str">
        <f>Table4[[#This Row],[CollectionName]]&amp;Table4[[#This Row],[Location]]</f>
        <v>Juvenile DVD EducationalIn Library Use Only</v>
      </c>
      <c r="F52" s="27" t="s">
        <v>80</v>
      </c>
      <c r="I52">
        <v>51</v>
      </c>
    </row>
    <row r="53" spans="2:9" x14ac:dyDescent="0.25">
      <c r="B53" s="27" t="s">
        <v>63</v>
      </c>
      <c r="C53" s="20" t="s">
        <v>134</v>
      </c>
      <c r="D53" s="20" t="s">
        <v>137</v>
      </c>
      <c r="E53" s="20" t="str">
        <f>Table4[[#This Row],[CollectionName]]&amp;Table4[[#This Row],[Location]]</f>
        <v>Juvenile DVD</v>
      </c>
      <c r="F53" s="27" t="s">
        <v>102</v>
      </c>
      <c r="I53">
        <v>52</v>
      </c>
    </row>
    <row r="54" spans="2:9" x14ac:dyDescent="0.25">
      <c r="B54" s="27" t="s">
        <v>63</v>
      </c>
      <c r="C54" s="20" t="s">
        <v>134</v>
      </c>
      <c r="D54" s="20" t="s">
        <v>137</v>
      </c>
      <c r="E54" s="20" t="str">
        <f>Table4[[#This Row],[CollectionName]]&amp;Table4[[#This Row],[Location]]</f>
        <v>Juvenile DVDIn Library Use Only</v>
      </c>
      <c r="F54" s="27" t="s">
        <v>80</v>
      </c>
      <c r="I54">
        <v>53</v>
      </c>
    </row>
    <row r="55" spans="2:9" x14ac:dyDescent="0.25">
      <c r="B55" s="27" t="s">
        <v>64</v>
      </c>
      <c r="C55" s="20" t="s">
        <v>134</v>
      </c>
      <c r="D55" s="20" t="s">
        <v>136</v>
      </c>
      <c r="E55" s="20" t="str">
        <f>Table4[[#This Row],[CollectionName]]&amp;Table4[[#This Row],[Location]]</f>
        <v>Juvenile Compact Disc</v>
      </c>
      <c r="F55" s="27" t="s">
        <v>102</v>
      </c>
      <c r="I55">
        <v>54</v>
      </c>
    </row>
    <row r="56" spans="2:9" x14ac:dyDescent="0.25">
      <c r="B56" s="27" t="s">
        <v>64</v>
      </c>
      <c r="C56" s="20" t="s">
        <v>134</v>
      </c>
      <c r="D56" s="20" t="s">
        <v>136</v>
      </c>
      <c r="E56" s="20" t="str">
        <f>Table4[[#This Row],[CollectionName]]&amp;Table4[[#This Row],[Location]]</f>
        <v>Juvenile Compact DiscIn Library Use Only</v>
      </c>
      <c r="F56" s="27" t="s">
        <v>80</v>
      </c>
      <c r="I56">
        <v>55</v>
      </c>
    </row>
    <row r="57" spans="2:9" x14ac:dyDescent="0.25">
      <c r="B57" s="27" t="s">
        <v>65</v>
      </c>
      <c r="C57" s="20" t="s">
        <v>66</v>
      </c>
      <c r="D57" s="20" t="s">
        <v>123</v>
      </c>
      <c r="E57" s="20" t="str">
        <f>Table4[[#This Row],[CollectionName]]&amp;Table4[[#This Row],[Location]]</f>
        <v>Easy Countdown</v>
      </c>
      <c r="F57" s="27" t="s">
        <v>102</v>
      </c>
      <c r="I57">
        <v>56</v>
      </c>
    </row>
    <row r="58" spans="2:9" x14ac:dyDescent="0.25">
      <c r="B58" s="27" t="s">
        <v>65</v>
      </c>
      <c r="C58" s="20" t="s">
        <v>66</v>
      </c>
      <c r="D58" s="20" t="s">
        <v>123</v>
      </c>
      <c r="E58" s="20" t="str">
        <f>Table4[[#This Row],[CollectionName]]&amp;Table4[[#This Row],[Location]]</f>
        <v>Easy CountdownIn Library Use Only</v>
      </c>
      <c r="F58" s="27" t="s">
        <v>80</v>
      </c>
      <c r="I58">
        <v>57</v>
      </c>
    </row>
    <row r="59" spans="2:9" x14ac:dyDescent="0.25">
      <c r="B59" s="27" t="s">
        <v>66</v>
      </c>
      <c r="C59" s="20" t="s">
        <v>66</v>
      </c>
      <c r="D59" s="20" t="s">
        <v>102</v>
      </c>
      <c r="E59" s="20" t="str">
        <f>Table4[[#This Row],[CollectionName]]&amp;Table4[[#This Row],[Location]]</f>
        <v>Easy</v>
      </c>
      <c r="F59" s="27" t="s">
        <v>102</v>
      </c>
      <c r="I59">
        <v>58</v>
      </c>
    </row>
    <row r="60" spans="2:9" x14ac:dyDescent="0.25">
      <c r="B60" s="27" t="s">
        <v>66</v>
      </c>
      <c r="C60" s="20" t="s">
        <v>66</v>
      </c>
      <c r="D60" s="20" t="s">
        <v>102</v>
      </c>
      <c r="E60" s="20" t="str">
        <f>Table4[[#This Row],[CollectionName]]&amp;Table4[[#This Row],[Location]]</f>
        <v>EasyIn Library Use Only</v>
      </c>
      <c r="F60" s="27" t="s">
        <v>80</v>
      </c>
      <c r="I60">
        <v>59</v>
      </c>
    </row>
    <row r="61" spans="2:9" x14ac:dyDescent="0.25">
      <c r="B61" s="27" t="s">
        <v>87</v>
      </c>
      <c r="C61" s="20" t="s">
        <v>66</v>
      </c>
      <c r="D61" s="20" t="s">
        <v>124</v>
      </c>
      <c r="E61" s="20" t="str">
        <f>Table4[[#This Row],[CollectionName]]&amp;Table4[[#This Row],[Location]]</f>
        <v>Easy Non-Fiction</v>
      </c>
      <c r="F61" s="27" t="s">
        <v>102</v>
      </c>
      <c r="I61">
        <v>60</v>
      </c>
    </row>
    <row r="62" spans="2:9" x14ac:dyDescent="0.25">
      <c r="B62" s="27" t="s">
        <v>87</v>
      </c>
      <c r="C62" s="20" t="s">
        <v>66</v>
      </c>
      <c r="D62" s="20" t="s">
        <v>124</v>
      </c>
      <c r="E62" s="20" t="str">
        <f>Table4[[#This Row],[CollectionName]]&amp;Table4[[#This Row],[Location]]</f>
        <v>Easy Non-FictionIn Library Use Only</v>
      </c>
      <c r="F62" s="27" t="s">
        <v>80</v>
      </c>
      <c r="I62">
        <v>61</v>
      </c>
    </row>
    <row r="63" spans="2:9" x14ac:dyDescent="0.25">
      <c r="B63" s="27" t="s">
        <v>17</v>
      </c>
      <c r="C63" s="20" t="s">
        <v>17</v>
      </c>
      <c r="D63" s="20" t="s">
        <v>102</v>
      </c>
      <c r="E63" s="20" t="str">
        <f>Table4[[#This Row],[CollectionName]]&amp;Table4[[#This Row],[Location]]</f>
        <v>Readers</v>
      </c>
      <c r="F63" s="27" t="s">
        <v>102</v>
      </c>
      <c r="I63">
        <v>62</v>
      </c>
    </row>
    <row r="64" spans="2:9" x14ac:dyDescent="0.25">
      <c r="B64" s="27" t="s">
        <v>17</v>
      </c>
      <c r="C64" s="20" t="s">
        <v>17</v>
      </c>
      <c r="D64" s="20" t="s">
        <v>102</v>
      </c>
      <c r="E64" s="20" t="str">
        <f>Table4[[#This Row],[CollectionName]]&amp;Table4[[#This Row],[Location]]</f>
        <v>ReadersIn Library Use Only</v>
      </c>
      <c r="F64" s="27" t="s">
        <v>80</v>
      </c>
      <c r="I64">
        <v>63</v>
      </c>
    </row>
    <row r="65" spans="2:9" x14ac:dyDescent="0.25">
      <c r="B65" s="27" t="s">
        <v>67</v>
      </c>
      <c r="C65" s="20" t="s">
        <v>66</v>
      </c>
      <c r="D65" s="20" t="s">
        <v>122</v>
      </c>
      <c r="E65" s="20" t="str">
        <f>Table4[[#This Row],[CollectionName]]&amp;Table4[[#This Row],[Location]]</f>
        <v>Easy Audiobook</v>
      </c>
      <c r="F65" s="27" t="s">
        <v>102</v>
      </c>
      <c r="I65">
        <v>64</v>
      </c>
    </row>
    <row r="66" spans="2:9" x14ac:dyDescent="0.25">
      <c r="B66" s="27" t="s">
        <v>67</v>
      </c>
      <c r="C66" s="20" t="s">
        <v>66</v>
      </c>
      <c r="D66" s="20" t="s">
        <v>122</v>
      </c>
      <c r="E66" s="20" t="str">
        <f>Table4[[#This Row],[CollectionName]]&amp;Table4[[#This Row],[Location]]</f>
        <v>Easy AudiobookIn Library Use Only</v>
      </c>
      <c r="F66" s="27" t="s">
        <v>80</v>
      </c>
      <c r="I66">
        <v>65</v>
      </c>
    </row>
    <row r="67" spans="2:9" x14ac:dyDescent="0.25">
      <c r="B67" s="27" t="s">
        <v>68</v>
      </c>
      <c r="C67" s="20" t="s">
        <v>126</v>
      </c>
      <c r="D67" s="20" t="s">
        <v>127</v>
      </c>
      <c r="E67" s="20" t="str">
        <f>Table4[[#This Row],[CollectionName]]&amp;Table4[[#This Row],[Location]]</f>
        <v>International Chinese</v>
      </c>
      <c r="F67" s="27" t="s">
        <v>102</v>
      </c>
      <c r="I67">
        <v>66</v>
      </c>
    </row>
    <row r="68" spans="2:9" x14ac:dyDescent="0.25">
      <c r="B68" s="27" t="s">
        <v>68</v>
      </c>
      <c r="C68" s="20" t="s">
        <v>126</v>
      </c>
      <c r="D68" s="20" t="s">
        <v>127</v>
      </c>
      <c r="E68" s="20" t="str">
        <f>Table4[[#This Row],[CollectionName]]&amp;Table4[[#This Row],[Location]]</f>
        <v>International ChineseIn Library Use Only</v>
      </c>
      <c r="F68" s="27" t="s">
        <v>80</v>
      </c>
      <c r="I68">
        <v>67</v>
      </c>
    </row>
    <row r="69" spans="2:9" x14ac:dyDescent="0.25">
      <c r="B69" s="27" t="s">
        <v>69</v>
      </c>
      <c r="C69" s="20" t="s">
        <v>126</v>
      </c>
      <c r="D69" s="20" t="s">
        <v>129</v>
      </c>
      <c r="E69" s="20" t="str">
        <f>Table4[[#This Row],[CollectionName]]&amp;Table4[[#This Row],[Location]]</f>
        <v>International Korean</v>
      </c>
      <c r="F69" s="27" t="s">
        <v>102</v>
      </c>
      <c r="I69">
        <v>68</v>
      </c>
    </row>
    <row r="70" spans="2:9" x14ac:dyDescent="0.25">
      <c r="B70" s="27" t="s">
        <v>69</v>
      </c>
      <c r="C70" s="20" t="s">
        <v>126</v>
      </c>
      <c r="D70" s="20" t="s">
        <v>129</v>
      </c>
      <c r="E70" s="20" t="str">
        <f>Table4[[#This Row],[CollectionName]]&amp;Table4[[#This Row],[Location]]</f>
        <v>International KoreanIn Library Use Only</v>
      </c>
      <c r="F70" s="27" t="s">
        <v>80</v>
      </c>
      <c r="I70">
        <v>69</v>
      </c>
    </row>
    <row r="71" spans="2:9" x14ac:dyDescent="0.25">
      <c r="B71" s="27" t="s">
        <v>70</v>
      </c>
      <c r="C71" s="20" t="s">
        <v>126</v>
      </c>
      <c r="D71" s="20" t="s">
        <v>128</v>
      </c>
      <c r="E71" s="20" t="str">
        <f>Table4[[#This Row],[CollectionName]]&amp;Table4[[#This Row],[Location]]</f>
        <v>International Japanese</v>
      </c>
      <c r="F71" s="27" t="s">
        <v>102</v>
      </c>
      <c r="I71">
        <v>70</v>
      </c>
    </row>
    <row r="72" spans="2:9" x14ac:dyDescent="0.25">
      <c r="B72" s="27" t="s">
        <v>70</v>
      </c>
      <c r="C72" s="20" t="s">
        <v>126</v>
      </c>
      <c r="D72" s="20" t="s">
        <v>128</v>
      </c>
      <c r="E72" s="20" t="str">
        <f>Table4[[#This Row],[CollectionName]]&amp;Table4[[#This Row],[Location]]</f>
        <v>International JapaneseIn Library Use Only</v>
      </c>
      <c r="F72" s="27" t="s">
        <v>80</v>
      </c>
      <c r="I72">
        <v>71</v>
      </c>
    </row>
    <row r="73" spans="2:9" x14ac:dyDescent="0.25">
      <c r="B73" s="27" t="s">
        <v>78</v>
      </c>
      <c r="C73" s="20" t="s">
        <v>126</v>
      </c>
      <c r="D73" s="20" t="s">
        <v>130</v>
      </c>
      <c r="E73" s="20" t="str">
        <f>Table4[[#This Row],[CollectionName]]&amp;Table4[[#This Row],[Location]]</f>
        <v>International Russian</v>
      </c>
      <c r="F73" s="27" t="s">
        <v>102</v>
      </c>
      <c r="I73">
        <v>72</v>
      </c>
    </row>
    <row r="74" spans="2:9" x14ac:dyDescent="0.25">
      <c r="B74" s="27" t="s">
        <v>78</v>
      </c>
      <c r="C74" s="20" t="s">
        <v>126</v>
      </c>
      <c r="D74" s="20" t="s">
        <v>130</v>
      </c>
      <c r="E74" s="20" t="str">
        <f>Table4[[#This Row],[CollectionName]]&amp;Table4[[#This Row],[Location]]</f>
        <v>International RussianIn Library Use Only</v>
      </c>
      <c r="F74" s="27" t="s">
        <v>80</v>
      </c>
      <c r="I74">
        <v>73</v>
      </c>
    </row>
    <row r="75" spans="2:9" x14ac:dyDescent="0.25">
      <c r="B75" s="27" t="s">
        <v>71</v>
      </c>
      <c r="C75" s="20" t="s">
        <v>126</v>
      </c>
      <c r="D75" s="20" t="s">
        <v>131</v>
      </c>
      <c r="E75" s="20" t="str">
        <f>Table4[[#This Row],[CollectionName]]&amp;Table4[[#This Row],[Location]]</f>
        <v>International Spanish</v>
      </c>
      <c r="F75" s="27" t="s">
        <v>102</v>
      </c>
      <c r="I75">
        <v>74</v>
      </c>
    </row>
    <row r="76" spans="2:9" x14ac:dyDescent="0.25">
      <c r="B76" s="27" t="s">
        <v>71</v>
      </c>
      <c r="C76" s="20" t="s">
        <v>126</v>
      </c>
      <c r="D76" s="20" t="s">
        <v>131</v>
      </c>
      <c r="E76" s="20" t="str">
        <f>Table4[[#This Row],[CollectionName]]&amp;Table4[[#This Row],[Location]]</f>
        <v>International SpanishIn Library Use Only</v>
      </c>
      <c r="F76" s="27" t="s">
        <v>80</v>
      </c>
      <c r="I76">
        <v>75</v>
      </c>
    </row>
    <row r="77" spans="2:9" x14ac:dyDescent="0.25">
      <c r="B77" s="27" t="s">
        <v>72</v>
      </c>
      <c r="C77" s="20" t="s">
        <v>126</v>
      </c>
      <c r="D77" s="20" t="s">
        <v>132</v>
      </c>
      <c r="E77" s="20" t="str">
        <f>Table4[[#This Row],[CollectionName]]&amp;Table4[[#This Row],[Location]]</f>
        <v>International Tagalog</v>
      </c>
      <c r="F77" s="27" t="s">
        <v>102</v>
      </c>
      <c r="I77">
        <v>76</v>
      </c>
    </row>
    <row r="78" spans="2:9" x14ac:dyDescent="0.25">
      <c r="B78" s="27" t="s">
        <v>72</v>
      </c>
      <c r="C78" s="20" t="s">
        <v>126</v>
      </c>
      <c r="D78" s="20" t="s">
        <v>132</v>
      </c>
      <c r="E78" s="20" t="str">
        <f>Table4[[#This Row],[CollectionName]]&amp;Table4[[#This Row],[Location]]</f>
        <v>International TagalogIn Library Use Only</v>
      </c>
      <c r="F78" s="27" t="s">
        <v>80</v>
      </c>
      <c r="I78">
        <v>77</v>
      </c>
    </row>
    <row r="79" spans="2:9" x14ac:dyDescent="0.25">
      <c r="B79" s="27" t="s">
        <v>73</v>
      </c>
      <c r="C79" s="20" t="s">
        <v>126</v>
      </c>
      <c r="D79" s="20" t="s">
        <v>133</v>
      </c>
      <c r="E79" s="20" t="str">
        <f>Table4[[#This Row],[CollectionName]]&amp;Table4[[#This Row],[Location]]</f>
        <v>International Vietnamese</v>
      </c>
      <c r="F79" s="27" t="s">
        <v>102</v>
      </c>
      <c r="I79">
        <v>78</v>
      </c>
    </row>
    <row r="80" spans="2:9" x14ac:dyDescent="0.25">
      <c r="B80" s="27" t="s">
        <v>73</v>
      </c>
      <c r="C80" s="20" t="s">
        <v>126</v>
      </c>
      <c r="D80" s="20" t="s">
        <v>133</v>
      </c>
      <c r="E80" s="20" t="str">
        <f>Table4[[#This Row],[CollectionName]]&amp;Table4[[#This Row],[Location]]</f>
        <v>International VietnameseIn Library Use Only</v>
      </c>
      <c r="F80" s="27" t="s">
        <v>80</v>
      </c>
      <c r="I80">
        <v>79</v>
      </c>
    </row>
    <row r="81" spans="2:9" x14ac:dyDescent="0.25">
      <c r="B81" s="27" t="s">
        <v>100</v>
      </c>
      <c r="C81" s="20" t="s">
        <v>143</v>
      </c>
      <c r="D81" s="20" t="s">
        <v>142</v>
      </c>
      <c r="E81" s="20" t="str">
        <f>Table4[[#This Row],[CollectionName]]&amp;Table4[[#This Row],[Location]]</f>
        <v>Teen NonfictionNew Books</v>
      </c>
      <c r="F81" s="27" t="s">
        <v>79</v>
      </c>
      <c r="I81">
        <v>80</v>
      </c>
    </row>
    <row r="82" spans="2:9" x14ac:dyDescent="0.25">
      <c r="B82" s="27" t="s">
        <v>98</v>
      </c>
      <c r="C82" s="20" t="s">
        <v>143</v>
      </c>
      <c r="D82" s="20" t="s">
        <v>145</v>
      </c>
      <c r="E82" s="20" t="str">
        <f>Table4[[#This Row],[CollectionName]]&amp;Table4[[#This Row],[Location]]</f>
        <v>Teen ExploreNew Books</v>
      </c>
      <c r="F82" s="27" t="s">
        <v>79</v>
      </c>
      <c r="I82">
        <v>81</v>
      </c>
    </row>
    <row r="83" spans="2:9" x14ac:dyDescent="0.25">
      <c r="B83" s="27" t="s">
        <v>56</v>
      </c>
      <c r="C83" s="20" t="s">
        <v>56</v>
      </c>
      <c r="D83" s="20" t="s">
        <v>102</v>
      </c>
      <c r="E83" s="20" t="str">
        <f>Table4[[#This Row],[CollectionName]]&amp;Table4[[#This Row],[Location]]</f>
        <v>NonfictionNew Books</v>
      </c>
      <c r="F83" s="27" t="s">
        <v>79</v>
      </c>
      <c r="I83">
        <v>82</v>
      </c>
    </row>
    <row r="84" spans="2:9" x14ac:dyDescent="0.25">
      <c r="B84" s="27" t="s">
        <v>93</v>
      </c>
      <c r="C84" s="20" t="s">
        <v>134</v>
      </c>
      <c r="D84" s="20" t="s">
        <v>142</v>
      </c>
      <c r="E84" s="20" t="str">
        <f>Table4[[#This Row],[CollectionName]]&amp;Table4[[#This Row],[Location]]</f>
        <v>Juvenile NonfictionNew Books</v>
      </c>
      <c r="F84" s="27" t="s">
        <v>79</v>
      </c>
      <c r="I84">
        <v>83</v>
      </c>
    </row>
    <row r="85" spans="2:9" x14ac:dyDescent="0.25">
      <c r="B85" s="27" t="s">
        <v>86</v>
      </c>
      <c r="C85" s="20" t="s">
        <v>106</v>
      </c>
      <c r="D85" s="20" t="s">
        <v>110</v>
      </c>
      <c r="E85" s="20" t="str">
        <f>Table4[[#This Row],[CollectionName]]&amp;Table4[[#This Row],[Location]]</f>
        <v>DVD EducationalNew Books</v>
      </c>
      <c r="F85" s="27" t="s">
        <v>79</v>
      </c>
      <c r="I85">
        <v>84</v>
      </c>
    </row>
    <row r="86" spans="2:9" x14ac:dyDescent="0.25">
      <c r="B86" s="27" t="s">
        <v>96</v>
      </c>
      <c r="C86" s="20" t="s">
        <v>143</v>
      </c>
      <c r="D86" s="20" t="s">
        <v>135</v>
      </c>
      <c r="E86" s="20" t="str">
        <f>Table4[[#This Row],[CollectionName]]&amp;Table4[[#This Row],[Location]]</f>
        <v>Teen BiographyNew Books</v>
      </c>
      <c r="F86" s="27" t="s">
        <v>79</v>
      </c>
      <c r="I86">
        <v>85</v>
      </c>
    </row>
    <row r="87" spans="2:9" x14ac:dyDescent="0.25">
      <c r="B87" s="27" t="s">
        <v>89</v>
      </c>
      <c r="C87" s="20" t="s">
        <v>134</v>
      </c>
      <c r="D87" s="20" t="s">
        <v>135</v>
      </c>
      <c r="E87" s="20" t="str">
        <f>Table4[[#This Row],[CollectionName]]&amp;Table4[[#This Row],[Location]]</f>
        <v>Juvenile BiographyNew Books</v>
      </c>
      <c r="F87" s="27" t="s">
        <v>79</v>
      </c>
      <c r="I87">
        <v>86</v>
      </c>
    </row>
    <row r="88" spans="2:9" x14ac:dyDescent="0.25">
      <c r="B88" s="27" t="s">
        <v>57</v>
      </c>
      <c r="C88" s="20" t="s">
        <v>57</v>
      </c>
      <c r="D88" s="20" t="s">
        <v>102</v>
      </c>
      <c r="E88" s="20" t="str">
        <f>Table4[[#This Row],[CollectionName]]&amp;Table4[[#This Row],[Location]]</f>
        <v>BiographyNew Books</v>
      </c>
      <c r="F88" s="27" t="s">
        <v>79</v>
      </c>
      <c r="I88">
        <v>87</v>
      </c>
    </row>
    <row r="89" spans="2:9" x14ac:dyDescent="0.25">
      <c r="B89" s="27" t="s">
        <v>58</v>
      </c>
      <c r="C89" s="20" t="s">
        <v>143</v>
      </c>
      <c r="D89" s="20" t="s">
        <v>122</v>
      </c>
      <c r="E89" s="20" t="str">
        <f>Table4[[#This Row],[CollectionName]]&amp;Table4[[#This Row],[Location]]</f>
        <v>Teen AudiobookNew Books</v>
      </c>
      <c r="F89" s="27" t="s">
        <v>79</v>
      </c>
      <c r="I89">
        <v>88</v>
      </c>
    </row>
    <row r="90" spans="2:9" x14ac:dyDescent="0.25">
      <c r="B90" s="27" t="s">
        <v>25</v>
      </c>
      <c r="C90" s="20" t="s">
        <v>25</v>
      </c>
      <c r="D90" s="20" t="s">
        <v>102</v>
      </c>
      <c r="E90" s="20" t="str">
        <f>Table4[[#This Row],[CollectionName]]&amp;Table4[[#This Row],[Location]]</f>
        <v>Graphic NovelNew Books</v>
      </c>
      <c r="F90" s="27" t="s">
        <v>79</v>
      </c>
      <c r="I90">
        <v>89</v>
      </c>
    </row>
    <row r="91" spans="2:9" x14ac:dyDescent="0.25">
      <c r="B91" s="27" t="s">
        <v>99</v>
      </c>
      <c r="C91" s="20" t="s">
        <v>143</v>
      </c>
      <c r="D91" s="20" t="s">
        <v>140</v>
      </c>
      <c r="E91" s="20" t="str">
        <f>Table4[[#This Row],[CollectionName]]&amp;Table4[[#This Row],[Location]]</f>
        <v>Teen Large TypeNew Books</v>
      </c>
      <c r="F91" s="27" t="s">
        <v>79</v>
      </c>
      <c r="I91">
        <v>90</v>
      </c>
    </row>
    <row r="92" spans="2:9" x14ac:dyDescent="0.25">
      <c r="B92" s="27" t="s">
        <v>60</v>
      </c>
      <c r="C92" s="20" t="s">
        <v>60</v>
      </c>
      <c r="D92" s="20" t="s">
        <v>102</v>
      </c>
      <c r="E92" s="20" t="str">
        <f>Table4[[#This Row],[CollectionName]]&amp;Table4[[#This Row],[Location]]</f>
        <v>Large TypeNew Books</v>
      </c>
      <c r="F92" s="27" t="s">
        <v>79</v>
      </c>
      <c r="I92">
        <v>91</v>
      </c>
    </row>
    <row r="93" spans="2:9" x14ac:dyDescent="0.25">
      <c r="B93" s="27" t="s">
        <v>91</v>
      </c>
      <c r="C93" s="20" t="s">
        <v>134</v>
      </c>
      <c r="D93" s="20" t="s">
        <v>140</v>
      </c>
      <c r="E93" s="20" t="str">
        <f>Table4[[#This Row],[CollectionName]]&amp;Table4[[#This Row],[Location]]</f>
        <v>Juvenile Large TypeNew Books</v>
      </c>
      <c r="F93" s="27" t="s">
        <v>79</v>
      </c>
      <c r="I93">
        <v>92</v>
      </c>
    </row>
    <row r="94" spans="2:9" x14ac:dyDescent="0.25">
      <c r="B94" s="27" t="s">
        <v>61</v>
      </c>
      <c r="C94" s="20" t="s">
        <v>61</v>
      </c>
      <c r="D94" s="20" t="s">
        <v>102</v>
      </c>
      <c r="E94" s="20" t="str">
        <f>Table4[[#This Row],[CollectionName]]&amp;Table4[[#This Row],[Location]]</f>
        <v>FictionNew Books</v>
      </c>
      <c r="F94" s="27" t="s">
        <v>79</v>
      </c>
      <c r="I94">
        <v>93</v>
      </c>
    </row>
    <row r="95" spans="2:9" x14ac:dyDescent="0.25">
      <c r="B95" s="27" t="s">
        <v>27</v>
      </c>
      <c r="C95" s="20" t="s">
        <v>61</v>
      </c>
      <c r="D95" s="20" t="s">
        <v>125</v>
      </c>
      <c r="E95" s="20" t="str">
        <f>Table4[[#This Row],[CollectionName]]&amp;Table4[[#This Row],[Location]]</f>
        <v>Fiction Sci FiNew Books</v>
      </c>
      <c r="F95" s="27" t="s">
        <v>79</v>
      </c>
      <c r="I95">
        <v>94</v>
      </c>
    </row>
    <row r="96" spans="2:9" x14ac:dyDescent="0.25">
      <c r="B96" s="27" t="s">
        <v>23</v>
      </c>
      <c r="C96" s="20" t="s">
        <v>61</v>
      </c>
      <c r="D96" s="20" t="s">
        <v>112</v>
      </c>
      <c r="E96" s="20" t="str">
        <f>Table4[[#This Row],[CollectionName]]&amp;Table4[[#This Row],[Location]]</f>
        <v>Fiction FantasyNew Books</v>
      </c>
      <c r="F96" s="27" t="s">
        <v>79</v>
      </c>
      <c r="I96">
        <v>95</v>
      </c>
    </row>
    <row r="97" spans="2:9" x14ac:dyDescent="0.25">
      <c r="B97" s="27" t="s">
        <v>19</v>
      </c>
      <c r="C97" s="20" t="s">
        <v>61</v>
      </c>
      <c r="D97" s="20" t="s">
        <v>116</v>
      </c>
      <c r="E97" s="20" t="str">
        <f>Table4[[#This Row],[CollectionName]]&amp;Table4[[#This Row],[Location]]</f>
        <v>Fiction MysteryNew Books</v>
      </c>
      <c r="F97" s="27" t="s">
        <v>79</v>
      </c>
      <c r="I97">
        <v>96</v>
      </c>
    </row>
    <row r="98" spans="2:9" x14ac:dyDescent="0.25">
      <c r="B98" s="26" t="s">
        <v>82</v>
      </c>
      <c r="C98" s="20" t="s">
        <v>82</v>
      </c>
      <c r="D98" s="21" t="s">
        <v>102</v>
      </c>
      <c r="E98" s="21" t="str">
        <f>Table4[[#This Row],[CollectionName]]&amp;Table4[[#This Row],[Location]]</f>
        <v>AudiobookNew Books</v>
      </c>
      <c r="F98" s="26" t="s">
        <v>79</v>
      </c>
      <c r="I98">
        <v>97</v>
      </c>
    </row>
    <row r="99" spans="2:9" x14ac:dyDescent="0.25">
      <c r="B99" s="27" t="s">
        <v>62</v>
      </c>
      <c r="C99" s="20" t="s">
        <v>134</v>
      </c>
      <c r="D99" s="20" t="s">
        <v>139</v>
      </c>
      <c r="E99" s="20" t="str">
        <f>Table4[[#This Row],[CollectionName]]&amp;Table4[[#This Row],[Location]]</f>
        <v>Juvenile FictionNew Books</v>
      </c>
      <c r="F99" s="27" t="s">
        <v>79</v>
      </c>
      <c r="I99">
        <v>98</v>
      </c>
    </row>
    <row r="100" spans="2:9" x14ac:dyDescent="0.25">
      <c r="B100" s="27" t="s">
        <v>77</v>
      </c>
      <c r="C100" s="20" t="s">
        <v>134</v>
      </c>
      <c r="D100" s="20" t="s">
        <v>122</v>
      </c>
      <c r="E100" s="20" t="str">
        <f>Table4[[#This Row],[CollectionName]]&amp;Table4[[#This Row],[Location]]</f>
        <v>Juvenile AudiobookNew Books</v>
      </c>
      <c r="F100" s="27" t="s">
        <v>79</v>
      </c>
      <c r="I100">
        <v>99</v>
      </c>
    </row>
    <row r="101" spans="2:9" x14ac:dyDescent="0.25">
      <c r="B101" s="27" t="s">
        <v>90</v>
      </c>
      <c r="C101" s="20" t="s">
        <v>134</v>
      </c>
      <c r="D101" s="20" t="s">
        <v>138</v>
      </c>
      <c r="E101" s="20" t="str">
        <f>Table4[[#This Row],[CollectionName]]&amp;Table4[[#This Row],[Location]]</f>
        <v>Juvenile DVD EducationalNew Books</v>
      </c>
      <c r="F101" s="27" t="s">
        <v>79</v>
      </c>
      <c r="I101">
        <v>100</v>
      </c>
    </row>
    <row r="102" spans="2:9" x14ac:dyDescent="0.25">
      <c r="B102" s="27" t="s">
        <v>63</v>
      </c>
      <c r="C102" s="20" t="s">
        <v>134</v>
      </c>
      <c r="D102" s="20" t="s">
        <v>137</v>
      </c>
      <c r="E102" s="20" t="str">
        <f>Table4[[#This Row],[CollectionName]]&amp;Table4[[#This Row],[Location]]</f>
        <v>Juvenile DVDNew Books</v>
      </c>
      <c r="F102" s="27" t="s">
        <v>79</v>
      </c>
      <c r="I102">
        <v>101</v>
      </c>
    </row>
    <row r="103" spans="2:9" x14ac:dyDescent="0.25">
      <c r="B103" s="27" t="s">
        <v>64</v>
      </c>
      <c r="C103" s="20" t="s">
        <v>134</v>
      </c>
      <c r="D103" s="20" t="s">
        <v>136</v>
      </c>
      <c r="E103" s="20" t="str">
        <f>Table4[[#This Row],[CollectionName]]&amp;Table4[[#This Row],[Location]]</f>
        <v>Juvenile Compact DiscNew Books</v>
      </c>
      <c r="F103" s="27" t="s">
        <v>79</v>
      </c>
      <c r="I103">
        <v>102</v>
      </c>
    </row>
    <row r="104" spans="2:9" x14ac:dyDescent="0.25">
      <c r="B104" s="27" t="s">
        <v>65</v>
      </c>
      <c r="C104" s="20" t="s">
        <v>66</v>
      </c>
      <c r="D104" s="20" t="s">
        <v>123</v>
      </c>
      <c r="E104" s="20" t="str">
        <f>Table4[[#This Row],[CollectionName]]&amp;Table4[[#This Row],[Location]]</f>
        <v>Easy CountdownNew Books</v>
      </c>
      <c r="F104" s="27" t="s">
        <v>79</v>
      </c>
      <c r="I104">
        <v>103</v>
      </c>
    </row>
    <row r="105" spans="2:9" x14ac:dyDescent="0.25">
      <c r="B105" s="27" t="s">
        <v>66</v>
      </c>
      <c r="C105" s="20" t="s">
        <v>66</v>
      </c>
      <c r="D105" s="20" t="s">
        <v>102</v>
      </c>
      <c r="E105" s="20" t="str">
        <f>Table4[[#This Row],[CollectionName]]&amp;Table4[[#This Row],[Location]]</f>
        <v>EasyNew Books</v>
      </c>
      <c r="F105" s="27" t="s">
        <v>79</v>
      </c>
      <c r="I105">
        <v>104</v>
      </c>
    </row>
    <row r="106" spans="2:9" x14ac:dyDescent="0.25">
      <c r="B106" s="27" t="s">
        <v>87</v>
      </c>
      <c r="C106" s="20" t="s">
        <v>66</v>
      </c>
      <c r="D106" s="20" t="s">
        <v>124</v>
      </c>
      <c r="E106" s="20" t="str">
        <f>Table4[[#This Row],[CollectionName]]&amp;Table4[[#This Row],[Location]]</f>
        <v>Easy Non-FictionNew Books</v>
      </c>
      <c r="F106" s="27" t="s">
        <v>79</v>
      </c>
      <c r="I106">
        <v>105</v>
      </c>
    </row>
    <row r="107" spans="2:9" x14ac:dyDescent="0.25">
      <c r="B107" s="27" t="s">
        <v>17</v>
      </c>
      <c r="C107" s="20" t="s">
        <v>17</v>
      </c>
      <c r="D107" s="20" t="s">
        <v>102</v>
      </c>
      <c r="E107" s="20" t="str">
        <f>Table4[[#This Row],[CollectionName]]&amp;Table4[[#This Row],[Location]]</f>
        <v>ReadersNew Books</v>
      </c>
      <c r="F107" s="27" t="s">
        <v>79</v>
      </c>
      <c r="I107">
        <v>106</v>
      </c>
    </row>
    <row r="108" spans="2:9" x14ac:dyDescent="0.25">
      <c r="B108" s="27" t="s">
        <v>67</v>
      </c>
      <c r="C108" s="20" t="s">
        <v>66</v>
      </c>
      <c r="D108" s="20" t="s">
        <v>122</v>
      </c>
      <c r="E108" s="20" t="str">
        <f>Table4[[#This Row],[CollectionName]]&amp;Table4[[#This Row],[Location]]</f>
        <v>Easy AudiobookNew Books</v>
      </c>
      <c r="F108" s="27" t="s">
        <v>79</v>
      </c>
      <c r="I108">
        <v>107</v>
      </c>
    </row>
    <row r="109" spans="2:9" x14ac:dyDescent="0.25">
      <c r="B109" s="27" t="s">
        <v>68</v>
      </c>
      <c r="C109" s="20" t="s">
        <v>126</v>
      </c>
      <c r="D109" s="20" t="s">
        <v>127</v>
      </c>
      <c r="E109" s="20" t="str">
        <f>Table4[[#This Row],[CollectionName]]&amp;Table4[[#This Row],[Location]]</f>
        <v>International ChineseNew Books</v>
      </c>
      <c r="F109" s="27" t="s">
        <v>79</v>
      </c>
      <c r="I109">
        <v>108</v>
      </c>
    </row>
    <row r="110" spans="2:9" x14ac:dyDescent="0.25">
      <c r="B110" s="27" t="s">
        <v>69</v>
      </c>
      <c r="C110" s="20" t="s">
        <v>126</v>
      </c>
      <c r="D110" s="20" t="s">
        <v>129</v>
      </c>
      <c r="E110" s="20" t="str">
        <f>Table4[[#This Row],[CollectionName]]&amp;Table4[[#This Row],[Location]]</f>
        <v>International KoreanNew Books</v>
      </c>
      <c r="F110" s="27" t="s">
        <v>79</v>
      </c>
      <c r="I110">
        <v>109</v>
      </c>
    </row>
    <row r="111" spans="2:9" x14ac:dyDescent="0.25">
      <c r="B111" s="27" t="s">
        <v>70</v>
      </c>
      <c r="C111" s="20" t="s">
        <v>126</v>
      </c>
      <c r="D111" s="20" t="s">
        <v>128</v>
      </c>
      <c r="E111" s="20" t="str">
        <f>Table4[[#This Row],[CollectionName]]&amp;Table4[[#This Row],[Location]]</f>
        <v>International JapaneseNew Books</v>
      </c>
      <c r="F111" s="27" t="s">
        <v>79</v>
      </c>
      <c r="I111">
        <v>110</v>
      </c>
    </row>
    <row r="112" spans="2:9" x14ac:dyDescent="0.25">
      <c r="B112" s="27" t="s">
        <v>78</v>
      </c>
      <c r="C112" s="20" t="s">
        <v>126</v>
      </c>
      <c r="D112" s="20" t="s">
        <v>130</v>
      </c>
      <c r="E112" s="20" t="str">
        <f>Table4[[#This Row],[CollectionName]]&amp;Table4[[#This Row],[Location]]</f>
        <v>International RussianNew Books</v>
      </c>
      <c r="F112" s="27" t="s">
        <v>79</v>
      </c>
      <c r="I112">
        <v>111</v>
      </c>
    </row>
    <row r="113" spans="2:9" x14ac:dyDescent="0.25">
      <c r="B113" s="27" t="s">
        <v>71</v>
      </c>
      <c r="C113" s="20" t="s">
        <v>126</v>
      </c>
      <c r="D113" s="20" t="s">
        <v>131</v>
      </c>
      <c r="E113" s="20" t="str">
        <f>Table4[[#This Row],[CollectionName]]&amp;Table4[[#This Row],[Location]]</f>
        <v>International SpanishNew Books</v>
      </c>
      <c r="F113" s="27" t="s">
        <v>79</v>
      </c>
      <c r="I113">
        <v>112</v>
      </c>
    </row>
    <row r="114" spans="2:9" x14ac:dyDescent="0.25">
      <c r="B114" s="27" t="s">
        <v>72</v>
      </c>
      <c r="C114" s="20" t="s">
        <v>126</v>
      </c>
      <c r="D114" s="20" t="s">
        <v>132</v>
      </c>
      <c r="E114" s="20" t="str">
        <f>Table4[[#This Row],[CollectionName]]&amp;Table4[[#This Row],[Location]]</f>
        <v>International TagalogNew Books</v>
      </c>
      <c r="F114" s="27" t="s">
        <v>79</v>
      </c>
      <c r="I114">
        <v>113</v>
      </c>
    </row>
    <row r="115" spans="2:9" x14ac:dyDescent="0.25">
      <c r="B115" s="27" t="s">
        <v>73</v>
      </c>
      <c r="C115" s="20" t="s">
        <v>126</v>
      </c>
      <c r="D115" s="20" t="s">
        <v>133</v>
      </c>
      <c r="E115" s="20" t="str">
        <f>Table4[[#This Row],[CollectionName]]&amp;Table4[[#This Row],[Location]]</f>
        <v>International VietnameseNew Books</v>
      </c>
      <c r="F115" s="27" t="s">
        <v>79</v>
      </c>
      <c r="I115">
        <v>114</v>
      </c>
    </row>
    <row r="116" spans="2:9" x14ac:dyDescent="0.25">
      <c r="B116" s="27" t="s">
        <v>29</v>
      </c>
      <c r="C116" s="20" t="s">
        <v>106</v>
      </c>
      <c r="D116" s="20" t="s">
        <v>107</v>
      </c>
      <c r="E116" s="20" t="str">
        <f>Table4[[#This Row],[CollectionName]]&amp;Table4[[#This Row],[Location]]</f>
        <v>DVD ActionNew Books</v>
      </c>
      <c r="F116" s="27" t="s">
        <v>79</v>
      </c>
      <c r="I116">
        <v>115</v>
      </c>
    </row>
    <row r="117" spans="2:9" x14ac:dyDescent="0.25">
      <c r="B117" s="27" t="s">
        <v>31</v>
      </c>
      <c r="C117" s="20" t="s">
        <v>106</v>
      </c>
      <c r="D117" s="20" t="s">
        <v>108</v>
      </c>
      <c r="E117" s="20" t="str">
        <f>Table4[[#This Row],[CollectionName]]&amp;Table4[[#This Row],[Location]]</f>
        <v>DVD ComedyNew Books</v>
      </c>
      <c r="F117" s="27" t="s">
        <v>79</v>
      </c>
      <c r="I117">
        <v>116</v>
      </c>
    </row>
    <row r="118" spans="2:9" x14ac:dyDescent="0.25">
      <c r="B118" s="27" t="s">
        <v>35</v>
      </c>
      <c r="C118" s="20" t="s">
        <v>106</v>
      </c>
      <c r="D118" s="20" t="s">
        <v>109</v>
      </c>
      <c r="E118" s="20" t="str">
        <f>Table4[[#This Row],[CollectionName]]&amp;Table4[[#This Row],[Location]]</f>
        <v>DVD DramaNew Books</v>
      </c>
      <c r="F118" s="27" t="s">
        <v>79</v>
      </c>
      <c r="I118">
        <v>117</v>
      </c>
    </row>
    <row r="119" spans="2:9" x14ac:dyDescent="0.25">
      <c r="B119" s="27" t="s">
        <v>37</v>
      </c>
      <c r="C119" s="20" t="s">
        <v>106</v>
      </c>
      <c r="D119" s="20" t="s">
        <v>111</v>
      </c>
      <c r="E119" s="20" t="str">
        <f>Table4[[#This Row],[CollectionName]]&amp;Table4[[#This Row],[Location]]</f>
        <v>DVD FamilyNew Books</v>
      </c>
      <c r="F119" s="27" t="s">
        <v>79</v>
      </c>
      <c r="I119">
        <v>118</v>
      </c>
    </row>
    <row r="120" spans="2:9" x14ac:dyDescent="0.25">
      <c r="B120" s="27" t="s">
        <v>39</v>
      </c>
      <c r="C120" s="20" t="s">
        <v>106</v>
      </c>
      <c r="D120" s="20" t="s">
        <v>112</v>
      </c>
      <c r="E120" s="20" t="str">
        <f>Table4[[#This Row],[CollectionName]]&amp;Table4[[#This Row],[Location]]</f>
        <v>DVD FantasyNew Books</v>
      </c>
      <c r="F120" s="27" t="s">
        <v>79</v>
      </c>
      <c r="I120">
        <v>119</v>
      </c>
    </row>
    <row r="121" spans="2:9" x14ac:dyDescent="0.25">
      <c r="B121" s="27" t="s">
        <v>40</v>
      </c>
      <c r="C121" s="20" t="s">
        <v>106</v>
      </c>
      <c r="D121" s="20" t="s">
        <v>113</v>
      </c>
      <c r="E121" s="20" t="str">
        <f>Table4[[#This Row],[CollectionName]]&amp;Table4[[#This Row],[Location]]</f>
        <v>DVD ForeignNew Books</v>
      </c>
      <c r="F121" s="27" t="s">
        <v>79</v>
      </c>
      <c r="I121">
        <v>120</v>
      </c>
    </row>
    <row r="122" spans="2:9" x14ac:dyDescent="0.25">
      <c r="B122" s="27" t="s">
        <v>42</v>
      </c>
      <c r="C122" s="20" t="s">
        <v>106</v>
      </c>
      <c r="D122" s="20" t="s">
        <v>114</v>
      </c>
      <c r="E122" s="20" t="str">
        <f>Table4[[#This Row],[CollectionName]]&amp;Table4[[#This Row],[Location]]</f>
        <v>DVD HorrorNew Books</v>
      </c>
      <c r="F122" s="27" t="s">
        <v>79</v>
      </c>
      <c r="I122">
        <v>121</v>
      </c>
    </row>
    <row r="123" spans="2:9" x14ac:dyDescent="0.25">
      <c r="B123" s="27" t="s">
        <v>33</v>
      </c>
      <c r="C123" s="20" t="s">
        <v>106</v>
      </c>
      <c r="D123" s="20" t="s">
        <v>115</v>
      </c>
      <c r="E123" s="20" t="str">
        <f>Table4[[#This Row],[CollectionName]]&amp;Table4[[#This Row],[Location]]</f>
        <v>DVD MusicalNew Books</v>
      </c>
      <c r="F123" s="27" t="s">
        <v>79</v>
      </c>
      <c r="I123">
        <v>122</v>
      </c>
    </row>
    <row r="124" spans="2:9" x14ac:dyDescent="0.25">
      <c r="B124" s="27" t="s">
        <v>44</v>
      </c>
      <c r="C124" s="20" t="s">
        <v>106</v>
      </c>
      <c r="D124" s="20" t="s">
        <v>116</v>
      </c>
      <c r="E124" s="20" t="str">
        <f>Table4[[#This Row],[CollectionName]]&amp;Table4[[#This Row],[Location]]</f>
        <v>DVD MysteryNew Books</v>
      </c>
      <c r="F124" s="27" t="s">
        <v>79</v>
      </c>
      <c r="I124">
        <v>123</v>
      </c>
    </row>
    <row r="125" spans="2:9" x14ac:dyDescent="0.25">
      <c r="B125" s="27" t="s">
        <v>45</v>
      </c>
      <c r="C125" s="20" t="s">
        <v>106</v>
      </c>
      <c r="D125" s="20" t="s">
        <v>117</v>
      </c>
      <c r="E125" s="20" t="str">
        <f>Table4[[#This Row],[CollectionName]]&amp;Table4[[#This Row],[Location]]</f>
        <v>DVD Science FictionNew Books</v>
      </c>
      <c r="F125" s="27" t="s">
        <v>79</v>
      </c>
      <c r="I125">
        <v>124</v>
      </c>
    </row>
    <row r="126" spans="2:9" x14ac:dyDescent="0.25">
      <c r="B126" s="27" t="s">
        <v>46</v>
      </c>
      <c r="C126" s="20" t="s">
        <v>106</v>
      </c>
      <c r="D126" s="20" t="s">
        <v>118</v>
      </c>
      <c r="E126" s="20" t="str">
        <f>Table4[[#This Row],[CollectionName]]&amp;Table4[[#This Row],[Location]]</f>
        <v>DVD SuspenseNew Books</v>
      </c>
      <c r="F126" s="27" t="s">
        <v>79</v>
      </c>
      <c r="I126">
        <v>125</v>
      </c>
    </row>
    <row r="127" spans="2:9" x14ac:dyDescent="0.25">
      <c r="B127" s="27" t="s">
        <v>48</v>
      </c>
      <c r="C127" s="20" t="s">
        <v>106</v>
      </c>
      <c r="D127" s="20" t="s">
        <v>119</v>
      </c>
      <c r="E127" s="20" t="str">
        <f>Table4[[#This Row],[CollectionName]]&amp;Table4[[#This Row],[Location]]</f>
        <v>DVD Television SeriesNew Books</v>
      </c>
      <c r="F127" s="27" t="s">
        <v>79</v>
      </c>
      <c r="I127">
        <v>126</v>
      </c>
    </row>
    <row r="128" spans="2:9" x14ac:dyDescent="0.25">
      <c r="B128" s="27" t="s">
        <v>50</v>
      </c>
      <c r="C128" s="20" t="s">
        <v>106</v>
      </c>
      <c r="D128" s="20" t="s">
        <v>120</v>
      </c>
      <c r="E128" s="20" t="str">
        <f>Table4[[#This Row],[CollectionName]]&amp;Table4[[#This Row],[Location]]</f>
        <v>DVD WarNew Books</v>
      </c>
      <c r="F128" s="27" t="s">
        <v>79</v>
      </c>
      <c r="I128">
        <v>127</v>
      </c>
    </row>
    <row r="129" spans="2:9" x14ac:dyDescent="0.25">
      <c r="B129" s="27" t="s">
        <v>52</v>
      </c>
      <c r="C129" s="20" t="s">
        <v>106</v>
      </c>
      <c r="D129" s="20" t="s">
        <v>121</v>
      </c>
      <c r="E129" s="20" t="str">
        <f>Table4[[#This Row],[CollectionName]]&amp;Table4[[#This Row],[Location]]</f>
        <v>DVD WesternNew Books</v>
      </c>
      <c r="F129" s="27" t="s">
        <v>79</v>
      </c>
      <c r="I129">
        <v>128</v>
      </c>
    </row>
    <row r="130" spans="2:9" x14ac:dyDescent="0.25">
      <c r="B130" s="27" t="s">
        <v>74</v>
      </c>
      <c r="C130" s="20" t="s">
        <v>74</v>
      </c>
      <c r="D130" s="20" t="s">
        <v>102</v>
      </c>
      <c r="E130" s="20" t="str">
        <f>Table4[[#This Row],[CollectionName]]&amp;Table4[[#This Row],[Location]]</f>
        <v>Compact DiscNew Books</v>
      </c>
      <c r="F130" s="27" t="s">
        <v>79</v>
      </c>
      <c r="I130">
        <v>129</v>
      </c>
    </row>
    <row r="131" spans="2:9" x14ac:dyDescent="0.25">
      <c r="B131" s="27" t="s">
        <v>76</v>
      </c>
      <c r="C131" s="20" t="s">
        <v>143</v>
      </c>
      <c r="D131" s="20" t="s">
        <v>146</v>
      </c>
      <c r="E131" s="20" t="str">
        <f>Table4[[#This Row],[CollectionName]]&amp;Table4[[#This Row],[Location]]</f>
        <v>Teen MagazinesNew Books</v>
      </c>
      <c r="F131" s="27" t="s">
        <v>79</v>
      </c>
      <c r="I131">
        <v>130</v>
      </c>
    </row>
    <row r="132" spans="2:9" x14ac:dyDescent="0.25">
      <c r="B132" s="27" t="s">
        <v>92</v>
      </c>
      <c r="C132" s="20" t="s">
        <v>134</v>
      </c>
      <c r="D132" s="20" t="s">
        <v>141</v>
      </c>
      <c r="E132" s="20" t="str">
        <f>Table4[[#This Row],[CollectionName]]&amp;Table4[[#This Row],[Location]]</f>
        <v>Juvenile MagazineNew Books</v>
      </c>
      <c r="F132" s="27" t="s">
        <v>79</v>
      </c>
      <c r="I132">
        <v>131</v>
      </c>
    </row>
    <row r="133" spans="2:9" x14ac:dyDescent="0.25">
      <c r="B133" s="27" t="s">
        <v>75</v>
      </c>
      <c r="C133" s="20" t="s">
        <v>75</v>
      </c>
      <c r="D133" s="20" t="s">
        <v>102</v>
      </c>
      <c r="E133" s="20" t="str">
        <f>Table4[[#This Row],[CollectionName]]&amp;Table4[[#This Row],[Location]]</f>
        <v>MagazineNew Books</v>
      </c>
      <c r="F133" s="27" t="s">
        <v>79</v>
      </c>
      <c r="I133">
        <v>132</v>
      </c>
    </row>
    <row r="134" spans="2:9" x14ac:dyDescent="0.25">
      <c r="B134" s="27" t="s">
        <v>29</v>
      </c>
      <c r="C134" s="20" t="s">
        <v>106</v>
      </c>
      <c r="D134" s="20" t="s">
        <v>107</v>
      </c>
      <c r="E134" s="20" t="str">
        <f>Table4[[#This Row],[CollectionName]]&amp;Table4[[#This Row],[Location]]</f>
        <v>DVD Action</v>
      </c>
      <c r="F134" s="27" t="s">
        <v>102</v>
      </c>
      <c r="I134">
        <v>133</v>
      </c>
    </row>
    <row r="135" spans="2:9" x14ac:dyDescent="0.25">
      <c r="B135" s="27" t="s">
        <v>29</v>
      </c>
      <c r="C135" s="20" t="s">
        <v>106</v>
      </c>
      <c r="D135" s="20" t="s">
        <v>107</v>
      </c>
      <c r="E135" s="20" t="str">
        <f>Table4[[#This Row],[CollectionName]]&amp;Table4[[#This Row],[Location]]</f>
        <v>DVD ActionIn Library Use Only</v>
      </c>
      <c r="F135" s="27" t="s">
        <v>80</v>
      </c>
      <c r="I135">
        <v>134</v>
      </c>
    </row>
    <row r="136" spans="2:9" x14ac:dyDescent="0.25">
      <c r="B136" s="27" t="s">
        <v>31</v>
      </c>
      <c r="C136" s="20" t="s">
        <v>106</v>
      </c>
      <c r="D136" s="20" t="s">
        <v>108</v>
      </c>
      <c r="E136" s="20" t="str">
        <f>Table4[[#This Row],[CollectionName]]&amp;Table4[[#This Row],[Location]]</f>
        <v>DVD Comedy</v>
      </c>
      <c r="F136" s="27" t="s">
        <v>102</v>
      </c>
      <c r="I136">
        <v>135</v>
      </c>
    </row>
    <row r="137" spans="2:9" x14ac:dyDescent="0.25">
      <c r="B137" s="27" t="s">
        <v>31</v>
      </c>
      <c r="C137" s="20" t="s">
        <v>106</v>
      </c>
      <c r="D137" s="20" t="s">
        <v>108</v>
      </c>
      <c r="E137" s="20" t="str">
        <f>Table4[[#This Row],[CollectionName]]&amp;Table4[[#This Row],[Location]]</f>
        <v>DVD ComedyIn Library Use Only</v>
      </c>
      <c r="F137" s="27" t="s">
        <v>80</v>
      </c>
      <c r="I137">
        <v>136</v>
      </c>
    </row>
    <row r="138" spans="2:9" x14ac:dyDescent="0.25">
      <c r="B138" s="27" t="s">
        <v>35</v>
      </c>
      <c r="C138" s="20" t="s">
        <v>106</v>
      </c>
      <c r="D138" s="20" t="s">
        <v>109</v>
      </c>
      <c r="E138" s="20" t="str">
        <f>Table4[[#This Row],[CollectionName]]&amp;Table4[[#This Row],[Location]]</f>
        <v>DVD Drama</v>
      </c>
      <c r="F138" s="27" t="s">
        <v>102</v>
      </c>
      <c r="I138">
        <v>137</v>
      </c>
    </row>
    <row r="139" spans="2:9" x14ac:dyDescent="0.25">
      <c r="B139" s="27" t="s">
        <v>35</v>
      </c>
      <c r="C139" s="20" t="s">
        <v>106</v>
      </c>
      <c r="D139" s="20" t="s">
        <v>109</v>
      </c>
      <c r="E139" s="20" t="str">
        <f>Table4[[#This Row],[CollectionName]]&amp;Table4[[#This Row],[Location]]</f>
        <v>DVD DramaIn Library Use Only</v>
      </c>
      <c r="F139" s="27" t="s">
        <v>80</v>
      </c>
      <c r="I139">
        <v>138</v>
      </c>
    </row>
    <row r="140" spans="2:9" x14ac:dyDescent="0.25">
      <c r="B140" s="27" t="s">
        <v>37</v>
      </c>
      <c r="C140" s="20" t="s">
        <v>106</v>
      </c>
      <c r="D140" s="20" t="s">
        <v>111</v>
      </c>
      <c r="E140" s="20" t="str">
        <f>Table4[[#This Row],[CollectionName]]&amp;Table4[[#This Row],[Location]]</f>
        <v>DVD Family</v>
      </c>
      <c r="F140" s="27" t="s">
        <v>102</v>
      </c>
      <c r="I140">
        <v>139</v>
      </c>
    </row>
    <row r="141" spans="2:9" x14ac:dyDescent="0.25">
      <c r="B141" s="27" t="s">
        <v>37</v>
      </c>
      <c r="C141" s="20" t="s">
        <v>106</v>
      </c>
      <c r="D141" s="20" t="s">
        <v>111</v>
      </c>
      <c r="E141" s="20" t="str">
        <f>Table4[[#This Row],[CollectionName]]&amp;Table4[[#This Row],[Location]]</f>
        <v>DVD FamilyIn Library Use Only</v>
      </c>
      <c r="F141" s="27" t="s">
        <v>80</v>
      </c>
      <c r="I141">
        <v>140</v>
      </c>
    </row>
    <row r="142" spans="2:9" x14ac:dyDescent="0.25">
      <c r="B142" s="27" t="s">
        <v>39</v>
      </c>
      <c r="C142" s="20" t="s">
        <v>106</v>
      </c>
      <c r="D142" s="20" t="s">
        <v>112</v>
      </c>
      <c r="E142" s="20" t="str">
        <f>Table4[[#This Row],[CollectionName]]&amp;Table4[[#This Row],[Location]]</f>
        <v>DVD Fantasy</v>
      </c>
      <c r="F142" s="27" t="s">
        <v>102</v>
      </c>
      <c r="I142">
        <v>141</v>
      </c>
    </row>
    <row r="143" spans="2:9" x14ac:dyDescent="0.25">
      <c r="B143" s="27" t="s">
        <v>39</v>
      </c>
      <c r="C143" s="20" t="s">
        <v>106</v>
      </c>
      <c r="D143" s="20" t="s">
        <v>112</v>
      </c>
      <c r="E143" s="20" t="str">
        <f>Table4[[#This Row],[CollectionName]]&amp;Table4[[#This Row],[Location]]</f>
        <v>DVD FantasyIn Library Use Only</v>
      </c>
      <c r="F143" s="27" t="s">
        <v>80</v>
      </c>
      <c r="I143">
        <v>142</v>
      </c>
    </row>
    <row r="144" spans="2:9" x14ac:dyDescent="0.25">
      <c r="B144" s="27" t="s">
        <v>40</v>
      </c>
      <c r="C144" s="20" t="s">
        <v>106</v>
      </c>
      <c r="D144" s="20" t="s">
        <v>113</v>
      </c>
      <c r="E144" s="20" t="str">
        <f>Table4[[#This Row],[CollectionName]]&amp;Table4[[#This Row],[Location]]</f>
        <v>DVD Foreign</v>
      </c>
      <c r="F144" s="27" t="s">
        <v>102</v>
      </c>
      <c r="I144">
        <v>143</v>
      </c>
    </row>
    <row r="145" spans="2:9" x14ac:dyDescent="0.25">
      <c r="B145" s="27" t="s">
        <v>40</v>
      </c>
      <c r="C145" s="20" t="s">
        <v>106</v>
      </c>
      <c r="D145" s="20" t="s">
        <v>113</v>
      </c>
      <c r="E145" s="20" t="str">
        <f>Table4[[#This Row],[CollectionName]]&amp;Table4[[#This Row],[Location]]</f>
        <v>DVD ForeignIn Library Use Only</v>
      </c>
      <c r="F145" s="27" t="s">
        <v>80</v>
      </c>
      <c r="I145">
        <v>144</v>
      </c>
    </row>
    <row r="146" spans="2:9" x14ac:dyDescent="0.25">
      <c r="B146" s="27" t="s">
        <v>42</v>
      </c>
      <c r="C146" s="20" t="s">
        <v>106</v>
      </c>
      <c r="D146" s="20" t="s">
        <v>114</v>
      </c>
      <c r="E146" s="20" t="str">
        <f>Table4[[#This Row],[CollectionName]]&amp;Table4[[#This Row],[Location]]</f>
        <v>DVD Horror</v>
      </c>
      <c r="F146" s="27" t="s">
        <v>102</v>
      </c>
      <c r="I146">
        <v>145</v>
      </c>
    </row>
    <row r="147" spans="2:9" x14ac:dyDescent="0.25">
      <c r="B147" s="27" t="s">
        <v>42</v>
      </c>
      <c r="C147" s="20" t="s">
        <v>106</v>
      </c>
      <c r="D147" s="20" t="s">
        <v>114</v>
      </c>
      <c r="E147" s="20" t="str">
        <f>Table4[[#This Row],[CollectionName]]&amp;Table4[[#This Row],[Location]]</f>
        <v>DVD HorrorIn Library Use Only</v>
      </c>
      <c r="F147" s="27" t="s">
        <v>80</v>
      </c>
      <c r="I147">
        <v>146</v>
      </c>
    </row>
    <row r="148" spans="2:9" x14ac:dyDescent="0.25">
      <c r="B148" s="27" t="s">
        <v>33</v>
      </c>
      <c r="C148" s="20" t="s">
        <v>106</v>
      </c>
      <c r="D148" s="20" t="s">
        <v>115</v>
      </c>
      <c r="E148" s="20" t="str">
        <f>Table4[[#This Row],[CollectionName]]&amp;Table4[[#This Row],[Location]]</f>
        <v>DVD Musical</v>
      </c>
      <c r="F148" s="27" t="s">
        <v>102</v>
      </c>
      <c r="I148">
        <v>147</v>
      </c>
    </row>
    <row r="149" spans="2:9" x14ac:dyDescent="0.25">
      <c r="B149" s="27" t="s">
        <v>33</v>
      </c>
      <c r="C149" s="20" t="s">
        <v>106</v>
      </c>
      <c r="D149" s="20" t="s">
        <v>115</v>
      </c>
      <c r="E149" s="20" t="str">
        <f>Table4[[#This Row],[CollectionName]]&amp;Table4[[#This Row],[Location]]</f>
        <v>DVD MusicalIn Library Use Only</v>
      </c>
      <c r="F149" s="27" t="s">
        <v>80</v>
      </c>
      <c r="I149">
        <v>148</v>
      </c>
    </row>
    <row r="150" spans="2:9" x14ac:dyDescent="0.25">
      <c r="B150" s="27" t="s">
        <v>44</v>
      </c>
      <c r="C150" s="20" t="s">
        <v>106</v>
      </c>
      <c r="D150" s="20" t="s">
        <v>116</v>
      </c>
      <c r="E150" s="20" t="str">
        <f>Table4[[#This Row],[CollectionName]]&amp;Table4[[#This Row],[Location]]</f>
        <v>DVD Mystery</v>
      </c>
      <c r="F150" s="27" t="s">
        <v>102</v>
      </c>
      <c r="I150">
        <v>149</v>
      </c>
    </row>
    <row r="151" spans="2:9" x14ac:dyDescent="0.25">
      <c r="B151" s="27" t="s">
        <v>44</v>
      </c>
      <c r="C151" s="20" t="s">
        <v>106</v>
      </c>
      <c r="D151" s="20" t="s">
        <v>116</v>
      </c>
      <c r="E151" s="20" t="str">
        <f>Table4[[#This Row],[CollectionName]]&amp;Table4[[#This Row],[Location]]</f>
        <v>DVD MysteryIn Library Use Only</v>
      </c>
      <c r="F151" s="27" t="s">
        <v>80</v>
      </c>
      <c r="I151">
        <v>150</v>
      </c>
    </row>
    <row r="152" spans="2:9" x14ac:dyDescent="0.25">
      <c r="B152" s="27" t="s">
        <v>45</v>
      </c>
      <c r="C152" s="20" t="s">
        <v>106</v>
      </c>
      <c r="D152" s="20" t="s">
        <v>117</v>
      </c>
      <c r="E152" s="20" t="str">
        <f>Table4[[#This Row],[CollectionName]]&amp;Table4[[#This Row],[Location]]</f>
        <v>DVD Science Fiction</v>
      </c>
      <c r="F152" s="27" t="s">
        <v>102</v>
      </c>
      <c r="I152">
        <v>151</v>
      </c>
    </row>
    <row r="153" spans="2:9" x14ac:dyDescent="0.25">
      <c r="B153" s="27" t="s">
        <v>45</v>
      </c>
      <c r="C153" s="20" t="s">
        <v>106</v>
      </c>
      <c r="D153" s="20" t="s">
        <v>117</v>
      </c>
      <c r="E153" s="20" t="str">
        <f>Table4[[#This Row],[CollectionName]]&amp;Table4[[#This Row],[Location]]</f>
        <v>DVD Science FictionIn Library Use Only</v>
      </c>
      <c r="F153" s="27" t="s">
        <v>80</v>
      </c>
      <c r="I153">
        <v>152</v>
      </c>
    </row>
    <row r="154" spans="2:9" x14ac:dyDescent="0.25">
      <c r="B154" s="27" t="s">
        <v>46</v>
      </c>
      <c r="C154" s="20" t="s">
        <v>106</v>
      </c>
      <c r="D154" s="20" t="s">
        <v>118</v>
      </c>
      <c r="E154" s="20" t="str">
        <f>Table4[[#This Row],[CollectionName]]&amp;Table4[[#This Row],[Location]]</f>
        <v>DVD Suspense</v>
      </c>
      <c r="F154" s="27" t="s">
        <v>102</v>
      </c>
      <c r="I154">
        <v>153</v>
      </c>
    </row>
    <row r="155" spans="2:9" x14ac:dyDescent="0.25">
      <c r="B155" s="27" t="s">
        <v>46</v>
      </c>
      <c r="C155" s="20" t="s">
        <v>106</v>
      </c>
      <c r="D155" s="20" t="s">
        <v>118</v>
      </c>
      <c r="E155" s="20" t="str">
        <f>Table4[[#This Row],[CollectionName]]&amp;Table4[[#This Row],[Location]]</f>
        <v>DVD SuspenseIn Library Use Only</v>
      </c>
      <c r="F155" s="27" t="s">
        <v>80</v>
      </c>
      <c r="I155">
        <v>154</v>
      </c>
    </row>
    <row r="156" spans="2:9" x14ac:dyDescent="0.25">
      <c r="B156" s="27" t="s">
        <v>48</v>
      </c>
      <c r="C156" s="20" t="s">
        <v>106</v>
      </c>
      <c r="D156" s="20" t="s">
        <v>119</v>
      </c>
      <c r="E156" s="20" t="str">
        <f>Table4[[#This Row],[CollectionName]]&amp;Table4[[#This Row],[Location]]</f>
        <v>DVD Television Series</v>
      </c>
      <c r="F156" s="27" t="s">
        <v>102</v>
      </c>
      <c r="I156">
        <v>155</v>
      </c>
    </row>
    <row r="157" spans="2:9" x14ac:dyDescent="0.25">
      <c r="B157" s="27" t="s">
        <v>48</v>
      </c>
      <c r="C157" s="20" t="s">
        <v>106</v>
      </c>
      <c r="D157" s="20" t="s">
        <v>119</v>
      </c>
      <c r="E157" s="20" t="str">
        <f>Table4[[#This Row],[CollectionName]]&amp;Table4[[#This Row],[Location]]</f>
        <v>DVD Television SeriesIn Library Use Only</v>
      </c>
      <c r="F157" s="27" t="s">
        <v>80</v>
      </c>
      <c r="I157">
        <v>156</v>
      </c>
    </row>
    <row r="158" spans="2:9" x14ac:dyDescent="0.25">
      <c r="B158" s="27" t="s">
        <v>50</v>
      </c>
      <c r="C158" s="20" t="s">
        <v>106</v>
      </c>
      <c r="D158" s="20" t="s">
        <v>120</v>
      </c>
      <c r="E158" s="20" t="str">
        <f>Table4[[#This Row],[CollectionName]]&amp;Table4[[#This Row],[Location]]</f>
        <v>DVD War</v>
      </c>
      <c r="F158" s="27" t="s">
        <v>102</v>
      </c>
      <c r="I158">
        <v>157</v>
      </c>
    </row>
    <row r="159" spans="2:9" x14ac:dyDescent="0.25">
      <c r="B159" s="27" t="s">
        <v>50</v>
      </c>
      <c r="C159" s="20" t="s">
        <v>106</v>
      </c>
      <c r="D159" s="20" t="s">
        <v>120</v>
      </c>
      <c r="E159" s="20" t="str">
        <f>Table4[[#This Row],[CollectionName]]&amp;Table4[[#This Row],[Location]]</f>
        <v>DVD WarIn Library Use Only</v>
      </c>
      <c r="F159" s="27" t="s">
        <v>80</v>
      </c>
      <c r="I159">
        <v>158</v>
      </c>
    </row>
    <row r="160" spans="2:9" x14ac:dyDescent="0.25">
      <c r="B160" s="27" t="s">
        <v>52</v>
      </c>
      <c r="C160" s="20" t="s">
        <v>106</v>
      </c>
      <c r="D160" s="20" t="s">
        <v>121</v>
      </c>
      <c r="E160" s="20" t="str">
        <f>Table4[[#This Row],[CollectionName]]&amp;Table4[[#This Row],[Location]]</f>
        <v>DVD Western</v>
      </c>
      <c r="F160" s="27" t="s">
        <v>102</v>
      </c>
      <c r="I160">
        <v>159</v>
      </c>
    </row>
    <row r="161" spans="2:9" x14ac:dyDescent="0.25">
      <c r="B161" s="27" t="s">
        <v>52</v>
      </c>
      <c r="C161" s="20" t="s">
        <v>106</v>
      </c>
      <c r="D161" s="20" t="s">
        <v>121</v>
      </c>
      <c r="E161" s="20" t="str">
        <f>Table4[[#This Row],[CollectionName]]&amp;Table4[[#This Row],[Location]]</f>
        <v>DVD WesternIn Library Use Only</v>
      </c>
      <c r="F161" s="27" t="s">
        <v>80</v>
      </c>
      <c r="I161">
        <v>160</v>
      </c>
    </row>
    <row r="162" spans="2:9" x14ac:dyDescent="0.25">
      <c r="B162" s="27" t="s">
        <v>74</v>
      </c>
      <c r="C162" s="20" t="s">
        <v>74</v>
      </c>
      <c r="D162" s="20" t="s">
        <v>102</v>
      </c>
      <c r="E162" s="20" t="str">
        <f>Table4[[#This Row],[CollectionName]]&amp;Table4[[#This Row],[Location]]</f>
        <v>Compact Disc</v>
      </c>
      <c r="F162" s="27" t="s">
        <v>102</v>
      </c>
      <c r="I162">
        <v>161</v>
      </c>
    </row>
    <row r="163" spans="2:9" x14ac:dyDescent="0.25">
      <c r="B163" s="27" t="s">
        <v>74</v>
      </c>
      <c r="C163" s="20" t="s">
        <v>74</v>
      </c>
      <c r="D163" s="20" t="s">
        <v>102</v>
      </c>
      <c r="E163" s="20" t="str">
        <f>Table4[[#This Row],[CollectionName]]&amp;Table4[[#This Row],[Location]]</f>
        <v>Compact DiscIn Library Use Only</v>
      </c>
      <c r="F163" s="27" t="s">
        <v>80</v>
      </c>
      <c r="I163">
        <v>162</v>
      </c>
    </row>
    <row r="164" spans="2:9" x14ac:dyDescent="0.25">
      <c r="B164" s="27" t="s">
        <v>76</v>
      </c>
      <c r="C164" s="20" t="s">
        <v>143</v>
      </c>
      <c r="D164" s="20" t="s">
        <v>146</v>
      </c>
      <c r="E164" s="20" t="str">
        <f>Table4[[#This Row],[CollectionName]]&amp;Table4[[#This Row],[Location]]</f>
        <v>Teen Magazines</v>
      </c>
      <c r="F164" s="27" t="s">
        <v>102</v>
      </c>
      <c r="I164">
        <v>163</v>
      </c>
    </row>
    <row r="165" spans="2:9" x14ac:dyDescent="0.25">
      <c r="B165" s="27" t="s">
        <v>76</v>
      </c>
      <c r="C165" s="20" t="s">
        <v>143</v>
      </c>
      <c r="D165" s="20" t="s">
        <v>146</v>
      </c>
      <c r="E165" s="20" t="str">
        <f>Table4[[#This Row],[CollectionName]]&amp;Table4[[#This Row],[Location]]</f>
        <v>Teen MagazinesIn Library Use Only</v>
      </c>
      <c r="F165" s="27" t="s">
        <v>80</v>
      </c>
      <c r="I165">
        <v>164</v>
      </c>
    </row>
    <row r="166" spans="2:9" x14ac:dyDescent="0.25">
      <c r="B166" s="27" t="s">
        <v>92</v>
      </c>
      <c r="C166" s="20" t="s">
        <v>134</v>
      </c>
      <c r="D166" s="20" t="s">
        <v>141</v>
      </c>
      <c r="E166" s="20" t="str">
        <f>Table4[[#This Row],[CollectionName]]&amp;Table4[[#This Row],[Location]]</f>
        <v>Juvenile Magazine</v>
      </c>
      <c r="F166" s="27" t="s">
        <v>102</v>
      </c>
      <c r="I166">
        <v>165</v>
      </c>
    </row>
    <row r="167" spans="2:9" x14ac:dyDescent="0.25">
      <c r="B167" s="27" t="s">
        <v>92</v>
      </c>
      <c r="C167" s="20" t="s">
        <v>134</v>
      </c>
      <c r="D167" s="20" t="s">
        <v>141</v>
      </c>
      <c r="E167" s="20" t="str">
        <f>Table4[[#This Row],[CollectionName]]&amp;Table4[[#This Row],[Location]]</f>
        <v>Juvenile MagazineIn Library Use Only</v>
      </c>
      <c r="F167" s="27" t="s">
        <v>80</v>
      </c>
      <c r="I167">
        <v>166</v>
      </c>
    </row>
    <row r="168" spans="2:9" x14ac:dyDescent="0.25">
      <c r="B168" s="27" t="s">
        <v>75</v>
      </c>
      <c r="C168" s="20" t="s">
        <v>75</v>
      </c>
      <c r="D168" s="20" t="s">
        <v>102</v>
      </c>
      <c r="E168" s="20" t="str">
        <f>Table4[[#This Row],[CollectionName]]&amp;Table4[[#This Row],[Location]]</f>
        <v>Magazine</v>
      </c>
      <c r="F168" s="27" t="s">
        <v>102</v>
      </c>
      <c r="I168">
        <v>167</v>
      </c>
    </row>
    <row r="169" spans="2:9" x14ac:dyDescent="0.25">
      <c r="B169" s="27" t="s">
        <v>75</v>
      </c>
      <c r="C169" s="20" t="s">
        <v>75</v>
      </c>
      <c r="D169" s="20" t="s">
        <v>102</v>
      </c>
      <c r="E169" s="20" t="str">
        <f>Table4[[#This Row],[CollectionName]]&amp;Table4[[#This Row],[Location]]</f>
        <v>MagazineIn Library Use Only</v>
      </c>
      <c r="F169" s="27" t="s">
        <v>80</v>
      </c>
      <c r="I169">
        <v>168</v>
      </c>
    </row>
    <row r="170" spans="2:9" x14ac:dyDescent="0.25">
      <c r="B170" s="27" t="s">
        <v>95</v>
      </c>
      <c r="C170" s="20" t="s">
        <v>95</v>
      </c>
      <c r="D170" s="20" t="s">
        <v>102</v>
      </c>
      <c r="E170" s="20" t="str">
        <f>Table4[[#This Row],[CollectionName]]&amp;Table4[[#This Row],[Location]]</f>
        <v>Spanish Language Paperbacks</v>
      </c>
      <c r="F170" s="27" t="s">
        <v>102</v>
      </c>
      <c r="I170">
        <v>169</v>
      </c>
    </row>
    <row r="171" spans="2:9" x14ac:dyDescent="0.25">
      <c r="B171" s="27" t="s">
        <v>95</v>
      </c>
      <c r="C171" s="20" t="s">
        <v>95</v>
      </c>
      <c r="D171" s="20" t="s">
        <v>102</v>
      </c>
      <c r="E171" s="20" t="str">
        <f>Table4[[#This Row],[CollectionName]]&amp;Table4[[#This Row],[Location]]</f>
        <v>Spanish Language PaperbacksNew Books</v>
      </c>
      <c r="F171" s="27" t="s">
        <v>79</v>
      </c>
      <c r="I171">
        <v>170</v>
      </c>
    </row>
    <row r="172" spans="2:9" x14ac:dyDescent="0.25">
      <c r="B172" s="27" t="s">
        <v>95</v>
      </c>
      <c r="C172" s="20" t="s">
        <v>95</v>
      </c>
      <c r="D172" s="20" t="s">
        <v>102</v>
      </c>
      <c r="E172" s="20" t="str">
        <f>Table4[[#This Row],[CollectionName]]&amp;Table4[[#This Row],[Location]]</f>
        <v>Spanish Language PaperbacksIn Library Use Only</v>
      </c>
      <c r="F172" s="27" t="s">
        <v>80</v>
      </c>
      <c r="I172">
        <v>171</v>
      </c>
    </row>
    <row r="173" spans="2:9" x14ac:dyDescent="0.25">
      <c r="B173" s="27" t="s">
        <v>94</v>
      </c>
      <c r="C173" s="20" t="s">
        <v>94</v>
      </c>
      <c r="D173" s="20" t="s">
        <v>102</v>
      </c>
      <c r="E173" s="20" t="str">
        <f>Table4[[#This Row],[CollectionName]]&amp;Table4[[#This Row],[Location]]</f>
        <v>Reference</v>
      </c>
      <c r="F173" s="27" t="s">
        <v>102</v>
      </c>
      <c r="I173">
        <v>172</v>
      </c>
    </row>
    <row r="174" spans="2:9" x14ac:dyDescent="0.25">
      <c r="B174" s="27" t="s">
        <v>94</v>
      </c>
      <c r="C174" s="20" t="s">
        <v>94</v>
      </c>
      <c r="D174" s="20" t="s">
        <v>102</v>
      </c>
      <c r="E174" s="20" t="str">
        <f>Table4[[#This Row],[CollectionName]]&amp;Table4[[#This Row],[Location]]</f>
        <v>ReferenceNew Books</v>
      </c>
      <c r="F174" s="27" t="s">
        <v>79</v>
      </c>
      <c r="I174">
        <v>173</v>
      </c>
    </row>
    <row r="175" spans="2:9" x14ac:dyDescent="0.25">
      <c r="B175" s="27" t="s">
        <v>94</v>
      </c>
      <c r="C175" s="20" t="s">
        <v>94</v>
      </c>
      <c r="D175" s="20" t="s">
        <v>102</v>
      </c>
      <c r="E175" s="20" t="str">
        <f>Table4[[#This Row],[CollectionName]]&amp;Table4[[#This Row],[Location]]</f>
        <v>ReferenceIn Library Use Only</v>
      </c>
      <c r="F175" s="27" t="s">
        <v>80</v>
      </c>
      <c r="I175">
        <v>174</v>
      </c>
    </row>
    <row r="176" spans="2:9" x14ac:dyDescent="0.25">
      <c r="B176" s="27" t="s">
        <v>88</v>
      </c>
      <c r="C176" s="20" t="s">
        <v>88</v>
      </c>
      <c r="D176" s="20" t="s">
        <v>102</v>
      </c>
      <c r="E176" s="20" t="str">
        <f>Table4[[#This Row],[CollectionName]]&amp;Table4[[#This Row],[Location]]</f>
        <v>English as a second language</v>
      </c>
      <c r="F176" s="27" t="s">
        <v>102</v>
      </c>
      <c r="I176">
        <v>175</v>
      </c>
    </row>
    <row r="177" spans="2:9" x14ac:dyDescent="0.25">
      <c r="B177" s="27" t="s">
        <v>88</v>
      </c>
      <c r="C177" s="20" t="s">
        <v>88</v>
      </c>
      <c r="D177" s="20" t="s">
        <v>102</v>
      </c>
      <c r="E177" s="20" t="str">
        <f>Table4[[#This Row],[CollectionName]]&amp;Table4[[#This Row],[Location]]</f>
        <v>English as a second languageNew Books</v>
      </c>
      <c r="F177" s="27" t="s">
        <v>79</v>
      </c>
      <c r="I177">
        <v>176</v>
      </c>
    </row>
    <row r="178" spans="2:9" x14ac:dyDescent="0.25">
      <c r="B178" s="27" t="s">
        <v>88</v>
      </c>
      <c r="C178" s="20" t="s">
        <v>88</v>
      </c>
      <c r="D178" s="20" t="s">
        <v>102</v>
      </c>
      <c r="E178" s="20" t="str">
        <f>Table4[[#This Row],[CollectionName]]&amp;Table4[[#This Row],[Location]]</f>
        <v>English as a second languageIn Library Use Only</v>
      </c>
      <c r="F178" s="27" t="s">
        <v>80</v>
      </c>
      <c r="I178">
        <v>177</v>
      </c>
    </row>
    <row r="179" spans="2:9" x14ac:dyDescent="0.25">
      <c r="B179" s="27" t="s">
        <v>85</v>
      </c>
      <c r="C179" s="20" t="s">
        <v>85</v>
      </c>
      <c r="D179" s="20" t="s">
        <v>102</v>
      </c>
      <c r="E179" s="20" t="str">
        <f>Table4[[#This Row],[CollectionName]]&amp;Table4[[#This Row],[Location]]</f>
        <v>Children's Paperbacks</v>
      </c>
      <c r="F179" s="27" t="s">
        <v>102</v>
      </c>
      <c r="I179">
        <v>178</v>
      </c>
    </row>
    <row r="180" spans="2:9" x14ac:dyDescent="0.25">
      <c r="B180" s="27" t="s">
        <v>85</v>
      </c>
      <c r="C180" s="20" t="s">
        <v>85</v>
      </c>
      <c r="D180" s="20" t="s">
        <v>102</v>
      </c>
      <c r="E180" s="20" t="str">
        <f>Table4[[#This Row],[CollectionName]]&amp;Table4[[#This Row],[Location]]</f>
        <v>Children's PaperbacksNew Books</v>
      </c>
      <c r="F180" s="27" t="s">
        <v>79</v>
      </c>
      <c r="I180">
        <v>179</v>
      </c>
    </row>
    <row r="181" spans="2:9" x14ac:dyDescent="0.25">
      <c r="B181" s="27" t="s">
        <v>85</v>
      </c>
      <c r="C181" s="20" t="s">
        <v>85</v>
      </c>
      <c r="D181" s="20" t="s">
        <v>102</v>
      </c>
      <c r="E181" s="20" t="str">
        <f>Table4[[#This Row],[CollectionName]]&amp;Table4[[#This Row],[Location]]</f>
        <v>Children's PaperbacksIn Library Use Only</v>
      </c>
      <c r="F181" s="27" t="s">
        <v>80</v>
      </c>
      <c r="I181">
        <v>180</v>
      </c>
    </row>
    <row r="182" spans="2:9" x14ac:dyDescent="0.25">
      <c r="B182" s="27" t="s">
        <v>84</v>
      </c>
      <c r="C182" s="20" t="s">
        <v>84</v>
      </c>
      <c r="D182" s="20" t="s">
        <v>102</v>
      </c>
      <c r="E182" s="20" t="str">
        <f>Table4[[#This Row],[CollectionName]]&amp;Table4[[#This Row],[Location]]</f>
        <v xml:space="preserve">Childcare </v>
      </c>
      <c r="F182" s="27" t="s">
        <v>102</v>
      </c>
      <c r="I182">
        <v>181</v>
      </c>
    </row>
    <row r="183" spans="2:9" x14ac:dyDescent="0.25">
      <c r="B183" s="27" t="s">
        <v>84</v>
      </c>
      <c r="C183" s="20" t="s">
        <v>84</v>
      </c>
      <c r="D183" s="20" t="s">
        <v>102</v>
      </c>
      <c r="E183" s="20" t="str">
        <f>Table4[[#This Row],[CollectionName]]&amp;Table4[[#This Row],[Location]]</f>
        <v>Childcare New Books</v>
      </c>
      <c r="F183" s="27" t="s">
        <v>79</v>
      </c>
      <c r="I183">
        <v>182</v>
      </c>
    </row>
    <row r="184" spans="2:9" x14ac:dyDescent="0.25">
      <c r="B184" s="27" t="s">
        <v>84</v>
      </c>
      <c r="C184" s="20" t="s">
        <v>84</v>
      </c>
      <c r="D184" s="20" t="s">
        <v>102</v>
      </c>
      <c r="E184" s="20" t="str">
        <f>Table4[[#This Row],[CollectionName]]&amp;Table4[[#This Row],[Location]]</f>
        <v>Childcare In Library Use Only</v>
      </c>
      <c r="F184" s="27" t="s">
        <v>80</v>
      </c>
      <c r="I184">
        <v>183</v>
      </c>
    </row>
    <row r="185" spans="2:9" x14ac:dyDescent="0.25">
      <c r="B185" s="27" t="s">
        <v>83</v>
      </c>
      <c r="C185" s="20" t="s">
        <v>83</v>
      </c>
      <c r="D185" s="20" t="s">
        <v>102</v>
      </c>
      <c r="E185" s="20" t="str">
        <f>Table4[[#This Row],[CollectionName]]&amp;Table4[[#This Row],[Location]]</f>
        <v>Board Books</v>
      </c>
      <c r="F185" s="27" t="s">
        <v>102</v>
      </c>
      <c r="I185">
        <v>184</v>
      </c>
    </row>
    <row r="186" spans="2:9" x14ac:dyDescent="0.25">
      <c r="B186" s="27" t="s">
        <v>83</v>
      </c>
      <c r="C186" s="20" t="s">
        <v>83</v>
      </c>
      <c r="D186" s="20" t="s">
        <v>102</v>
      </c>
      <c r="E186" s="20" t="str">
        <f>Table4[[#This Row],[CollectionName]]&amp;Table4[[#This Row],[Location]]</f>
        <v>Board BooksNew Books</v>
      </c>
      <c r="F186" s="27" t="s">
        <v>79</v>
      </c>
      <c r="I186">
        <v>185</v>
      </c>
    </row>
    <row r="187" spans="2:9" x14ac:dyDescent="0.25">
      <c r="B187" s="27" t="s">
        <v>83</v>
      </c>
      <c r="C187" s="20" t="s">
        <v>83</v>
      </c>
      <c r="D187" s="20" t="s">
        <v>102</v>
      </c>
      <c r="E187" s="20" t="str">
        <f>Table4[[#This Row],[CollectionName]]&amp;Table4[[#This Row],[Location]]</f>
        <v>Board BooksIn Library Use Only</v>
      </c>
      <c r="F187" s="27" t="s">
        <v>80</v>
      </c>
      <c r="I187">
        <v>186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00"/>
  <sheetViews>
    <sheetView topLeftCell="A32" workbookViewId="0">
      <selection activeCell="A32" sqref="A32"/>
    </sheetView>
  </sheetViews>
  <sheetFormatPr defaultRowHeight="13.2" x14ac:dyDescent="0.25"/>
  <cols>
    <col min="1" max="1" width="19.6640625" bestFit="1" customWidth="1"/>
    <col min="2" max="2" width="11.88671875" bestFit="1" customWidth="1"/>
    <col min="3" max="3" width="16.88671875" bestFit="1" customWidth="1"/>
    <col min="4" max="4" width="23.6640625" bestFit="1" customWidth="1"/>
    <col min="5" max="5" width="40.109375" bestFit="1" customWidth="1"/>
    <col min="6" max="6" width="80.33203125" bestFit="1" customWidth="1"/>
    <col min="7" max="7" width="13.88671875" bestFit="1" customWidth="1"/>
    <col min="8" max="9" width="2" bestFit="1" customWidth="1"/>
  </cols>
  <sheetData>
    <row r="1" spans="1:9" x14ac:dyDescent="0.25">
      <c r="A1">
        <f>'[1]SNO RTF daily report1'!A1</f>
        <v>0</v>
      </c>
      <c r="B1">
        <f>'[1]SNO RTF daily report1'!B1</f>
        <v>0</v>
      </c>
      <c r="C1">
        <f>'[1]SNO RTF daily report1'!C1</f>
        <v>0</v>
      </c>
      <c r="D1">
        <f>'[1]SNO RTF daily report1'!D1</f>
        <v>0</v>
      </c>
      <c r="E1">
        <f>'[1]SNO RTF daily report1'!E1</f>
        <v>0</v>
      </c>
      <c r="F1">
        <f>'[1]SNO RTF daily report1'!F1</f>
        <v>0</v>
      </c>
      <c r="G1">
        <f>'[1]SNO RTF daily report1'!G1</f>
        <v>0</v>
      </c>
      <c r="H1">
        <f>'[1]SNO RTF daily report1'!H1</f>
        <v>0</v>
      </c>
      <c r="I1">
        <f>'[1]SNO RTF daily report1'!I1</f>
        <v>0</v>
      </c>
    </row>
    <row r="2" spans="1:9" x14ac:dyDescent="0.25">
      <c r="A2" t="str">
        <f>'[1]SNO RTF daily report1'!A2</f>
        <v>SNO RTF daily report1</v>
      </c>
      <c r="B2">
        <f>'[1]SNO RTF daily report1'!B2</f>
        <v>0</v>
      </c>
      <c r="C2">
        <f>'[1]SNO RTF daily report1'!C2</f>
        <v>0</v>
      </c>
      <c r="D2">
        <f>'[1]SNO RTF daily report1'!D2</f>
        <v>0</v>
      </c>
      <c r="E2">
        <f>'[1]SNO RTF daily report1'!E2</f>
        <v>0</v>
      </c>
      <c r="F2">
        <f>'[1]SNO RTF daily report1'!F2</f>
        <v>0</v>
      </c>
      <c r="G2">
        <f>'[1]SNO RTF daily report1'!G2</f>
        <v>0</v>
      </c>
      <c r="H2">
        <f>'[1]SNO RTF daily report1'!H2</f>
        <v>0</v>
      </c>
      <c r="I2">
        <f>'[1]SNO RTF daily report1'!I2</f>
        <v>0</v>
      </c>
    </row>
    <row r="3" spans="1:9" x14ac:dyDescent="0.25">
      <c r="A3">
        <f>'[1]SNO RTF daily report1'!A3</f>
        <v>0</v>
      </c>
      <c r="B3">
        <f>'[1]SNO RTF daily report1'!B3</f>
        <v>0</v>
      </c>
      <c r="C3">
        <f>'[1]SNO RTF daily report1'!C3</f>
        <v>0</v>
      </c>
      <c r="D3">
        <f>'[1]SNO RTF daily report1'!D3</f>
        <v>0</v>
      </c>
      <c r="E3">
        <f>'[1]SNO RTF daily report1'!E3</f>
        <v>0</v>
      </c>
      <c r="F3">
        <f>'[1]SNO RTF daily report1'!F3</f>
        <v>0</v>
      </c>
      <c r="G3">
        <f>'[1]SNO RTF daily report1'!G3</f>
        <v>0</v>
      </c>
      <c r="H3">
        <f>'[1]SNO RTF daily report1'!H3</f>
        <v>0</v>
      </c>
      <c r="I3">
        <f>'[1]SNO RTF daily report1'!I3</f>
        <v>0</v>
      </c>
    </row>
    <row r="4" spans="1:9" x14ac:dyDescent="0.25">
      <c r="A4">
        <f>'[1]SNO RTF daily report1'!A4</f>
        <v>0</v>
      </c>
      <c r="B4">
        <f>'[1]SNO RTF daily report1'!B4</f>
        <v>0</v>
      </c>
      <c r="C4">
        <f>'[1]SNO RTF daily report1'!C4</f>
        <v>0</v>
      </c>
      <c r="D4">
        <f>'[1]SNO RTF daily report1'!D4</f>
        <v>0</v>
      </c>
      <c r="E4">
        <f>'[1]SNO RTF daily report1'!E4</f>
        <v>0</v>
      </c>
      <c r="F4">
        <f>'[1]SNO RTF daily report1'!F4</f>
        <v>0</v>
      </c>
      <c r="G4">
        <f>'[1]SNO RTF daily report1'!G4</f>
        <v>0</v>
      </c>
      <c r="H4">
        <f>'[1]SNO RTF daily report1'!H4</f>
        <v>0</v>
      </c>
      <c r="I4">
        <f>'[1]SNO RTF daily report1'!I4</f>
        <v>0</v>
      </c>
    </row>
    <row r="5" spans="1:9" x14ac:dyDescent="0.25">
      <c r="A5" t="str">
        <f>'[1]SNO RTF daily report1'!A5</f>
        <v>CollectionName</v>
      </c>
      <c r="B5" t="str">
        <f>'[1]SNO RTF daily report1'!B5</f>
        <v>Item Barcode</v>
      </c>
      <c r="C5" t="str">
        <f>'[1]SNO RTF daily report1'!C5</f>
        <v>Shelf Location</v>
      </c>
      <c r="D5" t="str">
        <f>'[1]SNO RTF daily report1'!D5</f>
        <v>CallNumber</v>
      </c>
      <c r="E5" t="str">
        <f>'[1]SNO RTF daily report1'!E5</f>
        <v>Author</v>
      </c>
      <c r="F5" t="str">
        <f>'[1]SNO RTF daily report1'!F5</f>
        <v>Title</v>
      </c>
      <c r="G5" t="str">
        <f>'[1]SNO RTF daily report1'!G5</f>
        <v>PublicationYear</v>
      </c>
      <c r="H5">
        <f>'[1]SNO RTF daily report1'!H5</f>
        <v>0</v>
      </c>
      <c r="I5">
        <f>'[1]SNO RTF daily report1'!I5</f>
        <v>0</v>
      </c>
    </row>
    <row r="6" spans="1:9" x14ac:dyDescent="0.25">
      <c r="A6" t="str">
        <f>'[1]SNO RTF daily report1'!A6</f>
        <v>Compact Disc</v>
      </c>
      <c r="B6">
        <f>'[1]SNO RTF daily report1'!B6</f>
        <v>0</v>
      </c>
      <c r="C6">
        <f>'[1]SNO RTF daily report1'!C6</f>
        <v>0</v>
      </c>
      <c r="D6" t="str">
        <f>'[1]SNO RTF daily report1'!D6</f>
        <v>CD H FRA906</v>
      </c>
      <c r="E6" t="str">
        <f>'[1]SNO RTF daily report1'!E6</f>
        <v>Franklin, Aretha.</v>
      </c>
      <c r="F6" t="str">
        <f>'[1]SNO RTF daily report1'!F6</f>
        <v>Amazing grace</v>
      </c>
      <c r="G6">
        <f>'[1]SNO RTF daily report1'!G6</f>
        <v>2000</v>
      </c>
      <c r="H6">
        <f>'[1]SNO RTF daily report1'!H6</f>
        <v>0</v>
      </c>
      <c r="I6">
        <f>'[1]SNO RTF daily report1'!I6</f>
        <v>0</v>
      </c>
    </row>
    <row r="7" spans="1:9" x14ac:dyDescent="0.25">
      <c r="A7" t="str">
        <f>'[1]SNO RTF daily report1'!A7</f>
        <v>Compact Disc</v>
      </c>
      <c r="B7">
        <f>'[1]SNO RTF daily report1'!B7</f>
        <v>0</v>
      </c>
      <c r="C7">
        <f>'[1]SNO RTF daily report1'!C7</f>
        <v>0</v>
      </c>
      <c r="D7" t="str">
        <f>'[1]SNO RTF daily report1'!D7</f>
        <v>CD K FRE42</v>
      </c>
      <c r="E7">
        <f>'[1]SNO RTF daily report1'!E7</f>
        <v>0</v>
      </c>
      <c r="F7" t="str">
        <f>'[1]SNO RTF daily report1'!F7</f>
        <v>Freaky Friday original soundtrack.</v>
      </c>
      <c r="G7">
        <f>'[1]SNO RTF daily report1'!G7</f>
        <v>2003</v>
      </c>
      <c r="H7">
        <f>'[1]SNO RTF daily report1'!H7</f>
        <v>0</v>
      </c>
      <c r="I7">
        <f>'[1]SNO RTF daily report1'!I7</f>
        <v>0</v>
      </c>
    </row>
    <row r="8" spans="1:9" x14ac:dyDescent="0.25">
      <c r="A8" t="str">
        <f>'[1]SNO RTF daily report1'!A8</f>
        <v>Compact Disc</v>
      </c>
      <c r="B8">
        <f>'[1]SNO RTF daily report1'!B8</f>
        <v>0</v>
      </c>
      <c r="C8">
        <f>'[1]SNO RTF daily report1'!C8</f>
        <v>0</v>
      </c>
      <c r="D8" t="str">
        <f>'[1]SNO RTF daily report1'!D8</f>
        <v>CD M MCC2470</v>
      </c>
      <c r="E8" t="str">
        <f>'[1]SNO RTF daily report1'!E8</f>
        <v>McCartney, Jesse, 1987-</v>
      </c>
      <c r="F8" t="str">
        <f>'[1]SNO RTF daily report1'!F8</f>
        <v>Beautiful soul</v>
      </c>
      <c r="G8">
        <f>'[1]SNO RTF daily report1'!G8</f>
        <v>2004</v>
      </c>
      <c r="H8">
        <f>'[1]SNO RTF daily report1'!H8</f>
        <v>0</v>
      </c>
      <c r="I8">
        <f>'[1]SNO RTF daily report1'!I8</f>
        <v>0</v>
      </c>
    </row>
    <row r="9" spans="1:9" x14ac:dyDescent="0.25">
      <c r="A9" t="str">
        <f>'[1]SNO RTF daily report1'!A9</f>
        <v>Compact Disc</v>
      </c>
      <c r="B9">
        <f>'[1]SNO RTF daily report1'!B9</f>
        <v>0</v>
      </c>
      <c r="C9">
        <f>'[1]SNO RTF daily report1'!C9</f>
        <v>0</v>
      </c>
      <c r="D9" t="str">
        <f>'[1]SNO RTF daily report1'!D9</f>
        <v>CD MA NEO6578</v>
      </c>
      <c r="E9" t="str">
        <f>'[1]SNO RTF daily report1'!E9</f>
        <v>Neon Trees (Musical group)</v>
      </c>
      <c r="F9" t="str">
        <f>'[1]SNO RTF daily report1'!F9</f>
        <v>Picture show</v>
      </c>
      <c r="G9">
        <f>'[1]SNO RTF daily report1'!G9</f>
        <v>2012</v>
      </c>
      <c r="H9">
        <f>'[1]SNO RTF daily report1'!H9</f>
        <v>0</v>
      </c>
      <c r="I9">
        <f>'[1]SNO RTF daily report1'!I9</f>
        <v>0</v>
      </c>
    </row>
    <row r="10" spans="1:9" x14ac:dyDescent="0.25">
      <c r="A10" t="str">
        <f>'[1]SNO RTF daily report1'!A10</f>
        <v>Compact Disc</v>
      </c>
      <c r="B10">
        <f>'[1]SNO RTF daily report1'!B10</f>
        <v>0</v>
      </c>
      <c r="C10">
        <f>'[1]SNO RTF daily report1'!C10</f>
        <v>0</v>
      </c>
      <c r="D10" t="str">
        <f>'[1]SNO RTF daily report1'!D10</f>
        <v>CD U CHE7445</v>
      </c>
      <c r="E10" t="str">
        <f>'[1]SNO RTF daily report1'!E10</f>
        <v>Chesney, Kenny.</v>
      </c>
      <c r="F10" t="str">
        <f>'[1]SNO RTF daily report1'!F10</f>
        <v>Hemingway's whiskey</v>
      </c>
      <c r="G10">
        <f>'[1]SNO RTF daily report1'!G10</f>
        <v>2010</v>
      </c>
      <c r="H10">
        <f>'[1]SNO RTF daily report1'!H10</f>
        <v>0</v>
      </c>
      <c r="I10">
        <f>'[1]SNO RTF daily report1'!I10</f>
        <v>0</v>
      </c>
    </row>
    <row r="11" spans="1:9" x14ac:dyDescent="0.25">
      <c r="A11" t="str">
        <f>'[1]SNO RTF daily report1'!A11</f>
        <v>DVD Drama</v>
      </c>
      <c r="B11">
        <f>'[1]SNO RTF daily report1'!B11</f>
        <v>0</v>
      </c>
      <c r="C11">
        <f>'[1]SNO RTF daily report1'!C11</f>
        <v>0</v>
      </c>
      <c r="D11" t="str">
        <f>'[1]SNO RTF daily report1'!D11</f>
        <v>DVD BEHINDT</v>
      </c>
      <c r="E11">
        <f>'[1]SNO RTF daily report1'!E11</f>
        <v>0</v>
      </c>
      <c r="F11" t="str">
        <f>'[1]SNO RTF daily report1'!F11</f>
        <v>Behind the candelabra</v>
      </c>
      <c r="G11">
        <f>'[1]SNO RTF daily report1'!G11</f>
        <v>2013</v>
      </c>
      <c r="H11">
        <f>'[1]SNO RTF daily report1'!H11</f>
        <v>0</v>
      </c>
      <c r="I11">
        <f>'[1]SNO RTF daily report1'!I11</f>
        <v>0</v>
      </c>
    </row>
    <row r="12" spans="1:9" x14ac:dyDescent="0.25">
      <c r="A12" t="str">
        <f>'[1]SNO RTF daily report1'!A12</f>
        <v>DVD Drama</v>
      </c>
      <c r="B12">
        <f>'[1]SNO RTF daily report1'!B12</f>
        <v>0</v>
      </c>
      <c r="C12">
        <f>'[1]SNO RTF daily report1'!C12</f>
        <v>0</v>
      </c>
      <c r="D12" t="str">
        <f>'[1]SNO RTF daily report1'!D12</f>
        <v>DVD HUNTER</v>
      </c>
      <c r="E12">
        <f>'[1]SNO RTF daily report1'!E12</f>
        <v>0</v>
      </c>
      <c r="F12" t="str">
        <f>'[1]SNO RTF daily report1'!F12</f>
        <v>The hunter</v>
      </c>
      <c r="G12">
        <f>'[1]SNO RTF daily report1'!G12</f>
        <v>2012</v>
      </c>
      <c r="H12">
        <f>'[1]SNO RTF daily report1'!H12</f>
        <v>0</v>
      </c>
      <c r="I12">
        <f>'[1]SNO RTF daily report1'!I12</f>
        <v>0</v>
      </c>
    </row>
    <row r="13" spans="1:9" x14ac:dyDescent="0.25">
      <c r="A13" t="str">
        <f>'[1]SNO RTF daily report1'!A13</f>
        <v>DVD Educational</v>
      </c>
      <c r="B13">
        <f>'[1]SNO RTF daily report1'!B13</f>
        <v>0</v>
      </c>
      <c r="C13">
        <f>'[1]SNO RTF daily report1'!C13</f>
        <v>0</v>
      </c>
      <c r="D13" t="str">
        <f>'[1]SNO RTF daily report1'!D13</f>
        <v>DVD-ED 209 CUL3490</v>
      </c>
      <c r="E13">
        <f>'[1]SNO RTF daily report1'!E13</f>
        <v>0</v>
      </c>
      <c r="F13" t="str">
        <f>'[1]SNO RTF daily report1'!F13</f>
        <v>Cults dangerous devotion</v>
      </c>
      <c r="G13">
        <f>'[1]SNO RTF daily report1'!G13</f>
        <v>2009</v>
      </c>
      <c r="H13">
        <f>'[1]SNO RTF daily report1'!H13</f>
        <v>0</v>
      </c>
      <c r="I13">
        <f>'[1]SNO RTF daily report1'!I13</f>
        <v>0</v>
      </c>
    </row>
    <row r="14" spans="1:9" x14ac:dyDescent="0.25">
      <c r="A14" t="str">
        <f>'[1]SNO RTF daily report1'!A14</f>
        <v>DVD Educational</v>
      </c>
      <c r="B14">
        <f>'[1]SNO RTF daily report1'!B14</f>
        <v>0</v>
      </c>
      <c r="C14">
        <f>'[1]SNO RTF daily report1'!C14</f>
        <v>0</v>
      </c>
      <c r="D14" t="str">
        <f>'[1]SNO RTF daily report1'!D14</f>
        <v>DVD-ED 338.4762 SIL601</v>
      </c>
      <c r="E14">
        <f>'[1]SNO RTF daily report1'!E14</f>
        <v>0</v>
      </c>
      <c r="F14" t="str">
        <f>'[1]SNO RTF daily report1'!F14</f>
        <v>Silicon Valley</v>
      </c>
      <c r="G14">
        <f>'[1]SNO RTF daily report1'!G14</f>
        <v>2013</v>
      </c>
      <c r="H14">
        <f>'[1]SNO RTF daily report1'!H14</f>
        <v>0</v>
      </c>
      <c r="I14">
        <f>'[1]SNO RTF daily report1'!I14</f>
        <v>0</v>
      </c>
    </row>
    <row r="15" spans="1:9" x14ac:dyDescent="0.25">
      <c r="A15" t="str">
        <f>'[1]SNO RTF daily report1'!A15</f>
        <v>DVD Educational</v>
      </c>
      <c r="B15">
        <f>'[1]SNO RTF daily report1'!B15</f>
        <v>0</v>
      </c>
      <c r="C15">
        <f>'[1]SNO RTF daily report1'!C15</f>
        <v>0</v>
      </c>
      <c r="D15" t="str">
        <f>'[1]SNO RTF daily report1'!D15</f>
        <v>DVD-ED 512 ALG108</v>
      </c>
      <c r="E15">
        <f>'[1]SNO RTF daily report1'!E15</f>
        <v>0</v>
      </c>
      <c r="F15" t="str">
        <f>'[1]SNO RTF daily report1'!F15</f>
        <v>Algebra I DVD series. A1, Introduction to real numbers and variables</v>
      </c>
      <c r="G15">
        <f>'[1]SNO RTF daily report1'!G15</f>
        <v>2007</v>
      </c>
      <c r="H15">
        <f>'[1]SNO RTF daily report1'!H15</f>
        <v>0</v>
      </c>
      <c r="I15">
        <f>'[1]SNO RTF daily report1'!I15</f>
        <v>0</v>
      </c>
    </row>
    <row r="16" spans="1:9" x14ac:dyDescent="0.25">
      <c r="A16" t="str">
        <f>'[1]SNO RTF daily report1'!A16</f>
        <v>DVD Educational</v>
      </c>
      <c r="B16">
        <f>'[1]SNO RTF daily report1'!B16</f>
        <v>0</v>
      </c>
      <c r="C16">
        <f>'[1]SNO RTF daily report1'!C16</f>
        <v>0</v>
      </c>
      <c r="D16" t="str">
        <f>'[1]SNO RTF daily report1'!D16</f>
        <v>DVD-ED 782.4216 HEA559</v>
      </c>
      <c r="E16">
        <f>'[1]SNO RTF daily report1'!E16</f>
        <v>0</v>
      </c>
      <c r="F16" t="str">
        <f>'[1]SNO RTF daily report1'!F16</f>
        <v>Heart, alive in Seattle</v>
      </c>
      <c r="G16">
        <f>'[1]SNO RTF daily report1'!G16</f>
        <v>2003</v>
      </c>
      <c r="H16">
        <f>'[1]SNO RTF daily report1'!H16</f>
        <v>0</v>
      </c>
      <c r="I16">
        <f>'[1]SNO RTF daily report1'!I16</f>
        <v>0</v>
      </c>
    </row>
    <row r="17" spans="1:9" x14ac:dyDescent="0.25">
      <c r="A17" t="str">
        <f>'[1]SNO RTF daily report1'!A17</f>
        <v>DVD Television Series</v>
      </c>
      <c r="B17">
        <f>'[1]SNO RTF daily report1'!B17</f>
        <v>0</v>
      </c>
      <c r="C17">
        <f>'[1]SNO RTF daily report1'!C17</f>
        <v>0</v>
      </c>
      <c r="D17" t="str">
        <f>'[1]SNO RTF daily report1'!D17</f>
        <v>DVD DOC5706</v>
      </c>
      <c r="E17">
        <f>'[1]SNO RTF daily report1'!E17</f>
        <v>0</v>
      </c>
      <c r="F17" t="str">
        <f>'[1]SNO RTF daily report1'!F17</f>
        <v>Doctor Who. Dalek war</v>
      </c>
      <c r="G17">
        <f>'[1]SNO RTF daily report1'!G17</f>
        <v>2010</v>
      </c>
      <c r="H17">
        <f>'[1]SNO RTF daily report1'!H17</f>
        <v>0</v>
      </c>
      <c r="I17">
        <f>'[1]SNO RTF daily report1'!I17</f>
        <v>0</v>
      </c>
    </row>
    <row r="18" spans="1:9" x14ac:dyDescent="0.25">
      <c r="A18" t="str">
        <f>'[1]SNO RTF daily report1'!A18</f>
        <v>Easy Countdown</v>
      </c>
      <c r="B18">
        <f>'[1]SNO RTF daily report1'!B18</f>
        <v>0</v>
      </c>
      <c r="C18">
        <f>'[1]SNO RTF daily report1'!C18</f>
        <v>0</v>
      </c>
      <c r="D18" t="str">
        <f>'[1]SNO RTF daily report1'!D18</f>
        <v>E 398.8 MY VERY</v>
      </c>
      <c r="E18">
        <f>'[1]SNO RTF daily report1'!E18</f>
        <v>0</v>
      </c>
      <c r="F18" t="str">
        <f>'[1]SNO RTF daily report1'!F18</f>
        <v>My very first Mother Goose</v>
      </c>
      <c r="G18">
        <f>'[1]SNO RTF daily report1'!G18</f>
        <v>1996</v>
      </c>
      <c r="H18">
        <f>'[1]SNO RTF daily report1'!H18</f>
        <v>0</v>
      </c>
      <c r="I18">
        <f>'[1]SNO RTF daily report1'!I18</f>
        <v>0</v>
      </c>
    </row>
    <row r="19" spans="1:9" x14ac:dyDescent="0.25">
      <c r="A19" t="str">
        <f>'[1]SNO RTF daily report1'!A19</f>
        <v>Easy Countdown</v>
      </c>
      <c r="B19">
        <f>'[1]SNO RTF daily report1'!B19</f>
        <v>0</v>
      </c>
      <c r="C19">
        <f>'[1]SNO RTF daily report1'!C19</f>
        <v>0</v>
      </c>
      <c r="D19" t="str">
        <f>'[1]SNO RTF daily report1'!D19</f>
        <v>E BURNING</v>
      </c>
      <c r="E19" t="str">
        <f>'[1]SNO RTF daily report1'!E19</f>
        <v>Burningham, John.</v>
      </c>
      <c r="F19" t="str">
        <f>'[1]SNO RTF daily report1'!F19</f>
        <v>Mr. Gumpy's outing</v>
      </c>
      <c r="G19">
        <f>'[1]SNO RTF daily report1'!G19</f>
        <v>1970</v>
      </c>
      <c r="H19">
        <f>'[1]SNO RTF daily report1'!H19</f>
        <v>0</v>
      </c>
      <c r="I19">
        <f>'[1]SNO RTF daily report1'!I19</f>
        <v>0</v>
      </c>
    </row>
    <row r="20" spans="1:9" x14ac:dyDescent="0.25">
      <c r="A20" t="str">
        <f>'[1]SNO RTF daily report1'!A20</f>
        <v>Easy Countdown</v>
      </c>
      <c r="B20">
        <f>'[1]SNO RTF daily report1'!B20</f>
        <v>0</v>
      </c>
      <c r="C20">
        <f>'[1]SNO RTF daily report1'!C20</f>
        <v>0</v>
      </c>
      <c r="D20" t="str">
        <f>'[1]SNO RTF daily report1'!D20</f>
        <v>E SHANNON</v>
      </c>
      <c r="E20" t="str">
        <f>'[1]SNO RTF daily report1'!E20</f>
        <v>Shannon, David, 1959-</v>
      </c>
      <c r="F20" t="str">
        <f>'[1]SNO RTF daily report1'!F20</f>
        <v>No, David!</v>
      </c>
      <c r="G20">
        <f>'[1]SNO RTF daily report1'!G20</f>
        <v>1998</v>
      </c>
      <c r="H20">
        <f>'[1]SNO RTF daily report1'!H20</f>
        <v>0</v>
      </c>
      <c r="I20">
        <f>'[1]SNO RTF daily report1'!I20</f>
        <v>0</v>
      </c>
    </row>
    <row r="21" spans="1:9" x14ac:dyDescent="0.25">
      <c r="A21" t="str">
        <f>'[1]SNO RTF daily report1'!A21</f>
        <v>Fiction</v>
      </c>
      <c r="B21">
        <f>'[1]SNO RTF daily report1'!B21</f>
        <v>0</v>
      </c>
      <c r="C21">
        <f>'[1]SNO RTF daily report1'!C21</f>
        <v>0</v>
      </c>
      <c r="D21" t="str">
        <f>'[1]SNO RTF daily report1'!D21</f>
        <v>FIC FITZGER</v>
      </c>
      <c r="E21" t="str">
        <f>'[1]SNO RTF daily report1'!E21</f>
        <v>Fitzgerald, F. Scott (Francis Scott), 1896-1940.</v>
      </c>
      <c r="F21" t="str">
        <f>'[1]SNO RTF daily report1'!F21</f>
        <v>This side of paradise</v>
      </c>
      <c r="G21">
        <f>'[1]SNO RTF daily report1'!G21</f>
        <v>1996</v>
      </c>
      <c r="H21">
        <f>'[1]SNO RTF daily report1'!H21</f>
        <v>0</v>
      </c>
      <c r="I21">
        <f>'[1]SNO RTF daily report1'!I21</f>
        <v>0</v>
      </c>
    </row>
    <row r="22" spans="1:9" x14ac:dyDescent="0.25">
      <c r="A22" t="str">
        <f>'[1]SNO RTF daily report1'!A22</f>
        <v>Fiction</v>
      </c>
      <c r="B22">
        <f>'[1]SNO RTF daily report1'!B22</f>
        <v>0</v>
      </c>
      <c r="C22">
        <f>'[1]SNO RTF daily report1'!C22</f>
        <v>0</v>
      </c>
      <c r="D22" t="str">
        <f>'[1]SNO RTF daily report1'!D22</f>
        <v>FIC GALENOR</v>
      </c>
      <c r="E22" t="str">
        <f>'[1]SNO RTF daily report1'!E22</f>
        <v>Galenorn, Yasmine, 1961-</v>
      </c>
      <c r="F22" t="str">
        <f>'[1]SNO RTF daily report1'!F22</f>
        <v>Night seeker</v>
      </c>
      <c r="G22">
        <f>'[1]SNO RTF daily report1'!G22</f>
        <v>2012</v>
      </c>
      <c r="H22">
        <f>'[1]SNO RTF daily report1'!H22</f>
        <v>0</v>
      </c>
      <c r="I22">
        <f>'[1]SNO RTF daily report1'!I22</f>
        <v>0</v>
      </c>
    </row>
    <row r="23" spans="1:9" x14ac:dyDescent="0.25">
      <c r="A23" t="str">
        <f>'[1]SNO RTF daily report1'!A23</f>
        <v>Fiction</v>
      </c>
      <c r="B23">
        <f>'[1]SNO RTF daily report1'!B23</f>
        <v>0</v>
      </c>
      <c r="C23">
        <f>'[1]SNO RTF daily report1'!C23</f>
        <v>0</v>
      </c>
      <c r="D23" t="str">
        <f>'[1]SNO RTF daily report1'!D23</f>
        <v>FIC JOHNSON</v>
      </c>
      <c r="E23" t="str">
        <f>'[1]SNO RTF daily report1'!E23</f>
        <v>Johnson, Dorothy M.</v>
      </c>
      <c r="F23" t="str">
        <f>'[1]SNO RTF daily report1'!F23</f>
        <v>Indian country</v>
      </c>
      <c r="G23">
        <f>'[1]SNO RTF daily report1'!G23</f>
        <v>1995</v>
      </c>
      <c r="H23">
        <f>'[1]SNO RTF daily report1'!H23</f>
        <v>0</v>
      </c>
      <c r="I23">
        <f>'[1]SNO RTF daily report1'!I23</f>
        <v>0</v>
      </c>
    </row>
    <row r="24" spans="1:9" x14ac:dyDescent="0.25">
      <c r="A24" t="str">
        <f>'[1]SNO RTF daily report1'!A24</f>
        <v>Fiction</v>
      </c>
      <c r="B24">
        <f>'[1]SNO RTF daily report1'!B24</f>
        <v>0</v>
      </c>
      <c r="C24">
        <f>'[1]SNO RTF daily report1'!C24</f>
        <v>0</v>
      </c>
      <c r="D24" t="str">
        <f>'[1]SNO RTF daily report1'!D24</f>
        <v>FIC PANZERA</v>
      </c>
      <c r="E24" t="str">
        <f>'[1]SNO RTF daily report1'!E24</f>
        <v>Panzera, Darlene.</v>
      </c>
      <c r="F24" t="str">
        <f>'[1]SNO RTF daily report1'!F24</f>
        <v>Sweet on you</v>
      </c>
      <c r="G24">
        <f>'[1]SNO RTF daily report1'!G24</f>
        <v>2013</v>
      </c>
      <c r="H24">
        <f>'[1]SNO RTF daily report1'!H24</f>
        <v>0</v>
      </c>
      <c r="I24">
        <f>'[1]SNO RTF daily report1'!I24</f>
        <v>0</v>
      </c>
    </row>
    <row r="25" spans="1:9" x14ac:dyDescent="0.25">
      <c r="A25" t="str">
        <f>'[1]SNO RTF daily report1'!A25</f>
        <v>Fiction</v>
      </c>
      <c r="B25">
        <f>'[1]SNO RTF daily report1'!B25</f>
        <v>0</v>
      </c>
      <c r="C25">
        <f>'[1]SNO RTF daily report1'!C25</f>
        <v>0</v>
      </c>
      <c r="D25" t="str">
        <f>'[1]SNO RTF daily report1'!D25</f>
        <v>FIC SHORS</v>
      </c>
      <c r="E25" t="str">
        <f>'[1]SNO RTF daily report1'!E25</f>
        <v>Shors, John, 1969-</v>
      </c>
      <c r="F25" t="str">
        <f>'[1]SNO RTF daily report1'!F25</f>
        <v>Beside a burning sea</v>
      </c>
      <c r="G25">
        <f>'[1]SNO RTF daily report1'!G25</f>
        <v>2008</v>
      </c>
      <c r="H25">
        <f>'[1]SNO RTF daily report1'!H25</f>
        <v>0</v>
      </c>
      <c r="I25">
        <f>'[1]SNO RTF daily report1'!I25</f>
        <v>0</v>
      </c>
    </row>
    <row r="26" spans="1:9" x14ac:dyDescent="0.25">
      <c r="A26" t="str">
        <f>'[1]SNO RTF daily report1'!A26</f>
        <v>Fiction Mystery</v>
      </c>
      <c r="B26">
        <f>'[1]SNO RTF daily report1'!B26</f>
        <v>0</v>
      </c>
      <c r="C26">
        <f>'[1]SNO RTF daily report1'!C26</f>
        <v>0</v>
      </c>
      <c r="D26" t="str">
        <f>'[1]SNO RTF daily report1'!D26</f>
        <v>FIC BENN</v>
      </c>
      <c r="E26" t="str">
        <f>'[1]SNO RTF daily report1'!E26</f>
        <v>Benn, James R.</v>
      </c>
      <c r="F26" t="str">
        <f>'[1]SNO RTF daily report1'!F26</f>
        <v>A blind goddess</v>
      </c>
      <c r="G26">
        <f>'[1]SNO RTF daily report1'!G26</f>
        <v>2013</v>
      </c>
      <c r="H26">
        <f>'[1]SNO RTF daily report1'!H26</f>
        <v>0</v>
      </c>
      <c r="I26">
        <f>'[1]SNO RTF daily report1'!I26</f>
        <v>0</v>
      </c>
    </row>
    <row r="27" spans="1:9" x14ac:dyDescent="0.25">
      <c r="A27" t="str">
        <f>'[1]SNO RTF daily report1'!A27</f>
        <v>Fiction Mystery</v>
      </c>
      <c r="B27">
        <f>'[1]SNO RTF daily report1'!B27</f>
        <v>0</v>
      </c>
      <c r="C27" t="str">
        <f>'[1]SNO RTF daily report1'!C27</f>
        <v>New Books</v>
      </c>
      <c r="D27" t="str">
        <f>'[1]SNO RTF daily report1'!D27</f>
        <v>FIC DAHEIM</v>
      </c>
      <c r="E27" t="str">
        <f>'[1]SNO RTF daily report1'!E27</f>
        <v>Daheim, Mary.</v>
      </c>
      <c r="F27" t="str">
        <f>'[1]SNO RTF daily report1'!F27</f>
        <v>The Alpine yeoman</v>
      </c>
      <c r="G27">
        <f>'[1]SNO RTF daily report1'!G27</f>
        <v>2014</v>
      </c>
      <c r="H27">
        <f>'[1]SNO RTF daily report1'!H27</f>
        <v>0</v>
      </c>
      <c r="I27">
        <f>'[1]SNO RTF daily report1'!I27</f>
        <v>0</v>
      </c>
    </row>
    <row r="28" spans="1:9" x14ac:dyDescent="0.25">
      <c r="A28" t="str">
        <f>'[1]SNO RTF daily report1'!A28</f>
        <v>Fiction Mystery</v>
      </c>
      <c r="B28">
        <f>'[1]SNO RTF daily report1'!B28</f>
        <v>0</v>
      </c>
      <c r="C28">
        <f>'[1]SNO RTF daily report1'!C28</f>
        <v>0</v>
      </c>
      <c r="D28" t="str">
        <f>'[1]SNO RTF daily report1'!D28</f>
        <v>FIC FRENCH</v>
      </c>
      <c r="E28" t="str">
        <f>'[1]SNO RTF daily report1'!E28</f>
        <v>French, Tana.</v>
      </c>
      <c r="F28" t="str">
        <f>'[1]SNO RTF daily report1'!F28</f>
        <v>Faithful Place</v>
      </c>
      <c r="G28">
        <f>'[1]SNO RTF daily report1'!G28</f>
        <v>2010</v>
      </c>
      <c r="H28">
        <f>'[1]SNO RTF daily report1'!H28</f>
        <v>0</v>
      </c>
      <c r="I28">
        <f>'[1]SNO RTF daily report1'!I28</f>
        <v>0</v>
      </c>
    </row>
    <row r="29" spans="1:9" x14ac:dyDescent="0.25">
      <c r="A29" t="str">
        <f>'[1]SNO RTF daily report1'!A29</f>
        <v>Juvenile Compact Disc</v>
      </c>
      <c r="B29">
        <f>'[1]SNO RTF daily report1'!B29</f>
        <v>0</v>
      </c>
      <c r="C29">
        <f>'[1]SNO RTF daily report1'!C29</f>
        <v>0</v>
      </c>
      <c r="D29" t="str">
        <f>'[1]SNO RTF daily report1'!D29</f>
        <v>J CD OM ACO307</v>
      </c>
      <c r="E29">
        <f>'[1]SNO RTF daily report1'!E29</f>
        <v>0</v>
      </c>
      <c r="F29" t="str">
        <f>'[1]SNO RTF daily report1'!F29</f>
        <v>Acoustic dreamland Putumayo kids.</v>
      </c>
      <c r="G29">
        <f>'[1]SNO RTF daily report1'!G29</f>
        <v>2011</v>
      </c>
      <c r="H29">
        <f>'[1]SNO RTF daily report1'!H29</f>
        <v>0</v>
      </c>
      <c r="I29">
        <f>'[1]SNO RTF daily report1'!I29</f>
        <v>0</v>
      </c>
    </row>
    <row r="30" spans="1:9" x14ac:dyDescent="0.25">
      <c r="A30" t="str">
        <f>'[1]SNO RTF daily report1'!A30</f>
        <v>Juvenile Compact Disc</v>
      </c>
      <c r="B30">
        <f>'[1]SNO RTF daily report1'!B30</f>
        <v>0</v>
      </c>
      <c r="C30">
        <f>'[1]SNO RTF daily report1'!C30</f>
        <v>0</v>
      </c>
      <c r="D30" t="str">
        <f>'[1]SNO RTF daily report1'!D30</f>
        <v>J CD OM BERKNER</v>
      </c>
      <c r="E30" t="str">
        <f>'[1]SNO RTF daily report1'!E30</f>
        <v>Berkner, Laurie, composer, performer.</v>
      </c>
      <c r="F30" t="str">
        <f>'[1]SNO RTF daily report1'!F30</f>
        <v>Laurie Berkner lullabies.</v>
      </c>
      <c r="G30">
        <f>'[1]SNO RTF daily report1'!G30</f>
        <v>2014</v>
      </c>
      <c r="H30">
        <f>'[1]SNO RTF daily report1'!H30</f>
        <v>0</v>
      </c>
      <c r="I30">
        <f>'[1]SNO RTF daily report1'!I30</f>
        <v>0</v>
      </c>
    </row>
    <row r="31" spans="1:9" x14ac:dyDescent="0.25">
      <c r="A31" t="str">
        <f>'[1]SNO RTF daily report1'!A31</f>
        <v>Juvenile Compact Disc</v>
      </c>
      <c r="B31">
        <f>'[1]SNO RTF daily report1'!B31</f>
        <v>0</v>
      </c>
      <c r="C31">
        <f>'[1]SNO RTF daily report1'!C31</f>
        <v>0</v>
      </c>
      <c r="D31" t="str">
        <f>'[1]SNO RTF daily report1'!D31</f>
        <v>J CD OM CAL2419</v>
      </c>
      <c r="E31">
        <f>'[1]SNO RTF daily report1'!E31</f>
        <v>0</v>
      </c>
      <c r="F31" t="str">
        <f>'[1]SNO RTF daily report1'!F31</f>
        <v>Calming world lullabies</v>
      </c>
      <c r="G31">
        <f>'[1]SNO RTF daily report1'!G31</f>
        <v>2012</v>
      </c>
      <c r="H31">
        <f>'[1]SNO RTF daily report1'!H31</f>
        <v>0</v>
      </c>
      <c r="I31">
        <f>'[1]SNO RTF daily report1'!I31</f>
        <v>0</v>
      </c>
    </row>
    <row r="32" spans="1:9" x14ac:dyDescent="0.25">
      <c r="A32" t="str">
        <f>'[1]SNO RTF daily report1'!A32</f>
        <v>Juvenile Compact Disc</v>
      </c>
      <c r="B32">
        <f>'[1]SNO RTF daily report1'!B32</f>
        <v>0</v>
      </c>
      <c r="C32">
        <f>'[1]SNO RTF daily report1'!C32</f>
        <v>0</v>
      </c>
      <c r="D32" t="str">
        <f>'[1]SNO RTF daily report1'!D32</f>
        <v>J CD OM HOT1120</v>
      </c>
      <c r="E32" t="str">
        <f>'[1]SNO RTF daily report1'!E32</f>
        <v>Hot Peas 'n Butter (Musical group), performer.</v>
      </c>
      <c r="F32" t="str">
        <f>'[1]SNO RTF daily report1'!F32</f>
        <v>Hot peas 'n butter. Volume 6, Catchin' some peaz the lullabies.</v>
      </c>
      <c r="G32">
        <f>'[1]SNO RTF daily report1'!G32</f>
        <v>2012</v>
      </c>
      <c r="H32">
        <f>'[1]SNO RTF daily report1'!H32</f>
        <v>0</v>
      </c>
      <c r="I32">
        <f>'[1]SNO RTF daily report1'!I32</f>
        <v>0</v>
      </c>
    </row>
    <row r="33" spans="1:9" x14ac:dyDescent="0.25">
      <c r="A33" t="str">
        <f>'[1]SNO RTF daily report1'!A33</f>
        <v>Juvenile Compact Disc</v>
      </c>
      <c r="B33">
        <f>'[1]SNO RTF daily report1'!B33</f>
        <v>0</v>
      </c>
      <c r="C33">
        <f>'[1]SNO RTF daily report1'!C33</f>
        <v>0</v>
      </c>
      <c r="D33" t="str">
        <f>'[1]SNO RTF daily report1'!D33</f>
        <v>J CD OM JON638</v>
      </c>
      <c r="E33" t="str">
        <f>'[1]SNO RTF daily report1'!E33</f>
        <v>Jones, Dean, musician.</v>
      </c>
      <c r="F33" t="str">
        <f>'[1]SNO RTF daily report1'!F33</f>
        <v>Napper's delight</v>
      </c>
      <c r="G33">
        <f>'[1]SNO RTF daily report1'!G33</f>
        <v>2007</v>
      </c>
      <c r="H33">
        <f>'[1]SNO RTF daily report1'!H33</f>
        <v>0</v>
      </c>
      <c r="I33">
        <f>'[1]SNO RTF daily report1'!I33</f>
        <v>0</v>
      </c>
    </row>
    <row r="34" spans="1:9" x14ac:dyDescent="0.25">
      <c r="A34" t="str">
        <f>'[1]SNO RTF daily report1'!A34</f>
        <v>Juvenile Compact Disc</v>
      </c>
      <c r="B34">
        <f>'[1]SNO RTF daily report1'!B34</f>
        <v>0</v>
      </c>
      <c r="C34">
        <f>'[1]SNO RTF daily report1'!C34</f>
        <v>0</v>
      </c>
      <c r="D34" t="str">
        <f>'[1]SNO RTF daily report1'!D34</f>
        <v>J CD OM MY FIRS</v>
      </c>
      <c r="E34">
        <f>'[1]SNO RTF daily report1'!E34</f>
        <v>0</v>
      </c>
      <c r="F34" t="str">
        <f>'[1]SNO RTF daily report1'!F34</f>
        <v>My first orchestra album</v>
      </c>
      <c r="G34">
        <f>'[1]SNO RTF daily report1'!G34</f>
        <v>2013</v>
      </c>
      <c r="H34">
        <f>'[1]SNO RTF daily report1'!H34</f>
        <v>0</v>
      </c>
      <c r="I34">
        <f>'[1]SNO RTF daily report1'!I34</f>
        <v>0</v>
      </c>
    </row>
    <row r="35" spans="1:9" x14ac:dyDescent="0.25">
      <c r="A35" t="str">
        <f>'[1]SNO RTF daily report1'!A35</f>
        <v>Juvenile Compact Disc</v>
      </c>
      <c r="B35">
        <f>'[1]SNO RTF daily report1'!B35</f>
        <v>0</v>
      </c>
      <c r="C35">
        <f>'[1]SNO RTF daily report1'!C35</f>
        <v>0</v>
      </c>
      <c r="D35" t="str">
        <f>'[1]SNO RTF daily report1'!D35</f>
        <v>J CD OM MYF8213</v>
      </c>
      <c r="E35">
        <f>'[1]SNO RTF daily report1'!E35</f>
        <v>0</v>
      </c>
      <c r="F35" t="str">
        <f>'[1]SNO RTF daily report1'!F35</f>
        <v>My first lullaby album</v>
      </c>
      <c r="G35">
        <f>'[1]SNO RTF daily report1'!G35</f>
        <v>2012</v>
      </c>
      <c r="H35">
        <f>'[1]SNO RTF daily report1'!H35</f>
        <v>0</v>
      </c>
      <c r="I35">
        <f>'[1]SNO RTF daily report1'!I35</f>
        <v>0</v>
      </c>
    </row>
    <row r="36" spans="1:9" x14ac:dyDescent="0.25">
      <c r="A36" t="str">
        <f>'[1]SNO RTF daily report1'!A36</f>
        <v>Juvenile Compact Disc</v>
      </c>
      <c r="B36">
        <f>'[1]SNO RTF daily report1'!B36</f>
        <v>0</v>
      </c>
      <c r="C36">
        <f>'[1]SNO RTF daily report1'!C36</f>
        <v>0</v>
      </c>
      <c r="D36" t="str">
        <f>'[1]SNO RTF daily report1'!D36</f>
        <v>J CD OM PALMER</v>
      </c>
      <c r="E36" t="str">
        <f>'[1]SNO RTF daily report1'!E36</f>
        <v>Palmer, Hap, 1942-</v>
      </c>
      <c r="F36" t="str">
        <f>'[1]SNO RTF daily report1'!F36</f>
        <v>So big activity songs for little ones</v>
      </c>
      <c r="G36">
        <f>'[1]SNO RTF daily report1'!G36</f>
        <v>1994</v>
      </c>
      <c r="H36">
        <f>'[1]SNO RTF daily report1'!H36</f>
        <v>0</v>
      </c>
      <c r="I36">
        <f>'[1]SNO RTF daily report1'!I36</f>
        <v>0</v>
      </c>
    </row>
    <row r="37" spans="1:9" x14ac:dyDescent="0.25">
      <c r="A37" t="str">
        <f>'[1]SNO RTF daily report1'!A37</f>
        <v>Juvenile Compact Disc</v>
      </c>
      <c r="B37">
        <f>'[1]SNO RTF daily report1'!B37</f>
        <v>0</v>
      </c>
      <c r="C37">
        <f>'[1]SNO RTF daily report1'!C37</f>
        <v>0</v>
      </c>
      <c r="D37" t="str">
        <f>'[1]SNO RTF daily report1'!D37</f>
        <v>J CD OM ROC9693</v>
      </c>
      <c r="E37">
        <f>'[1]SNO RTF daily report1'!E37</f>
        <v>0</v>
      </c>
      <c r="F37" t="str">
        <f>'[1]SNO RTF daily report1'!F37</f>
        <v>Rockabye baby!. more lullaby renditions of U2</v>
      </c>
      <c r="G37">
        <f>'[1]SNO RTF daily report1'!G37</f>
        <v>2012</v>
      </c>
      <c r="H37">
        <f>'[1]SNO RTF daily report1'!H37</f>
        <v>0</v>
      </c>
      <c r="I37">
        <f>'[1]SNO RTF daily report1'!I37</f>
        <v>0</v>
      </c>
    </row>
    <row r="38" spans="1:9" x14ac:dyDescent="0.25">
      <c r="A38" t="str">
        <f>'[1]SNO RTF daily report1'!A38</f>
        <v>Juvenile DVD</v>
      </c>
      <c r="B38">
        <f>'[1]SNO RTF daily report1'!B38</f>
        <v>0</v>
      </c>
      <c r="C38">
        <f>'[1]SNO RTF daily report1'!C38</f>
        <v>0</v>
      </c>
      <c r="D38" t="str">
        <f>'[1]SNO RTF daily report1'!D38</f>
        <v>J DVD THO1694</v>
      </c>
      <c r="E38">
        <f>'[1]SNO RTF daily report1'!E38</f>
        <v>0</v>
      </c>
      <c r="F38" t="str">
        <f>'[1]SNO RTF daily report1'!F38</f>
        <v>Thomas &amp; friends. Merry Christmas Thomas</v>
      </c>
      <c r="G38">
        <f>'[1]SNO RTF daily report1'!G38</f>
        <v>2011</v>
      </c>
      <c r="H38">
        <f>'[1]SNO RTF daily report1'!H38</f>
        <v>0</v>
      </c>
      <c r="I38">
        <f>'[1]SNO RTF daily report1'!I38</f>
        <v>0</v>
      </c>
    </row>
    <row r="39" spans="1:9" x14ac:dyDescent="0.25">
      <c r="A39" t="str">
        <f>'[1]SNO RTF daily report1'!A39</f>
        <v>Juvenile Fiction</v>
      </c>
      <c r="B39">
        <f>'[1]SNO RTF daily report1'!B39</f>
        <v>0</v>
      </c>
      <c r="C39">
        <f>'[1]SNO RTF daily report1'!C39</f>
        <v>0</v>
      </c>
      <c r="D39" t="str">
        <f>'[1]SNO RTF daily report1'!D39</f>
        <v>J NAPOLI</v>
      </c>
      <c r="E39" t="str">
        <f>'[1]SNO RTF daily report1'!E39</f>
        <v>Napoli, Donna Jo, 1948-</v>
      </c>
      <c r="F39" t="str">
        <f>'[1]SNO RTF daily report1'!F39</f>
        <v>Ugly</v>
      </c>
      <c r="G39">
        <f>'[1]SNO RTF daily report1'!G39</f>
        <v>2006</v>
      </c>
      <c r="H39">
        <f>'[1]SNO RTF daily report1'!H39</f>
        <v>0</v>
      </c>
      <c r="I39">
        <f>'[1]SNO RTF daily report1'!I39</f>
        <v>0</v>
      </c>
    </row>
    <row r="40" spans="1:9" x14ac:dyDescent="0.25">
      <c r="A40" t="str">
        <f>'[1]SNO RTF daily report1'!A40</f>
        <v>Juvenile Fiction</v>
      </c>
      <c r="B40">
        <f>'[1]SNO RTF daily report1'!B40</f>
        <v>0</v>
      </c>
      <c r="C40">
        <f>'[1]SNO RTF daily report1'!C40</f>
        <v>0</v>
      </c>
      <c r="D40" t="str">
        <f>'[1]SNO RTF daily report1'!D40</f>
        <v>J SUTHERL</v>
      </c>
      <c r="E40" t="str">
        <f>'[1]SNO RTF daily report1'!E40</f>
        <v>Sutherland, Tui, 1978-</v>
      </c>
      <c r="F40" t="str">
        <f>'[1]SNO RTF daily report1'!F40</f>
        <v>The hidden kingdom</v>
      </c>
      <c r="G40">
        <f>'[1]SNO RTF daily report1'!G40</f>
        <v>2013</v>
      </c>
      <c r="H40">
        <f>'[1]SNO RTF daily report1'!H40</f>
        <v>0</v>
      </c>
      <c r="I40">
        <f>'[1]SNO RTF daily report1'!I40</f>
        <v>0</v>
      </c>
    </row>
    <row r="41" spans="1:9" x14ac:dyDescent="0.25">
      <c r="A41" t="str">
        <f>'[1]SNO RTF daily report1'!A41</f>
        <v>Juvenile Magazine</v>
      </c>
      <c r="B41">
        <f>'[1]SNO RTF daily report1'!B41</f>
        <v>0</v>
      </c>
      <c r="C41" t="str">
        <f>'[1]SNO RTF daily report1'!C41</f>
        <v>In Library Use Only</v>
      </c>
      <c r="D41">
        <f>'[1]SNO RTF daily report1'!D41</f>
        <v>0</v>
      </c>
      <c r="E41">
        <f>'[1]SNO RTF daily report1'!E41</f>
        <v>0</v>
      </c>
      <c r="F41" t="str">
        <f>'[1]SNO RTF daily report1'!F41</f>
        <v>Discovery girls. v. 14 no. 5  (Aug./Sep. 2014)</v>
      </c>
      <c r="G41">
        <f>'[1]SNO RTF daily report1'!G41</f>
        <v>2000</v>
      </c>
      <c r="H41">
        <f>'[1]SNO RTF daily report1'!H41</f>
        <v>0</v>
      </c>
      <c r="I41">
        <f>'[1]SNO RTF daily report1'!I41</f>
        <v>0</v>
      </c>
    </row>
    <row r="42" spans="1:9" x14ac:dyDescent="0.25">
      <c r="A42" t="str">
        <f>'[1]SNO RTF daily report1'!A42</f>
        <v>Magazine</v>
      </c>
      <c r="B42">
        <f>'[1]SNO RTF daily report1'!B42</f>
        <v>0</v>
      </c>
      <c r="C42" t="str">
        <f>'[1]SNO RTF daily report1'!C42</f>
        <v>In Library Use Only</v>
      </c>
      <c r="D42">
        <f>'[1]SNO RTF daily report1'!D42</f>
        <v>0</v>
      </c>
      <c r="E42">
        <f>'[1]SNO RTF daily report1'!E42</f>
        <v>0</v>
      </c>
      <c r="F42" t="str">
        <f>'[1]SNO RTF daily report1'!F42</f>
        <v>Elle. Vol. 29 No. 12  (August 2014)</v>
      </c>
      <c r="G42">
        <f>'[1]SNO RTF daily report1'!G42</f>
        <v>1985</v>
      </c>
      <c r="H42">
        <f>'[1]SNO RTF daily report1'!H42</f>
        <v>0</v>
      </c>
      <c r="I42">
        <f>'[1]SNO RTF daily report1'!I42</f>
        <v>0</v>
      </c>
    </row>
    <row r="43" spans="1:9" x14ac:dyDescent="0.25">
      <c r="A43" t="str">
        <f>'[1]SNO RTF daily report1'!A43</f>
        <v>Magazine</v>
      </c>
      <c r="B43">
        <f>'[1]SNO RTF daily report1'!B43</f>
        <v>0</v>
      </c>
      <c r="C43" t="str">
        <f>'[1]SNO RTF daily report1'!C43</f>
        <v>In Library Use Only</v>
      </c>
      <c r="D43">
        <f>'[1]SNO RTF daily report1'!D43</f>
        <v>0</v>
      </c>
      <c r="E43">
        <f>'[1]SNO RTF daily report1'!E43</f>
        <v>0</v>
      </c>
      <c r="F43" t="str">
        <f>'[1]SNO RTF daily report1'!F43</f>
        <v>Print. v. 68 no. 4  (Aug. 2014)</v>
      </c>
      <c r="G43">
        <f>'[1]SNO RTF daily report1'!G43</f>
        <v>1940</v>
      </c>
      <c r="H43">
        <f>'[1]SNO RTF daily report1'!H43</f>
        <v>0</v>
      </c>
      <c r="I43">
        <f>'[1]SNO RTF daily report1'!I43</f>
        <v>0</v>
      </c>
    </row>
    <row r="44" spans="1:9" x14ac:dyDescent="0.25">
      <c r="A44" t="str">
        <f>'[1]SNO RTF daily report1'!A44</f>
        <v>Magazine</v>
      </c>
      <c r="B44">
        <f>'[1]SNO RTF daily report1'!B44</f>
        <v>0</v>
      </c>
      <c r="C44" t="str">
        <f>'[1]SNO RTF daily report1'!C44</f>
        <v>In Library Use Only</v>
      </c>
      <c r="D44">
        <f>'[1]SNO RTF daily report1'!D44</f>
        <v>0</v>
      </c>
      <c r="E44">
        <f>'[1]SNO RTF daily report1'!E44</f>
        <v>0</v>
      </c>
      <c r="F44" t="str">
        <f>'[1]SNO RTF daily report1'!F44</f>
        <v>Arts and activities. v. 155 no. 5  (June 2014)</v>
      </c>
      <c r="G44">
        <f>'[1]SNO RTF daily report1'!G44</f>
        <v>1955</v>
      </c>
      <c r="H44">
        <f>'[1]SNO RTF daily report1'!H44</f>
        <v>0</v>
      </c>
      <c r="I44">
        <f>'[1]SNO RTF daily report1'!I44</f>
        <v>0</v>
      </c>
    </row>
    <row r="45" spans="1:9" x14ac:dyDescent="0.25">
      <c r="A45" t="str">
        <f>'[1]SNO RTF daily report1'!A45</f>
        <v>Magazine</v>
      </c>
      <c r="B45">
        <f>'[1]SNO RTF daily report1'!B45</f>
        <v>0</v>
      </c>
      <c r="C45" t="str">
        <f>'[1]SNO RTF daily report1'!C45</f>
        <v>In Library Use Only</v>
      </c>
      <c r="D45">
        <f>'[1]SNO RTF daily report1'!D45</f>
        <v>0</v>
      </c>
      <c r="E45">
        <f>'[1]SNO RTF daily report1'!E45</f>
        <v>0</v>
      </c>
      <c r="F45" t="str">
        <f>'[1]SNO RTF daily report1'!F45</f>
        <v>Birds &amp; blooms. Vol. 20 No. 4  (August/September 2014)</v>
      </c>
      <c r="G45">
        <f>'[1]SNO RTF daily report1'!G45</f>
        <v>1995</v>
      </c>
      <c r="H45">
        <f>'[1]SNO RTF daily report1'!H45</f>
        <v>0</v>
      </c>
      <c r="I45">
        <f>'[1]SNO RTF daily report1'!I45</f>
        <v>0</v>
      </c>
    </row>
    <row r="46" spans="1:9" x14ac:dyDescent="0.25">
      <c r="A46" t="str">
        <f>'[1]SNO RTF daily report1'!A46</f>
        <v>Magazine</v>
      </c>
      <c r="B46">
        <f>'[1]SNO RTF daily report1'!B46</f>
        <v>0</v>
      </c>
      <c r="C46" t="str">
        <f>'[1]SNO RTF daily report1'!C46</f>
        <v>In Library Use Only</v>
      </c>
      <c r="D46">
        <f>'[1]SNO RTF daily report1'!D46</f>
        <v>0</v>
      </c>
      <c r="E46">
        <f>'[1]SNO RTF daily report1'!E46</f>
        <v>0</v>
      </c>
      <c r="F46" t="str">
        <f>'[1]SNO RTF daily report1'!F46</f>
        <v>Taunton's fine cooking. Issue 130  (August/September 2014)</v>
      </c>
      <c r="G46">
        <f>'[1]SNO RTF daily report1'!G46</f>
        <v>1994</v>
      </c>
      <c r="H46">
        <f>'[1]SNO RTF daily report1'!H46</f>
        <v>0</v>
      </c>
      <c r="I46">
        <f>'[1]SNO RTF daily report1'!I46</f>
        <v>0</v>
      </c>
    </row>
    <row r="47" spans="1:9" x14ac:dyDescent="0.25">
      <c r="A47" t="str">
        <f>'[1]SNO RTF daily report1'!A47</f>
        <v>Magazine</v>
      </c>
      <c r="B47">
        <f>'[1]SNO RTF daily report1'!B47</f>
        <v>0</v>
      </c>
      <c r="C47" t="str">
        <f>'[1]SNO RTF daily report1'!C47</f>
        <v>In Library Use Only</v>
      </c>
      <c r="D47">
        <f>'[1]SNO RTF daily report1'!D47</f>
        <v>0</v>
      </c>
      <c r="E47">
        <f>'[1]SNO RTF daily report1'!E47</f>
        <v>0</v>
      </c>
      <c r="F47" t="str">
        <f>'[1]SNO RTF daily report1'!F47</f>
        <v>Puget Sound consumers' checkbook. v. 5 no. 4  (Spring/Summer 2014)</v>
      </c>
      <c r="G47">
        <f>'[1]SNO RTF daily report1'!G47</f>
        <v>2003</v>
      </c>
      <c r="H47">
        <f>'[1]SNO RTF daily report1'!H47</f>
        <v>0</v>
      </c>
      <c r="I47">
        <f>'[1]SNO RTF daily report1'!I47</f>
        <v>0</v>
      </c>
    </row>
    <row r="48" spans="1:9" x14ac:dyDescent="0.25">
      <c r="A48" t="str">
        <f>'[1]SNO RTF daily report1'!A48</f>
        <v>Magazine</v>
      </c>
      <c r="B48">
        <f>'[1]SNO RTF daily report1'!B48</f>
        <v>0</v>
      </c>
      <c r="C48" t="str">
        <f>'[1]SNO RTF daily report1'!C48</f>
        <v>In Library Use Only</v>
      </c>
      <c r="D48">
        <f>'[1]SNO RTF daily report1'!D48</f>
        <v>0</v>
      </c>
      <c r="E48">
        <f>'[1]SNO RTF daily report1'!E48</f>
        <v>0</v>
      </c>
      <c r="F48" t="str">
        <f>'[1]SNO RTF daily report1'!F48</f>
        <v>Beadwork. v. 17 no. 5  (Aug./Sep. 2014)</v>
      </c>
      <c r="G48">
        <f>'[1]SNO RTF daily report1'!G48</f>
        <v>1998</v>
      </c>
      <c r="H48">
        <f>'[1]SNO RTF daily report1'!H48</f>
        <v>0</v>
      </c>
      <c r="I48">
        <f>'[1]SNO RTF daily report1'!I48</f>
        <v>0</v>
      </c>
    </row>
    <row r="49" spans="1:9" x14ac:dyDescent="0.25">
      <c r="A49" t="str">
        <f>'[1]SNO RTF daily report1'!A49</f>
        <v>Magazine</v>
      </c>
      <c r="B49">
        <f>'[1]SNO RTF daily report1'!B49</f>
        <v>0</v>
      </c>
      <c r="C49" t="str">
        <f>'[1]SNO RTF daily report1'!C49</f>
        <v>In Library Use Only</v>
      </c>
      <c r="D49">
        <f>'[1]SNO RTF daily report1'!D49</f>
        <v>0</v>
      </c>
      <c r="E49">
        <f>'[1]SNO RTF daily report1'!E49</f>
        <v>0</v>
      </c>
      <c r="F49" t="str">
        <f>'[1]SNO RTF daily report1'!F49</f>
        <v>Discover Britain. no. 177  (July/Aug. 2014)</v>
      </c>
      <c r="G49">
        <f>'[1]SNO RTF daily report1'!G49</f>
        <v>2011</v>
      </c>
      <c r="H49">
        <f>'[1]SNO RTF daily report1'!H49</f>
        <v>0</v>
      </c>
      <c r="I49">
        <f>'[1]SNO RTF daily report1'!I49</f>
        <v>0</v>
      </c>
    </row>
    <row r="50" spans="1:9" x14ac:dyDescent="0.25">
      <c r="A50" t="str">
        <f>'[1]SNO RTF daily report1'!A50</f>
        <v>Magazine</v>
      </c>
      <c r="B50">
        <f>'[1]SNO RTF daily report1'!B50</f>
        <v>0</v>
      </c>
      <c r="C50" t="str">
        <f>'[1]SNO RTF daily report1'!C50</f>
        <v>In Library Use Only</v>
      </c>
      <c r="D50">
        <f>'[1]SNO RTF daily report1'!D50</f>
        <v>0</v>
      </c>
      <c r="E50">
        <f>'[1]SNO RTF daily report1'!E50</f>
        <v>0</v>
      </c>
      <c r="F50" t="str">
        <f>'[1]SNO RTF daily report1'!F50</f>
        <v>Vogue. Vol. 204 No. 8  (Aug. 2014)</v>
      </c>
      <c r="G50">
        <f>'[1]SNO RTF daily report1'!G50</f>
        <v>1892</v>
      </c>
      <c r="H50">
        <f>'[1]SNO RTF daily report1'!H50</f>
        <v>0</v>
      </c>
      <c r="I50">
        <f>'[1]SNO RTF daily report1'!I50</f>
        <v>0</v>
      </c>
    </row>
    <row r="51" spans="1:9" x14ac:dyDescent="0.25">
      <c r="A51" t="str">
        <f>'[1]SNO RTF daily report1'!A51</f>
        <v>Magazine</v>
      </c>
      <c r="B51">
        <f>'[1]SNO RTF daily report1'!B51</f>
        <v>0</v>
      </c>
      <c r="C51" t="str">
        <f>'[1]SNO RTF daily report1'!C51</f>
        <v>In Library Use Only</v>
      </c>
      <c r="D51">
        <f>'[1]SNO RTF daily report1'!D51</f>
        <v>0</v>
      </c>
      <c r="E51">
        <f>'[1]SNO RTF daily report1'!E51</f>
        <v>0</v>
      </c>
      <c r="F51" t="str">
        <f>'[1]SNO RTF daily report1'!F51</f>
        <v>Northwest fly fishing. v. 16 no. 4  (July/Aug. 2014)</v>
      </c>
      <c r="G51">
        <f>'[1]SNO RTF daily report1'!G51</f>
        <v>0</v>
      </c>
      <c r="H51">
        <f>'[1]SNO RTF daily report1'!H51</f>
        <v>0</v>
      </c>
      <c r="I51">
        <f>'[1]SNO RTF daily report1'!I51</f>
        <v>0</v>
      </c>
    </row>
    <row r="52" spans="1:9" x14ac:dyDescent="0.25">
      <c r="A52" t="str">
        <f>'[1]SNO RTF daily report1'!A52</f>
        <v>Magazine</v>
      </c>
      <c r="B52">
        <f>'[1]SNO RTF daily report1'!B52</f>
        <v>0</v>
      </c>
      <c r="C52" t="str">
        <f>'[1]SNO RTF daily report1'!C52</f>
        <v>In Library Use Only</v>
      </c>
      <c r="D52">
        <f>'[1]SNO RTF daily report1'!D52</f>
        <v>0</v>
      </c>
      <c r="E52">
        <f>'[1]SNO RTF daily report1'!E52</f>
        <v>0</v>
      </c>
      <c r="F52" t="str">
        <f>'[1]SNO RTF daily report1'!F52</f>
        <v>Washington trails : a publication of Washington Trails Association. v. 49 no. 4  (July/Aug. 2014)</v>
      </c>
      <c r="G52">
        <f>'[1]SNO RTF daily report1'!G52</f>
        <v>2001</v>
      </c>
      <c r="H52">
        <f>'[1]SNO RTF daily report1'!H52</f>
        <v>0</v>
      </c>
      <c r="I52">
        <f>'[1]SNO RTF daily report1'!I52</f>
        <v>0</v>
      </c>
    </row>
    <row r="53" spans="1:9" x14ac:dyDescent="0.25">
      <c r="A53" t="str">
        <f>'[1]SNO RTF daily report1'!A53</f>
        <v>Magazine</v>
      </c>
      <c r="B53">
        <f>'[1]SNO RTF daily report1'!B53</f>
        <v>0</v>
      </c>
      <c r="C53" t="str">
        <f>'[1]SNO RTF daily report1'!C53</f>
        <v>In Library Use Only</v>
      </c>
      <c r="D53">
        <f>'[1]SNO RTF daily report1'!D53</f>
        <v>0</v>
      </c>
      <c r="E53">
        <f>'[1]SNO RTF daily report1'!E53</f>
        <v>0</v>
      </c>
      <c r="F53" t="str">
        <f>'[1]SNO RTF daily report1'!F53</f>
        <v>Natural solutions. no. 164  (June 2014)</v>
      </c>
      <c r="G53">
        <f>'[1]SNO RTF daily report1'!G53</f>
        <v>2008</v>
      </c>
      <c r="H53">
        <f>'[1]SNO RTF daily report1'!H53</f>
        <v>0</v>
      </c>
      <c r="I53">
        <f>'[1]SNO RTF daily report1'!I53</f>
        <v>0</v>
      </c>
    </row>
    <row r="54" spans="1:9" x14ac:dyDescent="0.25">
      <c r="A54" t="str">
        <f>'[1]SNO RTF daily report1'!A54</f>
        <v>Magazine</v>
      </c>
      <c r="B54">
        <f>'[1]SNO RTF daily report1'!B54</f>
        <v>0</v>
      </c>
      <c r="C54" t="str">
        <f>'[1]SNO RTF daily report1'!C54</f>
        <v>In Library Use Only</v>
      </c>
      <c r="D54">
        <f>'[1]SNO RTF daily report1'!D54</f>
        <v>0</v>
      </c>
      <c r="E54">
        <f>'[1]SNO RTF daily report1'!E54</f>
        <v>0</v>
      </c>
      <c r="F54" t="str">
        <f>'[1]SNO RTF daily report1'!F54</f>
        <v>Urban farm. Volume 6 Number 4  (July/August 2014)</v>
      </c>
      <c r="G54">
        <f>'[1]SNO RTF daily report1'!G54</f>
        <v>2009</v>
      </c>
      <c r="H54">
        <f>'[1]SNO RTF daily report1'!H54</f>
        <v>0</v>
      </c>
      <c r="I54">
        <f>'[1]SNO RTF daily report1'!I54</f>
        <v>0</v>
      </c>
    </row>
    <row r="55" spans="1:9" x14ac:dyDescent="0.25">
      <c r="A55" t="str">
        <f>'[1]SNO RTF daily report1'!A55</f>
        <v>Magazine</v>
      </c>
      <c r="B55">
        <f>'[1]SNO RTF daily report1'!B55</f>
        <v>0</v>
      </c>
      <c r="C55" t="str">
        <f>'[1]SNO RTF daily report1'!C55</f>
        <v>In Library Use Only</v>
      </c>
      <c r="D55">
        <f>'[1]SNO RTF daily report1'!D55</f>
        <v>0</v>
      </c>
      <c r="E55">
        <f>'[1]SNO RTF daily report1'!E55</f>
        <v>0</v>
      </c>
      <c r="F55" t="str">
        <f>'[1]SNO RTF daily report1'!F55</f>
        <v>Horse &amp; rider v. 53 no. 8  (Aug. 2014)</v>
      </c>
      <c r="G55">
        <f>'[1]SNO RTF daily report1'!G55</f>
        <v>1968</v>
      </c>
      <c r="H55">
        <f>'[1]SNO RTF daily report1'!H55</f>
        <v>0</v>
      </c>
      <c r="I55">
        <f>'[1]SNO RTF daily report1'!I55</f>
        <v>0</v>
      </c>
    </row>
    <row r="56" spans="1:9" x14ac:dyDescent="0.25">
      <c r="A56" t="str">
        <f>'[1]SNO RTF daily report1'!A56</f>
        <v>Magazine</v>
      </c>
      <c r="B56">
        <f>'[1]SNO RTF daily report1'!B56</f>
        <v>0</v>
      </c>
      <c r="C56" t="str">
        <f>'[1]SNO RTF daily report1'!C56</f>
        <v>In Library Use Only</v>
      </c>
      <c r="D56">
        <f>'[1]SNO RTF daily report1'!D56</f>
        <v>0</v>
      </c>
      <c r="E56">
        <f>'[1]SNO RTF daily report1'!E56</f>
        <v>0</v>
      </c>
      <c r="F56" t="str">
        <f>'[1]SNO RTF daily report1'!F56</f>
        <v>Shape v. 33 no. 10  (July/Aug. 2014)</v>
      </c>
      <c r="G56">
        <f>'[1]SNO RTF daily report1'!G56</f>
        <v>0</v>
      </c>
      <c r="H56">
        <f>'[1]SNO RTF daily report1'!H56</f>
        <v>0</v>
      </c>
      <c r="I56">
        <f>'[1]SNO RTF daily report1'!I56</f>
        <v>0</v>
      </c>
    </row>
    <row r="57" spans="1:9" x14ac:dyDescent="0.25">
      <c r="A57" t="str">
        <f>'[1]SNO RTF daily report1'!A57</f>
        <v>Magazine</v>
      </c>
      <c r="B57">
        <f>'[1]SNO RTF daily report1'!B57</f>
        <v>0</v>
      </c>
      <c r="C57" t="str">
        <f>'[1]SNO RTF daily report1'!C57</f>
        <v>In Library Use Only</v>
      </c>
      <c r="D57">
        <f>'[1]SNO RTF daily report1'!D57</f>
        <v>0</v>
      </c>
      <c r="E57">
        <f>'[1]SNO RTF daily report1'!E57</f>
        <v>0</v>
      </c>
      <c r="F57" t="str">
        <f>'[1]SNO RTF daily report1'!F57</f>
        <v>Fine homebuilding no. 245  (Aug./Sep. 2014)</v>
      </c>
      <c r="G57">
        <f>'[1]SNO RTF daily report1'!G57</f>
        <v>1981</v>
      </c>
      <c r="H57">
        <f>'[1]SNO RTF daily report1'!H57</f>
        <v>0</v>
      </c>
      <c r="I57">
        <f>'[1]SNO RTF daily report1'!I57</f>
        <v>0</v>
      </c>
    </row>
    <row r="58" spans="1:9" x14ac:dyDescent="0.25">
      <c r="A58" t="str">
        <f>'[1]SNO RTF daily report1'!A58</f>
        <v>Magazine</v>
      </c>
      <c r="B58">
        <f>'[1]SNO RTF daily report1'!B58</f>
        <v>0</v>
      </c>
      <c r="C58" t="str">
        <f>'[1]SNO RTF daily report1'!C58</f>
        <v>In Library Use Only</v>
      </c>
      <c r="D58">
        <f>'[1]SNO RTF daily report1'!D58</f>
        <v>0</v>
      </c>
      <c r="E58">
        <f>'[1]SNO RTF daily report1'!E58</f>
        <v>0</v>
      </c>
      <c r="F58" t="str">
        <f>'[1]SNO RTF daily report1'!F58</f>
        <v>House beautiful. v. 156 no. 6  (July/Aug. 2014)</v>
      </c>
      <c r="G58">
        <f>'[1]SNO RTF daily report1'!G58</f>
        <v>1896</v>
      </c>
      <c r="H58">
        <f>'[1]SNO RTF daily report1'!H58</f>
        <v>0</v>
      </c>
      <c r="I58">
        <f>'[1]SNO RTF daily report1'!I58</f>
        <v>0</v>
      </c>
    </row>
    <row r="59" spans="1:9" x14ac:dyDescent="0.25">
      <c r="A59" t="str">
        <f>'[1]SNO RTF daily report1'!A59</f>
        <v>Magazine</v>
      </c>
      <c r="B59">
        <f>'[1]SNO RTF daily report1'!B59</f>
        <v>0</v>
      </c>
      <c r="C59" t="str">
        <f>'[1]SNO RTF daily report1'!C59</f>
        <v>In Library Use Only</v>
      </c>
      <c r="D59">
        <f>'[1]SNO RTF daily report1'!D59</f>
        <v>0</v>
      </c>
      <c r="E59">
        <f>'[1]SNO RTF daily report1'!E59</f>
        <v>0</v>
      </c>
      <c r="F59" t="str">
        <f>'[1]SNO RTF daily report1'!F59</f>
        <v>Men's health. v. 29 no. 7  (Sep. 2014)</v>
      </c>
      <c r="G59">
        <f>'[1]SNO RTF daily report1'!G59</f>
        <v>1987</v>
      </c>
      <c r="H59">
        <f>'[1]SNO RTF daily report1'!H59</f>
        <v>0</v>
      </c>
      <c r="I59">
        <f>'[1]SNO RTF daily report1'!I59</f>
        <v>0</v>
      </c>
    </row>
    <row r="60" spans="1:9" x14ac:dyDescent="0.25">
      <c r="A60" t="str">
        <f>'[1]SNO RTF daily report1'!A60</f>
        <v>Magazine</v>
      </c>
      <c r="B60">
        <f>'[1]SNO RTF daily report1'!B60</f>
        <v>0</v>
      </c>
      <c r="C60" t="str">
        <f>'[1]SNO RTF daily report1'!C60</f>
        <v>In Library Use Only</v>
      </c>
      <c r="D60">
        <f>'[1]SNO RTF daily report1'!D60</f>
        <v>0</v>
      </c>
      <c r="E60">
        <f>'[1]SNO RTF daily report1'!E60</f>
        <v>0</v>
      </c>
      <c r="F60" t="str">
        <f>'[1]SNO RTF daily report1'!F60</f>
        <v>Altered couture. v. 9 no. 3  (Aug./Oct. 2014)</v>
      </c>
      <c r="G60">
        <f>'[1]SNO RTF daily report1'!G60</f>
        <v>2006</v>
      </c>
      <c r="H60">
        <f>'[1]SNO RTF daily report1'!H60</f>
        <v>0</v>
      </c>
      <c r="I60">
        <f>'[1]SNO RTF daily report1'!I60</f>
        <v>0</v>
      </c>
    </row>
    <row r="61" spans="1:9" x14ac:dyDescent="0.25">
      <c r="A61" t="str">
        <f>'[1]SNO RTF daily report1'!A61</f>
        <v>Magazine</v>
      </c>
      <c r="B61">
        <f>'[1]SNO RTF daily report1'!B61</f>
        <v>0</v>
      </c>
      <c r="C61" t="str">
        <f>'[1]SNO RTF daily report1'!C61</f>
        <v>In Library Use Only</v>
      </c>
      <c r="D61">
        <f>'[1]SNO RTF daily report1'!D61</f>
        <v>0</v>
      </c>
      <c r="E61">
        <f>'[1]SNO RTF daily report1'!E61</f>
        <v>0</v>
      </c>
      <c r="F61" t="str">
        <f>'[1]SNO RTF daily report1'!F61</f>
        <v>Fons and Porter's for the love of quilting. v. 19 no. 3  (July/Aug. 2014)</v>
      </c>
      <c r="G61">
        <f>'[1]SNO RTF daily report1'!G61</f>
        <v>1999</v>
      </c>
      <c r="H61">
        <f>'[1]SNO RTF daily report1'!H61</f>
        <v>0</v>
      </c>
      <c r="I61">
        <f>'[1]SNO RTF daily report1'!I61</f>
        <v>0</v>
      </c>
    </row>
    <row r="62" spans="1:9" x14ac:dyDescent="0.25">
      <c r="A62" t="str">
        <f>'[1]SNO RTF daily report1'!A62</f>
        <v>Magazine</v>
      </c>
      <c r="B62">
        <f>'[1]SNO RTF daily report1'!B62</f>
        <v>0</v>
      </c>
      <c r="C62" t="str">
        <f>'[1]SNO RTF daily report1'!C62</f>
        <v>In Library Use Only</v>
      </c>
      <c r="D62">
        <f>'[1]SNO RTF daily report1'!D62</f>
        <v>0</v>
      </c>
      <c r="E62">
        <f>'[1]SNO RTF daily report1'!E62</f>
        <v>0</v>
      </c>
      <c r="F62" t="str">
        <f>'[1]SNO RTF daily report1'!F62</f>
        <v>Salmon trout steelheader v. 47 no. 10  (Aug. 2014)</v>
      </c>
      <c r="G62">
        <f>'[1]SNO RTF daily report1'!G62</f>
        <v>1967</v>
      </c>
      <c r="H62">
        <f>'[1]SNO RTF daily report1'!H62</f>
        <v>0</v>
      </c>
      <c r="I62">
        <f>'[1]SNO RTF daily report1'!I62</f>
        <v>0</v>
      </c>
    </row>
    <row r="63" spans="1:9" x14ac:dyDescent="0.25">
      <c r="A63" t="str">
        <f>'[1]SNO RTF daily report1'!A63</f>
        <v>Magazine</v>
      </c>
      <c r="B63">
        <f>'[1]SNO RTF daily report1'!B63</f>
        <v>0</v>
      </c>
      <c r="C63" t="str">
        <f>'[1]SNO RTF daily report1'!C63</f>
        <v>In Library Use Only</v>
      </c>
      <c r="D63">
        <f>'[1]SNO RTF daily report1'!D63</f>
        <v>0</v>
      </c>
      <c r="E63">
        <f>'[1]SNO RTF daily report1'!E63</f>
        <v>0</v>
      </c>
      <c r="F63" t="str">
        <f>'[1]SNO RTF daily report1'!F63</f>
        <v>Model airplane news Vol. 142 No. 10  (October 2014)</v>
      </c>
      <c r="G63">
        <f>'[1]SNO RTF daily report1'!G63</f>
        <v>1935</v>
      </c>
      <c r="H63">
        <f>'[1]SNO RTF daily report1'!H63</f>
        <v>0</v>
      </c>
      <c r="I63">
        <f>'[1]SNO RTF daily report1'!I63</f>
        <v>0</v>
      </c>
    </row>
    <row r="64" spans="1:9" x14ac:dyDescent="0.25">
      <c r="A64" t="str">
        <f>'[1]SNO RTF daily report1'!A64</f>
        <v>Magazine</v>
      </c>
      <c r="B64">
        <f>'[1]SNO RTF daily report1'!B64</f>
        <v>0</v>
      </c>
      <c r="C64" t="str">
        <f>'[1]SNO RTF daily report1'!C64</f>
        <v>In Library Use Only</v>
      </c>
      <c r="D64">
        <f>'[1]SNO RTF daily report1'!D64</f>
        <v>0</v>
      </c>
      <c r="E64">
        <f>'[1]SNO RTF daily report1'!E64</f>
        <v>0</v>
      </c>
      <c r="F64" t="str">
        <f>'[1]SNO RTF daily report1'!F64</f>
        <v>People. v. 82 no. 7  (Aug. 18 2014)</v>
      </c>
      <c r="G64">
        <f>'[1]SNO RTF daily report1'!G64</f>
        <v>1974</v>
      </c>
      <c r="H64">
        <f>'[1]SNO RTF daily report1'!H64</f>
        <v>0</v>
      </c>
      <c r="I64">
        <f>'[1]SNO RTF daily report1'!I64</f>
        <v>0</v>
      </c>
    </row>
    <row r="65" spans="1:9" x14ac:dyDescent="0.25">
      <c r="A65" t="str">
        <f>'[1]SNO RTF daily report1'!A65</f>
        <v>Magazine</v>
      </c>
      <c r="B65">
        <f>'[1]SNO RTF daily report1'!B65</f>
        <v>0</v>
      </c>
      <c r="C65" t="str">
        <f>'[1]SNO RTF daily report1'!C65</f>
        <v>In Library Use Only</v>
      </c>
      <c r="D65">
        <f>'[1]SNO RTF daily report1'!D65</f>
        <v>0</v>
      </c>
      <c r="E65">
        <f>'[1]SNO RTF daily report1'!E65</f>
        <v>0</v>
      </c>
      <c r="F65" t="str">
        <f>'[1]SNO RTF daily report1'!F65</f>
        <v>Travel smart. (Apr. 15 2014)</v>
      </c>
      <c r="G65">
        <f>'[1]SNO RTF daily report1'!G65</f>
        <v>1976</v>
      </c>
      <c r="H65">
        <f>'[1]SNO RTF daily report1'!H65</f>
        <v>0</v>
      </c>
      <c r="I65">
        <f>'[1]SNO RTF daily report1'!I65</f>
        <v>0</v>
      </c>
    </row>
    <row r="66" spans="1:9" x14ac:dyDescent="0.25">
      <c r="A66" t="str">
        <f>'[1]SNO RTF daily report1'!A66</f>
        <v>Magazine</v>
      </c>
      <c r="B66">
        <f>'[1]SNO RTF daily report1'!B66</f>
        <v>0</v>
      </c>
      <c r="C66" t="str">
        <f>'[1]SNO RTF daily report1'!C66</f>
        <v>In Library Use Only</v>
      </c>
      <c r="D66">
        <f>'[1]SNO RTF daily report1'!D66</f>
        <v>0</v>
      </c>
      <c r="E66">
        <f>'[1]SNO RTF daily report1'!E66</f>
        <v>0</v>
      </c>
      <c r="F66" t="str">
        <f>'[1]SNO RTF daily report1'!F66</f>
        <v>Bookmarks. No. 71  (July/August 2014)</v>
      </c>
      <c r="G66">
        <f>'[1]SNO RTF daily report1'!G66</f>
        <v>2002</v>
      </c>
      <c r="H66">
        <f>'[1]SNO RTF daily report1'!H66</f>
        <v>0</v>
      </c>
      <c r="I66">
        <f>'[1]SNO RTF daily report1'!I66</f>
        <v>0</v>
      </c>
    </row>
    <row r="67" spans="1:9" x14ac:dyDescent="0.25">
      <c r="A67" t="str">
        <f>'[1]SNO RTF daily report1'!A67</f>
        <v>Magazine</v>
      </c>
      <c r="B67">
        <f>'[1]SNO RTF daily report1'!B67</f>
        <v>0</v>
      </c>
      <c r="C67" t="str">
        <f>'[1]SNO RTF daily report1'!C67</f>
        <v>In Library Use Only</v>
      </c>
      <c r="D67">
        <f>'[1]SNO RTF daily report1'!D67</f>
        <v>0</v>
      </c>
      <c r="E67">
        <f>'[1]SNO RTF daily report1'!E67</f>
        <v>0</v>
      </c>
      <c r="F67" t="str">
        <f>'[1]SNO RTF daily report1'!F67</f>
        <v>Health. v. 28 no. 6  (July/Aug. 2014)</v>
      </c>
      <c r="G67">
        <f>'[1]SNO RTF daily report1'!G67</f>
        <v>1992</v>
      </c>
      <c r="H67">
        <f>'[1]SNO RTF daily report1'!H67</f>
        <v>0</v>
      </c>
      <c r="I67">
        <f>'[1]SNO RTF daily report1'!I67</f>
        <v>0</v>
      </c>
    </row>
    <row r="68" spans="1:9" x14ac:dyDescent="0.25">
      <c r="A68" t="str">
        <f>'[1]SNO RTF daily report1'!A68</f>
        <v>Nonfiction</v>
      </c>
      <c r="B68">
        <f>'[1]SNO RTF daily report1'!B68</f>
        <v>0</v>
      </c>
      <c r="C68">
        <f>'[1]SNO RTF daily report1'!C68</f>
        <v>0</v>
      </c>
      <c r="D68" t="str">
        <f>'[1]SNO RTF daily report1'!D68</f>
        <v>234.5 SMEDES</v>
      </c>
      <c r="E68" t="str">
        <f>'[1]SNO RTF daily report1'!E68</f>
        <v>Smedes, Lewis B.</v>
      </c>
      <c r="F68" t="str">
        <f>'[1]SNO RTF daily report1'!F68</f>
        <v>Forgive and forget : healing the hurts we don't deserve</v>
      </c>
      <c r="G68">
        <f>'[1]SNO RTF daily report1'!G68</f>
        <v>1996</v>
      </c>
      <c r="H68">
        <f>'[1]SNO RTF daily report1'!H68</f>
        <v>0</v>
      </c>
      <c r="I68">
        <f>'[1]SNO RTF daily report1'!I68</f>
        <v>0</v>
      </c>
    </row>
    <row r="69" spans="1:9" x14ac:dyDescent="0.25">
      <c r="A69" t="str">
        <f>'[1]SNO RTF daily report1'!A69</f>
        <v>Nonfiction</v>
      </c>
      <c r="B69">
        <f>'[1]SNO RTF daily report1'!B69</f>
        <v>0</v>
      </c>
      <c r="C69">
        <f>'[1]SNO RTF daily report1'!C69</f>
        <v>0</v>
      </c>
      <c r="D69" t="str">
        <f>'[1]SNO RTF daily report1'!D69</f>
        <v>296.72 KEDAR</v>
      </c>
      <c r="E69" t="str">
        <f>'[1]SNO RTF daily report1'!E69</f>
        <v>Kedar, Karyn D., 1957-</v>
      </c>
      <c r="F69" t="str">
        <f>'[1]SNO RTF daily report1'!F69</f>
        <v>The bridge to forgiveness : stories and prayers for finding God and restoring wholeness</v>
      </c>
      <c r="G69">
        <f>'[1]SNO RTF daily report1'!G69</f>
        <v>2007</v>
      </c>
      <c r="H69">
        <f>'[1]SNO RTF daily report1'!H69</f>
        <v>0</v>
      </c>
      <c r="I69">
        <f>'[1]SNO RTF daily report1'!I69</f>
        <v>0</v>
      </c>
    </row>
    <row r="70" spans="1:9" x14ac:dyDescent="0.25">
      <c r="A70" t="str">
        <f>'[1]SNO RTF daily report1'!A70</f>
        <v>Nonfiction</v>
      </c>
      <c r="B70">
        <f>'[1]SNO RTF daily report1'!B70</f>
        <v>0</v>
      </c>
      <c r="C70">
        <f>'[1]SNO RTF daily report1'!C70</f>
        <v>0</v>
      </c>
      <c r="D70" t="str">
        <f>'[1]SNO RTF daily report1'!D70</f>
        <v>516 BHATT</v>
      </c>
      <c r="E70" t="str">
        <f>'[1]SNO RTF daily report1'!E70</f>
        <v>Bhatt, Sonal, author.</v>
      </c>
      <c r="F70" t="str">
        <f>'[1]SNO RTF daily report1'!F70</f>
        <v>Geometry</v>
      </c>
      <c r="G70">
        <f>'[1]SNO RTF daily report1'!G70</f>
        <v>2014</v>
      </c>
      <c r="H70">
        <f>'[1]SNO RTF daily report1'!H70</f>
        <v>0</v>
      </c>
      <c r="I70">
        <f>'[1]SNO RTF daily report1'!I70</f>
        <v>0</v>
      </c>
    </row>
    <row r="71" spans="1:9" x14ac:dyDescent="0.25">
      <c r="A71" t="str">
        <f>'[1]SNO RTF daily report1'!A71</f>
        <v>Nonfiction</v>
      </c>
      <c r="B71">
        <f>'[1]SNO RTF daily report1'!B71</f>
        <v>0</v>
      </c>
      <c r="C71">
        <f>'[1]SNO RTF daily report1'!C71</f>
        <v>0</v>
      </c>
      <c r="D71" t="str">
        <f>'[1]SNO RTF daily report1'!D71</f>
        <v>598.0723 ZALESKY</v>
      </c>
      <c r="E71" t="str">
        <f>'[1]SNO RTF daily report1'!E71</f>
        <v>Zalesky, Philip H.</v>
      </c>
      <c r="F71" t="str">
        <f>'[1]SNO RTF daily report1'!F71</f>
        <v>Birding in Snohomish County</v>
      </c>
      <c r="G71">
        <f>'[1]SNO RTF daily report1'!G71</f>
        <v>2001</v>
      </c>
      <c r="H71">
        <f>'[1]SNO RTF daily report1'!H71</f>
        <v>0</v>
      </c>
      <c r="I71">
        <f>'[1]SNO RTF daily report1'!I71</f>
        <v>0</v>
      </c>
    </row>
    <row r="72" spans="1:9" x14ac:dyDescent="0.25">
      <c r="A72" t="str">
        <f>'[1]SNO RTF daily report1'!A72</f>
        <v>Nonfiction</v>
      </c>
      <c r="B72">
        <f>'[1]SNO RTF daily report1'!B72</f>
        <v>0</v>
      </c>
      <c r="C72">
        <f>'[1]SNO RTF daily report1'!C72</f>
        <v>0</v>
      </c>
      <c r="D72" t="str">
        <f>'[1]SNO RTF daily report1'!D72</f>
        <v>641.5 MCGEE</v>
      </c>
      <c r="E72" t="str">
        <f>'[1]SNO RTF daily report1'!E72</f>
        <v>McGee, Harold.</v>
      </c>
      <c r="F72" t="str">
        <f>'[1]SNO RTF daily report1'!F72</f>
        <v>On food and cooking : the science and lore of the kitchen</v>
      </c>
      <c r="G72">
        <f>'[1]SNO RTF daily report1'!G72</f>
        <v>2004</v>
      </c>
      <c r="H72">
        <f>'[1]SNO RTF daily report1'!H72</f>
        <v>0</v>
      </c>
      <c r="I72">
        <f>'[1]SNO RTF daily report1'!I72</f>
        <v>0</v>
      </c>
    </row>
    <row r="73" spans="1:9" x14ac:dyDescent="0.25">
      <c r="A73" t="str">
        <f>'[1]SNO RTF daily report1'!A73</f>
        <v>Nonfiction</v>
      </c>
      <c r="B73">
        <f>'[1]SNO RTF daily report1'!B73</f>
        <v>0</v>
      </c>
      <c r="C73">
        <f>'[1]SNO RTF daily report1'!C73</f>
        <v>0</v>
      </c>
      <c r="D73" t="str">
        <f>'[1]SNO RTF daily report1'!D73</f>
        <v>641.5638 HEALTHY</v>
      </c>
      <c r="E73">
        <f>'[1]SNO RTF daily report1'!E73</f>
        <v>0</v>
      </c>
      <c r="F73" t="str">
        <f>'[1]SNO RTF daily report1'!F73</f>
        <v>Healthy slow cooker cookbook : 200 low-fuss, good-for-you recipes</v>
      </c>
      <c r="G73">
        <f>'[1]SNO RTF daily report1'!G73</f>
        <v>2012</v>
      </c>
      <c r="H73">
        <f>'[1]SNO RTF daily report1'!H73</f>
        <v>0</v>
      </c>
      <c r="I73">
        <f>'[1]SNO RTF daily report1'!I73</f>
        <v>0</v>
      </c>
    </row>
    <row r="74" spans="1:9" x14ac:dyDescent="0.25">
      <c r="A74" t="str">
        <f>'[1]SNO RTF daily report1'!A74</f>
        <v>Nonfiction</v>
      </c>
      <c r="B74">
        <f>'[1]SNO RTF daily report1'!B74</f>
        <v>0</v>
      </c>
      <c r="C74">
        <f>'[1]SNO RTF daily report1'!C74</f>
        <v>0</v>
      </c>
      <c r="D74" t="str">
        <f>'[1]SNO RTF daily report1'!D74</f>
        <v>759.13 VALLEJO</v>
      </c>
      <c r="E74" t="str">
        <f>'[1]SNO RTF daily report1'!E74</f>
        <v>Vallejo, Boris.</v>
      </c>
      <c r="F74" t="str">
        <f>'[1]SNO RTF daily report1'!F74</f>
        <v>Imaginistix : the art of Boris Vallejo and Julie Bell</v>
      </c>
      <c r="G74">
        <f>'[1]SNO RTF daily report1'!G74</f>
        <v>2007</v>
      </c>
      <c r="H74">
        <f>'[1]SNO RTF daily report1'!H74</f>
        <v>0</v>
      </c>
      <c r="I74">
        <f>'[1]SNO RTF daily report1'!I74</f>
        <v>0</v>
      </c>
    </row>
    <row r="75" spans="1:9" x14ac:dyDescent="0.25">
      <c r="A75" t="str">
        <f>'[1]SNO RTF daily report1'!A75</f>
        <v>Nonfiction</v>
      </c>
      <c r="B75">
        <f>'[1]SNO RTF daily report1'!B75</f>
        <v>0</v>
      </c>
      <c r="C75">
        <f>'[1]SNO RTF daily report1'!C75</f>
        <v>0</v>
      </c>
      <c r="D75" t="str">
        <f>'[1]SNO RTF daily report1'!D75</f>
        <v>781.11 CAMPBEL</v>
      </c>
      <c r="E75" t="str">
        <f>'[1]SNO RTF daily report1'!E75</f>
        <v>Campbell, Don G., 1946-</v>
      </c>
      <c r="F75" t="str">
        <f>'[1]SNO RTF daily report1'!F75</f>
        <v>Healing at the speed of sound : how what we hear transforms our brains and our lives</v>
      </c>
      <c r="G75">
        <f>'[1]SNO RTF daily report1'!G75</f>
        <v>2011</v>
      </c>
      <c r="H75">
        <f>'[1]SNO RTF daily report1'!H75</f>
        <v>0</v>
      </c>
      <c r="I75">
        <f>'[1]SNO RTF daily report1'!I75</f>
        <v>0</v>
      </c>
    </row>
    <row r="76" spans="1:9" x14ac:dyDescent="0.25">
      <c r="A76" t="str">
        <f>'[1]SNO RTF daily report1'!A76</f>
        <v>Nonfiction</v>
      </c>
      <c r="B76">
        <f>'[1]SNO RTF daily report1'!B76</f>
        <v>0</v>
      </c>
      <c r="C76">
        <f>'[1]SNO RTF daily report1'!C76</f>
        <v>0</v>
      </c>
      <c r="D76" t="str">
        <f>'[1]SNO RTF daily report1'!D76</f>
        <v>910.9164 BENEDET</v>
      </c>
      <c r="E76" t="str">
        <f>'[1]SNO RTF daily report1'!E76</f>
        <v>Benedetto, William R.</v>
      </c>
      <c r="F76" t="str">
        <f>'[1]SNO RTF daily report1'!F76</f>
        <v>Sailing into the abyss : a true story of extreme heroism on the high seas</v>
      </c>
      <c r="G76">
        <f>'[1]SNO RTF daily report1'!G76</f>
        <v>2005</v>
      </c>
      <c r="H76">
        <f>'[1]SNO RTF daily report1'!H76</f>
        <v>0</v>
      </c>
      <c r="I76">
        <f>'[1]SNO RTF daily report1'!I76</f>
        <v>0</v>
      </c>
    </row>
    <row r="77" spans="1:9" x14ac:dyDescent="0.25">
      <c r="A77" t="str">
        <f>'[1]SNO RTF daily report1'!A77</f>
        <v>Nonfiction</v>
      </c>
      <c r="B77">
        <f>'[1]SNO RTF daily report1'!B77</f>
        <v>0</v>
      </c>
      <c r="C77">
        <f>'[1]SNO RTF daily report1'!C77</f>
        <v>0</v>
      </c>
      <c r="D77" t="str">
        <f>'[1]SNO RTF daily report1'!D77</f>
        <v>938.0709 WATERFI</v>
      </c>
      <c r="E77" t="str">
        <f>'[1]SNO RTF daily report1'!E77</f>
        <v>Waterfield, Robin, 1952-</v>
      </c>
      <c r="F77" t="str">
        <f>'[1]SNO RTF daily report1'!F77</f>
        <v>Dividing the spoils : the war for Alexander the Great's empire</v>
      </c>
      <c r="G77">
        <f>'[1]SNO RTF daily report1'!G77</f>
        <v>2011</v>
      </c>
      <c r="H77">
        <f>'[1]SNO RTF daily report1'!H77</f>
        <v>0</v>
      </c>
      <c r="I77">
        <f>'[1]SNO RTF daily report1'!I77</f>
        <v>0</v>
      </c>
    </row>
    <row r="78" spans="1:9" x14ac:dyDescent="0.25">
      <c r="A78" t="str">
        <f>'[1]SNO RTF daily report1'!A78</f>
        <v>Nonfiction</v>
      </c>
      <c r="B78">
        <f>'[1]SNO RTF daily report1'!B78</f>
        <v>0</v>
      </c>
      <c r="C78">
        <f>'[1]SNO RTF daily report1'!C78</f>
        <v>0</v>
      </c>
      <c r="D78" t="str">
        <f>'[1]SNO RTF daily report1'!D78</f>
        <v>973.932 SASLOW</v>
      </c>
      <c r="E78" t="str">
        <f>'[1]SNO RTF daily report1'!E78</f>
        <v>Saslow, Eli.</v>
      </c>
      <c r="F78" t="str">
        <f>'[1]SNO RTF daily report1'!F78</f>
        <v>Ten letters : the stories Americans tell their president</v>
      </c>
      <c r="G78">
        <f>'[1]SNO RTF daily report1'!G78</f>
        <v>2011</v>
      </c>
      <c r="H78">
        <f>'[1]SNO RTF daily report1'!H78</f>
        <v>0</v>
      </c>
      <c r="I78">
        <f>'[1]SNO RTF daily report1'!I78</f>
        <v>0</v>
      </c>
    </row>
    <row r="79" spans="1:9" x14ac:dyDescent="0.25">
      <c r="A79" t="str">
        <f>'[1]SNO RTF daily report1'!A79</f>
        <v>Teen Fiction</v>
      </c>
      <c r="B79">
        <f>'[1]SNO RTF daily report1'!B79</f>
        <v>0</v>
      </c>
      <c r="C79">
        <f>'[1]SNO RTF daily report1'!C79</f>
        <v>0</v>
      </c>
      <c r="D79" t="str">
        <f>'[1]SNO RTF daily report1'!D79</f>
        <v>TEEN ZUSAK</v>
      </c>
      <c r="E79" t="str">
        <f>'[1]SNO RTF daily report1'!E79</f>
        <v>Zusak, Markus.</v>
      </c>
      <c r="F79" t="str">
        <f>'[1]SNO RTF daily report1'!F79</f>
        <v>Getting the girl</v>
      </c>
      <c r="G79">
        <f>'[1]SNO RTF daily report1'!G79</f>
        <v>2004</v>
      </c>
      <c r="H79">
        <f>'[1]SNO RTF daily report1'!H79</f>
        <v>0</v>
      </c>
      <c r="I79">
        <f>'[1]SNO RTF daily report1'!I79</f>
        <v>0</v>
      </c>
    </row>
    <row r="80" spans="1:9" x14ac:dyDescent="0.25">
      <c r="A80">
        <f>'[1]SNO RTF daily report1'!A80</f>
        <v>0</v>
      </c>
      <c r="B80">
        <f>'[1]SNO RTF daily report1'!B80</f>
        <v>0</v>
      </c>
      <c r="C80">
        <f>'[1]SNO RTF daily report1'!C80</f>
        <v>0</v>
      </c>
      <c r="D80">
        <f>'[1]SNO RTF daily report1'!D80</f>
        <v>0</v>
      </c>
      <c r="E80">
        <f>'[1]SNO RTF daily report1'!E80</f>
        <v>0</v>
      </c>
      <c r="F80">
        <f>'[1]SNO RTF daily report1'!F80</f>
        <v>0</v>
      </c>
      <c r="G80">
        <f>'[1]SNO RTF daily report1'!G80</f>
        <v>0</v>
      </c>
      <c r="H80">
        <f>'[1]SNO RTF daily report1'!H80</f>
        <v>0</v>
      </c>
      <c r="I80">
        <f>'[1]SNO RTF daily report1'!I80</f>
        <v>0</v>
      </c>
    </row>
    <row r="81" spans="1:9" x14ac:dyDescent="0.25">
      <c r="A81">
        <f>'[1]SNO RTF daily report1'!A81</f>
        <v>0</v>
      </c>
      <c r="B81">
        <f>'[1]SNO RTF daily report1'!B81</f>
        <v>0</v>
      </c>
      <c r="C81">
        <f>'[1]SNO RTF daily report1'!C81</f>
        <v>0</v>
      </c>
      <c r="D81">
        <f>'[1]SNO RTF daily report1'!D81</f>
        <v>0</v>
      </c>
      <c r="E81">
        <f>'[1]SNO RTF daily report1'!E81</f>
        <v>0</v>
      </c>
      <c r="F81">
        <f>'[1]SNO RTF daily report1'!F81</f>
        <v>0</v>
      </c>
      <c r="G81">
        <f>'[1]SNO RTF daily report1'!G81</f>
        <v>0</v>
      </c>
      <c r="H81">
        <f>'[1]SNO RTF daily report1'!H81</f>
        <v>0</v>
      </c>
      <c r="I81">
        <f>'[1]SNO RTF daily report1'!I81</f>
        <v>0</v>
      </c>
    </row>
    <row r="82" spans="1:9" x14ac:dyDescent="0.25">
      <c r="A82">
        <f>'[1]SNO RTF daily report1'!A82</f>
        <v>0</v>
      </c>
      <c r="B82">
        <f>'[1]SNO RTF daily report1'!B82</f>
        <v>0</v>
      </c>
      <c r="C82">
        <f>'[1]SNO RTF daily report1'!C82</f>
        <v>0</v>
      </c>
      <c r="D82">
        <f>'[1]SNO RTF daily report1'!D82</f>
        <v>0</v>
      </c>
      <c r="E82">
        <f>'[1]SNO RTF daily report1'!E82</f>
        <v>0</v>
      </c>
      <c r="F82">
        <f>'[1]SNO RTF daily report1'!F82</f>
        <v>0</v>
      </c>
      <c r="G82">
        <f>'[1]SNO RTF daily report1'!G82</f>
        <v>0</v>
      </c>
      <c r="H82">
        <f>'[1]SNO RTF daily report1'!H82</f>
        <v>0</v>
      </c>
      <c r="I82">
        <f>'[1]SNO RTF daily report1'!I82</f>
        <v>0</v>
      </c>
    </row>
    <row r="83" spans="1:9" x14ac:dyDescent="0.25">
      <c r="A83">
        <f>'[1]SNO RTF daily report1'!A83</f>
        <v>0</v>
      </c>
      <c r="B83">
        <f>'[1]SNO RTF daily report1'!B83</f>
        <v>0</v>
      </c>
      <c r="C83">
        <f>'[1]SNO RTF daily report1'!C83</f>
        <v>0</v>
      </c>
      <c r="D83">
        <f>'[1]SNO RTF daily report1'!D83</f>
        <v>0</v>
      </c>
      <c r="E83">
        <f>'[1]SNO RTF daily report1'!E83</f>
        <v>0</v>
      </c>
      <c r="F83">
        <f>'[1]SNO RTF daily report1'!F83</f>
        <v>0</v>
      </c>
      <c r="G83">
        <f>'[1]SNO RTF daily report1'!G83</f>
        <v>0</v>
      </c>
      <c r="H83">
        <f>'[1]SNO RTF daily report1'!H83</f>
        <v>0</v>
      </c>
      <c r="I83">
        <f>'[1]SNO RTF daily report1'!I83</f>
        <v>0</v>
      </c>
    </row>
    <row r="84" spans="1:9" x14ac:dyDescent="0.25">
      <c r="A84">
        <f>'[1]SNO RTF daily report1'!A84</f>
        <v>0</v>
      </c>
      <c r="B84">
        <f>'[1]SNO RTF daily report1'!B84</f>
        <v>0</v>
      </c>
      <c r="C84">
        <f>'[1]SNO RTF daily report1'!C84</f>
        <v>0</v>
      </c>
      <c r="D84">
        <f>'[1]SNO RTF daily report1'!D84</f>
        <v>0</v>
      </c>
      <c r="E84">
        <f>'[1]SNO RTF daily report1'!E84</f>
        <v>0</v>
      </c>
      <c r="F84">
        <f>'[1]SNO RTF daily report1'!F84</f>
        <v>0</v>
      </c>
      <c r="G84">
        <f>'[1]SNO RTF daily report1'!G84</f>
        <v>0</v>
      </c>
      <c r="H84">
        <f>'[1]SNO RTF daily report1'!H84</f>
        <v>0</v>
      </c>
      <c r="I84">
        <f>'[1]SNO RTF daily report1'!I84</f>
        <v>0</v>
      </c>
    </row>
    <row r="85" spans="1:9" x14ac:dyDescent="0.25">
      <c r="A85">
        <f>'[1]SNO RTF daily report1'!A85</f>
        <v>0</v>
      </c>
      <c r="B85">
        <f>'[1]SNO RTF daily report1'!B85</f>
        <v>0</v>
      </c>
      <c r="C85">
        <f>'[1]SNO RTF daily report1'!C85</f>
        <v>0</v>
      </c>
      <c r="D85">
        <f>'[1]SNO RTF daily report1'!D85</f>
        <v>0</v>
      </c>
      <c r="E85">
        <f>'[1]SNO RTF daily report1'!E85</f>
        <v>0</v>
      </c>
      <c r="F85">
        <f>'[1]SNO RTF daily report1'!F85</f>
        <v>0</v>
      </c>
      <c r="G85">
        <f>'[1]SNO RTF daily report1'!G85</f>
        <v>0</v>
      </c>
      <c r="H85">
        <f>'[1]SNO RTF daily report1'!H85</f>
        <v>0</v>
      </c>
      <c r="I85">
        <f>'[1]SNO RTF daily report1'!I85</f>
        <v>0</v>
      </c>
    </row>
    <row r="86" spans="1:9" x14ac:dyDescent="0.25">
      <c r="A86">
        <f>'[1]SNO RTF daily report1'!A86</f>
        <v>0</v>
      </c>
      <c r="B86">
        <f>'[1]SNO RTF daily report1'!B86</f>
        <v>0</v>
      </c>
      <c r="C86">
        <f>'[1]SNO RTF daily report1'!C86</f>
        <v>0</v>
      </c>
      <c r="D86">
        <f>'[1]SNO RTF daily report1'!D86</f>
        <v>0</v>
      </c>
      <c r="E86">
        <f>'[1]SNO RTF daily report1'!E86</f>
        <v>0</v>
      </c>
      <c r="F86">
        <f>'[1]SNO RTF daily report1'!F86</f>
        <v>0</v>
      </c>
      <c r="G86">
        <f>'[1]SNO RTF daily report1'!G86</f>
        <v>0</v>
      </c>
      <c r="H86">
        <f>'[1]SNO RTF daily report1'!H86</f>
        <v>0</v>
      </c>
      <c r="I86">
        <f>'[1]SNO RTF daily report1'!I86</f>
        <v>0</v>
      </c>
    </row>
    <row r="87" spans="1:9" x14ac:dyDescent="0.25">
      <c r="A87">
        <f>'[1]SNO RTF daily report1'!A87</f>
        <v>0</v>
      </c>
      <c r="B87">
        <f>'[1]SNO RTF daily report1'!B87</f>
        <v>0</v>
      </c>
      <c r="C87">
        <f>'[1]SNO RTF daily report1'!C87</f>
        <v>0</v>
      </c>
      <c r="D87">
        <f>'[1]SNO RTF daily report1'!D87</f>
        <v>0</v>
      </c>
      <c r="E87">
        <f>'[1]SNO RTF daily report1'!E87</f>
        <v>0</v>
      </c>
      <c r="F87">
        <f>'[1]SNO RTF daily report1'!F87</f>
        <v>0</v>
      </c>
      <c r="G87">
        <f>'[1]SNO RTF daily report1'!G87</f>
        <v>0</v>
      </c>
      <c r="H87">
        <f>'[1]SNO RTF daily report1'!H87</f>
        <v>0</v>
      </c>
      <c r="I87">
        <f>'[1]SNO RTF daily report1'!I87</f>
        <v>0</v>
      </c>
    </row>
    <row r="88" spans="1:9" x14ac:dyDescent="0.25">
      <c r="A88">
        <f>'[1]SNO RTF daily report1'!A88</f>
        <v>0</v>
      </c>
      <c r="B88">
        <f>'[1]SNO RTF daily report1'!B88</f>
        <v>0</v>
      </c>
      <c r="C88">
        <f>'[1]SNO RTF daily report1'!C88</f>
        <v>0</v>
      </c>
      <c r="D88">
        <f>'[1]SNO RTF daily report1'!D88</f>
        <v>0</v>
      </c>
      <c r="E88">
        <f>'[1]SNO RTF daily report1'!E88</f>
        <v>0</v>
      </c>
      <c r="F88">
        <f>'[1]SNO RTF daily report1'!F88</f>
        <v>0</v>
      </c>
      <c r="G88">
        <f>'[1]SNO RTF daily report1'!G88</f>
        <v>0</v>
      </c>
      <c r="H88">
        <f>'[1]SNO RTF daily report1'!H88</f>
        <v>0</v>
      </c>
      <c r="I88">
        <f>'[1]SNO RTF daily report1'!I88</f>
        <v>0</v>
      </c>
    </row>
    <row r="89" spans="1:9" x14ac:dyDescent="0.25">
      <c r="A89">
        <f>'[1]SNO RTF daily report1'!A89</f>
        <v>0</v>
      </c>
      <c r="B89">
        <f>'[1]SNO RTF daily report1'!B89</f>
        <v>0</v>
      </c>
      <c r="C89">
        <f>'[1]SNO RTF daily report1'!C89</f>
        <v>0</v>
      </c>
      <c r="D89">
        <f>'[1]SNO RTF daily report1'!D89</f>
        <v>0</v>
      </c>
      <c r="E89">
        <f>'[1]SNO RTF daily report1'!E89</f>
        <v>0</v>
      </c>
      <c r="F89">
        <f>'[1]SNO RTF daily report1'!F89</f>
        <v>0</v>
      </c>
      <c r="G89">
        <f>'[1]SNO RTF daily report1'!G89</f>
        <v>0</v>
      </c>
      <c r="H89">
        <f>'[1]SNO RTF daily report1'!H89</f>
        <v>0</v>
      </c>
      <c r="I89">
        <f>'[1]SNO RTF daily report1'!I89</f>
        <v>0</v>
      </c>
    </row>
    <row r="90" spans="1:9" x14ac:dyDescent="0.25">
      <c r="A90">
        <f>'[1]SNO RTF daily report1'!A90</f>
        <v>0</v>
      </c>
      <c r="B90">
        <f>'[1]SNO RTF daily report1'!B90</f>
        <v>0</v>
      </c>
      <c r="C90">
        <f>'[1]SNO RTF daily report1'!C90</f>
        <v>0</v>
      </c>
      <c r="D90">
        <f>'[1]SNO RTF daily report1'!D90</f>
        <v>0</v>
      </c>
      <c r="E90">
        <f>'[1]SNO RTF daily report1'!E90</f>
        <v>0</v>
      </c>
      <c r="F90">
        <f>'[1]SNO RTF daily report1'!F90</f>
        <v>0</v>
      </c>
      <c r="G90">
        <f>'[1]SNO RTF daily report1'!G90</f>
        <v>0</v>
      </c>
      <c r="H90">
        <f>'[1]SNO RTF daily report1'!H90</f>
        <v>0</v>
      </c>
      <c r="I90">
        <f>'[1]SNO RTF daily report1'!I90</f>
        <v>0</v>
      </c>
    </row>
    <row r="91" spans="1:9" x14ac:dyDescent="0.25">
      <c r="A91">
        <f>'[1]SNO RTF daily report1'!A91</f>
        <v>0</v>
      </c>
      <c r="B91">
        <f>'[1]SNO RTF daily report1'!B91</f>
        <v>0</v>
      </c>
      <c r="C91">
        <f>'[1]SNO RTF daily report1'!C91</f>
        <v>0</v>
      </c>
      <c r="D91">
        <f>'[1]SNO RTF daily report1'!D91</f>
        <v>0</v>
      </c>
      <c r="E91">
        <f>'[1]SNO RTF daily report1'!E91</f>
        <v>0</v>
      </c>
      <c r="F91">
        <f>'[1]SNO RTF daily report1'!F91</f>
        <v>0</v>
      </c>
      <c r="G91">
        <f>'[1]SNO RTF daily report1'!G91</f>
        <v>0</v>
      </c>
      <c r="H91">
        <f>'[1]SNO RTF daily report1'!H91</f>
        <v>0</v>
      </c>
      <c r="I91">
        <f>'[1]SNO RTF daily report1'!I91</f>
        <v>0</v>
      </c>
    </row>
    <row r="92" spans="1:9" x14ac:dyDescent="0.25">
      <c r="A92">
        <f>'[1]SNO RTF daily report1'!A92</f>
        <v>0</v>
      </c>
      <c r="B92">
        <f>'[1]SNO RTF daily report1'!B92</f>
        <v>0</v>
      </c>
      <c r="C92">
        <f>'[1]SNO RTF daily report1'!C92</f>
        <v>0</v>
      </c>
      <c r="D92">
        <f>'[1]SNO RTF daily report1'!D92</f>
        <v>0</v>
      </c>
      <c r="E92">
        <f>'[1]SNO RTF daily report1'!E92</f>
        <v>0</v>
      </c>
      <c r="F92">
        <f>'[1]SNO RTF daily report1'!F92</f>
        <v>0</v>
      </c>
      <c r="G92">
        <f>'[1]SNO RTF daily report1'!G92</f>
        <v>0</v>
      </c>
      <c r="H92">
        <f>'[1]SNO RTF daily report1'!H92</f>
        <v>0</v>
      </c>
      <c r="I92">
        <f>'[1]SNO RTF daily report1'!I92</f>
        <v>0</v>
      </c>
    </row>
    <row r="93" spans="1:9" x14ac:dyDescent="0.25">
      <c r="A93">
        <f>'[1]SNO RTF daily report1'!A93</f>
        <v>0</v>
      </c>
      <c r="B93">
        <f>'[1]SNO RTF daily report1'!B93</f>
        <v>0</v>
      </c>
      <c r="C93">
        <f>'[1]SNO RTF daily report1'!C93</f>
        <v>0</v>
      </c>
      <c r="D93">
        <f>'[1]SNO RTF daily report1'!D93</f>
        <v>0</v>
      </c>
      <c r="E93">
        <f>'[1]SNO RTF daily report1'!E93</f>
        <v>0</v>
      </c>
      <c r="F93">
        <f>'[1]SNO RTF daily report1'!F93</f>
        <v>0</v>
      </c>
      <c r="G93">
        <f>'[1]SNO RTF daily report1'!G93</f>
        <v>0</v>
      </c>
      <c r="H93">
        <f>'[1]SNO RTF daily report1'!H93</f>
        <v>0</v>
      </c>
      <c r="I93">
        <f>'[1]SNO RTF daily report1'!I93</f>
        <v>0</v>
      </c>
    </row>
    <row r="94" spans="1:9" x14ac:dyDescent="0.25">
      <c r="A94">
        <f>'[1]SNO RTF daily report1'!A94</f>
        <v>0</v>
      </c>
      <c r="B94">
        <f>'[1]SNO RTF daily report1'!B94</f>
        <v>0</v>
      </c>
      <c r="C94">
        <f>'[1]SNO RTF daily report1'!C94</f>
        <v>0</v>
      </c>
      <c r="D94">
        <f>'[1]SNO RTF daily report1'!D94</f>
        <v>0</v>
      </c>
      <c r="E94">
        <f>'[1]SNO RTF daily report1'!E94</f>
        <v>0</v>
      </c>
      <c r="F94">
        <f>'[1]SNO RTF daily report1'!F94</f>
        <v>0</v>
      </c>
      <c r="G94">
        <f>'[1]SNO RTF daily report1'!G94</f>
        <v>0</v>
      </c>
      <c r="H94">
        <f>'[1]SNO RTF daily report1'!H94</f>
        <v>0</v>
      </c>
      <c r="I94">
        <f>'[1]SNO RTF daily report1'!I94</f>
        <v>0</v>
      </c>
    </row>
    <row r="95" spans="1:9" x14ac:dyDescent="0.25">
      <c r="A95">
        <f>'[1]SNO RTF daily report1'!A95</f>
        <v>0</v>
      </c>
      <c r="B95">
        <f>'[1]SNO RTF daily report1'!B95</f>
        <v>0</v>
      </c>
      <c r="C95">
        <f>'[1]SNO RTF daily report1'!C95</f>
        <v>0</v>
      </c>
      <c r="D95">
        <f>'[1]SNO RTF daily report1'!D95</f>
        <v>0</v>
      </c>
      <c r="E95">
        <f>'[1]SNO RTF daily report1'!E95</f>
        <v>0</v>
      </c>
      <c r="F95">
        <f>'[1]SNO RTF daily report1'!F95</f>
        <v>0</v>
      </c>
      <c r="G95">
        <f>'[1]SNO RTF daily report1'!G95</f>
        <v>0</v>
      </c>
      <c r="H95">
        <f>'[1]SNO RTF daily report1'!H95</f>
        <v>0</v>
      </c>
      <c r="I95">
        <f>'[1]SNO RTF daily report1'!I95</f>
        <v>0</v>
      </c>
    </row>
    <row r="96" spans="1:9" x14ac:dyDescent="0.25">
      <c r="A96">
        <f>'[1]SNO RTF daily report1'!A96</f>
        <v>0</v>
      </c>
      <c r="B96">
        <f>'[1]SNO RTF daily report1'!B96</f>
        <v>0</v>
      </c>
      <c r="C96">
        <f>'[1]SNO RTF daily report1'!C96</f>
        <v>0</v>
      </c>
      <c r="D96">
        <f>'[1]SNO RTF daily report1'!D96</f>
        <v>0</v>
      </c>
      <c r="E96">
        <f>'[1]SNO RTF daily report1'!E96</f>
        <v>0</v>
      </c>
      <c r="F96">
        <f>'[1]SNO RTF daily report1'!F96</f>
        <v>0</v>
      </c>
      <c r="G96">
        <f>'[1]SNO RTF daily report1'!G96</f>
        <v>0</v>
      </c>
      <c r="H96">
        <f>'[1]SNO RTF daily report1'!H96</f>
        <v>0</v>
      </c>
      <c r="I96">
        <f>'[1]SNO RTF daily report1'!I96</f>
        <v>0</v>
      </c>
    </row>
    <row r="97" spans="1:9" x14ac:dyDescent="0.25">
      <c r="A97">
        <f>'[1]SNO RTF daily report1'!A97</f>
        <v>0</v>
      </c>
      <c r="B97">
        <f>'[1]SNO RTF daily report1'!B97</f>
        <v>0</v>
      </c>
      <c r="C97">
        <f>'[1]SNO RTF daily report1'!C97</f>
        <v>0</v>
      </c>
      <c r="D97">
        <f>'[1]SNO RTF daily report1'!D97</f>
        <v>0</v>
      </c>
      <c r="E97">
        <f>'[1]SNO RTF daily report1'!E97</f>
        <v>0</v>
      </c>
      <c r="F97">
        <f>'[1]SNO RTF daily report1'!F97</f>
        <v>0</v>
      </c>
      <c r="G97">
        <f>'[1]SNO RTF daily report1'!G97</f>
        <v>0</v>
      </c>
      <c r="H97">
        <f>'[1]SNO RTF daily report1'!H97</f>
        <v>0</v>
      </c>
      <c r="I97">
        <f>'[1]SNO RTF daily report1'!I97</f>
        <v>0</v>
      </c>
    </row>
    <row r="98" spans="1:9" x14ac:dyDescent="0.25">
      <c r="A98">
        <f>'[1]SNO RTF daily report1'!A98</f>
        <v>0</v>
      </c>
      <c r="B98">
        <f>'[1]SNO RTF daily report1'!B98</f>
        <v>0</v>
      </c>
      <c r="C98">
        <f>'[1]SNO RTF daily report1'!C98</f>
        <v>0</v>
      </c>
      <c r="D98">
        <f>'[1]SNO RTF daily report1'!D98</f>
        <v>0</v>
      </c>
      <c r="E98">
        <f>'[1]SNO RTF daily report1'!E98</f>
        <v>0</v>
      </c>
      <c r="F98">
        <f>'[1]SNO RTF daily report1'!F98</f>
        <v>0</v>
      </c>
      <c r="G98">
        <f>'[1]SNO RTF daily report1'!G98</f>
        <v>0</v>
      </c>
      <c r="H98">
        <f>'[1]SNO RTF daily report1'!H98</f>
        <v>0</v>
      </c>
      <c r="I98">
        <f>'[1]SNO RTF daily report1'!I98</f>
        <v>0</v>
      </c>
    </row>
    <row r="99" spans="1:9" x14ac:dyDescent="0.25">
      <c r="A99">
        <f>'[1]SNO RTF daily report1'!A99</f>
        <v>0</v>
      </c>
      <c r="B99">
        <f>'[1]SNO RTF daily report1'!B99</f>
        <v>0</v>
      </c>
      <c r="C99">
        <f>'[1]SNO RTF daily report1'!C99</f>
        <v>0</v>
      </c>
      <c r="D99">
        <f>'[1]SNO RTF daily report1'!D99</f>
        <v>0</v>
      </c>
      <c r="E99">
        <f>'[1]SNO RTF daily report1'!E99</f>
        <v>0</v>
      </c>
      <c r="F99">
        <f>'[1]SNO RTF daily report1'!F99</f>
        <v>0</v>
      </c>
      <c r="G99">
        <f>'[1]SNO RTF daily report1'!G99</f>
        <v>0</v>
      </c>
      <c r="H99">
        <f>'[1]SNO RTF daily report1'!H99</f>
        <v>0</v>
      </c>
      <c r="I99">
        <f>'[1]SNO RTF daily report1'!I99</f>
        <v>0</v>
      </c>
    </row>
    <row r="100" spans="1:9" x14ac:dyDescent="0.25">
      <c r="A100">
        <f>'[1]SNO RTF daily report1'!A100</f>
        <v>0</v>
      </c>
      <c r="B100">
        <f>'[1]SNO RTF daily report1'!B100</f>
        <v>0</v>
      </c>
      <c r="C100">
        <f>'[1]SNO RTF daily report1'!C100</f>
        <v>0</v>
      </c>
      <c r="D100">
        <f>'[1]SNO RTF daily report1'!D100</f>
        <v>0</v>
      </c>
      <c r="E100">
        <f>'[1]SNO RTF daily report1'!E100</f>
        <v>0</v>
      </c>
      <c r="F100">
        <f>'[1]SNO RTF daily report1'!F100</f>
        <v>0</v>
      </c>
      <c r="G100">
        <f>'[1]SNO RTF daily report1'!G100</f>
        <v>0</v>
      </c>
      <c r="H100">
        <f>'[1]SNO RTF daily report1'!H100</f>
        <v>0</v>
      </c>
      <c r="I100">
        <f>'[1]SNO RTF daily report1'!I100</f>
        <v>0</v>
      </c>
    </row>
    <row r="101" spans="1:9" x14ac:dyDescent="0.25">
      <c r="A101">
        <f>'[1]SNO RTF daily report1'!A101</f>
        <v>0</v>
      </c>
      <c r="B101">
        <f>'[1]SNO RTF daily report1'!B101</f>
        <v>0</v>
      </c>
      <c r="C101">
        <f>'[1]SNO RTF daily report1'!C101</f>
        <v>0</v>
      </c>
      <c r="D101">
        <f>'[1]SNO RTF daily report1'!D101</f>
        <v>0</v>
      </c>
      <c r="E101">
        <f>'[1]SNO RTF daily report1'!E101</f>
        <v>0</v>
      </c>
      <c r="F101">
        <f>'[1]SNO RTF daily report1'!F101</f>
        <v>0</v>
      </c>
      <c r="G101">
        <f>'[1]SNO RTF daily report1'!G101</f>
        <v>0</v>
      </c>
      <c r="H101">
        <f>'[1]SNO RTF daily report1'!H101</f>
        <v>0</v>
      </c>
      <c r="I101">
        <f>'[1]SNO RTF daily report1'!I101</f>
        <v>0</v>
      </c>
    </row>
    <row r="102" spans="1:9" x14ac:dyDescent="0.25">
      <c r="A102">
        <f>'[1]SNO RTF daily report1'!A102</f>
        <v>0</v>
      </c>
      <c r="B102">
        <f>'[1]SNO RTF daily report1'!B102</f>
        <v>0</v>
      </c>
      <c r="C102">
        <f>'[1]SNO RTF daily report1'!C102</f>
        <v>0</v>
      </c>
      <c r="D102">
        <f>'[1]SNO RTF daily report1'!D102</f>
        <v>0</v>
      </c>
      <c r="E102">
        <f>'[1]SNO RTF daily report1'!E102</f>
        <v>0</v>
      </c>
      <c r="F102">
        <f>'[1]SNO RTF daily report1'!F102</f>
        <v>0</v>
      </c>
      <c r="G102">
        <f>'[1]SNO RTF daily report1'!G102</f>
        <v>0</v>
      </c>
      <c r="H102">
        <f>'[1]SNO RTF daily report1'!H102</f>
        <v>0</v>
      </c>
      <c r="I102">
        <f>'[1]SNO RTF daily report1'!I102</f>
        <v>0</v>
      </c>
    </row>
    <row r="103" spans="1:9" x14ac:dyDescent="0.25">
      <c r="A103">
        <f>'[1]SNO RTF daily report1'!A103</f>
        <v>0</v>
      </c>
      <c r="B103">
        <f>'[1]SNO RTF daily report1'!B103</f>
        <v>0</v>
      </c>
      <c r="C103">
        <f>'[1]SNO RTF daily report1'!C103</f>
        <v>0</v>
      </c>
      <c r="D103">
        <f>'[1]SNO RTF daily report1'!D103</f>
        <v>0</v>
      </c>
      <c r="E103">
        <f>'[1]SNO RTF daily report1'!E103</f>
        <v>0</v>
      </c>
      <c r="F103">
        <f>'[1]SNO RTF daily report1'!F103</f>
        <v>0</v>
      </c>
      <c r="G103">
        <f>'[1]SNO RTF daily report1'!G103</f>
        <v>0</v>
      </c>
      <c r="H103">
        <f>'[1]SNO RTF daily report1'!H103</f>
        <v>0</v>
      </c>
      <c r="I103">
        <f>'[1]SNO RTF daily report1'!I103</f>
        <v>0</v>
      </c>
    </row>
    <row r="104" spans="1:9" x14ac:dyDescent="0.25">
      <c r="A104">
        <f>'[1]SNO RTF daily report1'!A104</f>
        <v>0</v>
      </c>
      <c r="B104">
        <f>'[1]SNO RTF daily report1'!B104</f>
        <v>0</v>
      </c>
      <c r="C104">
        <f>'[1]SNO RTF daily report1'!C104</f>
        <v>0</v>
      </c>
      <c r="D104">
        <f>'[1]SNO RTF daily report1'!D104</f>
        <v>0</v>
      </c>
      <c r="E104">
        <f>'[1]SNO RTF daily report1'!E104</f>
        <v>0</v>
      </c>
      <c r="F104">
        <f>'[1]SNO RTF daily report1'!F104</f>
        <v>0</v>
      </c>
      <c r="G104">
        <f>'[1]SNO RTF daily report1'!G104</f>
        <v>0</v>
      </c>
      <c r="H104">
        <f>'[1]SNO RTF daily report1'!H104</f>
        <v>0</v>
      </c>
      <c r="I104">
        <f>'[1]SNO RTF daily report1'!I104</f>
        <v>0</v>
      </c>
    </row>
    <row r="105" spans="1:9" x14ac:dyDescent="0.25">
      <c r="A105">
        <f>'[1]SNO RTF daily report1'!A105</f>
        <v>0</v>
      </c>
      <c r="B105">
        <f>'[1]SNO RTF daily report1'!B105</f>
        <v>0</v>
      </c>
      <c r="C105">
        <f>'[1]SNO RTF daily report1'!C105</f>
        <v>0</v>
      </c>
      <c r="D105">
        <f>'[1]SNO RTF daily report1'!D105</f>
        <v>0</v>
      </c>
      <c r="E105">
        <f>'[1]SNO RTF daily report1'!E105</f>
        <v>0</v>
      </c>
      <c r="F105">
        <f>'[1]SNO RTF daily report1'!F105</f>
        <v>0</v>
      </c>
      <c r="G105">
        <f>'[1]SNO RTF daily report1'!G105</f>
        <v>0</v>
      </c>
      <c r="H105">
        <f>'[1]SNO RTF daily report1'!H105</f>
        <v>0</v>
      </c>
      <c r="I105">
        <f>'[1]SNO RTF daily report1'!I105</f>
        <v>0</v>
      </c>
    </row>
    <row r="106" spans="1:9" x14ac:dyDescent="0.25">
      <c r="A106">
        <f>'[1]SNO RTF daily report1'!A106</f>
        <v>0</v>
      </c>
      <c r="B106">
        <f>'[1]SNO RTF daily report1'!B106</f>
        <v>0</v>
      </c>
      <c r="C106">
        <f>'[1]SNO RTF daily report1'!C106</f>
        <v>0</v>
      </c>
      <c r="D106">
        <f>'[1]SNO RTF daily report1'!D106</f>
        <v>0</v>
      </c>
      <c r="E106">
        <f>'[1]SNO RTF daily report1'!E106</f>
        <v>0</v>
      </c>
      <c r="F106">
        <f>'[1]SNO RTF daily report1'!F106</f>
        <v>0</v>
      </c>
      <c r="G106">
        <f>'[1]SNO RTF daily report1'!G106</f>
        <v>0</v>
      </c>
      <c r="H106">
        <f>'[1]SNO RTF daily report1'!H106</f>
        <v>0</v>
      </c>
      <c r="I106">
        <f>'[1]SNO RTF daily report1'!I106</f>
        <v>0</v>
      </c>
    </row>
    <row r="107" spans="1:9" x14ac:dyDescent="0.25">
      <c r="A107">
        <f>'[1]SNO RTF daily report1'!A107</f>
        <v>0</v>
      </c>
      <c r="B107">
        <f>'[1]SNO RTF daily report1'!B107</f>
        <v>0</v>
      </c>
      <c r="C107">
        <f>'[1]SNO RTF daily report1'!C107</f>
        <v>0</v>
      </c>
      <c r="D107">
        <f>'[1]SNO RTF daily report1'!D107</f>
        <v>0</v>
      </c>
      <c r="E107">
        <f>'[1]SNO RTF daily report1'!E107</f>
        <v>0</v>
      </c>
      <c r="F107">
        <f>'[1]SNO RTF daily report1'!F107</f>
        <v>0</v>
      </c>
      <c r="G107">
        <f>'[1]SNO RTF daily report1'!G107</f>
        <v>0</v>
      </c>
      <c r="H107">
        <f>'[1]SNO RTF daily report1'!H107</f>
        <v>0</v>
      </c>
      <c r="I107">
        <f>'[1]SNO RTF daily report1'!I107</f>
        <v>0</v>
      </c>
    </row>
    <row r="108" spans="1:9" x14ac:dyDescent="0.25">
      <c r="A108">
        <f>'[1]SNO RTF daily report1'!A108</f>
        <v>0</v>
      </c>
      <c r="B108">
        <f>'[1]SNO RTF daily report1'!B108</f>
        <v>0</v>
      </c>
      <c r="C108">
        <f>'[1]SNO RTF daily report1'!C108</f>
        <v>0</v>
      </c>
      <c r="D108">
        <f>'[1]SNO RTF daily report1'!D108</f>
        <v>0</v>
      </c>
      <c r="E108">
        <f>'[1]SNO RTF daily report1'!E108</f>
        <v>0</v>
      </c>
      <c r="F108">
        <f>'[1]SNO RTF daily report1'!F108</f>
        <v>0</v>
      </c>
      <c r="G108">
        <f>'[1]SNO RTF daily report1'!G108</f>
        <v>0</v>
      </c>
      <c r="H108">
        <f>'[1]SNO RTF daily report1'!H108</f>
        <v>0</v>
      </c>
      <c r="I108">
        <f>'[1]SNO RTF daily report1'!I108</f>
        <v>0</v>
      </c>
    </row>
    <row r="109" spans="1:9" x14ac:dyDescent="0.25">
      <c r="A109">
        <f>'[1]SNO RTF daily report1'!A109</f>
        <v>0</v>
      </c>
      <c r="B109">
        <f>'[1]SNO RTF daily report1'!B109</f>
        <v>0</v>
      </c>
      <c r="C109">
        <f>'[1]SNO RTF daily report1'!C109</f>
        <v>0</v>
      </c>
      <c r="D109">
        <f>'[1]SNO RTF daily report1'!D109</f>
        <v>0</v>
      </c>
      <c r="E109">
        <f>'[1]SNO RTF daily report1'!E109</f>
        <v>0</v>
      </c>
      <c r="F109">
        <f>'[1]SNO RTF daily report1'!F109</f>
        <v>0</v>
      </c>
      <c r="G109">
        <f>'[1]SNO RTF daily report1'!G109</f>
        <v>0</v>
      </c>
      <c r="H109">
        <f>'[1]SNO RTF daily report1'!H109</f>
        <v>0</v>
      </c>
      <c r="I109">
        <f>'[1]SNO RTF daily report1'!I109</f>
        <v>0</v>
      </c>
    </row>
    <row r="110" spans="1:9" x14ac:dyDescent="0.25">
      <c r="A110">
        <f>'[1]SNO RTF daily report1'!A110</f>
        <v>0</v>
      </c>
      <c r="B110">
        <f>'[1]SNO RTF daily report1'!B110</f>
        <v>0</v>
      </c>
      <c r="C110">
        <f>'[1]SNO RTF daily report1'!C110</f>
        <v>0</v>
      </c>
      <c r="D110">
        <f>'[1]SNO RTF daily report1'!D110</f>
        <v>0</v>
      </c>
      <c r="E110">
        <f>'[1]SNO RTF daily report1'!E110</f>
        <v>0</v>
      </c>
      <c r="F110">
        <f>'[1]SNO RTF daily report1'!F110</f>
        <v>0</v>
      </c>
      <c r="G110">
        <f>'[1]SNO RTF daily report1'!G110</f>
        <v>0</v>
      </c>
      <c r="H110">
        <f>'[1]SNO RTF daily report1'!H110</f>
        <v>0</v>
      </c>
      <c r="I110">
        <f>'[1]SNO RTF daily report1'!I110</f>
        <v>0</v>
      </c>
    </row>
    <row r="111" spans="1:9" x14ac:dyDescent="0.25">
      <c r="A111">
        <f>'[1]SNO RTF daily report1'!A111</f>
        <v>0</v>
      </c>
      <c r="B111">
        <f>'[1]SNO RTF daily report1'!B111</f>
        <v>0</v>
      </c>
      <c r="C111">
        <f>'[1]SNO RTF daily report1'!C111</f>
        <v>0</v>
      </c>
      <c r="D111">
        <f>'[1]SNO RTF daily report1'!D111</f>
        <v>0</v>
      </c>
      <c r="E111">
        <f>'[1]SNO RTF daily report1'!E111</f>
        <v>0</v>
      </c>
      <c r="F111">
        <f>'[1]SNO RTF daily report1'!F111</f>
        <v>0</v>
      </c>
      <c r="G111">
        <f>'[1]SNO RTF daily report1'!G111</f>
        <v>0</v>
      </c>
      <c r="H111">
        <f>'[1]SNO RTF daily report1'!H111</f>
        <v>0</v>
      </c>
      <c r="I111">
        <f>'[1]SNO RTF daily report1'!I111</f>
        <v>0</v>
      </c>
    </row>
    <row r="112" spans="1:9" x14ac:dyDescent="0.25">
      <c r="A112">
        <f>'[1]SNO RTF daily report1'!A112</f>
        <v>0</v>
      </c>
      <c r="B112">
        <f>'[1]SNO RTF daily report1'!B112</f>
        <v>0</v>
      </c>
      <c r="C112">
        <f>'[1]SNO RTF daily report1'!C112</f>
        <v>0</v>
      </c>
      <c r="D112">
        <f>'[1]SNO RTF daily report1'!D112</f>
        <v>0</v>
      </c>
      <c r="E112">
        <f>'[1]SNO RTF daily report1'!E112</f>
        <v>0</v>
      </c>
      <c r="F112">
        <f>'[1]SNO RTF daily report1'!F112</f>
        <v>0</v>
      </c>
      <c r="G112">
        <f>'[1]SNO RTF daily report1'!G112</f>
        <v>0</v>
      </c>
      <c r="H112">
        <f>'[1]SNO RTF daily report1'!H112</f>
        <v>0</v>
      </c>
      <c r="I112">
        <f>'[1]SNO RTF daily report1'!I112</f>
        <v>0</v>
      </c>
    </row>
    <row r="113" spans="1:9" x14ac:dyDescent="0.25">
      <c r="A113">
        <f>'[1]SNO RTF daily report1'!A113</f>
        <v>0</v>
      </c>
      <c r="B113">
        <f>'[1]SNO RTF daily report1'!B113</f>
        <v>0</v>
      </c>
      <c r="C113">
        <f>'[1]SNO RTF daily report1'!C113</f>
        <v>0</v>
      </c>
      <c r="D113">
        <f>'[1]SNO RTF daily report1'!D113</f>
        <v>0</v>
      </c>
      <c r="E113">
        <f>'[1]SNO RTF daily report1'!E113</f>
        <v>0</v>
      </c>
      <c r="F113">
        <f>'[1]SNO RTF daily report1'!F113</f>
        <v>0</v>
      </c>
      <c r="G113">
        <f>'[1]SNO RTF daily report1'!G113</f>
        <v>0</v>
      </c>
      <c r="H113">
        <f>'[1]SNO RTF daily report1'!H113</f>
        <v>0</v>
      </c>
      <c r="I113">
        <f>'[1]SNO RTF daily report1'!I113</f>
        <v>0</v>
      </c>
    </row>
    <row r="114" spans="1:9" x14ac:dyDescent="0.25">
      <c r="A114">
        <f>'[1]SNO RTF daily report1'!A114</f>
        <v>0</v>
      </c>
      <c r="B114">
        <f>'[1]SNO RTF daily report1'!B114</f>
        <v>0</v>
      </c>
      <c r="C114">
        <f>'[1]SNO RTF daily report1'!C114</f>
        <v>0</v>
      </c>
      <c r="D114">
        <f>'[1]SNO RTF daily report1'!D114</f>
        <v>0</v>
      </c>
      <c r="E114">
        <f>'[1]SNO RTF daily report1'!E114</f>
        <v>0</v>
      </c>
      <c r="F114">
        <f>'[1]SNO RTF daily report1'!F114</f>
        <v>0</v>
      </c>
      <c r="G114">
        <f>'[1]SNO RTF daily report1'!G114</f>
        <v>0</v>
      </c>
      <c r="H114">
        <f>'[1]SNO RTF daily report1'!H114</f>
        <v>0</v>
      </c>
      <c r="I114">
        <f>'[1]SNO RTF daily report1'!I114</f>
        <v>0</v>
      </c>
    </row>
    <row r="115" spans="1:9" x14ac:dyDescent="0.25">
      <c r="A115">
        <f>'[1]SNO RTF daily report1'!A115</f>
        <v>0</v>
      </c>
      <c r="B115">
        <f>'[1]SNO RTF daily report1'!B115</f>
        <v>0</v>
      </c>
      <c r="C115">
        <f>'[1]SNO RTF daily report1'!C115</f>
        <v>0</v>
      </c>
      <c r="D115">
        <f>'[1]SNO RTF daily report1'!D115</f>
        <v>0</v>
      </c>
      <c r="E115">
        <f>'[1]SNO RTF daily report1'!E115</f>
        <v>0</v>
      </c>
      <c r="F115">
        <f>'[1]SNO RTF daily report1'!F115</f>
        <v>0</v>
      </c>
      <c r="G115">
        <f>'[1]SNO RTF daily report1'!G115</f>
        <v>0</v>
      </c>
      <c r="H115">
        <f>'[1]SNO RTF daily report1'!H115</f>
        <v>0</v>
      </c>
      <c r="I115">
        <f>'[1]SNO RTF daily report1'!I115</f>
        <v>0</v>
      </c>
    </row>
    <row r="116" spans="1:9" x14ac:dyDescent="0.25">
      <c r="A116">
        <f>'[1]SNO RTF daily report1'!A116</f>
        <v>0</v>
      </c>
      <c r="B116">
        <f>'[1]SNO RTF daily report1'!B116</f>
        <v>0</v>
      </c>
      <c r="C116">
        <f>'[1]SNO RTF daily report1'!C116</f>
        <v>0</v>
      </c>
      <c r="D116">
        <f>'[1]SNO RTF daily report1'!D116</f>
        <v>0</v>
      </c>
      <c r="E116">
        <f>'[1]SNO RTF daily report1'!E116</f>
        <v>0</v>
      </c>
      <c r="F116">
        <f>'[1]SNO RTF daily report1'!F116</f>
        <v>0</v>
      </c>
      <c r="G116">
        <f>'[1]SNO RTF daily report1'!G116</f>
        <v>0</v>
      </c>
      <c r="H116">
        <f>'[1]SNO RTF daily report1'!H116</f>
        <v>0</v>
      </c>
      <c r="I116">
        <f>'[1]SNO RTF daily report1'!I116</f>
        <v>0</v>
      </c>
    </row>
    <row r="117" spans="1:9" x14ac:dyDescent="0.25">
      <c r="A117">
        <f>'[1]SNO RTF daily report1'!A117</f>
        <v>0</v>
      </c>
      <c r="B117">
        <f>'[1]SNO RTF daily report1'!B117</f>
        <v>0</v>
      </c>
      <c r="C117">
        <f>'[1]SNO RTF daily report1'!C117</f>
        <v>0</v>
      </c>
      <c r="D117">
        <f>'[1]SNO RTF daily report1'!D117</f>
        <v>0</v>
      </c>
      <c r="E117">
        <f>'[1]SNO RTF daily report1'!E117</f>
        <v>0</v>
      </c>
      <c r="F117">
        <f>'[1]SNO RTF daily report1'!F117</f>
        <v>0</v>
      </c>
      <c r="G117">
        <f>'[1]SNO RTF daily report1'!G117</f>
        <v>0</v>
      </c>
      <c r="H117">
        <f>'[1]SNO RTF daily report1'!H117</f>
        <v>0</v>
      </c>
      <c r="I117">
        <f>'[1]SNO RTF daily report1'!I117</f>
        <v>0</v>
      </c>
    </row>
    <row r="118" spans="1:9" x14ac:dyDescent="0.25">
      <c r="A118">
        <f>'[1]SNO RTF daily report1'!A118</f>
        <v>0</v>
      </c>
      <c r="B118">
        <f>'[1]SNO RTF daily report1'!B118</f>
        <v>0</v>
      </c>
      <c r="C118">
        <f>'[1]SNO RTF daily report1'!C118</f>
        <v>0</v>
      </c>
      <c r="D118">
        <f>'[1]SNO RTF daily report1'!D118</f>
        <v>0</v>
      </c>
      <c r="E118">
        <f>'[1]SNO RTF daily report1'!E118</f>
        <v>0</v>
      </c>
      <c r="F118">
        <f>'[1]SNO RTF daily report1'!F118</f>
        <v>0</v>
      </c>
      <c r="G118">
        <f>'[1]SNO RTF daily report1'!G118</f>
        <v>0</v>
      </c>
      <c r="H118">
        <f>'[1]SNO RTF daily report1'!H118</f>
        <v>0</v>
      </c>
      <c r="I118">
        <f>'[1]SNO RTF daily report1'!I118</f>
        <v>0</v>
      </c>
    </row>
    <row r="119" spans="1:9" x14ac:dyDescent="0.25">
      <c r="A119">
        <f>'[1]SNO RTF daily report1'!A119</f>
        <v>0</v>
      </c>
      <c r="B119">
        <f>'[1]SNO RTF daily report1'!B119</f>
        <v>0</v>
      </c>
      <c r="C119">
        <f>'[1]SNO RTF daily report1'!C119</f>
        <v>0</v>
      </c>
      <c r="D119">
        <f>'[1]SNO RTF daily report1'!D119</f>
        <v>0</v>
      </c>
      <c r="E119">
        <f>'[1]SNO RTF daily report1'!E119</f>
        <v>0</v>
      </c>
      <c r="F119">
        <f>'[1]SNO RTF daily report1'!F119</f>
        <v>0</v>
      </c>
      <c r="G119">
        <f>'[1]SNO RTF daily report1'!G119</f>
        <v>0</v>
      </c>
      <c r="H119">
        <f>'[1]SNO RTF daily report1'!H119</f>
        <v>0</v>
      </c>
      <c r="I119">
        <f>'[1]SNO RTF daily report1'!I119</f>
        <v>0</v>
      </c>
    </row>
    <row r="120" spans="1:9" x14ac:dyDescent="0.25">
      <c r="A120">
        <f>'[1]SNO RTF daily report1'!A120</f>
        <v>0</v>
      </c>
      <c r="B120">
        <f>'[1]SNO RTF daily report1'!B120</f>
        <v>0</v>
      </c>
      <c r="C120">
        <f>'[1]SNO RTF daily report1'!C120</f>
        <v>0</v>
      </c>
      <c r="D120">
        <f>'[1]SNO RTF daily report1'!D120</f>
        <v>0</v>
      </c>
      <c r="E120">
        <f>'[1]SNO RTF daily report1'!E120</f>
        <v>0</v>
      </c>
      <c r="F120">
        <f>'[1]SNO RTF daily report1'!F120</f>
        <v>0</v>
      </c>
      <c r="G120">
        <f>'[1]SNO RTF daily report1'!G120</f>
        <v>0</v>
      </c>
      <c r="H120">
        <f>'[1]SNO RTF daily report1'!H120</f>
        <v>0</v>
      </c>
      <c r="I120">
        <f>'[1]SNO RTF daily report1'!I120</f>
        <v>0</v>
      </c>
    </row>
    <row r="121" spans="1:9" x14ac:dyDescent="0.25">
      <c r="A121">
        <f>'[1]SNO RTF daily report1'!A121</f>
        <v>0</v>
      </c>
      <c r="B121">
        <f>'[1]SNO RTF daily report1'!B121</f>
        <v>0</v>
      </c>
      <c r="C121">
        <f>'[1]SNO RTF daily report1'!C121</f>
        <v>0</v>
      </c>
      <c r="D121">
        <f>'[1]SNO RTF daily report1'!D121</f>
        <v>0</v>
      </c>
      <c r="E121">
        <f>'[1]SNO RTF daily report1'!E121</f>
        <v>0</v>
      </c>
      <c r="F121">
        <f>'[1]SNO RTF daily report1'!F121</f>
        <v>0</v>
      </c>
      <c r="G121">
        <f>'[1]SNO RTF daily report1'!G121</f>
        <v>0</v>
      </c>
      <c r="H121">
        <f>'[1]SNO RTF daily report1'!H121</f>
        <v>0</v>
      </c>
      <c r="I121">
        <f>'[1]SNO RTF daily report1'!I121</f>
        <v>0</v>
      </c>
    </row>
    <row r="122" spans="1:9" x14ac:dyDescent="0.25">
      <c r="A122">
        <f>'[1]SNO RTF daily report1'!A122</f>
        <v>0</v>
      </c>
      <c r="B122">
        <f>'[1]SNO RTF daily report1'!B122</f>
        <v>0</v>
      </c>
      <c r="C122">
        <f>'[1]SNO RTF daily report1'!C122</f>
        <v>0</v>
      </c>
      <c r="D122">
        <f>'[1]SNO RTF daily report1'!D122</f>
        <v>0</v>
      </c>
      <c r="E122">
        <f>'[1]SNO RTF daily report1'!E122</f>
        <v>0</v>
      </c>
      <c r="F122">
        <f>'[1]SNO RTF daily report1'!F122</f>
        <v>0</v>
      </c>
      <c r="G122">
        <f>'[1]SNO RTF daily report1'!G122</f>
        <v>0</v>
      </c>
      <c r="H122">
        <f>'[1]SNO RTF daily report1'!H122</f>
        <v>0</v>
      </c>
      <c r="I122">
        <f>'[1]SNO RTF daily report1'!I122</f>
        <v>0</v>
      </c>
    </row>
    <row r="123" spans="1:9" x14ac:dyDescent="0.25">
      <c r="A123">
        <f>'[1]SNO RTF daily report1'!A123</f>
        <v>0</v>
      </c>
      <c r="B123">
        <f>'[1]SNO RTF daily report1'!B123</f>
        <v>0</v>
      </c>
      <c r="C123">
        <f>'[1]SNO RTF daily report1'!C123</f>
        <v>0</v>
      </c>
      <c r="D123">
        <f>'[1]SNO RTF daily report1'!D123</f>
        <v>0</v>
      </c>
      <c r="E123">
        <f>'[1]SNO RTF daily report1'!E123</f>
        <v>0</v>
      </c>
      <c r="F123">
        <f>'[1]SNO RTF daily report1'!F123</f>
        <v>0</v>
      </c>
      <c r="G123">
        <f>'[1]SNO RTF daily report1'!G123</f>
        <v>0</v>
      </c>
      <c r="H123">
        <f>'[1]SNO RTF daily report1'!H123</f>
        <v>0</v>
      </c>
      <c r="I123">
        <f>'[1]SNO RTF daily report1'!I123</f>
        <v>0</v>
      </c>
    </row>
    <row r="124" spans="1:9" x14ac:dyDescent="0.25">
      <c r="A124">
        <f>'[1]SNO RTF daily report1'!A124</f>
        <v>0</v>
      </c>
      <c r="B124">
        <f>'[1]SNO RTF daily report1'!B124</f>
        <v>0</v>
      </c>
      <c r="C124">
        <f>'[1]SNO RTF daily report1'!C124</f>
        <v>0</v>
      </c>
      <c r="D124">
        <f>'[1]SNO RTF daily report1'!D124</f>
        <v>0</v>
      </c>
      <c r="E124">
        <f>'[1]SNO RTF daily report1'!E124</f>
        <v>0</v>
      </c>
      <c r="F124">
        <f>'[1]SNO RTF daily report1'!F124</f>
        <v>0</v>
      </c>
      <c r="G124">
        <f>'[1]SNO RTF daily report1'!G124</f>
        <v>0</v>
      </c>
      <c r="H124">
        <f>'[1]SNO RTF daily report1'!H124</f>
        <v>0</v>
      </c>
      <c r="I124">
        <f>'[1]SNO RTF daily report1'!I124</f>
        <v>0</v>
      </c>
    </row>
    <row r="125" spans="1:9" x14ac:dyDescent="0.25">
      <c r="A125">
        <f>'[1]SNO RTF daily report1'!A125</f>
        <v>0</v>
      </c>
      <c r="B125">
        <f>'[1]SNO RTF daily report1'!B125</f>
        <v>0</v>
      </c>
      <c r="C125">
        <f>'[1]SNO RTF daily report1'!C125</f>
        <v>0</v>
      </c>
      <c r="D125">
        <f>'[1]SNO RTF daily report1'!D125</f>
        <v>0</v>
      </c>
      <c r="E125">
        <f>'[1]SNO RTF daily report1'!E125</f>
        <v>0</v>
      </c>
      <c r="F125">
        <f>'[1]SNO RTF daily report1'!F125</f>
        <v>0</v>
      </c>
      <c r="G125">
        <f>'[1]SNO RTF daily report1'!G125</f>
        <v>0</v>
      </c>
      <c r="H125">
        <f>'[1]SNO RTF daily report1'!H125</f>
        <v>0</v>
      </c>
      <c r="I125">
        <f>'[1]SNO RTF daily report1'!I125</f>
        <v>0</v>
      </c>
    </row>
    <row r="126" spans="1:9" x14ac:dyDescent="0.25">
      <c r="A126">
        <f>'[1]SNO RTF daily report1'!A126</f>
        <v>0</v>
      </c>
      <c r="B126">
        <f>'[1]SNO RTF daily report1'!B126</f>
        <v>0</v>
      </c>
      <c r="C126">
        <f>'[1]SNO RTF daily report1'!C126</f>
        <v>0</v>
      </c>
      <c r="D126">
        <f>'[1]SNO RTF daily report1'!D126</f>
        <v>0</v>
      </c>
      <c r="E126">
        <f>'[1]SNO RTF daily report1'!E126</f>
        <v>0</v>
      </c>
      <c r="F126">
        <f>'[1]SNO RTF daily report1'!F126</f>
        <v>0</v>
      </c>
      <c r="G126">
        <f>'[1]SNO RTF daily report1'!G126</f>
        <v>0</v>
      </c>
      <c r="H126">
        <f>'[1]SNO RTF daily report1'!H126</f>
        <v>0</v>
      </c>
      <c r="I126">
        <f>'[1]SNO RTF daily report1'!I126</f>
        <v>0</v>
      </c>
    </row>
    <row r="127" spans="1:9" x14ac:dyDescent="0.25">
      <c r="A127">
        <f>'[1]SNO RTF daily report1'!A127</f>
        <v>0</v>
      </c>
      <c r="B127">
        <f>'[1]SNO RTF daily report1'!B127</f>
        <v>0</v>
      </c>
      <c r="C127">
        <f>'[1]SNO RTF daily report1'!C127</f>
        <v>0</v>
      </c>
      <c r="D127">
        <f>'[1]SNO RTF daily report1'!D127</f>
        <v>0</v>
      </c>
      <c r="E127">
        <f>'[1]SNO RTF daily report1'!E127</f>
        <v>0</v>
      </c>
      <c r="F127">
        <f>'[1]SNO RTF daily report1'!F127</f>
        <v>0</v>
      </c>
      <c r="G127">
        <f>'[1]SNO RTF daily report1'!G127</f>
        <v>0</v>
      </c>
      <c r="H127">
        <f>'[1]SNO RTF daily report1'!H127</f>
        <v>0</v>
      </c>
      <c r="I127">
        <f>'[1]SNO RTF daily report1'!I127</f>
        <v>0</v>
      </c>
    </row>
    <row r="128" spans="1:9" x14ac:dyDescent="0.25">
      <c r="A128">
        <f>'[1]SNO RTF daily report1'!A128</f>
        <v>0</v>
      </c>
      <c r="B128">
        <f>'[1]SNO RTF daily report1'!B128</f>
        <v>0</v>
      </c>
      <c r="C128">
        <f>'[1]SNO RTF daily report1'!C128</f>
        <v>0</v>
      </c>
      <c r="D128">
        <f>'[1]SNO RTF daily report1'!D128</f>
        <v>0</v>
      </c>
      <c r="E128">
        <f>'[1]SNO RTF daily report1'!E128</f>
        <v>0</v>
      </c>
      <c r="F128">
        <f>'[1]SNO RTF daily report1'!F128</f>
        <v>0</v>
      </c>
      <c r="G128">
        <f>'[1]SNO RTF daily report1'!G128</f>
        <v>0</v>
      </c>
      <c r="H128">
        <f>'[1]SNO RTF daily report1'!H128</f>
        <v>0</v>
      </c>
      <c r="I128">
        <f>'[1]SNO RTF daily report1'!I128</f>
        <v>0</v>
      </c>
    </row>
    <row r="129" spans="1:9" x14ac:dyDescent="0.25">
      <c r="A129">
        <f>'[1]SNO RTF daily report1'!A129</f>
        <v>0</v>
      </c>
      <c r="B129">
        <f>'[1]SNO RTF daily report1'!B129</f>
        <v>0</v>
      </c>
      <c r="C129">
        <f>'[1]SNO RTF daily report1'!C129</f>
        <v>0</v>
      </c>
      <c r="D129">
        <f>'[1]SNO RTF daily report1'!D129</f>
        <v>0</v>
      </c>
      <c r="E129">
        <f>'[1]SNO RTF daily report1'!E129</f>
        <v>0</v>
      </c>
      <c r="F129">
        <f>'[1]SNO RTF daily report1'!F129</f>
        <v>0</v>
      </c>
      <c r="G129">
        <f>'[1]SNO RTF daily report1'!G129</f>
        <v>0</v>
      </c>
      <c r="H129">
        <f>'[1]SNO RTF daily report1'!H129</f>
        <v>0</v>
      </c>
      <c r="I129">
        <f>'[1]SNO RTF daily report1'!I129</f>
        <v>0</v>
      </c>
    </row>
    <row r="130" spans="1:9" x14ac:dyDescent="0.25">
      <c r="A130">
        <f>'[1]SNO RTF daily report1'!A130</f>
        <v>0</v>
      </c>
      <c r="B130">
        <f>'[1]SNO RTF daily report1'!B130</f>
        <v>0</v>
      </c>
      <c r="C130">
        <f>'[1]SNO RTF daily report1'!C130</f>
        <v>0</v>
      </c>
      <c r="D130">
        <f>'[1]SNO RTF daily report1'!D130</f>
        <v>0</v>
      </c>
      <c r="E130">
        <f>'[1]SNO RTF daily report1'!E130</f>
        <v>0</v>
      </c>
      <c r="F130">
        <f>'[1]SNO RTF daily report1'!F130</f>
        <v>0</v>
      </c>
      <c r="G130">
        <f>'[1]SNO RTF daily report1'!G130</f>
        <v>0</v>
      </c>
      <c r="H130">
        <f>'[1]SNO RTF daily report1'!H130</f>
        <v>0</v>
      </c>
      <c r="I130">
        <f>'[1]SNO RTF daily report1'!I130</f>
        <v>0</v>
      </c>
    </row>
    <row r="131" spans="1:9" x14ac:dyDescent="0.25">
      <c r="A131">
        <f>'[1]SNO RTF daily report1'!A131</f>
        <v>0</v>
      </c>
      <c r="B131">
        <f>'[1]SNO RTF daily report1'!B131</f>
        <v>0</v>
      </c>
      <c r="C131">
        <f>'[1]SNO RTF daily report1'!C131</f>
        <v>0</v>
      </c>
      <c r="D131">
        <f>'[1]SNO RTF daily report1'!D131</f>
        <v>0</v>
      </c>
      <c r="E131">
        <f>'[1]SNO RTF daily report1'!E131</f>
        <v>0</v>
      </c>
      <c r="F131">
        <f>'[1]SNO RTF daily report1'!F131</f>
        <v>0</v>
      </c>
      <c r="G131">
        <f>'[1]SNO RTF daily report1'!G131</f>
        <v>0</v>
      </c>
      <c r="H131">
        <f>'[1]SNO RTF daily report1'!H131</f>
        <v>0</v>
      </c>
      <c r="I131">
        <f>'[1]SNO RTF daily report1'!I131</f>
        <v>0</v>
      </c>
    </row>
    <row r="132" spans="1:9" x14ac:dyDescent="0.25">
      <c r="A132">
        <f>'[1]SNO RTF daily report1'!A132</f>
        <v>0</v>
      </c>
      <c r="B132">
        <f>'[1]SNO RTF daily report1'!B132</f>
        <v>0</v>
      </c>
      <c r="C132">
        <f>'[1]SNO RTF daily report1'!C132</f>
        <v>0</v>
      </c>
      <c r="D132">
        <f>'[1]SNO RTF daily report1'!D132</f>
        <v>0</v>
      </c>
      <c r="E132">
        <f>'[1]SNO RTF daily report1'!E132</f>
        <v>0</v>
      </c>
      <c r="F132">
        <f>'[1]SNO RTF daily report1'!F132</f>
        <v>0</v>
      </c>
      <c r="G132">
        <f>'[1]SNO RTF daily report1'!G132</f>
        <v>0</v>
      </c>
      <c r="H132">
        <f>'[1]SNO RTF daily report1'!H132</f>
        <v>0</v>
      </c>
      <c r="I132">
        <f>'[1]SNO RTF daily report1'!I132</f>
        <v>0</v>
      </c>
    </row>
    <row r="133" spans="1:9" x14ac:dyDescent="0.25">
      <c r="A133">
        <f>'[1]SNO RTF daily report1'!A133</f>
        <v>0</v>
      </c>
      <c r="B133">
        <f>'[1]SNO RTF daily report1'!B133</f>
        <v>0</v>
      </c>
      <c r="C133">
        <f>'[1]SNO RTF daily report1'!C133</f>
        <v>0</v>
      </c>
      <c r="D133">
        <f>'[1]SNO RTF daily report1'!D133</f>
        <v>0</v>
      </c>
      <c r="E133">
        <f>'[1]SNO RTF daily report1'!E133</f>
        <v>0</v>
      </c>
      <c r="F133">
        <f>'[1]SNO RTF daily report1'!F133</f>
        <v>0</v>
      </c>
      <c r="G133">
        <f>'[1]SNO RTF daily report1'!G133</f>
        <v>0</v>
      </c>
      <c r="H133">
        <f>'[1]SNO RTF daily report1'!H133</f>
        <v>0</v>
      </c>
      <c r="I133">
        <f>'[1]SNO RTF daily report1'!I133</f>
        <v>0</v>
      </c>
    </row>
    <row r="134" spans="1:9" x14ac:dyDescent="0.25">
      <c r="A134">
        <f>'[1]SNO RTF daily report1'!A134</f>
        <v>0</v>
      </c>
      <c r="B134">
        <f>'[1]SNO RTF daily report1'!B134</f>
        <v>0</v>
      </c>
      <c r="C134">
        <f>'[1]SNO RTF daily report1'!C134</f>
        <v>0</v>
      </c>
      <c r="D134">
        <f>'[1]SNO RTF daily report1'!D134</f>
        <v>0</v>
      </c>
      <c r="E134">
        <f>'[1]SNO RTF daily report1'!E134</f>
        <v>0</v>
      </c>
      <c r="F134">
        <f>'[1]SNO RTF daily report1'!F134</f>
        <v>0</v>
      </c>
      <c r="G134">
        <f>'[1]SNO RTF daily report1'!G134</f>
        <v>0</v>
      </c>
      <c r="H134">
        <f>'[1]SNO RTF daily report1'!H134</f>
        <v>0</v>
      </c>
      <c r="I134">
        <f>'[1]SNO RTF daily report1'!I134</f>
        <v>0</v>
      </c>
    </row>
    <row r="135" spans="1:9" x14ac:dyDescent="0.25">
      <c r="A135">
        <f>'[1]SNO RTF daily report1'!A135</f>
        <v>0</v>
      </c>
      <c r="B135">
        <f>'[1]SNO RTF daily report1'!B135</f>
        <v>0</v>
      </c>
      <c r="C135">
        <f>'[1]SNO RTF daily report1'!C135</f>
        <v>0</v>
      </c>
      <c r="D135">
        <f>'[1]SNO RTF daily report1'!D135</f>
        <v>0</v>
      </c>
      <c r="E135">
        <f>'[1]SNO RTF daily report1'!E135</f>
        <v>0</v>
      </c>
      <c r="F135">
        <f>'[1]SNO RTF daily report1'!F135</f>
        <v>0</v>
      </c>
      <c r="G135">
        <f>'[1]SNO RTF daily report1'!G135</f>
        <v>0</v>
      </c>
      <c r="H135">
        <f>'[1]SNO RTF daily report1'!H135</f>
        <v>0</v>
      </c>
      <c r="I135">
        <f>'[1]SNO RTF daily report1'!I135</f>
        <v>0</v>
      </c>
    </row>
    <row r="136" spans="1:9" x14ac:dyDescent="0.25">
      <c r="A136">
        <f>'[1]SNO RTF daily report1'!A136</f>
        <v>0</v>
      </c>
      <c r="B136">
        <f>'[1]SNO RTF daily report1'!B136</f>
        <v>0</v>
      </c>
      <c r="C136">
        <f>'[1]SNO RTF daily report1'!C136</f>
        <v>0</v>
      </c>
      <c r="D136">
        <f>'[1]SNO RTF daily report1'!D136</f>
        <v>0</v>
      </c>
      <c r="E136">
        <f>'[1]SNO RTF daily report1'!E136</f>
        <v>0</v>
      </c>
      <c r="F136">
        <f>'[1]SNO RTF daily report1'!F136</f>
        <v>0</v>
      </c>
      <c r="G136">
        <f>'[1]SNO RTF daily report1'!G136</f>
        <v>0</v>
      </c>
      <c r="H136">
        <f>'[1]SNO RTF daily report1'!H136</f>
        <v>0</v>
      </c>
      <c r="I136">
        <f>'[1]SNO RTF daily report1'!I136</f>
        <v>0</v>
      </c>
    </row>
    <row r="137" spans="1:9" x14ac:dyDescent="0.25">
      <c r="A137">
        <f>'[1]SNO RTF daily report1'!A137</f>
        <v>0</v>
      </c>
      <c r="B137">
        <f>'[1]SNO RTF daily report1'!B137</f>
        <v>0</v>
      </c>
      <c r="C137">
        <f>'[1]SNO RTF daily report1'!C137</f>
        <v>0</v>
      </c>
      <c r="D137">
        <f>'[1]SNO RTF daily report1'!D137</f>
        <v>0</v>
      </c>
      <c r="E137">
        <f>'[1]SNO RTF daily report1'!E137</f>
        <v>0</v>
      </c>
      <c r="F137">
        <f>'[1]SNO RTF daily report1'!F137</f>
        <v>0</v>
      </c>
      <c r="G137">
        <f>'[1]SNO RTF daily report1'!G137</f>
        <v>0</v>
      </c>
      <c r="H137">
        <f>'[1]SNO RTF daily report1'!H137</f>
        <v>0</v>
      </c>
      <c r="I137">
        <f>'[1]SNO RTF daily report1'!I137</f>
        <v>0</v>
      </c>
    </row>
    <row r="138" spans="1:9" x14ac:dyDescent="0.25">
      <c r="A138">
        <f>'[1]SNO RTF daily report1'!A138</f>
        <v>0</v>
      </c>
      <c r="B138">
        <f>'[1]SNO RTF daily report1'!B138</f>
        <v>0</v>
      </c>
      <c r="C138">
        <f>'[1]SNO RTF daily report1'!C138</f>
        <v>0</v>
      </c>
      <c r="D138">
        <f>'[1]SNO RTF daily report1'!D138</f>
        <v>0</v>
      </c>
      <c r="E138">
        <f>'[1]SNO RTF daily report1'!E138</f>
        <v>0</v>
      </c>
      <c r="F138">
        <f>'[1]SNO RTF daily report1'!F138</f>
        <v>0</v>
      </c>
      <c r="G138">
        <f>'[1]SNO RTF daily report1'!G138</f>
        <v>0</v>
      </c>
      <c r="H138">
        <f>'[1]SNO RTF daily report1'!H138</f>
        <v>0</v>
      </c>
      <c r="I138">
        <f>'[1]SNO RTF daily report1'!I138</f>
        <v>0</v>
      </c>
    </row>
    <row r="139" spans="1:9" x14ac:dyDescent="0.25">
      <c r="A139">
        <f>'[1]SNO RTF daily report1'!A139</f>
        <v>0</v>
      </c>
      <c r="B139">
        <f>'[1]SNO RTF daily report1'!B139</f>
        <v>0</v>
      </c>
      <c r="C139">
        <f>'[1]SNO RTF daily report1'!C139</f>
        <v>0</v>
      </c>
      <c r="D139">
        <f>'[1]SNO RTF daily report1'!D139</f>
        <v>0</v>
      </c>
      <c r="E139">
        <f>'[1]SNO RTF daily report1'!E139</f>
        <v>0</v>
      </c>
      <c r="F139">
        <f>'[1]SNO RTF daily report1'!F139</f>
        <v>0</v>
      </c>
      <c r="G139">
        <f>'[1]SNO RTF daily report1'!G139</f>
        <v>0</v>
      </c>
      <c r="H139">
        <f>'[1]SNO RTF daily report1'!H139</f>
        <v>0</v>
      </c>
      <c r="I139">
        <f>'[1]SNO RTF daily report1'!I139</f>
        <v>0</v>
      </c>
    </row>
    <row r="140" spans="1:9" x14ac:dyDescent="0.25">
      <c r="A140">
        <f>'[1]SNO RTF daily report1'!A140</f>
        <v>0</v>
      </c>
      <c r="B140">
        <f>'[1]SNO RTF daily report1'!B140</f>
        <v>0</v>
      </c>
      <c r="C140">
        <f>'[1]SNO RTF daily report1'!C140</f>
        <v>0</v>
      </c>
      <c r="D140">
        <f>'[1]SNO RTF daily report1'!D140</f>
        <v>0</v>
      </c>
      <c r="E140">
        <f>'[1]SNO RTF daily report1'!E140</f>
        <v>0</v>
      </c>
      <c r="F140">
        <f>'[1]SNO RTF daily report1'!F140</f>
        <v>0</v>
      </c>
      <c r="G140">
        <f>'[1]SNO RTF daily report1'!G140</f>
        <v>0</v>
      </c>
      <c r="H140">
        <f>'[1]SNO RTF daily report1'!H140</f>
        <v>0</v>
      </c>
      <c r="I140">
        <f>'[1]SNO RTF daily report1'!I140</f>
        <v>0</v>
      </c>
    </row>
    <row r="141" spans="1:9" x14ac:dyDescent="0.25">
      <c r="A141">
        <f>'[1]SNO RTF daily report1'!A141</f>
        <v>0</v>
      </c>
      <c r="B141">
        <f>'[1]SNO RTF daily report1'!B141</f>
        <v>0</v>
      </c>
      <c r="C141">
        <f>'[1]SNO RTF daily report1'!C141</f>
        <v>0</v>
      </c>
      <c r="D141">
        <f>'[1]SNO RTF daily report1'!D141</f>
        <v>0</v>
      </c>
      <c r="E141">
        <f>'[1]SNO RTF daily report1'!E141</f>
        <v>0</v>
      </c>
      <c r="F141">
        <f>'[1]SNO RTF daily report1'!F141</f>
        <v>0</v>
      </c>
      <c r="G141">
        <f>'[1]SNO RTF daily report1'!G141</f>
        <v>0</v>
      </c>
      <c r="H141">
        <f>'[1]SNO RTF daily report1'!H141</f>
        <v>0</v>
      </c>
      <c r="I141">
        <f>'[1]SNO RTF daily report1'!I141</f>
        <v>0</v>
      </c>
    </row>
    <row r="142" spans="1:9" x14ac:dyDescent="0.25">
      <c r="A142">
        <f>'[1]SNO RTF daily report1'!A142</f>
        <v>0</v>
      </c>
      <c r="B142">
        <f>'[1]SNO RTF daily report1'!B142</f>
        <v>0</v>
      </c>
      <c r="C142">
        <f>'[1]SNO RTF daily report1'!C142</f>
        <v>0</v>
      </c>
      <c r="D142">
        <f>'[1]SNO RTF daily report1'!D142</f>
        <v>0</v>
      </c>
      <c r="E142">
        <f>'[1]SNO RTF daily report1'!E142</f>
        <v>0</v>
      </c>
      <c r="F142">
        <f>'[1]SNO RTF daily report1'!F142</f>
        <v>0</v>
      </c>
      <c r="G142">
        <f>'[1]SNO RTF daily report1'!G142</f>
        <v>0</v>
      </c>
      <c r="H142">
        <f>'[1]SNO RTF daily report1'!H142</f>
        <v>0</v>
      </c>
      <c r="I142">
        <f>'[1]SNO RTF daily report1'!I142</f>
        <v>0</v>
      </c>
    </row>
    <row r="143" spans="1:9" x14ac:dyDescent="0.25">
      <c r="A143">
        <f>'[1]SNO RTF daily report1'!A143</f>
        <v>0</v>
      </c>
      <c r="B143">
        <f>'[1]SNO RTF daily report1'!B143</f>
        <v>0</v>
      </c>
      <c r="C143">
        <f>'[1]SNO RTF daily report1'!C143</f>
        <v>0</v>
      </c>
      <c r="D143">
        <f>'[1]SNO RTF daily report1'!D143</f>
        <v>0</v>
      </c>
      <c r="E143">
        <f>'[1]SNO RTF daily report1'!E143</f>
        <v>0</v>
      </c>
      <c r="F143">
        <f>'[1]SNO RTF daily report1'!F143</f>
        <v>0</v>
      </c>
      <c r="G143">
        <f>'[1]SNO RTF daily report1'!G143</f>
        <v>0</v>
      </c>
      <c r="H143">
        <f>'[1]SNO RTF daily report1'!H143</f>
        <v>0</v>
      </c>
      <c r="I143">
        <f>'[1]SNO RTF daily report1'!I143</f>
        <v>0</v>
      </c>
    </row>
    <row r="144" spans="1:9" x14ac:dyDescent="0.25">
      <c r="A144">
        <f>'[1]SNO RTF daily report1'!A144</f>
        <v>0</v>
      </c>
      <c r="B144">
        <f>'[1]SNO RTF daily report1'!B144</f>
        <v>0</v>
      </c>
      <c r="C144">
        <f>'[1]SNO RTF daily report1'!C144</f>
        <v>0</v>
      </c>
      <c r="D144">
        <f>'[1]SNO RTF daily report1'!D144</f>
        <v>0</v>
      </c>
      <c r="E144">
        <f>'[1]SNO RTF daily report1'!E144</f>
        <v>0</v>
      </c>
      <c r="F144">
        <f>'[1]SNO RTF daily report1'!F144</f>
        <v>0</v>
      </c>
      <c r="G144">
        <f>'[1]SNO RTF daily report1'!G144</f>
        <v>0</v>
      </c>
      <c r="H144">
        <f>'[1]SNO RTF daily report1'!H144</f>
        <v>0</v>
      </c>
      <c r="I144">
        <f>'[1]SNO RTF daily report1'!I144</f>
        <v>0</v>
      </c>
    </row>
    <row r="145" spans="1:9" x14ac:dyDescent="0.25">
      <c r="A145">
        <f>'[1]SNO RTF daily report1'!A145</f>
        <v>0</v>
      </c>
      <c r="B145">
        <f>'[1]SNO RTF daily report1'!B145</f>
        <v>0</v>
      </c>
      <c r="C145">
        <f>'[1]SNO RTF daily report1'!C145</f>
        <v>0</v>
      </c>
      <c r="D145">
        <f>'[1]SNO RTF daily report1'!D145</f>
        <v>0</v>
      </c>
      <c r="E145">
        <f>'[1]SNO RTF daily report1'!E145</f>
        <v>0</v>
      </c>
      <c r="F145">
        <f>'[1]SNO RTF daily report1'!F145</f>
        <v>0</v>
      </c>
      <c r="G145">
        <f>'[1]SNO RTF daily report1'!G145</f>
        <v>0</v>
      </c>
      <c r="H145">
        <f>'[1]SNO RTF daily report1'!H145</f>
        <v>0</v>
      </c>
      <c r="I145">
        <f>'[1]SNO RTF daily report1'!I145</f>
        <v>0</v>
      </c>
    </row>
    <row r="146" spans="1:9" x14ac:dyDescent="0.25">
      <c r="A146">
        <f>'[1]SNO RTF daily report1'!A146</f>
        <v>0</v>
      </c>
      <c r="B146">
        <f>'[1]SNO RTF daily report1'!B146</f>
        <v>0</v>
      </c>
      <c r="C146">
        <f>'[1]SNO RTF daily report1'!C146</f>
        <v>0</v>
      </c>
      <c r="D146">
        <f>'[1]SNO RTF daily report1'!D146</f>
        <v>0</v>
      </c>
      <c r="E146">
        <f>'[1]SNO RTF daily report1'!E146</f>
        <v>0</v>
      </c>
      <c r="F146">
        <f>'[1]SNO RTF daily report1'!F146</f>
        <v>0</v>
      </c>
      <c r="G146">
        <f>'[1]SNO RTF daily report1'!G146</f>
        <v>0</v>
      </c>
      <c r="H146">
        <f>'[1]SNO RTF daily report1'!H146</f>
        <v>0</v>
      </c>
      <c r="I146">
        <f>'[1]SNO RTF daily report1'!I146</f>
        <v>0</v>
      </c>
    </row>
    <row r="147" spans="1:9" x14ac:dyDescent="0.25">
      <c r="A147">
        <f>'[1]SNO RTF daily report1'!A147</f>
        <v>0</v>
      </c>
      <c r="B147">
        <f>'[1]SNO RTF daily report1'!B147</f>
        <v>0</v>
      </c>
      <c r="C147">
        <f>'[1]SNO RTF daily report1'!C147</f>
        <v>0</v>
      </c>
      <c r="D147">
        <f>'[1]SNO RTF daily report1'!D147</f>
        <v>0</v>
      </c>
      <c r="E147">
        <f>'[1]SNO RTF daily report1'!E147</f>
        <v>0</v>
      </c>
      <c r="F147">
        <f>'[1]SNO RTF daily report1'!F147</f>
        <v>0</v>
      </c>
      <c r="G147">
        <f>'[1]SNO RTF daily report1'!G147</f>
        <v>0</v>
      </c>
      <c r="H147">
        <f>'[1]SNO RTF daily report1'!H147</f>
        <v>0</v>
      </c>
      <c r="I147">
        <f>'[1]SNO RTF daily report1'!I147</f>
        <v>0</v>
      </c>
    </row>
    <row r="148" spans="1:9" x14ac:dyDescent="0.25">
      <c r="A148">
        <f>'[1]SNO RTF daily report1'!A148</f>
        <v>0</v>
      </c>
      <c r="B148">
        <f>'[1]SNO RTF daily report1'!B148</f>
        <v>0</v>
      </c>
      <c r="C148">
        <f>'[1]SNO RTF daily report1'!C148</f>
        <v>0</v>
      </c>
      <c r="D148">
        <f>'[1]SNO RTF daily report1'!D148</f>
        <v>0</v>
      </c>
      <c r="E148">
        <f>'[1]SNO RTF daily report1'!E148</f>
        <v>0</v>
      </c>
      <c r="F148">
        <f>'[1]SNO RTF daily report1'!F148</f>
        <v>0</v>
      </c>
      <c r="G148">
        <f>'[1]SNO RTF daily report1'!G148</f>
        <v>0</v>
      </c>
      <c r="H148">
        <f>'[1]SNO RTF daily report1'!H148</f>
        <v>0</v>
      </c>
      <c r="I148">
        <f>'[1]SNO RTF daily report1'!I148</f>
        <v>0</v>
      </c>
    </row>
    <row r="149" spans="1:9" x14ac:dyDescent="0.25">
      <c r="A149">
        <f>'[1]SNO RTF daily report1'!A149</f>
        <v>0</v>
      </c>
      <c r="B149">
        <f>'[1]SNO RTF daily report1'!B149</f>
        <v>0</v>
      </c>
      <c r="C149">
        <f>'[1]SNO RTF daily report1'!C149</f>
        <v>0</v>
      </c>
      <c r="D149">
        <f>'[1]SNO RTF daily report1'!D149</f>
        <v>0</v>
      </c>
      <c r="E149">
        <f>'[1]SNO RTF daily report1'!E149</f>
        <v>0</v>
      </c>
      <c r="F149">
        <f>'[1]SNO RTF daily report1'!F149</f>
        <v>0</v>
      </c>
      <c r="G149">
        <f>'[1]SNO RTF daily report1'!G149</f>
        <v>0</v>
      </c>
      <c r="H149">
        <f>'[1]SNO RTF daily report1'!H149</f>
        <v>0</v>
      </c>
      <c r="I149">
        <f>'[1]SNO RTF daily report1'!I149</f>
        <v>0</v>
      </c>
    </row>
    <row r="150" spans="1:9" x14ac:dyDescent="0.25">
      <c r="A150">
        <f>'[1]SNO RTF daily report1'!A150</f>
        <v>0</v>
      </c>
      <c r="B150">
        <f>'[1]SNO RTF daily report1'!B150</f>
        <v>0</v>
      </c>
      <c r="C150">
        <f>'[1]SNO RTF daily report1'!C150</f>
        <v>0</v>
      </c>
      <c r="D150">
        <f>'[1]SNO RTF daily report1'!D150</f>
        <v>0</v>
      </c>
      <c r="E150">
        <f>'[1]SNO RTF daily report1'!E150</f>
        <v>0</v>
      </c>
      <c r="F150">
        <f>'[1]SNO RTF daily report1'!F150</f>
        <v>0</v>
      </c>
      <c r="G150">
        <f>'[1]SNO RTF daily report1'!G150</f>
        <v>0</v>
      </c>
      <c r="H150">
        <f>'[1]SNO RTF daily report1'!H150</f>
        <v>0</v>
      </c>
      <c r="I150">
        <f>'[1]SNO RTF daily report1'!I150</f>
        <v>0</v>
      </c>
    </row>
    <row r="151" spans="1:9" x14ac:dyDescent="0.25">
      <c r="A151">
        <f>'[1]SNO RTF daily report1'!A151</f>
        <v>0</v>
      </c>
      <c r="B151">
        <f>'[1]SNO RTF daily report1'!B151</f>
        <v>0</v>
      </c>
      <c r="C151">
        <f>'[1]SNO RTF daily report1'!C151</f>
        <v>0</v>
      </c>
      <c r="D151">
        <f>'[1]SNO RTF daily report1'!D151</f>
        <v>0</v>
      </c>
      <c r="E151">
        <f>'[1]SNO RTF daily report1'!E151</f>
        <v>0</v>
      </c>
      <c r="F151">
        <f>'[1]SNO RTF daily report1'!F151</f>
        <v>0</v>
      </c>
      <c r="G151">
        <f>'[1]SNO RTF daily report1'!G151</f>
        <v>0</v>
      </c>
      <c r="H151">
        <f>'[1]SNO RTF daily report1'!H151</f>
        <v>0</v>
      </c>
      <c r="I151">
        <f>'[1]SNO RTF daily report1'!I151</f>
        <v>0</v>
      </c>
    </row>
    <row r="152" spans="1:9" x14ac:dyDescent="0.25">
      <c r="A152">
        <f>'[1]SNO RTF daily report1'!A152</f>
        <v>0</v>
      </c>
      <c r="B152">
        <f>'[1]SNO RTF daily report1'!B152</f>
        <v>0</v>
      </c>
      <c r="C152">
        <f>'[1]SNO RTF daily report1'!C152</f>
        <v>0</v>
      </c>
      <c r="D152">
        <f>'[1]SNO RTF daily report1'!D152</f>
        <v>0</v>
      </c>
      <c r="E152">
        <f>'[1]SNO RTF daily report1'!E152</f>
        <v>0</v>
      </c>
      <c r="F152">
        <f>'[1]SNO RTF daily report1'!F152</f>
        <v>0</v>
      </c>
      <c r="G152">
        <f>'[1]SNO RTF daily report1'!G152</f>
        <v>0</v>
      </c>
      <c r="H152">
        <f>'[1]SNO RTF daily report1'!H152</f>
        <v>0</v>
      </c>
      <c r="I152">
        <f>'[1]SNO RTF daily report1'!I152</f>
        <v>0</v>
      </c>
    </row>
    <row r="153" spans="1:9" x14ac:dyDescent="0.25">
      <c r="A153">
        <f>'[1]SNO RTF daily report1'!A153</f>
        <v>0</v>
      </c>
      <c r="B153">
        <f>'[1]SNO RTF daily report1'!B153</f>
        <v>0</v>
      </c>
      <c r="C153">
        <f>'[1]SNO RTF daily report1'!C153</f>
        <v>0</v>
      </c>
      <c r="D153">
        <f>'[1]SNO RTF daily report1'!D153</f>
        <v>0</v>
      </c>
      <c r="E153">
        <f>'[1]SNO RTF daily report1'!E153</f>
        <v>0</v>
      </c>
      <c r="F153">
        <f>'[1]SNO RTF daily report1'!F153</f>
        <v>0</v>
      </c>
      <c r="G153">
        <f>'[1]SNO RTF daily report1'!G153</f>
        <v>0</v>
      </c>
      <c r="H153">
        <f>'[1]SNO RTF daily report1'!H153</f>
        <v>0</v>
      </c>
      <c r="I153">
        <f>'[1]SNO RTF daily report1'!I153</f>
        <v>0</v>
      </c>
    </row>
    <row r="154" spans="1:9" x14ac:dyDescent="0.25">
      <c r="A154">
        <f>'[1]SNO RTF daily report1'!A154</f>
        <v>0</v>
      </c>
      <c r="B154">
        <f>'[1]SNO RTF daily report1'!B154</f>
        <v>0</v>
      </c>
      <c r="C154">
        <f>'[1]SNO RTF daily report1'!C154</f>
        <v>0</v>
      </c>
      <c r="D154">
        <f>'[1]SNO RTF daily report1'!D154</f>
        <v>0</v>
      </c>
      <c r="E154">
        <f>'[1]SNO RTF daily report1'!E154</f>
        <v>0</v>
      </c>
      <c r="F154">
        <f>'[1]SNO RTF daily report1'!F154</f>
        <v>0</v>
      </c>
      <c r="G154">
        <f>'[1]SNO RTF daily report1'!G154</f>
        <v>0</v>
      </c>
      <c r="H154">
        <f>'[1]SNO RTF daily report1'!H154</f>
        <v>0</v>
      </c>
      <c r="I154">
        <f>'[1]SNO RTF daily report1'!I154</f>
        <v>0</v>
      </c>
    </row>
    <row r="155" spans="1:9" x14ac:dyDescent="0.25">
      <c r="A155">
        <f>'[1]SNO RTF daily report1'!A155</f>
        <v>0</v>
      </c>
      <c r="B155">
        <f>'[1]SNO RTF daily report1'!B155</f>
        <v>0</v>
      </c>
      <c r="C155">
        <f>'[1]SNO RTF daily report1'!C155</f>
        <v>0</v>
      </c>
      <c r="D155">
        <f>'[1]SNO RTF daily report1'!D155</f>
        <v>0</v>
      </c>
      <c r="E155">
        <f>'[1]SNO RTF daily report1'!E155</f>
        <v>0</v>
      </c>
      <c r="F155">
        <f>'[1]SNO RTF daily report1'!F155</f>
        <v>0</v>
      </c>
      <c r="G155">
        <f>'[1]SNO RTF daily report1'!G155</f>
        <v>0</v>
      </c>
      <c r="H155">
        <f>'[1]SNO RTF daily report1'!H155</f>
        <v>0</v>
      </c>
      <c r="I155">
        <f>'[1]SNO RTF daily report1'!I155</f>
        <v>0</v>
      </c>
    </row>
    <row r="156" spans="1:9" x14ac:dyDescent="0.25">
      <c r="A156">
        <f>'[1]SNO RTF daily report1'!A156</f>
        <v>0</v>
      </c>
      <c r="B156">
        <f>'[1]SNO RTF daily report1'!B156</f>
        <v>0</v>
      </c>
      <c r="C156">
        <f>'[1]SNO RTF daily report1'!C156</f>
        <v>0</v>
      </c>
      <c r="D156">
        <f>'[1]SNO RTF daily report1'!D156</f>
        <v>0</v>
      </c>
      <c r="E156">
        <f>'[1]SNO RTF daily report1'!E156</f>
        <v>0</v>
      </c>
      <c r="F156">
        <f>'[1]SNO RTF daily report1'!F156</f>
        <v>0</v>
      </c>
      <c r="G156">
        <f>'[1]SNO RTF daily report1'!G156</f>
        <v>0</v>
      </c>
      <c r="H156">
        <f>'[1]SNO RTF daily report1'!H156</f>
        <v>0</v>
      </c>
      <c r="I156">
        <f>'[1]SNO RTF daily report1'!I156</f>
        <v>0</v>
      </c>
    </row>
    <row r="157" spans="1:9" x14ac:dyDescent="0.25">
      <c r="A157">
        <f>'[1]SNO RTF daily report1'!A157</f>
        <v>0</v>
      </c>
      <c r="B157">
        <f>'[1]SNO RTF daily report1'!B157</f>
        <v>0</v>
      </c>
      <c r="C157">
        <f>'[1]SNO RTF daily report1'!C157</f>
        <v>0</v>
      </c>
      <c r="D157">
        <f>'[1]SNO RTF daily report1'!D157</f>
        <v>0</v>
      </c>
      <c r="E157">
        <f>'[1]SNO RTF daily report1'!E157</f>
        <v>0</v>
      </c>
      <c r="F157">
        <f>'[1]SNO RTF daily report1'!F157</f>
        <v>0</v>
      </c>
      <c r="G157">
        <f>'[1]SNO RTF daily report1'!G157</f>
        <v>0</v>
      </c>
      <c r="H157">
        <f>'[1]SNO RTF daily report1'!H157</f>
        <v>0</v>
      </c>
      <c r="I157">
        <f>'[1]SNO RTF daily report1'!I157</f>
        <v>0</v>
      </c>
    </row>
    <row r="158" spans="1:9" x14ac:dyDescent="0.25">
      <c r="A158">
        <f>'[1]SNO RTF daily report1'!A158</f>
        <v>0</v>
      </c>
      <c r="B158">
        <f>'[1]SNO RTF daily report1'!B158</f>
        <v>0</v>
      </c>
      <c r="C158">
        <f>'[1]SNO RTF daily report1'!C158</f>
        <v>0</v>
      </c>
      <c r="D158">
        <f>'[1]SNO RTF daily report1'!D158</f>
        <v>0</v>
      </c>
      <c r="E158">
        <f>'[1]SNO RTF daily report1'!E158</f>
        <v>0</v>
      </c>
      <c r="F158">
        <f>'[1]SNO RTF daily report1'!F158</f>
        <v>0</v>
      </c>
      <c r="G158">
        <f>'[1]SNO RTF daily report1'!G158</f>
        <v>0</v>
      </c>
      <c r="H158">
        <f>'[1]SNO RTF daily report1'!H158</f>
        <v>0</v>
      </c>
      <c r="I158">
        <f>'[1]SNO RTF daily report1'!I158</f>
        <v>0</v>
      </c>
    </row>
    <row r="159" spans="1:9" x14ac:dyDescent="0.25">
      <c r="A159">
        <f>'[1]SNO RTF daily report1'!A159</f>
        <v>0</v>
      </c>
      <c r="B159">
        <f>'[1]SNO RTF daily report1'!B159</f>
        <v>0</v>
      </c>
      <c r="C159">
        <f>'[1]SNO RTF daily report1'!C159</f>
        <v>0</v>
      </c>
      <c r="D159">
        <f>'[1]SNO RTF daily report1'!D159</f>
        <v>0</v>
      </c>
      <c r="E159">
        <f>'[1]SNO RTF daily report1'!E159</f>
        <v>0</v>
      </c>
      <c r="F159">
        <f>'[1]SNO RTF daily report1'!F159</f>
        <v>0</v>
      </c>
      <c r="G159">
        <f>'[1]SNO RTF daily report1'!G159</f>
        <v>0</v>
      </c>
      <c r="H159">
        <f>'[1]SNO RTF daily report1'!H159</f>
        <v>0</v>
      </c>
      <c r="I159">
        <f>'[1]SNO RTF daily report1'!I159</f>
        <v>0</v>
      </c>
    </row>
    <row r="160" spans="1:9" x14ac:dyDescent="0.25">
      <c r="A160">
        <f>'[1]SNO RTF daily report1'!A160</f>
        <v>0</v>
      </c>
      <c r="B160">
        <f>'[1]SNO RTF daily report1'!B160</f>
        <v>0</v>
      </c>
      <c r="C160">
        <f>'[1]SNO RTF daily report1'!C160</f>
        <v>0</v>
      </c>
      <c r="D160">
        <f>'[1]SNO RTF daily report1'!D160</f>
        <v>0</v>
      </c>
      <c r="E160">
        <f>'[1]SNO RTF daily report1'!E160</f>
        <v>0</v>
      </c>
      <c r="F160">
        <f>'[1]SNO RTF daily report1'!F160</f>
        <v>0</v>
      </c>
      <c r="G160">
        <f>'[1]SNO RTF daily report1'!G160</f>
        <v>0</v>
      </c>
      <c r="H160">
        <f>'[1]SNO RTF daily report1'!H160</f>
        <v>0</v>
      </c>
      <c r="I160">
        <f>'[1]SNO RTF daily report1'!I160</f>
        <v>0</v>
      </c>
    </row>
    <row r="161" spans="1:9" x14ac:dyDescent="0.25">
      <c r="A161">
        <f>'[1]SNO RTF daily report1'!A161</f>
        <v>0</v>
      </c>
      <c r="B161">
        <f>'[1]SNO RTF daily report1'!B161</f>
        <v>0</v>
      </c>
      <c r="C161">
        <f>'[1]SNO RTF daily report1'!C161</f>
        <v>0</v>
      </c>
      <c r="D161">
        <f>'[1]SNO RTF daily report1'!D161</f>
        <v>0</v>
      </c>
      <c r="E161">
        <f>'[1]SNO RTF daily report1'!E161</f>
        <v>0</v>
      </c>
      <c r="F161">
        <f>'[1]SNO RTF daily report1'!F161</f>
        <v>0</v>
      </c>
      <c r="G161">
        <f>'[1]SNO RTF daily report1'!G161</f>
        <v>0</v>
      </c>
      <c r="H161">
        <f>'[1]SNO RTF daily report1'!H161</f>
        <v>0</v>
      </c>
      <c r="I161">
        <f>'[1]SNO RTF daily report1'!I161</f>
        <v>0</v>
      </c>
    </row>
    <row r="162" spans="1:9" x14ac:dyDescent="0.25">
      <c r="A162">
        <f>'[1]SNO RTF daily report1'!A162</f>
        <v>0</v>
      </c>
      <c r="B162">
        <f>'[1]SNO RTF daily report1'!B162</f>
        <v>0</v>
      </c>
      <c r="C162">
        <f>'[1]SNO RTF daily report1'!C162</f>
        <v>0</v>
      </c>
      <c r="D162">
        <f>'[1]SNO RTF daily report1'!D162</f>
        <v>0</v>
      </c>
      <c r="E162">
        <f>'[1]SNO RTF daily report1'!E162</f>
        <v>0</v>
      </c>
      <c r="F162">
        <f>'[1]SNO RTF daily report1'!F162</f>
        <v>0</v>
      </c>
      <c r="G162">
        <f>'[1]SNO RTF daily report1'!G162</f>
        <v>0</v>
      </c>
      <c r="H162">
        <f>'[1]SNO RTF daily report1'!H162</f>
        <v>0</v>
      </c>
      <c r="I162">
        <f>'[1]SNO RTF daily report1'!I162</f>
        <v>0</v>
      </c>
    </row>
    <row r="163" spans="1:9" x14ac:dyDescent="0.25">
      <c r="A163">
        <f>'[1]SNO RTF daily report1'!A163</f>
        <v>0</v>
      </c>
      <c r="B163">
        <f>'[1]SNO RTF daily report1'!B163</f>
        <v>0</v>
      </c>
      <c r="C163">
        <f>'[1]SNO RTF daily report1'!C163</f>
        <v>0</v>
      </c>
      <c r="D163">
        <f>'[1]SNO RTF daily report1'!D163</f>
        <v>0</v>
      </c>
      <c r="E163">
        <f>'[1]SNO RTF daily report1'!E163</f>
        <v>0</v>
      </c>
      <c r="F163">
        <f>'[1]SNO RTF daily report1'!F163</f>
        <v>0</v>
      </c>
      <c r="G163">
        <f>'[1]SNO RTF daily report1'!G163</f>
        <v>0</v>
      </c>
      <c r="H163">
        <f>'[1]SNO RTF daily report1'!H163</f>
        <v>0</v>
      </c>
      <c r="I163">
        <f>'[1]SNO RTF daily report1'!I163</f>
        <v>0</v>
      </c>
    </row>
    <row r="164" spans="1:9" x14ac:dyDescent="0.25">
      <c r="A164">
        <f>'[1]SNO RTF daily report1'!A164</f>
        <v>0</v>
      </c>
      <c r="B164">
        <f>'[1]SNO RTF daily report1'!B164</f>
        <v>0</v>
      </c>
      <c r="C164">
        <f>'[1]SNO RTF daily report1'!C164</f>
        <v>0</v>
      </c>
      <c r="D164">
        <f>'[1]SNO RTF daily report1'!D164</f>
        <v>0</v>
      </c>
      <c r="E164">
        <f>'[1]SNO RTF daily report1'!E164</f>
        <v>0</v>
      </c>
      <c r="F164">
        <f>'[1]SNO RTF daily report1'!F164</f>
        <v>0</v>
      </c>
      <c r="G164">
        <f>'[1]SNO RTF daily report1'!G164</f>
        <v>0</v>
      </c>
      <c r="H164">
        <f>'[1]SNO RTF daily report1'!H164</f>
        <v>0</v>
      </c>
      <c r="I164">
        <f>'[1]SNO RTF daily report1'!I164</f>
        <v>0</v>
      </c>
    </row>
    <row r="165" spans="1:9" x14ac:dyDescent="0.25">
      <c r="A165">
        <f>'[1]SNO RTF daily report1'!A165</f>
        <v>0</v>
      </c>
      <c r="B165">
        <f>'[1]SNO RTF daily report1'!B165</f>
        <v>0</v>
      </c>
      <c r="C165">
        <f>'[1]SNO RTF daily report1'!C165</f>
        <v>0</v>
      </c>
      <c r="D165">
        <f>'[1]SNO RTF daily report1'!D165</f>
        <v>0</v>
      </c>
      <c r="E165">
        <f>'[1]SNO RTF daily report1'!E165</f>
        <v>0</v>
      </c>
      <c r="F165">
        <f>'[1]SNO RTF daily report1'!F165</f>
        <v>0</v>
      </c>
      <c r="G165">
        <f>'[1]SNO RTF daily report1'!G165</f>
        <v>0</v>
      </c>
      <c r="H165">
        <f>'[1]SNO RTF daily report1'!H165</f>
        <v>0</v>
      </c>
      <c r="I165">
        <f>'[1]SNO RTF daily report1'!I165</f>
        <v>0</v>
      </c>
    </row>
    <row r="166" spans="1:9" x14ac:dyDescent="0.25">
      <c r="A166">
        <f>'[1]SNO RTF daily report1'!A166</f>
        <v>0</v>
      </c>
      <c r="B166">
        <f>'[1]SNO RTF daily report1'!B166</f>
        <v>0</v>
      </c>
      <c r="C166">
        <f>'[1]SNO RTF daily report1'!C166</f>
        <v>0</v>
      </c>
      <c r="D166">
        <f>'[1]SNO RTF daily report1'!D166</f>
        <v>0</v>
      </c>
      <c r="E166">
        <f>'[1]SNO RTF daily report1'!E166</f>
        <v>0</v>
      </c>
      <c r="F166">
        <f>'[1]SNO RTF daily report1'!F166</f>
        <v>0</v>
      </c>
      <c r="G166">
        <f>'[1]SNO RTF daily report1'!G166</f>
        <v>0</v>
      </c>
      <c r="H166">
        <f>'[1]SNO RTF daily report1'!H166</f>
        <v>0</v>
      </c>
      <c r="I166">
        <f>'[1]SNO RTF daily report1'!I166</f>
        <v>0</v>
      </c>
    </row>
    <row r="167" spans="1:9" x14ac:dyDescent="0.25">
      <c r="A167">
        <f>'[1]SNO RTF daily report1'!A167</f>
        <v>0</v>
      </c>
      <c r="B167">
        <f>'[1]SNO RTF daily report1'!B167</f>
        <v>0</v>
      </c>
      <c r="C167">
        <f>'[1]SNO RTF daily report1'!C167</f>
        <v>0</v>
      </c>
      <c r="D167">
        <f>'[1]SNO RTF daily report1'!D167</f>
        <v>0</v>
      </c>
      <c r="E167">
        <f>'[1]SNO RTF daily report1'!E167</f>
        <v>0</v>
      </c>
      <c r="F167">
        <f>'[1]SNO RTF daily report1'!F167</f>
        <v>0</v>
      </c>
      <c r="G167">
        <f>'[1]SNO RTF daily report1'!G167</f>
        <v>0</v>
      </c>
      <c r="H167">
        <f>'[1]SNO RTF daily report1'!H167</f>
        <v>0</v>
      </c>
      <c r="I167">
        <f>'[1]SNO RTF daily report1'!I167</f>
        <v>0</v>
      </c>
    </row>
    <row r="168" spans="1:9" x14ac:dyDescent="0.25">
      <c r="A168">
        <f>'[1]SNO RTF daily report1'!A168</f>
        <v>0</v>
      </c>
      <c r="B168">
        <f>'[1]SNO RTF daily report1'!B168</f>
        <v>0</v>
      </c>
      <c r="C168">
        <f>'[1]SNO RTF daily report1'!C168</f>
        <v>0</v>
      </c>
      <c r="D168">
        <f>'[1]SNO RTF daily report1'!D168</f>
        <v>0</v>
      </c>
      <c r="E168">
        <f>'[1]SNO RTF daily report1'!E168</f>
        <v>0</v>
      </c>
      <c r="F168">
        <f>'[1]SNO RTF daily report1'!F168</f>
        <v>0</v>
      </c>
      <c r="G168">
        <f>'[1]SNO RTF daily report1'!G168</f>
        <v>0</v>
      </c>
      <c r="H168">
        <f>'[1]SNO RTF daily report1'!H168</f>
        <v>0</v>
      </c>
      <c r="I168">
        <f>'[1]SNO RTF daily report1'!I168</f>
        <v>0</v>
      </c>
    </row>
    <row r="169" spans="1:9" x14ac:dyDescent="0.25">
      <c r="A169">
        <f>'[1]SNO RTF daily report1'!A169</f>
        <v>0</v>
      </c>
      <c r="B169">
        <f>'[1]SNO RTF daily report1'!B169</f>
        <v>0</v>
      </c>
      <c r="C169">
        <f>'[1]SNO RTF daily report1'!C169</f>
        <v>0</v>
      </c>
      <c r="D169">
        <f>'[1]SNO RTF daily report1'!D169</f>
        <v>0</v>
      </c>
      <c r="E169">
        <f>'[1]SNO RTF daily report1'!E169</f>
        <v>0</v>
      </c>
      <c r="F169">
        <f>'[1]SNO RTF daily report1'!F169</f>
        <v>0</v>
      </c>
      <c r="G169">
        <f>'[1]SNO RTF daily report1'!G169</f>
        <v>0</v>
      </c>
      <c r="H169">
        <f>'[1]SNO RTF daily report1'!H169</f>
        <v>0</v>
      </c>
      <c r="I169">
        <f>'[1]SNO RTF daily report1'!I169</f>
        <v>0</v>
      </c>
    </row>
    <row r="170" spans="1:9" x14ac:dyDescent="0.25">
      <c r="A170">
        <f>'[1]SNO RTF daily report1'!A170</f>
        <v>0</v>
      </c>
      <c r="B170">
        <f>'[1]SNO RTF daily report1'!B170</f>
        <v>0</v>
      </c>
      <c r="C170">
        <f>'[1]SNO RTF daily report1'!C170</f>
        <v>0</v>
      </c>
      <c r="D170">
        <f>'[1]SNO RTF daily report1'!D170</f>
        <v>0</v>
      </c>
      <c r="E170">
        <f>'[1]SNO RTF daily report1'!E170</f>
        <v>0</v>
      </c>
      <c r="F170">
        <f>'[1]SNO RTF daily report1'!F170</f>
        <v>0</v>
      </c>
      <c r="G170">
        <f>'[1]SNO RTF daily report1'!G170</f>
        <v>0</v>
      </c>
      <c r="H170">
        <f>'[1]SNO RTF daily report1'!H170</f>
        <v>0</v>
      </c>
      <c r="I170">
        <f>'[1]SNO RTF daily report1'!I170</f>
        <v>0</v>
      </c>
    </row>
    <row r="171" spans="1:9" x14ac:dyDescent="0.25">
      <c r="A171">
        <f>'[1]SNO RTF daily report1'!A171</f>
        <v>0</v>
      </c>
      <c r="B171">
        <f>'[1]SNO RTF daily report1'!B171</f>
        <v>0</v>
      </c>
      <c r="C171">
        <f>'[1]SNO RTF daily report1'!C171</f>
        <v>0</v>
      </c>
      <c r="D171">
        <f>'[1]SNO RTF daily report1'!D171</f>
        <v>0</v>
      </c>
      <c r="E171">
        <f>'[1]SNO RTF daily report1'!E171</f>
        <v>0</v>
      </c>
      <c r="F171">
        <f>'[1]SNO RTF daily report1'!F171</f>
        <v>0</v>
      </c>
      <c r="G171">
        <f>'[1]SNO RTF daily report1'!G171</f>
        <v>0</v>
      </c>
      <c r="H171">
        <f>'[1]SNO RTF daily report1'!H171</f>
        <v>0</v>
      </c>
      <c r="I171">
        <f>'[1]SNO RTF daily report1'!I171</f>
        <v>0</v>
      </c>
    </row>
    <row r="172" spans="1:9" x14ac:dyDescent="0.25">
      <c r="A172">
        <f>'[1]SNO RTF daily report1'!A172</f>
        <v>0</v>
      </c>
      <c r="B172">
        <f>'[1]SNO RTF daily report1'!B172</f>
        <v>0</v>
      </c>
      <c r="C172">
        <f>'[1]SNO RTF daily report1'!C172</f>
        <v>0</v>
      </c>
      <c r="D172">
        <f>'[1]SNO RTF daily report1'!D172</f>
        <v>0</v>
      </c>
      <c r="E172">
        <f>'[1]SNO RTF daily report1'!E172</f>
        <v>0</v>
      </c>
      <c r="F172">
        <f>'[1]SNO RTF daily report1'!F172</f>
        <v>0</v>
      </c>
      <c r="G172">
        <f>'[1]SNO RTF daily report1'!G172</f>
        <v>0</v>
      </c>
      <c r="H172">
        <f>'[1]SNO RTF daily report1'!H172</f>
        <v>0</v>
      </c>
      <c r="I172">
        <f>'[1]SNO RTF daily report1'!I172</f>
        <v>0</v>
      </c>
    </row>
    <row r="173" spans="1:9" x14ac:dyDescent="0.25">
      <c r="A173">
        <f>'[1]SNO RTF daily report1'!A173</f>
        <v>0</v>
      </c>
      <c r="B173">
        <f>'[1]SNO RTF daily report1'!B173</f>
        <v>0</v>
      </c>
      <c r="C173">
        <f>'[1]SNO RTF daily report1'!C173</f>
        <v>0</v>
      </c>
      <c r="D173">
        <f>'[1]SNO RTF daily report1'!D173</f>
        <v>0</v>
      </c>
      <c r="E173">
        <f>'[1]SNO RTF daily report1'!E173</f>
        <v>0</v>
      </c>
      <c r="F173">
        <f>'[1]SNO RTF daily report1'!F173</f>
        <v>0</v>
      </c>
      <c r="G173">
        <f>'[1]SNO RTF daily report1'!G173</f>
        <v>0</v>
      </c>
      <c r="H173">
        <f>'[1]SNO RTF daily report1'!H173</f>
        <v>0</v>
      </c>
      <c r="I173">
        <f>'[1]SNO RTF daily report1'!I173</f>
        <v>0</v>
      </c>
    </row>
    <row r="174" spans="1:9" x14ac:dyDescent="0.25">
      <c r="A174">
        <f>'[1]SNO RTF daily report1'!A174</f>
        <v>0</v>
      </c>
      <c r="B174">
        <f>'[1]SNO RTF daily report1'!B174</f>
        <v>0</v>
      </c>
      <c r="C174">
        <f>'[1]SNO RTF daily report1'!C174</f>
        <v>0</v>
      </c>
      <c r="D174">
        <f>'[1]SNO RTF daily report1'!D174</f>
        <v>0</v>
      </c>
      <c r="E174">
        <f>'[1]SNO RTF daily report1'!E174</f>
        <v>0</v>
      </c>
      <c r="F174">
        <f>'[1]SNO RTF daily report1'!F174</f>
        <v>0</v>
      </c>
      <c r="G174">
        <f>'[1]SNO RTF daily report1'!G174</f>
        <v>0</v>
      </c>
      <c r="H174">
        <f>'[1]SNO RTF daily report1'!H174</f>
        <v>0</v>
      </c>
      <c r="I174">
        <f>'[1]SNO RTF daily report1'!I174</f>
        <v>0</v>
      </c>
    </row>
    <row r="175" spans="1:9" x14ac:dyDescent="0.25">
      <c r="A175">
        <f>'[1]SNO RTF daily report1'!A175</f>
        <v>0</v>
      </c>
      <c r="B175">
        <f>'[1]SNO RTF daily report1'!B175</f>
        <v>0</v>
      </c>
      <c r="C175">
        <f>'[1]SNO RTF daily report1'!C175</f>
        <v>0</v>
      </c>
      <c r="D175">
        <f>'[1]SNO RTF daily report1'!D175</f>
        <v>0</v>
      </c>
      <c r="E175">
        <f>'[1]SNO RTF daily report1'!E175</f>
        <v>0</v>
      </c>
      <c r="F175">
        <f>'[1]SNO RTF daily report1'!F175</f>
        <v>0</v>
      </c>
      <c r="G175">
        <f>'[1]SNO RTF daily report1'!G175</f>
        <v>0</v>
      </c>
      <c r="H175">
        <f>'[1]SNO RTF daily report1'!H175</f>
        <v>0</v>
      </c>
      <c r="I175">
        <f>'[1]SNO RTF daily report1'!I175</f>
        <v>0</v>
      </c>
    </row>
    <row r="176" spans="1:9" x14ac:dyDescent="0.25">
      <c r="A176">
        <f>'[1]SNO RTF daily report1'!A176</f>
        <v>0</v>
      </c>
      <c r="B176">
        <f>'[1]SNO RTF daily report1'!B176</f>
        <v>0</v>
      </c>
      <c r="C176">
        <f>'[1]SNO RTF daily report1'!C176</f>
        <v>0</v>
      </c>
      <c r="D176">
        <f>'[1]SNO RTF daily report1'!D176</f>
        <v>0</v>
      </c>
      <c r="E176">
        <f>'[1]SNO RTF daily report1'!E176</f>
        <v>0</v>
      </c>
      <c r="F176">
        <f>'[1]SNO RTF daily report1'!F176</f>
        <v>0</v>
      </c>
      <c r="G176">
        <f>'[1]SNO RTF daily report1'!G176</f>
        <v>0</v>
      </c>
      <c r="H176">
        <f>'[1]SNO RTF daily report1'!H176</f>
        <v>0</v>
      </c>
      <c r="I176">
        <f>'[1]SNO RTF daily report1'!I176</f>
        <v>0</v>
      </c>
    </row>
    <row r="177" spans="1:9" x14ac:dyDescent="0.25">
      <c r="A177">
        <f>'[1]SNO RTF daily report1'!A177</f>
        <v>0</v>
      </c>
      <c r="B177">
        <f>'[1]SNO RTF daily report1'!B177</f>
        <v>0</v>
      </c>
      <c r="C177">
        <f>'[1]SNO RTF daily report1'!C177</f>
        <v>0</v>
      </c>
      <c r="D177">
        <f>'[1]SNO RTF daily report1'!D177</f>
        <v>0</v>
      </c>
      <c r="E177">
        <f>'[1]SNO RTF daily report1'!E177</f>
        <v>0</v>
      </c>
      <c r="F177">
        <f>'[1]SNO RTF daily report1'!F177</f>
        <v>0</v>
      </c>
      <c r="G177">
        <f>'[1]SNO RTF daily report1'!G177</f>
        <v>0</v>
      </c>
      <c r="H177">
        <f>'[1]SNO RTF daily report1'!H177</f>
        <v>0</v>
      </c>
      <c r="I177">
        <f>'[1]SNO RTF daily report1'!I177</f>
        <v>0</v>
      </c>
    </row>
    <row r="178" spans="1:9" x14ac:dyDescent="0.25">
      <c r="A178">
        <f>'[1]SNO RTF daily report1'!A178</f>
        <v>0</v>
      </c>
      <c r="B178">
        <f>'[1]SNO RTF daily report1'!B178</f>
        <v>0</v>
      </c>
      <c r="C178">
        <f>'[1]SNO RTF daily report1'!C178</f>
        <v>0</v>
      </c>
      <c r="D178">
        <f>'[1]SNO RTF daily report1'!D178</f>
        <v>0</v>
      </c>
      <c r="E178">
        <f>'[1]SNO RTF daily report1'!E178</f>
        <v>0</v>
      </c>
      <c r="F178">
        <f>'[1]SNO RTF daily report1'!F178</f>
        <v>0</v>
      </c>
      <c r="G178">
        <f>'[1]SNO RTF daily report1'!G178</f>
        <v>0</v>
      </c>
      <c r="H178">
        <f>'[1]SNO RTF daily report1'!H178</f>
        <v>0</v>
      </c>
      <c r="I178">
        <f>'[1]SNO RTF daily report1'!I178</f>
        <v>0</v>
      </c>
    </row>
    <row r="179" spans="1:9" x14ac:dyDescent="0.25">
      <c r="A179">
        <f>'[1]SNO RTF daily report1'!A179</f>
        <v>0</v>
      </c>
      <c r="B179">
        <f>'[1]SNO RTF daily report1'!B179</f>
        <v>0</v>
      </c>
      <c r="C179">
        <f>'[1]SNO RTF daily report1'!C179</f>
        <v>0</v>
      </c>
      <c r="D179">
        <f>'[1]SNO RTF daily report1'!D179</f>
        <v>0</v>
      </c>
      <c r="E179">
        <f>'[1]SNO RTF daily report1'!E179</f>
        <v>0</v>
      </c>
      <c r="F179">
        <f>'[1]SNO RTF daily report1'!F179</f>
        <v>0</v>
      </c>
      <c r="G179">
        <f>'[1]SNO RTF daily report1'!G179</f>
        <v>0</v>
      </c>
      <c r="H179">
        <f>'[1]SNO RTF daily report1'!H179</f>
        <v>0</v>
      </c>
      <c r="I179">
        <f>'[1]SNO RTF daily report1'!I179</f>
        <v>0</v>
      </c>
    </row>
    <row r="180" spans="1:9" x14ac:dyDescent="0.25">
      <c r="A180">
        <f>'[1]SNO RTF daily report1'!A180</f>
        <v>0</v>
      </c>
      <c r="B180">
        <f>'[1]SNO RTF daily report1'!B180</f>
        <v>0</v>
      </c>
      <c r="C180">
        <f>'[1]SNO RTF daily report1'!C180</f>
        <v>0</v>
      </c>
      <c r="D180">
        <f>'[1]SNO RTF daily report1'!D180</f>
        <v>0</v>
      </c>
      <c r="E180">
        <f>'[1]SNO RTF daily report1'!E180</f>
        <v>0</v>
      </c>
      <c r="F180">
        <f>'[1]SNO RTF daily report1'!F180</f>
        <v>0</v>
      </c>
      <c r="G180">
        <f>'[1]SNO RTF daily report1'!G180</f>
        <v>0</v>
      </c>
      <c r="H180">
        <f>'[1]SNO RTF daily report1'!H180</f>
        <v>0</v>
      </c>
      <c r="I180">
        <f>'[1]SNO RTF daily report1'!I180</f>
        <v>0</v>
      </c>
    </row>
    <row r="181" spans="1:9" x14ac:dyDescent="0.25">
      <c r="A181">
        <f>'[1]SNO RTF daily report1'!A181</f>
        <v>0</v>
      </c>
      <c r="B181">
        <f>'[1]SNO RTF daily report1'!B181</f>
        <v>0</v>
      </c>
      <c r="C181">
        <f>'[1]SNO RTF daily report1'!C181</f>
        <v>0</v>
      </c>
      <c r="D181">
        <f>'[1]SNO RTF daily report1'!D181</f>
        <v>0</v>
      </c>
      <c r="E181">
        <f>'[1]SNO RTF daily report1'!E181</f>
        <v>0</v>
      </c>
      <c r="F181">
        <f>'[1]SNO RTF daily report1'!F181</f>
        <v>0</v>
      </c>
      <c r="G181">
        <f>'[1]SNO RTF daily report1'!G181</f>
        <v>0</v>
      </c>
      <c r="H181">
        <f>'[1]SNO RTF daily report1'!H181</f>
        <v>0</v>
      </c>
      <c r="I181">
        <f>'[1]SNO RTF daily report1'!I181</f>
        <v>0</v>
      </c>
    </row>
    <row r="182" spans="1:9" x14ac:dyDescent="0.25">
      <c r="A182">
        <f>'[1]SNO RTF daily report1'!A182</f>
        <v>0</v>
      </c>
      <c r="B182">
        <f>'[1]SNO RTF daily report1'!B182</f>
        <v>0</v>
      </c>
      <c r="C182">
        <f>'[1]SNO RTF daily report1'!C182</f>
        <v>0</v>
      </c>
      <c r="D182">
        <f>'[1]SNO RTF daily report1'!D182</f>
        <v>0</v>
      </c>
      <c r="E182">
        <f>'[1]SNO RTF daily report1'!E182</f>
        <v>0</v>
      </c>
      <c r="F182">
        <f>'[1]SNO RTF daily report1'!F182</f>
        <v>0</v>
      </c>
      <c r="G182">
        <f>'[1]SNO RTF daily report1'!G182</f>
        <v>0</v>
      </c>
      <c r="H182">
        <f>'[1]SNO RTF daily report1'!H182</f>
        <v>0</v>
      </c>
      <c r="I182">
        <f>'[1]SNO RTF daily report1'!I182</f>
        <v>0</v>
      </c>
    </row>
    <row r="183" spans="1:9" x14ac:dyDescent="0.25">
      <c r="A183">
        <f>'[1]SNO RTF daily report1'!A183</f>
        <v>0</v>
      </c>
      <c r="B183">
        <f>'[1]SNO RTF daily report1'!B183</f>
        <v>0</v>
      </c>
      <c r="C183">
        <f>'[1]SNO RTF daily report1'!C183</f>
        <v>0</v>
      </c>
      <c r="D183">
        <f>'[1]SNO RTF daily report1'!D183</f>
        <v>0</v>
      </c>
      <c r="E183">
        <f>'[1]SNO RTF daily report1'!E183</f>
        <v>0</v>
      </c>
      <c r="F183">
        <f>'[1]SNO RTF daily report1'!F183</f>
        <v>0</v>
      </c>
      <c r="G183">
        <f>'[1]SNO RTF daily report1'!G183</f>
        <v>0</v>
      </c>
      <c r="H183">
        <f>'[1]SNO RTF daily report1'!H183</f>
        <v>0</v>
      </c>
      <c r="I183">
        <f>'[1]SNO RTF daily report1'!I183</f>
        <v>0</v>
      </c>
    </row>
    <row r="184" spans="1:9" x14ac:dyDescent="0.25">
      <c r="A184">
        <f>'[1]SNO RTF daily report1'!A184</f>
        <v>0</v>
      </c>
      <c r="B184">
        <f>'[1]SNO RTF daily report1'!B184</f>
        <v>0</v>
      </c>
      <c r="C184">
        <f>'[1]SNO RTF daily report1'!C184</f>
        <v>0</v>
      </c>
      <c r="D184">
        <f>'[1]SNO RTF daily report1'!D184</f>
        <v>0</v>
      </c>
      <c r="E184">
        <f>'[1]SNO RTF daily report1'!E184</f>
        <v>0</v>
      </c>
      <c r="F184">
        <f>'[1]SNO RTF daily report1'!F184</f>
        <v>0</v>
      </c>
      <c r="G184">
        <f>'[1]SNO RTF daily report1'!G184</f>
        <v>0</v>
      </c>
      <c r="H184">
        <f>'[1]SNO RTF daily report1'!H184</f>
        <v>0</v>
      </c>
      <c r="I184">
        <f>'[1]SNO RTF daily report1'!I184</f>
        <v>0</v>
      </c>
    </row>
    <row r="185" spans="1:9" x14ac:dyDescent="0.25">
      <c r="A185">
        <f>'[1]SNO RTF daily report1'!A185</f>
        <v>0</v>
      </c>
      <c r="B185">
        <f>'[1]SNO RTF daily report1'!B185</f>
        <v>0</v>
      </c>
      <c r="C185">
        <f>'[1]SNO RTF daily report1'!C185</f>
        <v>0</v>
      </c>
      <c r="D185">
        <f>'[1]SNO RTF daily report1'!D185</f>
        <v>0</v>
      </c>
      <c r="E185">
        <f>'[1]SNO RTF daily report1'!E185</f>
        <v>0</v>
      </c>
      <c r="F185">
        <f>'[1]SNO RTF daily report1'!F185</f>
        <v>0</v>
      </c>
      <c r="G185">
        <f>'[1]SNO RTF daily report1'!G185</f>
        <v>0</v>
      </c>
      <c r="H185">
        <f>'[1]SNO RTF daily report1'!H185</f>
        <v>0</v>
      </c>
      <c r="I185">
        <f>'[1]SNO RTF daily report1'!I185</f>
        <v>0</v>
      </c>
    </row>
    <row r="186" spans="1:9" x14ac:dyDescent="0.25">
      <c r="A186">
        <f>'[1]SNO RTF daily report1'!A186</f>
        <v>0</v>
      </c>
      <c r="B186">
        <f>'[1]SNO RTF daily report1'!B186</f>
        <v>0</v>
      </c>
      <c r="C186">
        <f>'[1]SNO RTF daily report1'!C186</f>
        <v>0</v>
      </c>
      <c r="D186">
        <f>'[1]SNO RTF daily report1'!D186</f>
        <v>0</v>
      </c>
      <c r="E186">
        <f>'[1]SNO RTF daily report1'!E186</f>
        <v>0</v>
      </c>
      <c r="F186">
        <f>'[1]SNO RTF daily report1'!F186</f>
        <v>0</v>
      </c>
      <c r="G186">
        <f>'[1]SNO RTF daily report1'!G186</f>
        <v>0</v>
      </c>
      <c r="H186">
        <f>'[1]SNO RTF daily report1'!H186</f>
        <v>0</v>
      </c>
      <c r="I186">
        <f>'[1]SNO RTF daily report1'!I186</f>
        <v>0</v>
      </c>
    </row>
    <row r="187" spans="1:9" x14ac:dyDescent="0.25">
      <c r="A187">
        <f>'[1]SNO RTF daily report1'!A187</f>
        <v>0</v>
      </c>
      <c r="B187">
        <f>'[1]SNO RTF daily report1'!B187</f>
        <v>0</v>
      </c>
      <c r="C187">
        <f>'[1]SNO RTF daily report1'!C187</f>
        <v>0</v>
      </c>
      <c r="D187">
        <f>'[1]SNO RTF daily report1'!D187</f>
        <v>0</v>
      </c>
      <c r="E187">
        <f>'[1]SNO RTF daily report1'!E187</f>
        <v>0</v>
      </c>
      <c r="F187">
        <f>'[1]SNO RTF daily report1'!F187</f>
        <v>0</v>
      </c>
      <c r="G187">
        <f>'[1]SNO RTF daily report1'!G187</f>
        <v>0</v>
      </c>
      <c r="H187">
        <f>'[1]SNO RTF daily report1'!H187</f>
        <v>0</v>
      </c>
      <c r="I187">
        <f>'[1]SNO RTF daily report1'!I187</f>
        <v>0</v>
      </c>
    </row>
    <row r="188" spans="1:9" x14ac:dyDescent="0.25">
      <c r="A188">
        <f>'[1]SNO RTF daily report1'!A188</f>
        <v>0</v>
      </c>
      <c r="B188">
        <f>'[1]SNO RTF daily report1'!B188</f>
        <v>0</v>
      </c>
      <c r="C188">
        <f>'[1]SNO RTF daily report1'!C188</f>
        <v>0</v>
      </c>
      <c r="D188">
        <f>'[1]SNO RTF daily report1'!D188</f>
        <v>0</v>
      </c>
      <c r="E188">
        <f>'[1]SNO RTF daily report1'!E188</f>
        <v>0</v>
      </c>
      <c r="F188">
        <f>'[1]SNO RTF daily report1'!F188</f>
        <v>0</v>
      </c>
      <c r="G188">
        <f>'[1]SNO RTF daily report1'!G188</f>
        <v>0</v>
      </c>
      <c r="H188">
        <f>'[1]SNO RTF daily report1'!H188</f>
        <v>0</v>
      </c>
      <c r="I188">
        <f>'[1]SNO RTF daily report1'!I188</f>
        <v>0</v>
      </c>
    </row>
    <row r="189" spans="1:9" x14ac:dyDescent="0.25">
      <c r="A189">
        <f>'[1]SNO RTF daily report1'!A189</f>
        <v>0</v>
      </c>
      <c r="B189">
        <f>'[1]SNO RTF daily report1'!B189</f>
        <v>0</v>
      </c>
      <c r="C189">
        <f>'[1]SNO RTF daily report1'!C189</f>
        <v>0</v>
      </c>
      <c r="D189">
        <f>'[1]SNO RTF daily report1'!D189</f>
        <v>0</v>
      </c>
      <c r="E189">
        <f>'[1]SNO RTF daily report1'!E189</f>
        <v>0</v>
      </c>
      <c r="F189">
        <f>'[1]SNO RTF daily report1'!F189</f>
        <v>0</v>
      </c>
      <c r="G189">
        <f>'[1]SNO RTF daily report1'!G189</f>
        <v>0</v>
      </c>
      <c r="H189">
        <f>'[1]SNO RTF daily report1'!H189</f>
        <v>0</v>
      </c>
      <c r="I189">
        <f>'[1]SNO RTF daily report1'!I189</f>
        <v>0</v>
      </c>
    </row>
    <row r="190" spans="1:9" x14ac:dyDescent="0.25">
      <c r="A190">
        <f>'[1]SNO RTF daily report1'!A190</f>
        <v>0</v>
      </c>
      <c r="B190">
        <f>'[1]SNO RTF daily report1'!B190</f>
        <v>0</v>
      </c>
      <c r="C190">
        <f>'[1]SNO RTF daily report1'!C190</f>
        <v>0</v>
      </c>
      <c r="D190">
        <f>'[1]SNO RTF daily report1'!D190</f>
        <v>0</v>
      </c>
      <c r="E190">
        <f>'[1]SNO RTF daily report1'!E190</f>
        <v>0</v>
      </c>
      <c r="F190">
        <f>'[1]SNO RTF daily report1'!F190</f>
        <v>0</v>
      </c>
      <c r="G190">
        <f>'[1]SNO RTF daily report1'!G190</f>
        <v>0</v>
      </c>
      <c r="H190">
        <f>'[1]SNO RTF daily report1'!H190</f>
        <v>0</v>
      </c>
      <c r="I190">
        <f>'[1]SNO RTF daily report1'!I190</f>
        <v>0</v>
      </c>
    </row>
    <row r="191" spans="1:9" x14ac:dyDescent="0.25">
      <c r="A191">
        <f>'[1]SNO RTF daily report1'!A191</f>
        <v>0</v>
      </c>
      <c r="B191">
        <f>'[1]SNO RTF daily report1'!B191</f>
        <v>0</v>
      </c>
      <c r="C191">
        <f>'[1]SNO RTF daily report1'!C191</f>
        <v>0</v>
      </c>
      <c r="D191">
        <f>'[1]SNO RTF daily report1'!D191</f>
        <v>0</v>
      </c>
      <c r="E191">
        <f>'[1]SNO RTF daily report1'!E191</f>
        <v>0</v>
      </c>
      <c r="F191">
        <f>'[1]SNO RTF daily report1'!F191</f>
        <v>0</v>
      </c>
      <c r="G191">
        <f>'[1]SNO RTF daily report1'!G191</f>
        <v>0</v>
      </c>
      <c r="H191">
        <f>'[1]SNO RTF daily report1'!H191</f>
        <v>0</v>
      </c>
      <c r="I191">
        <f>'[1]SNO RTF daily report1'!I191</f>
        <v>0</v>
      </c>
    </row>
    <row r="192" spans="1:9" x14ac:dyDescent="0.25">
      <c r="A192">
        <f>'[1]SNO RTF daily report1'!A192</f>
        <v>0</v>
      </c>
      <c r="B192">
        <f>'[1]SNO RTF daily report1'!B192</f>
        <v>0</v>
      </c>
      <c r="C192">
        <f>'[1]SNO RTF daily report1'!C192</f>
        <v>0</v>
      </c>
      <c r="D192">
        <f>'[1]SNO RTF daily report1'!D192</f>
        <v>0</v>
      </c>
      <c r="E192">
        <f>'[1]SNO RTF daily report1'!E192</f>
        <v>0</v>
      </c>
      <c r="F192">
        <f>'[1]SNO RTF daily report1'!F192</f>
        <v>0</v>
      </c>
      <c r="G192">
        <f>'[1]SNO RTF daily report1'!G192</f>
        <v>0</v>
      </c>
      <c r="H192">
        <f>'[1]SNO RTF daily report1'!H192</f>
        <v>0</v>
      </c>
      <c r="I192">
        <f>'[1]SNO RTF daily report1'!I192</f>
        <v>0</v>
      </c>
    </row>
    <row r="193" spans="1:9" x14ac:dyDescent="0.25">
      <c r="A193">
        <f>'[1]SNO RTF daily report1'!A193</f>
        <v>0</v>
      </c>
      <c r="B193">
        <f>'[1]SNO RTF daily report1'!B193</f>
        <v>0</v>
      </c>
      <c r="C193">
        <f>'[1]SNO RTF daily report1'!C193</f>
        <v>0</v>
      </c>
      <c r="D193">
        <f>'[1]SNO RTF daily report1'!D193</f>
        <v>0</v>
      </c>
      <c r="E193">
        <f>'[1]SNO RTF daily report1'!E193</f>
        <v>0</v>
      </c>
      <c r="F193">
        <f>'[1]SNO RTF daily report1'!F193</f>
        <v>0</v>
      </c>
      <c r="G193">
        <f>'[1]SNO RTF daily report1'!G193</f>
        <v>0</v>
      </c>
      <c r="H193">
        <f>'[1]SNO RTF daily report1'!H193</f>
        <v>0</v>
      </c>
      <c r="I193">
        <f>'[1]SNO RTF daily report1'!I193</f>
        <v>0</v>
      </c>
    </row>
    <row r="194" spans="1:9" x14ac:dyDescent="0.25">
      <c r="A194">
        <f>'[1]SNO RTF daily report1'!A194</f>
        <v>0</v>
      </c>
      <c r="B194">
        <f>'[1]SNO RTF daily report1'!B194</f>
        <v>0</v>
      </c>
      <c r="C194">
        <f>'[1]SNO RTF daily report1'!C194</f>
        <v>0</v>
      </c>
      <c r="D194">
        <f>'[1]SNO RTF daily report1'!D194</f>
        <v>0</v>
      </c>
      <c r="E194">
        <f>'[1]SNO RTF daily report1'!E194</f>
        <v>0</v>
      </c>
      <c r="F194">
        <f>'[1]SNO RTF daily report1'!F194</f>
        <v>0</v>
      </c>
      <c r="G194">
        <f>'[1]SNO RTF daily report1'!G194</f>
        <v>0</v>
      </c>
      <c r="H194">
        <f>'[1]SNO RTF daily report1'!H194</f>
        <v>0</v>
      </c>
      <c r="I194">
        <f>'[1]SNO RTF daily report1'!I194</f>
        <v>0</v>
      </c>
    </row>
    <row r="195" spans="1:9" x14ac:dyDescent="0.25">
      <c r="A195">
        <f>'[1]SNO RTF daily report1'!A195</f>
        <v>0</v>
      </c>
      <c r="B195">
        <f>'[1]SNO RTF daily report1'!B195</f>
        <v>0</v>
      </c>
      <c r="C195">
        <f>'[1]SNO RTF daily report1'!C195</f>
        <v>0</v>
      </c>
      <c r="D195">
        <f>'[1]SNO RTF daily report1'!D195</f>
        <v>0</v>
      </c>
      <c r="E195">
        <f>'[1]SNO RTF daily report1'!E195</f>
        <v>0</v>
      </c>
      <c r="F195">
        <f>'[1]SNO RTF daily report1'!F195</f>
        <v>0</v>
      </c>
      <c r="G195">
        <f>'[1]SNO RTF daily report1'!G195</f>
        <v>0</v>
      </c>
      <c r="H195">
        <f>'[1]SNO RTF daily report1'!H195</f>
        <v>0</v>
      </c>
      <c r="I195">
        <f>'[1]SNO RTF daily report1'!I195</f>
        <v>0</v>
      </c>
    </row>
    <row r="196" spans="1:9" x14ac:dyDescent="0.25">
      <c r="A196">
        <f>'[1]SNO RTF daily report1'!A196</f>
        <v>0</v>
      </c>
      <c r="B196">
        <f>'[1]SNO RTF daily report1'!B196</f>
        <v>0</v>
      </c>
      <c r="C196">
        <f>'[1]SNO RTF daily report1'!C196</f>
        <v>0</v>
      </c>
      <c r="D196">
        <f>'[1]SNO RTF daily report1'!D196</f>
        <v>0</v>
      </c>
      <c r="E196">
        <f>'[1]SNO RTF daily report1'!E196</f>
        <v>0</v>
      </c>
      <c r="F196">
        <f>'[1]SNO RTF daily report1'!F196</f>
        <v>0</v>
      </c>
      <c r="G196">
        <f>'[1]SNO RTF daily report1'!G196</f>
        <v>0</v>
      </c>
      <c r="H196">
        <f>'[1]SNO RTF daily report1'!H196</f>
        <v>0</v>
      </c>
      <c r="I196">
        <f>'[1]SNO RTF daily report1'!I196</f>
        <v>0</v>
      </c>
    </row>
    <row r="197" spans="1:9" x14ac:dyDescent="0.25">
      <c r="A197">
        <f>'[1]SNO RTF daily report1'!A197</f>
        <v>0</v>
      </c>
      <c r="B197">
        <f>'[1]SNO RTF daily report1'!B197</f>
        <v>0</v>
      </c>
      <c r="C197">
        <f>'[1]SNO RTF daily report1'!C197</f>
        <v>0</v>
      </c>
      <c r="D197">
        <f>'[1]SNO RTF daily report1'!D197</f>
        <v>0</v>
      </c>
      <c r="E197">
        <f>'[1]SNO RTF daily report1'!E197</f>
        <v>0</v>
      </c>
      <c r="F197">
        <f>'[1]SNO RTF daily report1'!F197</f>
        <v>0</v>
      </c>
      <c r="G197">
        <f>'[1]SNO RTF daily report1'!G197</f>
        <v>0</v>
      </c>
      <c r="H197">
        <f>'[1]SNO RTF daily report1'!H197</f>
        <v>0</v>
      </c>
      <c r="I197">
        <f>'[1]SNO RTF daily report1'!I197</f>
        <v>0</v>
      </c>
    </row>
    <row r="198" spans="1:9" x14ac:dyDescent="0.25">
      <c r="A198">
        <f>'[1]SNO RTF daily report1'!A198</f>
        <v>0</v>
      </c>
      <c r="B198">
        <f>'[1]SNO RTF daily report1'!B198</f>
        <v>0</v>
      </c>
      <c r="C198">
        <f>'[1]SNO RTF daily report1'!C198</f>
        <v>0</v>
      </c>
      <c r="D198">
        <f>'[1]SNO RTF daily report1'!D198</f>
        <v>0</v>
      </c>
      <c r="E198">
        <f>'[1]SNO RTF daily report1'!E198</f>
        <v>0</v>
      </c>
      <c r="F198">
        <f>'[1]SNO RTF daily report1'!F198</f>
        <v>0</v>
      </c>
      <c r="G198">
        <f>'[1]SNO RTF daily report1'!G198</f>
        <v>0</v>
      </c>
      <c r="H198">
        <f>'[1]SNO RTF daily report1'!H198</f>
        <v>0</v>
      </c>
      <c r="I198">
        <f>'[1]SNO RTF daily report1'!I198</f>
        <v>0</v>
      </c>
    </row>
    <row r="199" spans="1:9" x14ac:dyDescent="0.25">
      <c r="A199">
        <f>'[1]SNO RTF daily report1'!A199</f>
        <v>0</v>
      </c>
      <c r="B199">
        <f>'[1]SNO RTF daily report1'!B199</f>
        <v>0</v>
      </c>
      <c r="C199">
        <f>'[1]SNO RTF daily report1'!C199</f>
        <v>0</v>
      </c>
      <c r="D199">
        <f>'[1]SNO RTF daily report1'!D199</f>
        <v>0</v>
      </c>
      <c r="E199">
        <f>'[1]SNO RTF daily report1'!E199</f>
        <v>0</v>
      </c>
      <c r="F199">
        <f>'[1]SNO RTF daily report1'!F199</f>
        <v>0</v>
      </c>
      <c r="G199">
        <f>'[1]SNO RTF daily report1'!G199</f>
        <v>0</v>
      </c>
      <c r="H199">
        <f>'[1]SNO RTF daily report1'!H199</f>
        <v>0</v>
      </c>
      <c r="I199">
        <f>'[1]SNO RTF daily report1'!I199</f>
        <v>0</v>
      </c>
    </row>
    <row r="200" spans="1:9" x14ac:dyDescent="0.25">
      <c r="A200">
        <f>'[1]SNO RTF daily report1'!A200</f>
        <v>0</v>
      </c>
      <c r="B200">
        <f>'[1]SNO RTF daily report1'!B200</f>
        <v>0</v>
      </c>
      <c r="C200">
        <f>'[1]SNO RTF daily report1'!C200</f>
        <v>0</v>
      </c>
      <c r="D200">
        <f>'[1]SNO RTF daily report1'!D200</f>
        <v>0</v>
      </c>
      <c r="E200">
        <f>'[1]SNO RTF daily report1'!E200</f>
        <v>0</v>
      </c>
      <c r="F200">
        <f>'[1]SNO RTF daily report1'!F200</f>
        <v>0</v>
      </c>
      <c r="G200">
        <f>'[1]SNO RTF daily report1'!G200</f>
        <v>0</v>
      </c>
      <c r="H200">
        <f>'[1]SNO RTF daily report1'!H200</f>
        <v>0</v>
      </c>
      <c r="I200">
        <f>'[1]SNO RTF daily report1'!I200</f>
        <v>0</v>
      </c>
    </row>
    <row r="201" spans="1:9" x14ac:dyDescent="0.25">
      <c r="A201">
        <f>'[1]SNO RTF daily report1'!A201</f>
        <v>0</v>
      </c>
      <c r="B201">
        <f>'[1]SNO RTF daily report1'!B201</f>
        <v>0</v>
      </c>
      <c r="C201">
        <f>'[1]SNO RTF daily report1'!C201</f>
        <v>0</v>
      </c>
      <c r="D201">
        <f>'[1]SNO RTF daily report1'!D201</f>
        <v>0</v>
      </c>
      <c r="E201">
        <f>'[1]SNO RTF daily report1'!E201</f>
        <v>0</v>
      </c>
      <c r="F201">
        <f>'[1]SNO RTF daily report1'!F201</f>
        <v>0</v>
      </c>
      <c r="G201">
        <f>'[1]SNO RTF daily report1'!G201</f>
        <v>0</v>
      </c>
      <c r="H201">
        <f>'[1]SNO RTF daily report1'!H201</f>
        <v>0</v>
      </c>
      <c r="I201">
        <f>'[1]SNO RTF daily report1'!I201</f>
        <v>0</v>
      </c>
    </row>
    <row r="202" spans="1:9" x14ac:dyDescent="0.25">
      <c r="A202">
        <f>'[1]SNO RTF daily report1'!A202</f>
        <v>0</v>
      </c>
      <c r="B202">
        <f>'[1]SNO RTF daily report1'!B202</f>
        <v>0</v>
      </c>
      <c r="C202">
        <f>'[1]SNO RTF daily report1'!C202</f>
        <v>0</v>
      </c>
      <c r="D202">
        <f>'[1]SNO RTF daily report1'!D202</f>
        <v>0</v>
      </c>
      <c r="E202">
        <f>'[1]SNO RTF daily report1'!E202</f>
        <v>0</v>
      </c>
      <c r="F202">
        <f>'[1]SNO RTF daily report1'!F202</f>
        <v>0</v>
      </c>
      <c r="G202">
        <f>'[1]SNO RTF daily report1'!G202</f>
        <v>0</v>
      </c>
      <c r="H202">
        <f>'[1]SNO RTF daily report1'!H202</f>
        <v>0</v>
      </c>
      <c r="I202">
        <f>'[1]SNO RTF daily report1'!I202</f>
        <v>0</v>
      </c>
    </row>
    <row r="203" spans="1:9" x14ac:dyDescent="0.25">
      <c r="A203">
        <f>'[1]SNO RTF daily report1'!A203</f>
        <v>0</v>
      </c>
      <c r="B203">
        <f>'[1]SNO RTF daily report1'!B203</f>
        <v>0</v>
      </c>
      <c r="C203">
        <f>'[1]SNO RTF daily report1'!C203</f>
        <v>0</v>
      </c>
      <c r="D203">
        <f>'[1]SNO RTF daily report1'!D203</f>
        <v>0</v>
      </c>
      <c r="E203">
        <f>'[1]SNO RTF daily report1'!E203</f>
        <v>0</v>
      </c>
      <c r="F203">
        <f>'[1]SNO RTF daily report1'!F203</f>
        <v>0</v>
      </c>
      <c r="G203">
        <f>'[1]SNO RTF daily report1'!G203</f>
        <v>0</v>
      </c>
      <c r="H203">
        <f>'[1]SNO RTF daily report1'!H203</f>
        <v>0</v>
      </c>
      <c r="I203">
        <f>'[1]SNO RTF daily report1'!I203</f>
        <v>0</v>
      </c>
    </row>
    <row r="204" spans="1:9" x14ac:dyDescent="0.25">
      <c r="A204">
        <f>'[1]SNO RTF daily report1'!A204</f>
        <v>0</v>
      </c>
      <c r="B204">
        <f>'[1]SNO RTF daily report1'!B204</f>
        <v>0</v>
      </c>
      <c r="C204">
        <f>'[1]SNO RTF daily report1'!C204</f>
        <v>0</v>
      </c>
      <c r="D204">
        <f>'[1]SNO RTF daily report1'!D204</f>
        <v>0</v>
      </c>
      <c r="E204">
        <f>'[1]SNO RTF daily report1'!E204</f>
        <v>0</v>
      </c>
      <c r="F204">
        <f>'[1]SNO RTF daily report1'!F204</f>
        <v>0</v>
      </c>
      <c r="G204">
        <f>'[1]SNO RTF daily report1'!G204</f>
        <v>0</v>
      </c>
      <c r="H204">
        <f>'[1]SNO RTF daily report1'!H204</f>
        <v>0</v>
      </c>
      <c r="I204">
        <f>'[1]SNO RTF daily report1'!I204</f>
        <v>0</v>
      </c>
    </row>
    <row r="205" spans="1:9" x14ac:dyDescent="0.25">
      <c r="A205">
        <f>'[1]SNO RTF daily report1'!A205</f>
        <v>0</v>
      </c>
      <c r="B205">
        <f>'[1]SNO RTF daily report1'!B205</f>
        <v>0</v>
      </c>
      <c r="C205">
        <f>'[1]SNO RTF daily report1'!C205</f>
        <v>0</v>
      </c>
      <c r="D205">
        <f>'[1]SNO RTF daily report1'!D205</f>
        <v>0</v>
      </c>
      <c r="E205">
        <f>'[1]SNO RTF daily report1'!E205</f>
        <v>0</v>
      </c>
      <c r="F205">
        <f>'[1]SNO RTF daily report1'!F205</f>
        <v>0</v>
      </c>
      <c r="G205">
        <f>'[1]SNO RTF daily report1'!G205</f>
        <v>0</v>
      </c>
      <c r="H205">
        <f>'[1]SNO RTF daily report1'!H205</f>
        <v>0</v>
      </c>
      <c r="I205">
        <f>'[1]SNO RTF daily report1'!I205</f>
        <v>0</v>
      </c>
    </row>
    <row r="206" spans="1:9" x14ac:dyDescent="0.25">
      <c r="A206">
        <f>'[1]SNO RTF daily report1'!A206</f>
        <v>0</v>
      </c>
      <c r="B206">
        <f>'[1]SNO RTF daily report1'!B206</f>
        <v>0</v>
      </c>
      <c r="C206">
        <f>'[1]SNO RTF daily report1'!C206</f>
        <v>0</v>
      </c>
      <c r="D206">
        <f>'[1]SNO RTF daily report1'!D206</f>
        <v>0</v>
      </c>
      <c r="E206">
        <f>'[1]SNO RTF daily report1'!E206</f>
        <v>0</v>
      </c>
      <c r="F206">
        <f>'[1]SNO RTF daily report1'!F206</f>
        <v>0</v>
      </c>
      <c r="G206">
        <f>'[1]SNO RTF daily report1'!G206</f>
        <v>0</v>
      </c>
      <c r="H206">
        <f>'[1]SNO RTF daily report1'!H206</f>
        <v>0</v>
      </c>
      <c r="I206">
        <f>'[1]SNO RTF daily report1'!I206</f>
        <v>0</v>
      </c>
    </row>
    <row r="207" spans="1:9" x14ac:dyDescent="0.25">
      <c r="A207">
        <f>'[1]SNO RTF daily report1'!A207</f>
        <v>0</v>
      </c>
      <c r="B207">
        <f>'[1]SNO RTF daily report1'!B207</f>
        <v>0</v>
      </c>
      <c r="C207">
        <f>'[1]SNO RTF daily report1'!C207</f>
        <v>0</v>
      </c>
      <c r="D207">
        <f>'[1]SNO RTF daily report1'!D207</f>
        <v>0</v>
      </c>
      <c r="E207">
        <f>'[1]SNO RTF daily report1'!E207</f>
        <v>0</v>
      </c>
      <c r="F207">
        <f>'[1]SNO RTF daily report1'!F207</f>
        <v>0</v>
      </c>
      <c r="G207">
        <f>'[1]SNO RTF daily report1'!G207</f>
        <v>0</v>
      </c>
      <c r="H207">
        <f>'[1]SNO RTF daily report1'!H207</f>
        <v>0</v>
      </c>
      <c r="I207">
        <f>'[1]SNO RTF daily report1'!I207</f>
        <v>0</v>
      </c>
    </row>
    <row r="208" spans="1:9" x14ac:dyDescent="0.25">
      <c r="A208">
        <f>'[1]SNO RTF daily report1'!A208</f>
        <v>0</v>
      </c>
      <c r="B208">
        <f>'[1]SNO RTF daily report1'!B208</f>
        <v>0</v>
      </c>
      <c r="C208">
        <f>'[1]SNO RTF daily report1'!C208</f>
        <v>0</v>
      </c>
      <c r="D208">
        <f>'[1]SNO RTF daily report1'!D208</f>
        <v>0</v>
      </c>
      <c r="E208">
        <f>'[1]SNO RTF daily report1'!E208</f>
        <v>0</v>
      </c>
      <c r="F208">
        <f>'[1]SNO RTF daily report1'!F208</f>
        <v>0</v>
      </c>
      <c r="G208">
        <f>'[1]SNO RTF daily report1'!G208</f>
        <v>0</v>
      </c>
      <c r="H208">
        <f>'[1]SNO RTF daily report1'!H208</f>
        <v>0</v>
      </c>
      <c r="I208">
        <f>'[1]SNO RTF daily report1'!I208</f>
        <v>0</v>
      </c>
    </row>
    <row r="209" spans="1:9" x14ac:dyDescent="0.25">
      <c r="A209">
        <f>'[1]SNO RTF daily report1'!A209</f>
        <v>0</v>
      </c>
      <c r="B209">
        <f>'[1]SNO RTF daily report1'!B209</f>
        <v>0</v>
      </c>
      <c r="C209">
        <f>'[1]SNO RTF daily report1'!C209</f>
        <v>0</v>
      </c>
      <c r="D209">
        <f>'[1]SNO RTF daily report1'!D209</f>
        <v>0</v>
      </c>
      <c r="E209">
        <f>'[1]SNO RTF daily report1'!E209</f>
        <v>0</v>
      </c>
      <c r="F209">
        <f>'[1]SNO RTF daily report1'!F209</f>
        <v>0</v>
      </c>
      <c r="G209">
        <f>'[1]SNO RTF daily report1'!G209</f>
        <v>0</v>
      </c>
      <c r="H209">
        <f>'[1]SNO RTF daily report1'!H209</f>
        <v>0</v>
      </c>
      <c r="I209">
        <f>'[1]SNO RTF daily report1'!I209</f>
        <v>0</v>
      </c>
    </row>
    <row r="210" spans="1:9" x14ac:dyDescent="0.25">
      <c r="A210">
        <f>'[1]SNO RTF daily report1'!A210</f>
        <v>0</v>
      </c>
      <c r="B210">
        <f>'[1]SNO RTF daily report1'!B210</f>
        <v>0</v>
      </c>
      <c r="C210">
        <f>'[1]SNO RTF daily report1'!C210</f>
        <v>0</v>
      </c>
      <c r="D210">
        <f>'[1]SNO RTF daily report1'!D210</f>
        <v>0</v>
      </c>
      <c r="E210">
        <f>'[1]SNO RTF daily report1'!E210</f>
        <v>0</v>
      </c>
      <c r="F210">
        <f>'[1]SNO RTF daily report1'!F210</f>
        <v>0</v>
      </c>
      <c r="G210">
        <f>'[1]SNO RTF daily report1'!G210</f>
        <v>0</v>
      </c>
      <c r="H210">
        <f>'[1]SNO RTF daily report1'!H210</f>
        <v>0</v>
      </c>
      <c r="I210">
        <f>'[1]SNO RTF daily report1'!I210</f>
        <v>0</v>
      </c>
    </row>
    <row r="211" spans="1:9" x14ac:dyDescent="0.25">
      <c r="A211">
        <f>'[1]SNO RTF daily report1'!A211</f>
        <v>0</v>
      </c>
      <c r="B211">
        <f>'[1]SNO RTF daily report1'!B211</f>
        <v>0</v>
      </c>
      <c r="C211">
        <f>'[1]SNO RTF daily report1'!C211</f>
        <v>0</v>
      </c>
      <c r="D211">
        <f>'[1]SNO RTF daily report1'!D211</f>
        <v>0</v>
      </c>
      <c r="E211">
        <f>'[1]SNO RTF daily report1'!E211</f>
        <v>0</v>
      </c>
      <c r="F211">
        <f>'[1]SNO RTF daily report1'!F211</f>
        <v>0</v>
      </c>
      <c r="G211">
        <f>'[1]SNO RTF daily report1'!G211</f>
        <v>0</v>
      </c>
      <c r="H211">
        <f>'[1]SNO RTF daily report1'!H211</f>
        <v>0</v>
      </c>
      <c r="I211">
        <f>'[1]SNO RTF daily report1'!I211</f>
        <v>0</v>
      </c>
    </row>
    <row r="212" spans="1:9" x14ac:dyDescent="0.25">
      <c r="A212">
        <f>'[1]SNO RTF daily report1'!A212</f>
        <v>0</v>
      </c>
      <c r="B212">
        <f>'[1]SNO RTF daily report1'!B212</f>
        <v>0</v>
      </c>
      <c r="C212">
        <f>'[1]SNO RTF daily report1'!C212</f>
        <v>0</v>
      </c>
      <c r="D212">
        <f>'[1]SNO RTF daily report1'!D212</f>
        <v>0</v>
      </c>
      <c r="E212">
        <f>'[1]SNO RTF daily report1'!E212</f>
        <v>0</v>
      </c>
      <c r="F212">
        <f>'[1]SNO RTF daily report1'!F212</f>
        <v>0</v>
      </c>
      <c r="G212">
        <f>'[1]SNO RTF daily report1'!G212</f>
        <v>0</v>
      </c>
      <c r="H212">
        <f>'[1]SNO RTF daily report1'!H212</f>
        <v>0</v>
      </c>
      <c r="I212">
        <f>'[1]SNO RTF daily report1'!I212</f>
        <v>0</v>
      </c>
    </row>
    <row r="213" spans="1:9" x14ac:dyDescent="0.25">
      <c r="A213">
        <f>'[1]SNO RTF daily report1'!A213</f>
        <v>0</v>
      </c>
      <c r="B213">
        <f>'[1]SNO RTF daily report1'!B213</f>
        <v>0</v>
      </c>
      <c r="C213">
        <f>'[1]SNO RTF daily report1'!C213</f>
        <v>0</v>
      </c>
      <c r="D213">
        <f>'[1]SNO RTF daily report1'!D213</f>
        <v>0</v>
      </c>
      <c r="E213">
        <f>'[1]SNO RTF daily report1'!E213</f>
        <v>0</v>
      </c>
      <c r="F213">
        <f>'[1]SNO RTF daily report1'!F213</f>
        <v>0</v>
      </c>
      <c r="G213">
        <f>'[1]SNO RTF daily report1'!G213</f>
        <v>0</v>
      </c>
      <c r="H213">
        <f>'[1]SNO RTF daily report1'!H213</f>
        <v>0</v>
      </c>
      <c r="I213">
        <f>'[1]SNO RTF daily report1'!I213</f>
        <v>0</v>
      </c>
    </row>
    <row r="214" spans="1:9" x14ac:dyDescent="0.25">
      <c r="A214">
        <f>'[1]SNO RTF daily report1'!A214</f>
        <v>0</v>
      </c>
      <c r="B214">
        <f>'[1]SNO RTF daily report1'!B214</f>
        <v>0</v>
      </c>
      <c r="C214">
        <f>'[1]SNO RTF daily report1'!C214</f>
        <v>0</v>
      </c>
      <c r="D214">
        <f>'[1]SNO RTF daily report1'!D214</f>
        <v>0</v>
      </c>
      <c r="E214">
        <f>'[1]SNO RTF daily report1'!E214</f>
        <v>0</v>
      </c>
      <c r="F214">
        <f>'[1]SNO RTF daily report1'!F214</f>
        <v>0</v>
      </c>
      <c r="G214">
        <f>'[1]SNO RTF daily report1'!G214</f>
        <v>0</v>
      </c>
      <c r="H214">
        <f>'[1]SNO RTF daily report1'!H214</f>
        <v>0</v>
      </c>
      <c r="I214">
        <f>'[1]SNO RTF daily report1'!I214</f>
        <v>0</v>
      </c>
    </row>
    <row r="215" spans="1:9" x14ac:dyDescent="0.25">
      <c r="A215">
        <f>'[1]SNO RTF daily report1'!A215</f>
        <v>0</v>
      </c>
      <c r="B215">
        <f>'[1]SNO RTF daily report1'!B215</f>
        <v>0</v>
      </c>
      <c r="C215">
        <f>'[1]SNO RTF daily report1'!C215</f>
        <v>0</v>
      </c>
      <c r="D215">
        <f>'[1]SNO RTF daily report1'!D215</f>
        <v>0</v>
      </c>
      <c r="E215">
        <f>'[1]SNO RTF daily report1'!E215</f>
        <v>0</v>
      </c>
      <c r="F215">
        <f>'[1]SNO RTF daily report1'!F215</f>
        <v>0</v>
      </c>
      <c r="G215">
        <f>'[1]SNO RTF daily report1'!G215</f>
        <v>0</v>
      </c>
      <c r="H215">
        <f>'[1]SNO RTF daily report1'!H215</f>
        <v>0</v>
      </c>
      <c r="I215">
        <f>'[1]SNO RTF daily report1'!I215</f>
        <v>0</v>
      </c>
    </row>
    <row r="216" spans="1:9" x14ac:dyDescent="0.25">
      <c r="A216">
        <f>'[1]SNO RTF daily report1'!A216</f>
        <v>0</v>
      </c>
      <c r="B216">
        <f>'[1]SNO RTF daily report1'!B216</f>
        <v>0</v>
      </c>
      <c r="C216">
        <f>'[1]SNO RTF daily report1'!C216</f>
        <v>0</v>
      </c>
      <c r="D216">
        <f>'[1]SNO RTF daily report1'!D216</f>
        <v>0</v>
      </c>
      <c r="E216">
        <f>'[1]SNO RTF daily report1'!E216</f>
        <v>0</v>
      </c>
      <c r="F216">
        <f>'[1]SNO RTF daily report1'!F216</f>
        <v>0</v>
      </c>
      <c r="G216">
        <f>'[1]SNO RTF daily report1'!G216</f>
        <v>0</v>
      </c>
      <c r="H216">
        <f>'[1]SNO RTF daily report1'!H216</f>
        <v>0</v>
      </c>
      <c r="I216">
        <f>'[1]SNO RTF daily report1'!I216</f>
        <v>0</v>
      </c>
    </row>
    <row r="217" spans="1:9" x14ac:dyDescent="0.25">
      <c r="A217">
        <f>'[1]SNO RTF daily report1'!A217</f>
        <v>0</v>
      </c>
      <c r="B217">
        <f>'[1]SNO RTF daily report1'!B217</f>
        <v>0</v>
      </c>
      <c r="C217">
        <f>'[1]SNO RTF daily report1'!C217</f>
        <v>0</v>
      </c>
      <c r="D217">
        <f>'[1]SNO RTF daily report1'!D217</f>
        <v>0</v>
      </c>
      <c r="E217">
        <f>'[1]SNO RTF daily report1'!E217</f>
        <v>0</v>
      </c>
      <c r="F217">
        <f>'[1]SNO RTF daily report1'!F217</f>
        <v>0</v>
      </c>
      <c r="G217">
        <f>'[1]SNO RTF daily report1'!G217</f>
        <v>0</v>
      </c>
      <c r="H217">
        <f>'[1]SNO RTF daily report1'!H217</f>
        <v>0</v>
      </c>
      <c r="I217">
        <f>'[1]SNO RTF daily report1'!I217</f>
        <v>0</v>
      </c>
    </row>
    <row r="218" spans="1:9" x14ac:dyDescent="0.25">
      <c r="A218">
        <f>'[1]SNO RTF daily report1'!A218</f>
        <v>0</v>
      </c>
      <c r="B218">
        <f>'[1]SNO RTF daily report1'!B218</f>
        <v>0</v>
      </c>
      <c r="C218">
        <f>'[1]SNO RTF daily report1'!C218</f>
        <v>0</v>
      </c>
      <c r="D218">
        <f>'[1]SNO RTF daily report1'!D218</f>
        <v>0</v>
      </c>
      <c r="E218">
        <f>'[1]SNO RTF daily report1'!E218</f>
        <v>0</v>
      </c>
      <c r="F218">
        <f>'[1]SNO RTF daily report1'!F218</f>
        <v>0</v>
      </c>
      <c r="G218">
        <f>'[1]SNO RTF daily report1'!G218</f>
        <v>0</v>
      </c>
      <c r="H218">
        <f>'[1]SNO RTF daily report1'!H218</f>
        <v>0</v>
      </c>
      <c r="I218">
        <f>'[1]SNO RTF daily report1'!I218</f>
        <v>0</v>
      </c>
    </row>
    <row r="219" spans="1:9" x14ac:dyDescent="0.25">
      <c r="A219">
        <f>'[1]SNO RTF daily report1'!A219</f>
        <v>0</v>
      </c>
      <c r="B219">
        <f>'[1]SNO RTF daily report1'!B219</f>
        <v>0</v>
      </c>
      <c r="C219">
        <f>'[1]SNO RTF daily report1'!C219</f>
        <v>0</v>
      </c>
      <c r="D219">
        <f>'[1]SNO RTF daily report1'!D219</f>
        <v>0</v>
      </c>
      <c r="E219">
        <f>'[1]SNO RTF daily report1'!E219</f>
        <v>0</v>
      </c>
      <c r="F219">
        <f>'[1]SNO RTF daily report1'!F219</f>
        <v>0</v>
      </c>
      <c r="G219">
        <f>'[1]SNO RTF daily report1'!G219</f>
        <v>0</v>
      </c>
      <c r="H219">
        <f>'[1]SNO RTF daily report1'!H219</f>
        <v>0</v>
      </c>
      <c r="I219">
        <f>'[1]SNO RTF daily report1'!I219</f>
        <v>0</v>
      </c>
    </row>
    <row r="220" spans="1:9" x14ac:dyDescent="0.25">
      <c r="A220">
        <f>'[1]SNO RTF daily report1'!A220</f>
        <v>0</v>
      </c>
      <c r="B220">
        <f>'[1]SNO RTF daily report1'!B220</f>
        <v>0</v>
      </c>
      <c r="C220">
        <f>'[1]SNO RTF daily report1'!C220</f>
        <v>0</v>
      </c>
      <c r="D220">
        <f>'[1]SNO RTF daily report1'!D220</f>
        <v>0</v>
      </c>
      <c r="E220">
        <f>'[1]SNO RTF daily report1'!E220</f>
        <v>0</v>
      </c>
      <c r="F220">
        <f>'[1]SNO RTF daily report1'!F220</f>
        <v>0</v>
      </c>
      <c r="G220">
        <f>'[1]SNO RTF daily report1'!G220</f>
        <v>0</v>
      </c>
      <c r="H220">
        <f>'[1]SNO RTF daily report1'!H220</f>
        <v>0</v>
      </c>
      <c r="I220">
        <f>'[1]SNO RTF daily report1'!I220</f>
        <v>0</v>
      </c>
    </row>
    <row r="221" spans="1:9" x14ac:dyDescent="0.25">
      <c r="A221">
        <f>'[1]SNO RTF daily report1'!A221</f>
        <v>0</v>
      </c>
      <c r="B221">
        <f>'[1]SNO RTF daily report1'!B221</f>
        <v>0</v>
      </c>
      <c r="C221">
        <f>'[1]SNO RTF daily report1'!C221</f>
        <v>0</v>
      </c>
      <c r="D221">
        <f>'[1]SNO RTF daily report1'!D221</f>
        <v>0</v>
      </c>
      <c r="E221">
        <f>'[1]SNO RTF daily report1'!E221</f>
        <v>0</v>
      </c>
      <c r="F221">
        <f>'[1]SNO RTF daily report1'!F221</f>
        <v>0</v>
      </c>
      <c r="G221">
        <f>'[1]SNO RTF daily report1'!G221</f>
        <v>0</v>
      </c>
      <c r="H221">
        <f>'[1]SNO RTF daily report1'!H221</f>
        <v>0</v>
      </c>
      <c r="I221">
        <f>'[1]SNO RTF daily report1'!I221</f>
        <v>0</v>
      </c>
    </row>
    <row r="222" spans="1:9" x14ac:dyDescent="0.25">
      <c r="A222">
        <f>'[1]SNO RTF daily report1'!A222</f>
        <v>0</v>
      </c>
      <c r="B222">
        <f>'[1]SNO RTF daily report1'!B222</f>
        <v>0</v>
      </c>
      <c r="C222">
        <f>'[1]SNO RTF daily report1'!C222</f>
        <v>0</v>
      </c>
      <c r="D222">
        <f>'[1]SNO RTF daily report1'!D222</f>
        <v>0</v>
      </c>
      <c r="E222">
        <f>'[1]SNO RTF daily report1'!E222</f>
        <v>0</v>
      </c>
      <c r="F222">
        <f>'[1]SNO RTF daily report1'!F222</f>
        <v>0</v>
      </c>
      <c r="G222">
        <f>'[1]SNO RTF daily report1'!G222</f>
        <v>0</v>
      </c>
      <c r="H222">
        <f>'[1]SNO RTF daily report1'!H222</f>
        <v>0</v>
      </c>
      <c r="I222">
        <f>'[1]SNO RTF daily report1'!I222</f>
        <v>0</v>
      </c>
    </row>
    <row r="223" spans="1:9" x14ac:dyDescent="0.25">
      <c r="A223">
        <f>'[1]SNO RTF daily report1'!A223</f>
        <v>0</v>
      </c>
      <c r="B223">
        <f>'[1]SNO RTF daily report1'!B223</f>
        <v>0</v>
      </c>
      <c r="C223">
        <f>'[1]SNO RTF daily report1'!C223</f>
        <v>0</v>
      </c>
      <c r="D223">
        <f>'[1]SNO RTF daily report1'!D223</f>
        <v>0</v>
      </c>
      <c r="E223">
        <f>'[1]SNO RTF daily report1'!E223</f>
        <v>0</v>
      </c>
      <c r="F223">
        <f>'[1]SNO RTF daily report1'!F223</f>
        <v>0</v>
      </c>
      <c r="G223">
        <f>'[1]SNO RTF daily report1'!G223</f>
        <v>0</v>
      </c>
      <c r="H223">
        <f>'[1]SNO RTF daily report1'!H223</f>
        <v>0</v>
      </c>
      <c r="I223">
        <f>'[1]SNO RTF daily report1'!I223</f>
        <v>0</v>
      </c>
    </row>
    <row r="224" spans="1:9" x14ac:dyDescent="0.25">
      <c r="A224">
        <f>'[1]SNO RTF daily report1'!A224</f>
        <v>0</v>
      </c>
      <c r="B224">
        <f>'[1]SNO RTF daily report1'!B224</f>
        <v>0</v>
      </c>
      <c r="C224">
        <f>'[1]SNO RTF daily report1'!C224</f>
        <v>0</v>
      </c>
      <c r="D224">
        <f>'[1]SNO RTF daily report1'!D224</f>
        <v>0</v>
      </c>
      <c r="E224">
        <f>'[1]SNO RTF daily report1'!E224</f>
        <v>0</v>
      </c>
      <c r="F224">
        <f>'[1]SNO RTF daily report1'!F224</f>
        <v>0</v>
      </c>
      <c r="G224">
        <f>'[1]SNO RTF daily report1'!G224</f>
        <v>0</v>
      </c>
      <c r="H224">
        <f>'[1]SNO RTF daily report1'!H224</f>
        <v>0</v>
      </c>
      <c r="I224">
        <f>'[1]SNO RTF daily report1'!I224</f>
        <v>0</v>
      </c>
    </row>
    <row r="225" spans="1:9" x14ac:dyDescent="0.25">
      <c r="A225">
        <f>'[1]SNO RTF daily report1'!A225</f>
        <v>0</v>
      </c>
      <c r="B225">
        <f>'[1]SNO RTF daily report1'!B225</f>
        <v>0</v>
      </c>
      <c r="C225">
        <f>'[1]SNO RTF daily report1'!C225</f>
        <v>0</v>
      </c>
      <c r="D225">
        <f>'[1]SNO RTF daily report1'!D225</f>
        <v>0</v>
      </c>
      <c r="E225">
        <f>'[1]SNO RTF daily report1'!E225</f>
        <v>0</v>
      </c>
      <c r="F225">
        <f>'[1]SNO RTF daily report1'!F225</f>
        <v>0</v>
      </c>
      <c r="G225">
        <f>'[1]SNO RTF daily report1'!G225</f>
        <v>0</v>
      </c>
      <c r="H225">
        <f>'[1]SNO RTF daily report1'!H225</f>
        <v>0</v>
      </c>
      <c r="I225">
        <f>'[1]SNO RTF daily report1'!I225</f>
        <v>0</v>
      </c>
    </row>
    <row r="226" spans="1:9" x14ac:dyDescent="0.25">
      <c r="A226">
        <f>'[1]SNO RTF daily report1'!A226</f>
        <v>0</v>
      </c>
      <c r="B226">
        <f>'[1]SNO RTF daily report1'!B226</f>
        <v>0</v>
      </c>
      <c r="C226">
        <f>'[1]SNO RTF daily report1'!C226</f>
        <v>0</v>
      </c>
      <c r="D226">
        <f>'[1]SNO RTF daily report1'!D226</f>
        <v>0</v>
      </c>
      <c r="E226">
        <f>'[1]SNO RTF daily report1'!E226</f>
        <v>0</v>
      </c>
      <c r="F226">
        <f>'[1]SNO RTF daily report1'!F226</f>
        <v>0</v>
      </c>
      <c r="G226">
        <f>'[1]SNO RTF daily report1'!G226</f>
        <v>0</v>
      </c>
      <c r="H226">
        <f>'[1]SNO RTF daily report1'!H226</f>
        <v>0</v>
      </c>
      <c r="I226">
        <f>'[1]SNO RTF daily report1'!I226</f>
        <v>0</v>
      </c>
    </row>
    <row r="227" spans="1:9" x14ac:dyDescent="0.25">
      <c r="A227">
        <f>'[1]SNO RTF daily report1'!A227</f>
        <v>0</v>
      </c>
      <c r="B227">
        <f>'[1]SNO RTF daily report1'!B227</f>
        <v>0</v>
      </c>
      <c r="C227">
        <f>'[1]SNO RTF daily report1'!C227</f>
        <v>0</v>
      </c>
      <c r="D227">
        <f>'[1]SNO RTF daily report1'!D227</f>
        <v>0</v>
      </c>
      <c r="E227">
        <f>'[1]SNO RTF daily report1'!E227</f>
        <v>0</v>
      </c>
      <c r="F227">
        <f>'[1]SNO RTF daily report1'!F227</f>
        <v>0</v>
      </c>
      <c r="G227">
        <f>'[1]SNO RTF daily report1'!G227</f>
        <v>0</v>
      </c>
      <c r="H227">
        <f>'[1]SNO RTF daily report1'!H227</f>
        <v>0</v>
      </c>
      <c r="I227">
        <f>'[1]SNO RTF daily report1'!I227</f>
        <v>0</v>
      </c>
    </row>
    <row r="228" spans="1:9" x14ac:dyDescent="0.25">
      <c r="A228">
        <f>'[1]SNO RTF daily report1'!A228</f>
        <v>0</v>
      </c>
      <c r="B228">
        <f>'[1]SNO RTF daily report1'!B228</f>
        <v>0</v>
      </c>
      <c r="C228">
        <f>'[1]SNO RTF daily report1'!C228</f>
        <v>0</v>
      </c>
      <c r="D228">
        <f>'[1]SNO RTF daily report1'!D228</f>
        <v>0</v>
      </c>
      <c r="E228">
        <f>'[1]SNO RTF daily report1'!E228</f>
        <v>0</v>
      </c>
      <c r="F228">
        <f>'[1]SNO RTF daily report1'!F228</f>
        <v>0</v>
      </c>
      <c r="G228">
        <f>'[1]SNO RTF daily report1'!G228</f>
        <v>0</v>
      </c>
      <c r="H228">
        <f>'[1]SNO RTF daily report1'!H228</f>
        <v>0</v>
      </c>
      <c r="I228">
        <f>'[1]SNO RTF daily report1'!I228</f>
        <v>0</v>
      </c>
    </row>
    <row r="229" spans="1:9" x14ac:dyDescent="0.25">
      <c r="A229">
        <f>'[1]SNO RTF daily report1'!A229</f>
        <v>0</v>
      </c>
      <c r="B229">
        <f>'[1]SNO RTF daily report1'!B229</f>
        <v>0</v>
      </c>
      <c r="C229">
        <f>'[1]SNO RTF daily report1'!C229</f>
        <v>0</v>
      </c>
      <c r="D229">
        <f>'[1]SNO RTF daily report1'!D229</f>
        <v>0</v>
      </c>
      <c r="E229">
        <f>'[1]SNO RTF daily report1'!E229</f>
        <v>0</v>
      </c>
      <c r="F229">
        <f>'[1]SNO RTF daily report1'!F229</f>
        <v>0</v>
      </c>
      <c r="G229">
        <f>'[1]SNO RTF daily report1'!G229</f>
        <v>0</v>
      </c>
      <c r="H229">
        <f>'[1]SNO RTF daily report1'!H229</f>
        <v>0</v>
      </c>
      <c r="I229">
        <f>'[1]SNO RTF daily report1'!I229</f>
        <v>0</v>
      </c>
    </row>
    <row r="230" spans="1:9" x14ac:dyDescent="0.25">
      <c r="A230">
        <f>'[1]SNO RTF daily report1'!A230</f>
        <v>0</v>
      </c>
      <c r="B230">
        <f>'[1]SNO RTF daily report1'!B230</f>
        <v>0</v>
      </c>
      <c r="C230">
        <f>'[1]SNO RTF daily report1'!C230</f>
        <v>0</v>
      </c>
      <c r="D230">
        <f>'[1]SNO RTF daily report1'!D230</f>
        <v>0</v>
      </c>
      <c r="E230">
        <f>'[1]SNO RTF daily report1'!E230</f>
        <v>0</v>
      </c>
      <c r="F230">
        <f>'[1]SNO RTF daily report1'!F230</f>
        <v>0</v>
      </c>
      <c r="G230">
        <f>'[1]SNO RTF daily report1'!G230</f>
        <v>0</v>
      </c>
      <c r="H230">
        <f>'[1]SNO RTF daily report1'!H230</f>
        <v>0</v>
      </c>
      <c r="I230">
        <f>'[1]SNO RTF daily report1'!I230</f>
        <v>0</v>
      </c>
    </row>
    <row r="231" spans="1:9" x14ac:dyDescent="0.25">
      <c r="A231">
        <f>'[1]SNO RTF daily report1'!A231</f>
        <v>0</v>
      </c>
      <c r="B231">
        <f>'[1]SNO RTF daily report1'!B231</f>
        <v>0</v>
      </c>
      <c r="C231">
        <f>'[1]SNO RTF daily report1'!C231</f>
        <v>0</v>
      </c>
      <c r="D231">
        <f>'[1]SNO RTF daily report1'!D231</f>
        <v>0</v>
      </c>
      <c r="E231">
        <f>'[1]SNO RTF daily report1'!E231</f>
        <v>0</v>
      </c>
      <c r="F231">
        <f>'[1]SNO RTF daily report1'!F231</f>
        <v>0</v>
      </c>
      <c r="G231">
        <f>'[1]SNO RTF daily report1'!G231</f>
        <v>0</v>
      </c>
      <c r="H231">
        <f>'[1]SNO RTF daily report1'!H231</f>
        <v>0</v>
      </c>
      <c r="I231">
        <f>'[1]SNO RTF daily report1'!I231</f>
        <v>0</v>
      </c>
    </row>
    <row r="232" spans="1:9" x14ac:dyDescent="0.25">
      <c r="A232">
        <f>'[1]SNO RTF daily report1'!A232</f>
        <v>0</v>
      </c>
      <c r="B232">
        <f>'[1]SNO RTF daily report1'!B232</f>
        <v>0</v>
      </c>
      <c r="C232">
        <f>'[1]SNO RTF daily report1'!C232</f>
        <v>0</v>
      </c>
      <c r="D232">
        <f>'[1]SNO RTF daily report1'!D232</f>
        <v>0</v>
      </c>
      <c r="E232">
        <f>'[1]SNO RTF daily report1'!E232</f>
        <v>0</v>
      </c>
      <c r="F232">
        <f>'[1]SNO RTF daily report1'!F232</f>
        <v>0</v>
      </c>
      <c r="G232">
        <f>'[1]SNO RTF daily report1'!G232</f>
        <v>0</v>
      </c>
      <c r="H232">
        <f>'[1]SNO RTF daily report1'!H232</f>
        <v>0</v>
      </c>
      <c r="I232">
        <f>'[1]SNO RTF daily report1'!I232</f>
        <v>0</v>
      </c>
    </row>
    <row r="233" spans="1:9" x14ac:dyDescent="0.25">
      <c r="A233">
        <f>'[1]SNO RTF daily report1'!A233</f>
        <v>0</v>
      </c>
      <c r="B233">
        <f>'[1]SNO RTF daily report1'!B233</f>
        <v>0</v>
      </c>
      <c r="C233">
        <f>'[1]SNO RTF daily report1'!C233</f>
        <v>0</v>
      </c>
      <c r="D233">
        <f>'[1]SNO RTF daily report1'!D233</f>
        <v>0</v>
      </c>
      <c r="E233">
        <f>'[1]SNO RTF daily report1'!E233</f>
        <v>0</v>
      </c>
      <c r="F233">
        <f>'[1]SNO RTF daily report1'!F233</f>
        <v>0</v>
      </c>
      <c r="G233">
        <f>'[1]SNO RTF daily report1'!G233</f>
        <v>0</v>
      </c>
      <c r="H233">
        <f>'[1]SNO RTF daily report1'!H233</f>
        <v>0</v>
      </c>
      <c r="I233">
        <f>'[1]SNO RTF daily report1'!I233</f>
        <v>0</v>
      </c>
    </row>
    <row r="234" spans="1:9" x14ac:dyDescent="0.25">
      <c r="A234">
        <f>'[1]SNO RTF daily report1'!A234</f>
        <v>0</v>
      </c>
      <c r="B234">
        <f>'[1]SNO RTF daily report1'!B234</f>
        <v>0</v>
      </c>
      <c r="C234">
        <f>'[1]SNO RTF daily report1'!C234</f>
        <v>0</v>
      </c>
      <c r="D234">
        <f>'[1]SNO RTF daily report1'!D234</f>
        <v>0</v>
      </c>
      <c r="E234">
        <f>'[1]SNO RTF daily report1'!E234</f>
        <v>0</v>
      </c>
      <c r="F234">
        <f>'[1]SNO RTF daily report1'!F234</f>
        <v>0</v>
      </c>
      <c r="G234">
        <f>'[1]SNO RTF daily report1'!G234</f>
        <v>0</v>
      </c>
      <c r="H234">
        <f>'[1]SNO RTF daily report1'!H234</f>
        <v>0</v>
      </c>
      <c r="I234">
        <f>'[1]SNO RTF daily report1'!I234</f>
        <v>0</v>
      </c>
    </row>
    <row r="235" spans="1:9" x14ac:dyDescent="0.25">
      <c r="A235">
        <f>'[1]SNO RTF daily report1'!A235</f>
        <v>0</v>
      </c>
      <c r="B235">
        <f>'[1]SNO RTF daily report1'!B235</f>
        <v>0</v>
      </c>
      <c r="C235">
        <f>'[1]SNO RTF daily report1'!C235</f>
        <v>0</v>
      </c>
      <c r="D235">
        <f>'[1]SNO RTF daily report1'!D235</f>
        <v>0</v>
      </c>
      <c r="E235">
        <f>'[1]SNO RTF daily report1'!E235</f>
        <v>0</v>
      </c>
      <c r="F235">
        <f>'[1]SNO RTF daily report1'!F235</f>
        <v>0</v>
      </c>
      <c r="G235">
        <f>'[1]SNO RTF daily report1'!G235</f>
        <v>0</v>
      </c>
      <c r="H235">
        <f>'[1]SNO RTF daily report1'!H235</f>
        <v>0</v>
      </c>
      <c r="I235">
        <f>'[1]SNO RTF daily report1'!I235</f>
        <v>0</v>
      </c>
    </row>
    <row r="236" spans="1:9" x14ac:dyDescent="0.25">
      <c r="A236">
        <f>'[1]SNO RTF daily report1'!A236</f>
        <v>0</v>
      </c>
      <c r="B236">
        <f>'[1]SNO RTF daily report1'!B236</f>
        <v>0</v>
      </c>
      <c r="C236">
        <f>'[1]SNO RTF daily report1'!C236</f>
        <v>0</v>
      </c>
      <c r="D236">
        <f>'[1]SNO RTF daily report1'!D236</f>
        <v>0</v>
      </c>
      <c r="E236">
        <f>'[1]SNO RTF daily report1'!E236</f>
        <v>0</v>
      </c>
      <c r="F236">
        <f>'[1]SNO RTF daily report1'!F236</f>
        <v>0</v>
      </c>
      <c r="G236">
        <f>'[1]SNO RTF daily report1'!G236</f>
        <v>0</v>
      </c>
      <c r="H236">
        <f>'[1]SNO RTF daily report1'!H236</f>
        <v>0</v>
      </c>
      <c r="I236">
        <f>'[1]SNO RTF daily report1'!I236</f>
        <v>0</v>
      </c>
    </row>
    <row r="237" spans="1:9" x14ac:dyDescent="0.25">
      <c r="A237">
        <f>'[1]SNO RTF daily report1'!A237</f>
        <v>0</v>
      </c>
      <c r="B237">
        <f>'[1]SNO RTF daily report1'!B237</f>
        <v>0</v>
      </c>
      <c r="C237">
        <f>'[1]SNO RTF daily report1'!C237</f>
        <v>0</v>
      </c>
      <c r="D237">
        <f>'[1]SNO RTF daily report1'!D237</f>
        <v>0</v>
      </c>
      <c r="E237">
        <f>'[1]SNO RTF daily report1'!E237</f>
        <v>0</v>
      </c>
      <c r="F237">
        <f>'[1]SNO RTF daily report1'!F237</f>
        <v>0</v>
      </c>
      <c r="G237">
        <f>'[1]SNO RTF daily report1'!G237</f>
        <v>0</v>
      </c>
      <c r="H237">
        <f>'[1]SNO RTF daily report1'!H237</f>
        <v>0</v>
      </c>
      <c r="I237">
        <f>'[1]SNO RTF daily report1'!I237</f>
        <v>0</v>
      </c>
    </row>
    <row r="238" spans="1:9" x14ac:dyDescent="0.25">
      <c r="A238">
        <f>'[1]SNO RTF daily report1'!A238</f>
        <v>0</v>
      </c>
      <c r="B238">
        <f>'[1]SNO RTF daily report1'!B238</f>
        <v>0</v>
      </c>
      <c r="C238">
        <f>'[1]SNO RTF daily report1'!C238</f>
        <v>0</v>
      </c>
      <c r="D238">
        <f>'[1]SNO RTF daily report1'!D238</f>
        <v>0</v>
      </c>
      <c r="E238">
        <f>'[1]SNO RTF daily report1'!E238</f>
        <v>0</v>
      </c>
      <c r="F238">
        <f>'[1]SNO RTF daily report1'!F238</f>
        <v>0</v>
      </c>
      <c r="G238">
        <f>'[1]SNO RTF daily report1'!G238</f>
        <v>0</v>
      </c>
      <c r="H238">
        <f>'[1]SNO RTF daily report1'!H238</f>
        <v>0</v>
      </c>
      <c r="I238">
        <f>'[1]SNO RTF daily report1'!I238</f>
        <v>0</v>
      </c>
    </row>
    <row r="239" spans="1:9" x14ac:dyDescent="0.25">
      <c r="A239">
        <f>'[1]SNO RTF daily report1'!A239</f>
        <v>0</v>
      </c>
      <c r="B239">
        <f>'[1]SNO RTF daily report1'!B239</f>
        <v>0</v>
      </c>
      <c r="C239">
        <f>'[1]SNO RTF daily report1'!C239</f>
        <v>0</v>
      </c>
      <c r="D239">
        <f>'[1]SNO RTF daily report1'!D239</f>
        <v>0</v>
      </c>
      <c r="E239">
        <f>'[1]SNO RTF daily report1'!E239</f>
        <v>0</v>
      </c>
      <c r="F239">
        <f>'[1]SNO RTF daily report1'!F239</f>
        <v>0</v>
      </c>
      <c r="G239">
        <f>'[1]SNO RTF daily report1'!G239</f>
        <v>0</v>
      </c>
      <c r="H239">
        <f>'[1]SNO RTF daily report1'!H239</f>
        <v>0</v>
      </c>
      <c r="I239">
        <f>'[1]SNO RTF daily report1'!I239</f>
        <v>0</v>
      </c>
    </row>
    <row r="240" spans="1:9" x14ac:dyDescent="0.25">
      <c r="A240">
        <f>'[1]SNO RTF daily report1'!A240</f>
        <v>0</v>
      </c>
      <c r="B240">
        <f>'[1]SNO RTF daily report1'!B240</f>
        <v>0</v>
      </c>
      <c r="C240">
        <f>'[1]SNO RTF daily report1'!C240</f>
        <v>0</v>
      </c>
      <c r="D240">
        <f>'[1]SNO RTF daily report1'!D240</f>
        <v>0</v>
      </c>
      <c r="E240">
        <f>'[1]SNO RTF daily report1'!E240</f>
        <v>0</v>
      </c>
      <c r="F240">
        <f>'[1]SNO RTF daily report1'!F240</f>
        <v>0</v>
      </c>
      <c r="G240">
        <f>'[1]SNO RTF daily report1'!G240</f>
        <v>0</v>
      </c>
      <c r="H240">
        <f>'[1]SNO RTF daily report1'!H240</f>
        <v>0</v>
      </c>
      <c r="I240">
        <f>'[1]SNO RTF daily report1'!I240</f>
        <v>0</v>
      </c>
    </row>
    <row r="241" spans="1:9" x14ac:dyDescent="0.25">
      <c r="A241">
        <f>'[1]SNO RTF daily report1'!A241</f>
        <v>0</v>
      </c>
      <c r="B241">
        <f>'[1]SNO RTF daily report1'!B241</f>
        <v>0</v>
      </c>
      <c r="C241">
        <f>'[1]SNO RTF daily report1'!C241</f>
        <v>0</v>
      </c>
      <c r="D241">
        <f>'[1]SNO RTF daily report1'!D241</f>
        <v>0</v>
      </c>
      <c r="E241">
        <f>'[1]SNO RTF daily report1'!E241</f>
        <v>0</v>
      </c>
      <c r="F241">
        <f>'[1]SNO RTF daily report1'!F241</f>
        <v>0</v>
      </c>
      <c r="G241">
        <f>'[1]SNO RTF daily report1'!G241</f>
        <v>0</v>
      </c>
      <c r="H241">
        <f>'[1]SNO RTF daily report1'!H241</f>
        <v>0</v>
      </c>
      <c r="I241">
        <f>'[1]SNO RTF daily report1'!I241</f>
        <v>0</v>
      </c>
    </row>
    <row r="242" spans="1:9" x14ac:dyDescent="0.25">
      <c r="A242">
        <f>'[1]SNO RTF daily report1'!A242</f>
        <v>0</v>
      </c>
      <c r="B242">
        <f>'[1]SNO RTF daily report1'!B242</f>
        <v>0</v>
      </c>
      <c r="C242">
        <f>'[1]SNO RTF daily report1'!C242</f>
        <v>0</v>
      </c>
      <c r="D242">
        <f>'[1]SNO RTF daily report1'!D242</f>
        <v>0</v>
      </c>
      <c r="E242">
        <f>'[1]SNO RTF daily report1'!E242</f>
        <v>0</v>
      </c>
      <c r="F242">
        <f>'[1]SNO RTF daily report1'!F242</f>
        <v>0</v>
      </c>
      <c r="G242">
        <f>'[1]SNO RTF daily report1'!G242</f>
        <v>0</v>
      </c>
      <c r="H242">
        <f>'[1]SNO RTF daily report1'!H242</f>
        <v>0</v>
      </c>
      <c r="I242">
        <f>'[1]SNO RTF daily report1'!I242</f>
        <v>0</v>
      </c>
    </row>
    <row r="243" spans="1:9" x14ac:dyDescent="0.25">
      <c r="A243">
        <f>'[1]SNO RTF daily report1'!A243</f>
        <v>0</v>
      </c>
      <c r="B243">
        <f>'[1]SNO RTF daily report1'!B243</f>
        <v>0</v>
      </c>
      <c r="C243">
        <f>'[1]SNO RTF daily report1'!C243</f>
        <v>0</v>
      </c>
      <c r="D243">
        <f>'[1]SNO RTF daily report1'!D243</f>
        <v>0</v>
      </c>
      <c r="E243">
        <f>'[1]SNO RTF daily report1'!E243</f>
        <v>0</v>
      </c>
      <c r="F243">
        <f>'[1]SNO RTF daily report1'!F243</f>
        <v>0</v>
      </c>
      <c r="G243">
        <f>'[1]SNO RTF daily report1'!G243</f>
        <v>0</v>
      </c>
      <c r="H243">
        <f>'[1]SNO RTF daily report1'!H243</f>
        <v>0</v>
      </c>
      <c r="I243">
        <f>'[1]SNO RTF daily report1'!I243</f>
        <v>0</v>
      </c>
    </row>
    <row r="244" spans="1:9" x14ac:dyDescent="0.25">
      <c r="A244">
        <f>'[1]SNO RTF daily report1'!A244</f>
        <v>0</v>
      </c>
      <c r="B244">
        <f>'[1]SNO RTF daily report1'!B244</f>
        <v>0</v>
      </c>
      <c r="C244">
        <f>'[1]SNO RTF daily report1'!C244</f>
        <v>0</v>
      </c>
      <c r="D244">
        <f>'[1]SNO RTF daily report1'!D244</f>
        <v>0</v>
      </c>
      <c r="E244">
        <f>'[1]SNO RTF daily report1'!E244</f>
        <v>0</v>
      </c>
      <c r="F244">
        <f>'[1]SNO RTF daily report1'!F244</f>
        <v>0</v>
      </c>
      <c r="G244">
        <f>'[1]SNO RTF daily report1'!G244</f>
        <v>0</v>
      </c>
      <c r="H244">
        <f>'[1]SNO RTF daily report1'!H244</f>
        <v>0</v>
      </c>
      <c r="I244">
        <f>'[1]SNO RTF daily report1'!I244</f>
        <v>0</v>
      </c>
    </row>
    <row r="245" spans="1:9" x14ac:dyDescent="0.25">
      <c r="A245">
        <f>'[1]SNO RTF daily report1'!A245</f>
        <v>0</v>
      </c>
      <c r="B245">
        <f>'[1]SNO RTF daily report1'!B245</f>
        <v>0</v>
      </c>
      <c r="C245">
        <f>'[1]SNO RTF daily report1'!C245</f>
        <v>0</v>
      </c>
      <c r="D245">
        <f>'[1]SNO RTF daily report1'!D245</f>
        <v>0</v>
      </c>
      <c r="E245">
        <f>'[1]SNO RTF daily report1'!E245</f>
        <v>0</v>
      </c>
      <c r="F245">
        <f>'[1]SNO RTF daily report1'!F245</f>
        <v>0</v>
      </c>
      <c r="G245">
        <f>'[1]SNO RTF daily report1'!G245</f>
        <v>0</v>
      </c>
      <c r="H245">
        <f>'[1]SNO RTF daily report1'!H245</f>
        <v>0</v>
      </c>
      <c r="I245">
        <f>'[1]SNO RTF daily report1'!I245</f>
        <v>0</v>
      </c>
    </row>
    <row r="246" spans="1:9" x14ac:dyDescent="0.25">
      <c r="A246">
        <f>'[1]SNO RTF daily report1'!A246</f>
        <v>0</v>
      </c>
      <c r="B246">
        <f>'[1]SNO RTF daily report1'!B246</f>
        <v>0</v>
      </c>
      <c r="C246">
        <f>'[1]SNO RTF daily report1'!C246</f>
        <v>0</v>
      </c>
      <c r="D246">
        <f>'[1]SNO RTF daily report1'!D246</f>
        <v>0</v>
      </c>
      <c r="E246">
        <f>'[1]SNO RTF daily report1'!E246</f>
        <v>0</v>
      </c>
      <c r="F246">
        <f>'[1]SNO RTF daily report1'!F246</f>
        <v>0</v>
      </c>
      <c r="G246">
        <f>'[1]SNO RTF daily report1'!G246</f>
        <v>0</v>
      </c>
      <c r="H246">
        <f>'[1]SNO RTF daily report1'!H246</f>
        <v>0</v>
      </c>
      <c r="I246">
        <f>'[1]SNO RTF daily report1'!I246</f>
        <v>0</v>
      </c>
    </row>
    <row r="247" spans="1:9" x14ac:dyDescent="0.25">
      <c r="A247">
        <f>'[1]SNO RTF daily report1'!A247</f>
        <v>0</v>
      </c>
      <c r="B247">
        <f>'[1]SNO RTF daily report1'!B247</f>
        <v>0</v>
      </c>
      <c r="C247">
        <f>'[1]SNO RTF daily report1'!C247</f>
        <v>0</v>
      </c>
      <c r="D247">
        <f>'[1]SNO RTF daily report1'!D247</f>
        <v>0</v>
      </c>
      <c r="E247">
        <f>'[1]SNO RTF daily report1'!E247</f>
        <v>0</v>
      </c>
      <c r="F247">
        <f>'[1]SNO RTF daily report1'!F247</f>
        <v>0</v>
      </c>
      <c r="G247">
        <f>'[1]SNO RTF daily report1'!G247</f>
        <v>0</v>
      </c>
      <c r="H247">
        <f>'[1]SNO RTF daily report1'!H247</f>
        <v>0</v>
      </c>
      <c r="I247">
        <f>'[1]SNO RTF daily report1'!I247</f>
        <v>0</v>
      </c>
    </row>
    <row r="248" spans="1:9" x14ac:dyDescent="0.25">
      <c r="A248">
        <f>'[1]SNO RTF daily report1'!A248</f>
        <v>0</v>
      </c>
      <c r="B248">
        <f>'[1]SNO RTF daily report1'!B248</f>
        <v>0</v>
      </c>
      <c r="C248">
        <f>'[1]SNO RTF daily report1'!C248</f>
        <v>0</v>
      </c>
      <c r="D248">
        <f>'[1]SNO RTF daily report1'!D248</f>
        <v>0</v>
      </c>
      <c r="E248">
        <f>'[1]SNO RTF daily report1'!E248</f>
        <v>0</v>
      </c>
      <c r="F248">
        <f>'[1]SNO RTF daily report1'!F248</f>
        <v>0</v>
      </c>
      <c r="G248">
        <f>'[1]SNO RTF daily report1'!G248</f>
        <v>0</v>
      </c>
      <c r="H248">
        <f>'[1]SNO RTF daily report1'!H248</f>
        <v>0</v>
      </c>
      <c r="I248">
        <f>'[1]SNO RTF daily report1'!I248</f>
        <v>0</v>
      </c>
    </row>
    <row r="249" spans="1:9" x14ac:dyDescent="0.25">
      <c r="A249">
        <f>'[1]SNO RTF daily report1'!A249</f>
        <v>0</v>
      </c>
      <c r="B249">
        <f>'[1]SNO RTF daily report1'!B249</f>
        <v>0</v>
      </c>
      <c r="C249">
        <f>'[1]SNO RTF daily report1'!C249</f>
        <v>0</v>
      </c>
      <c r="D249">
        <f>'[1]SNO RTF daily report1'!D249</f>
        <v>0</v>
      </c>
      <c r="E249">
        <f>'[1]SNO RTF daily report1'!E249</f>
        <v>0</v>
      </c>
      <c r="F249">
        <f>'[1]SNO RTF daily report1'!F249</f>
        <v>0</v>
      </c>
      <c r="G249">
        <f>'[1]SNO RTF daily report1'!G249</f>
        <v>0</v>
      </c>
      <c r="H249">
        <f>'[1]SNO RTF daily report1'!H249</f>
        <v>0</v>
      </c>
      <c r="I249">
        <f>'[1]SNO RTF daily report1'!I249</f>
        <v>0</v>
      </c>
    </row>
    <row r="250" spans="1:9" x14ac:dyDescent="0.25">
      <c r="A250">
        <f>'[1]SNO RTF daily report1'!A250</f>
        <v>0</v>
      </c>
      <c r="B250">
        <f>'[1]SNO RTF daily report1'!B250</f>
        <v>0</v>
      </c>
      <c r="C250">
        <f>'[1]SNO RTF daily report1'!C250</f>
        <v>0</v>
      </c>
      <c r="D250">
        <f>'[1]SNO RTF daily report1'!D250</f>
        <v>0</v>
      </c>
      <c r="E250">
        <f>'[1]SNO RTF daily report1'!E250</f>
        <v>0</v>
      </c>
      <c r="F250">
        <f>'[1]SNO RTF daily report1'!F250</f>
        <v>0</v>
      </c>
      <c r="G250">
        <f>'[1]SNO RTF daily report1'!G250</f>
        <v>0</v>
      </c>
      <c r="H250">
        <f>'[1]SNO RTF daily report1'!H250</f>
        <v>0</v>
      </c>
      <c r="I250">
        <f>'[1]SNO RTF daily report1'!I250</f>
        <v>0</v>
      </c>
    </row>
    <row r="251" spans="1:9" x14ac:dyDescent="0.25">
      <c r="A251">
        <f>'[1]SNO RTF daily report1'!A251</f>
        <v>0</v>
      </c>
      <c r="B251">
        <f>'[1]SNO RTF daily report1'!B251</f>
        <v>0</v>
      </c>
      <c r="C251">
        <f>'[1]SNO RTF daily report1'!C251</f>
        <v>0</v>
      </c>
      <c r="D251">
        <f>'[1]SNO RTF daily report1'!D251</f>
        <v>0</v>
      </c>
      <c r="E251">
        <f>'[1]SNO RTF daily report1'!E251</f>
        <v>0</v>
      </c>
      <c r="F251">
        <f>'[1]SNO RTF daily report1'!F251</f>
        <v>0</v>
      </c>
      <c r="G251">
        <f>'[1]SNO RTF daily report1'!G251</f>
        <v>0</v>
      </c>
      <c r="H251">
        <f>'[1]SNO RTF daily report1'!H251</f>
        <v>0</v>
      </c>
      <c r="I251">
        <f>'[1]SNO RTF daily report1'!I251</f>
        <v>0</v>
      </c>
    </row>
    <row r="252" spans="1:9" x14ac:dyDescent="0.25">
      <c r="A252">
        <f>'[1]SNO RTF daily report1'!A252</f>
        <v>0</v>
      </c>
      <c r="B252">
        <f>'[1]SNO RTF daily report1'!B252</f>
        <v>0</v>
      </c>
      <c r="C252">
        <f>'[1]SNO RTF daily report1'!C252</f>
        <v>0</v>
      </c>
      <c r="D252">
        <f>'[1]SNO RTF daily report1'!D252</f>
        <v>0</v>
      </c>
      <c r="E252">
        <f>'[1]SNO RTF daily report1'!E252</f>
        <v>0</v>
      </c>
      <c r="F252">
        <f>'[1]SNO RTF daily report1'!F252</f>
        <v>0</v>
      </c>
      <c r="G252">
        <f>'[1]SNO RTF daily report1'!G252</f>
        <v>0</v>
      </c>
      <c r="H252">
        <f>'[1]SNO RTF daily report1'!H252</f>
        <v>0</v>
      </c>
      <c r="I252">
        <f>'[1]SNO RTF daily report1'!I252</f>
        <v>0</v>
      </c>
    </row>
    <row r="253" spans="1:9" x14ac:dyDescent="0.25">
      <c r="A253">
        <f>'[1]SNO RTF daily report1'!A253</f>
        <v>0</v>
      </c>
      <c r="B253">
        <f>'[1]SNO RTF daily report1'!B253</f>
        <v>0</v>
      </c>
      <c r="C253">
        <f>'[1]SNO RTF daily report1'!C253</f>
        <v>0</v>
      </c>
      <c r="D253">
        <f>'[1]SNO RTF daily report1'!D253</f>
        <v>0</v>
      </c>
      <c r="E253">
        <f>'[1]SNO RTF daily report1'!E253</f>
        <v>0</v>
      </c>
      <c r="F253">
        <f>'[1]SNO RTF daily report1'!F253</f>
        <v>0</v>
      </c>
      <c r="G253">
        <f>'[1]SNO RTF daily report1'!G253</f>
        <v>0</v>
      </c>
      <c r="H253">
        <f>'[1]SNO RTF daily report1'!H253</f>
        <v>0</v>
      </c>
      <c r="I253">
        <f>'[1]SNO RTF daily report1'!I253</f>
        <v>0</v>
      </c>
    </row>
    <row r="254" spans="1:9" x14ac:dyDescent="0.25">
      <c r="A254">
        <f>'[1]SNO RTF daily report1'!A254</f>
        <v>0</v>
      </c>
      <c r="B254">
        <f>'[1]SNO RTF daily report1'!B254</f>
        <v>0</v>
      </c>
      <c r="C254">
        <f>'[1]SNO RTF daily report1'!C254</f>
        <v>0</v>
      </c>
      <c r="D254">
        <f>'[1]SNO RTF daily report1'!D254</f>
        <v>0</v>
      </c>
      <c r="E254">
        <f>'[1]SNO RTF daily report1'!E254</f>
        <v>0</v>
      </c>
      <c r="F254">
        <f>'[1]SNO RTF daily report1'!F254</f>
        <v>0</v>
      </c>
      <c r="G254">
        <f>'[1]SNO RTF daily report1'!G254</f>
        <v>0</v>
      </c>
      <c r="H254">
        <f>'[1]SNO RTF daily report1'!H254</f>
        <v>0</v>
      </c>
      <c r="I254">
        <f>'[1]SNO RTF daily report1'!I254</f>
        <v>0</v>
      </c>
    </row>
    <row r="255" spans="1:9" x14ac:dyDescent="0.25">
      <c r="A255">
        <f>'[1]SNO RTF daily report1'!A255</f>
        <v>0</v>
      </c>
      <c r="B255">
        <f>'[1]SNO RTF daily report1'!B255</f>
        <v>0</v>
      </c>
      <c r="C255">
        <f>'[1]SNO RTF daily report1'!C255</f>
        <v>0</v>
      </c>
      <c r="D255">
        <f>'[1]SNO RTF daily report1'!D255</f>
        <v>0</v>
      </c>
      <c r="E255">
        <f>'[1]SNO RTF daily report1'!E255</f>
        <v>0</v>
      </c>
      <c r="F255">
        <f>'[1]SNO RTF daily report1'!F255</f>
        <v>0</v>
      </c>
      <c r="G255">
        <f>'[1]SNO RTF daily report1'!G255</f>
        <v>0</v>
      </c>
      <c r="H255">
        <f>'[1]SNO RTF daily report1'!H255</f>
        <v>0</v>
      </c>
      <c r="I255">
        <f>'[1]SNO RTF daily report1'!I255</f>
        <v>0</v>
      </c>
    </row>
    <row r="256" spans="1:9" x14ac:dyDescent="0.25">
      <c r="A256">
        <f>'[1]SNO RTF daily report1'!A256</f>
        <v>0</v>
      </c>
      <c r="B256">
        <f>'[1]SNO RTF daily report1'!B256</f>
        <v>0</v>
      </c>
      <c r="C256">
        <f>'[1]SNO RTF daily report1'!C256</f>
        <v>0</v>
      </c>
      <c r="D256">
        <f>'[1]SNO RTF daily report1'!D256</f>
        <v>0</v>
      </c>
      <c r="E256">
        <f>'[1]SNO RTF daily report1'!E256</f>
        <v>0</v>
      </c>
      <c r="F256">
        <f>'[1]SNO RTF daily report1'!F256</f>
        <v>0</v>
      </c>
      <c r="G256">
        <f>'[1]SNO RTF daily report1'!G256</f>
        <v>0</v>
      </c>
      <c r="H256">
        <f>'[1]SNO RTF daily report1'!H256</f>
        <v>0</v>
      </c>
      <c r="I256">
        <f>'[1]SNO RTF daily report1'!I256</f>
        <v>0</v>
      </c>
    </row>
    <row r="257" spans="1:9" x14ac:dyDescent="0.25">
      <c r="A257">
        <f>'[1]SNO RTF daily report1'!A257</f>
        <v>0</v>
      </c>
      <c r="B257">
        <f>'[1]SNO RTF daily report1'!B257</f>
        <v>0</v>
      </c>
      <c r="C257">
        <f>'[1]SNO RTF daily report1'!C257</f>
        <v>0</v>
      </c>
      <c r="D257">
        <f>'[1]SNO RTF daily report1'!D257</f>
        <v>0</v>
      </c>
      <c r="E257">
        <f>'[1]SNO RTF daily report1'!E257</f>
        <v>0</v>
      </c>
      <c r="F257">
        <f>'[1]SNO RTF daily report1'!F257</f>
        <v>0</v>
      </c>
      <c r="G257">
        <f>'[1]SNO RTF daily report1'!G257</f>
        <v>0</v>
      </c>
      <c r="H257">
        <f>'[1]SNO RTF daily report1'!H257</f>
        <v>0</v>
      </c>
      <c r="I257">
        <f>'[1]SNO RTF daily report1'!I257</f>
        <v>0</v>
      </c>
    </row>
    <row r="258" spans="1:9" x14ac:dyDescent="0.25">
      <c r="A258">
        <f>'[1]SNO RTF daily report1'!A258</f>
        <v>0</v>
      </c>
      <c r="B258">
        <f>'[1]SNO RTF daily report1'!B258</f>
        <v>0</v>
      </c>
      <c r="C258">
        <f>'[1]SNO RTF daily report1'!C258</f>
        <v>0</v>
      </c>
      <c r="D258">
        <f>'[1]SNO RTF daily report1'!D258</f>
        <v>0</v>
      </c>
      <c r="E258">
        <f>'[1]SNO RTF daily report1'!E258</f>
        <v>0</v>
      </c>
      <c r="F258">
        <f>'[1]SNO RTF daily report1'!F258</f>
        <v>0</v>
      </c>
      <c r="G258">
        <f>'[1]SNO RTF daily report1'!G258</f>
        <v>0</v>
      </c>
      <c r="H258">
        <f>'[1]SNO RTF daily report1'!H258</f>
        <v>0</v>
      </c>
      <c r="I258">
        <f>'[1]SNO RTF daily report1'!I258</f>
        <v>0</v>
      </c>
    </row>
    <row r="259" spans="1:9" x14ac:dyDescent="0.25">
      <c r="A259">
        <f>'[1]SNO RTF daily report1'!A259</f>
        <v>0</v>
      </c>
      <c r="B259">
        <f>'[1]SNO RTF daily report1'!B259</f>
        <v>0</v>
      </c>
      <c r="C259">
        <f>'[1]SNO RTF daily report1'!C259</f>
        <v>0</v>
      </c>
      <c r="D259">
        <f>'[1]SNO RTF daily report1'!D259</f>
        <v>0</v>
      </c>
      <c r="E259">
        <f>'[1]SNO RTF daily report1'!E259</f>
        <v>0</v>
      </c>
      <c r="F259">
        <f>'[1]SNO RTF daily report1'!F259</f>
        <v>0</v>
      </c>
      <c r="G259">
        <f>'[1]SNO RTF daily report1'!G259</f>
        <v>0</v>
      </c>
      <c r="H259">
        <f>'[1]SNO RTF daily report1'!H259</f>
        <v>0</v>
      </c>
      <c r="I259">
        <f>'[1]SNO RTF daily report1'!I259</f>
        <v>0</v>
      </c>
    </row>
    <row r="260" spans="1:9" x14ac:dyDescent="0.25">
      <c r="A260">
        <f>'[1]SNO RTF daily report1'!A260</f>
        <v>0</v>
      </c>
      <c r="B260">
        <f>'[1]SNO RTF daily report1'!B260</f>
        <v>0</v>
      </c>
      <c r="C260">
        <f>'[1]SNO RTF daily report1'!C260</f>
        <v>0</v>
      </c>
      <c r="D260">
        <f>'[1]SNO RTF daily report1'!D260</f>
        <v>0</v>
      </c>
      <c r="E260">
        <f>'[1]SNO RTF daily report1'!E260</f>
        <v>0</v>
      </c>
      <c r="F260">
        <f>'[1]SNO RTF daily report1'!F260</f>
        <v>0</v>
      </c>
      <c r="G260">
        <f>'[1]SNO RTF daily report1'!G260</f>
        <v>0</v>
      </c>
      <c r="H260">
        <f>'[1]SNO RTF daily report1'!H260</f>
        <v>0</v>
      </c>
      <c r="I260">
        <f>'[1]SNO RTF daily report1'!I260</f>
        <v>0</v>
      </c>
    </row>
    <row r="261" spans="1:9" x14ac:dyDescent="0.25">
      <c r="A261">
        <f>'[1]SNO RTF daily report1'!A261</f>
        <v>0</v>
      </c>
      <c r="B261">
        <f>'[1]SNO RTF daily report1'!B261</f>
        <v>0</v>
      </c>
      <c r="C261">
        <f>'[1]SNO RTF daily report1'!C261</f>
        <v>0</v>
      </c>
      <c r="D261">
        <f>'[1]SNO RTF daily report1'!D261</f>
        <v>0</v>
      </c>
      <c r="E261">
        <f>'[1]SNO RTF daily report1'!E261</f>
        <v>0</v>
      </c>
      <c r="F261">
        <f>'[1]SNO RTF daily report1'!F261</f>
        <v>0</v>
      </c>
      <c r="G261">
        <f>'[1]SNO RTF daily report1'!G261</f>
        <v>0</v>
      </c>
      <c r="H261">
        <f>'[1]SNO RTF daily report1'!H261</f>
        <v>0</v>
      </c>
      <c r="I261">
        <f>'[1]SNO RTF daily report1'!I261</f>
        <v>0</v>
      </c>
    </row>
    <row r="262" spans="1:9" x14ac:dyDescent="0.25">
      <c r="A262">
        <f>'[1]SNO RTF daily report1'!A262</f>
        <v>0</v>
      </c>
      <c r="B262">
        <f>'[1]SNO RTF daily report1'!B262</f>
        <v>0</v>
      </c>
      <c r="C262">
        <f>'[1]SNO RTF daily report1'!C262</f>
        <v>0</v>
      </c>
      <c r="D262">
        <f>'[1]SNO RTF daily report1'!D262</f>
        <v>0</v>
      </c>
      <c r="E262">
        <f>'[1]SNO RTF daily report1'!E262</f>
        <v>0</v>
      </c>
      <c r="F262">
        <f>'[1]SNO RTF daily report1'!F262</f>
        <v>0</v>
      </c>
      <c r="G262">
        <f>'[1]SNO RTF daily report1'!G262</f>
        <v>0</v>
      </c>
      <c r="H262">
        <f>'[1]SNO RTF daily report1'!H262</f>
        <v>0</v>
      </c>
      <c r="I262">
        <f>'[1]SNO RTF daily report1'!I262</f>
        <v>0</v>
      </c>
    </row>
    <row r="263" spans="1:9" x14ac:dyDescent="0.25">
      <c r="A263">
        <f>'[1]SNO RTF daily report1'!A263</f>
        <v>0</v>
      </c>
      <c r="B263">
        <f>'[1]SNO RTF daily report1'!B263</f>
        <v>0</v>
      </c>
      <c r="C263">
        <f>'[1]SNO RTF daily report1'!C263</f>
        <v>0</v>
      </c>
      <c r="D263">
        <f>'[1]SNO RTF daily report1'!D263</f>
        <v>0</v>
      </c>
      <c r="E263">
        <f>'[1]SNO RTF daily report1'!E263</f>
        <v>0</v>
      </c>
      <c r="F263">
        <f>'[1]SNO RTF daily report1'!F263</f>
        <v>0</v>
      </c>
      <c r="G263">
        <f>'[1]SNO RTF daily report1'!G263</f>
        <v>0</v>
      </c>
      <c r="H263">
        <f>'[1]SNO RTF daily report1'!H263</f>
        <v>0</v>
      </c>
      <c r="I263">
        <f>'[1]SNO RTF daily report1'!I263</f>
        <v>0</v>
      </c>
    </row>
    <row r="264" spans="1:9" x14ac:dyDescent="0.25">
      <c r="A264">
        <f>'[1]SNO RTF daily report1'!A264</f>
        <v>0</v>
      </c>
      <c r="B264">
        <f>'[1]SNO RTF daily report1'!B264</f>
        <v>0</v>
      </c>
      <c r="C264">
        <f>'[1]SNO RTF daily report1'!C264</f>
        <v>0</v>
      </c>
      <c r="D264">
        <f>'[1]SNO RTF daily report1'!D264</f>
        <v>0</v>
      </c>
      <c r="E264">
        <f>'[1]SNO RTF daily report1'!E264</f>
        <v>0</v>
      </c>
      <c r="F264">
        <f>'[1]SNO RTF daily report1'!F264</f>
        <v>0</v>
      </c>
      <c r="G264">
        <f>'[1]SNO RTF daily report1'!G264</f>
        <v>0</v>
      </c>
      <c r="H264">
        <f>'[1]SNO RTF daily report1'!H264</f>
        <v>0</v>
      </c>
      <c r="I264">
        <f>'[1]SNO RTF daily report1'!I264</f>
        <v>0</v>
      </c>
    </row>
    <row r="265" spans="1:9" x14ac:dyDescent="0.25">
      <c r="A265">
        <f>'[1]SNO RTF daily report1'!A265</f>
        <v>0</v>
      </c>
      <c r="B265">
        <f>'[1]SNO RTF daily report1'!B265</f>
        <v>0</v>
      </c>
      <c r="C265">
        <f>'[1]SNO RTF daily report1'!C265</f>
        <v>0</v>
      </c>
      <c r="D265">
        <f>'[1]SNO RTF daily report1'!D265</f>
        <v>0</v>
      </c>
      <c r="E265">
        <f>'[1]SNO RTF daily report1'!E265</f>
        <v>0</v>
      </c>
      <c r="F265">
        <f>'[1]SNO RTF daily report1'!F265</f>
        <v>0</v>
      </c>
      <c r="G265">
        <f>'[1]SNO RTF daily report1'!G265</f>
        <v>0</v>
      </c>
      <c r="H265">
        <f>'[1]SNO RTF daily report1'!H265</f>
        <v>0</v>
      </c>
      <c r="I265">
        <f>'[1]SNO RTF daily report1'!I265</f>
        <v>0</v>
      </c>
    </row>
    <row r="266" spans="1:9" x14ac:dyDescent="0.25">
      <c r="A266">
        <f>'[1]SNO RTF daily report1'!A266</f>
        <v>0</v>
      </c>
      <c r="B266">
        <f>'[1]SNO RTF daily report1'!B266</f>
        <v>0</v>
      </c>
      <c r="C266">
        <f>'[1]SNO RTF daily report1'!C266</f>
        <v>0</v>
      </c>
      <c r="D266">
        <f>'[1]SNO RTF daily report1'!D266</f>
        <v>0</v>
      </c>
      <c r="E266">
        <f>'[1]SNO RTF daily report1'!E266</f>
        <v>0</v>
      </c>
      <c r="F266">
        <f>'[1]SNO RTF daily report1'!F266</f>
        <v>0</v>
      </c>
      <c r="G266">
        <f>'[1]SNO RTF daily report1'!G266</f>
        <v>0</v>
      </c>
      <c r="H266">
        <f>'[1]SNO RTF daily report1'!H266</f>
        <v>0</v>
      </c>
      <c r="I266">
        <f>'[1]SNO RTF daily report1'!I266</f>
        <v>0</v>
      </c>
    </row>
    <row r="267" spans="1:9" x14ac:dyDescent="0.25">
      <c r="A267">
        <f>'[1]SNO RTF daily report1'!A267</f>
        <v>0</v>
      </c>
      <c r="B267">
        <f>'[1]SNO RTF daily report1'!B267</f>
        <v>0</v>
      </c>
      <c r="C267">
        <f>'[1]SNO RTF daily report1'!C267</f>
        <v>0</v>
      </c>
      <c r="D267">
        <f>'[1]SNO RTF daily report1'!D267</f>
        <v>0</v>
      </c>
      <c r="E267">
        <f>'[1]SNO RTF daily report1'!E267</f>
        <v>0</v>
      </c>
      <c r="F267">
        <f>'[1]SNO RTF daily report1'!F267</f>
        <v>0</v>
      </c>
      <c r="G267">
        <f>'[1]SNO RTF daily report1'!G267</f>
        <v>0</v>
      </c>
      <c r="H267">
        <f>'[1]SNO RTF daily report1'!H267</f>
        <v>0</v>
      </c>
      <c r="I267">
        <f>'[1]SNO RTF daily report1'!I267</f>
        <v>0</v>
      </c>
    </row>
    <row r="268" spans="1:9" x14ac:dyDescent="0.25">
      <c r="A268">
        <f>'[1]SNO RTF daily report1'!A268</f>
        <v>0</v>
      </c>
      <c r="B268">
        <f>'[1]SNO RTF daily report1'!B268</f>
        <v>0</v>
      </c>
      <c r="C268">
        <f>'[1]SNO RTF daily report1'!C268</f>
        <v>0</v>
      </c>
      <c r="D268">
        <f>'[1]SNO RTF daily report1'!D268</f>
        <v>0</v>
      </c>
      <c r="E268">
        <f>'[1]SNO RTF daily report1'!E268</f>
        <v>0</v>
      </c>
      <c r="F268">
        <f>'[1]SNO RTF daily report1'!F268</f>
        <v>0</v>
      </c>
      <c r="G268">
        <f>'[1]SNO RTF daily report1'!G268</f>
        <v>0</v>
      </c>
      <c r="H268">
        <f>'[1]SNO RTF daily report1'!H268</f>
        <v>0</v>
      </c>
      <c r="I268">
        <f>'[1]SNO RTF daily report1'!I268</f>
        <v>0</v>
      </c>
    </row>
    <row r="269" spans="1:9" x14ac:dyDescent="0.25">
      <c r="A269">
        <f>'[1]SNO RTF daily report1'!A269</f>
        <v>0</v>
      </c>
      <c r="B269">
        <f>'[1]SNO RTF daily report1'!B269</f>
        <v>0</v>
      </c>
      <c r="C269">
        <f>'[1]SNO RTF daily report1'!C269</f>
        <v>0</v>
      </c>
      <c r="D269">
        <f>'[1]SNO RTF daily report1'!D269</f>
        <v>0</v>
      </c>
      <c r="E269">
        <f>'[1]SNO RTF daily report1'!E269</f>
        <v>0</v>
      </c>
      <c r="F269">
        <f>'[1]SNO RTF daily report1'!F269</f>
        <v>0</v>
      </c>
      <c r="G269">
        <f>'[1]SNO RTF daily report1'!G269</f>
        <v>0</v>
      </c>
      <c r="H269">
        <f>'[1]SNO RTF daily report1'!H269</f>
        <v>0</v>
      </c>
      <c r="I269">
        <f>'[1]SNO RTF daily report1'!I269</f>
        <v>0</v>
      </c>
    </row>
    <row r="270" spans="1:9" x14ac:dyDescent="0.25">
      <c r="A270">
        <f>'[1]SNO RTF daily report1'!A270</f>
        <v>0</v>
      </c>
      <c r="B270">
        <f>'[1]SNO RTF daily report1'!B270</f>
        <v>0</v>
      </c>
      <c r="C270">
        <f>'[1]SNO RTF daily report1'!C270</f>
        <v>0</v>
      </c>
      <c r="D270">
        <f>'[1]SNO RTF daily report1'!D270</f>
        <v>0</v>
      </c>
      <c r="E270">
        <f>'[1]SNO RTF daily report1'!E270</f>
        <v>0</v>
      </c>
      <c r="F270">
        <f>'[1]SNO RTF daily report1'!F270</f>
        <v>0</v>
      </c>
      <c r="G270">
        <f>'[1]SNO RTF daily report1'!G270</f>
        <v>0</v>
      </c>
      <c r="H270">
        <f>'[1]SNO RTF daily report1'!H270</f>
        <v>0</v>
      </c>
      <c r="I270">
        <f>'[1]SNO RTF daily report1'!I270</f>
        <v>0</v>
      </c>
    </row>
    <row r="271" spans="1:9" x14ac:dyDescent="0.25">
      <c r="A271">
        <f>'[1]SNO RTF daily report1'!A271</f>
        <v>0</v>
      </c>
      <c r="B271">
        <f>'[1]SNO RTF daily report1'!B271</f>
        <v>0</v>
      </c>
      <c r="C271">
        <f>'[1]SNO RTF daily report1'!C271</f>
        <v>0</v>
      </c>
      <c r="D271">
        <f>'[1]SNO RTF daily report1'!D271</f>
        <v>0</v>
      </c>
      <c r="E271">
        <f>'[1]SNO RTF daily report1'!E271</f>
        <v>0</v>
      </c>
      <c r="F271">
        <f>'[1]SNO RTF daily report1'!F271</f>
        <v>0</v>
      </c>
      <c r="G271">
        <f>'[1]SNO RTF daily report1'!G271</f>
        <v>0</v>
      </c>
      <c r="H271">
        <f>'[1]SNO RTF daily report1'!H271</f>
        <v>0</v>
      </c>
      <c r="I271">
        <f>'[1]SNO RTF daily report1'!I271</f>
        <v>0</v>
      </c>
    </row>
    <row r="272" spans="1:9" x14ac:dyDescent="0.25">
      <c r="A272">
        <f>'[1]SNO RTF daily report1'!A272</f>
        <v>0</v>
      </c>
      <c r="B272">
        <f>'[1]SNO RTF daily report1'!B272</f>
        <v>0</v>
      </c>
      <c r="C272">
        <f>'[1]SNO RTF daily report1'!C272</f>
        <v>0</v>
      </c>
      <c r="D272">
        <f>'[1]SNO RTF daily report1'!D272</f>
        <v>0</v>
      </c>
      <c r="E272">
        <f>'[1]SNO RTF daily report1'!E272</f>
        <v>0</v>
      </c>
      <c r="F272">
        <f>'[1]SNO RTF daily report1'!F272</f>
        <v>0</v>
      </c>
      <c r="G272">
        <f>'[1]SNO RTF daily report1'!G272</f>
        <v>0</v>
      </c>
      <c r="H272">
        <f>'[1]SNO RTF daily report1'!H272</f>
        <v>0</v>
      </c>
      <c r="I272">
        <f>'[1]SNO RTF daily report1'!I272</f>
        <v>0</v>
      </c>
    </row>
    <row r="273" spans="1:9" x14ac:dyDescent="0.25">
      <c r="A273">
        <f>'[1]SNO RTF daily report1'!A273</f>
        <v>0</v>
      </c>
      <c r="B273">
        <f>'[1]SNO RTF daily report1'!B273</f>
        <v>0</v>
      </c>
      <c r="C273">
        <f>'[1]SNO RTF daily report1'!C273</f>
        <v>0</v>
      </c>
      <c r="D273">
        <f>'[1]SNO RTF daily report1'!D273</f>
        <v>0</v>
      </c>
      <c r="E273">
        <f>'[1]SNO RTF daily report1'!E273</f>
        <v>0</v>
      </c>
      <c r="F273">
        <f>'[1]SNO RTF daily report1'!F273</f>
        <v>0</v>
      </c>
      <c r="G273">
        <f>'[1]SNO RTF daily report1'!G273</f>
        <v>0</v>
      </c>
      <c r="H273">
        <f>'[1]SNO RTF daily report1'!H273</f>
        <v>0</v>
      </c>
      <c r="I273">
        <f>'[1]SNO RTF daily report1'!I273</f>
        <v>0</v>
      </c>
    </row>
    <row r="274" spans="1:9" x14ac:dyDescent="0.25">
      <c r="A274">
        <f>'[1]SNO RTF daily report1'!A274</f>
        <v>0</v>
      </c>
      <c r="B274">
        <f>'[1]SNO RTF daily report1'!B274</f>
        <v>0</v>
      </c>
      <c r="C274">
        <f>'[1]SNO RTF daily report1'!C274</f>
        <v>0</v>
      </c>
      <c r="D274">
        <f>'[1]SNO RTF daily report1'!D274</f>
        <v>0</v>
      </c>
      <c r="E274">
        <f>'[1]SNO RTF daily report1'!E274</f>
        <v>0</v>
      </c>
      <c r="F274">
        <f>'[1]SNO RTF daily report1'!F274</f>
        <v>0</v>
      </c>
      <c r="G274">
        <f>'[1]SNO RTF daily report1'!G274</f>
        <v>0</v>
      </c>
      <c r="H274">
        <f>'[1]SNO RTF daily report1'!H274</f>
        <v>0</v>
      </c>
      <c r="I274">
        <f>'[1]SNO RTF daily report1'!I274</f>
        <v>0</v>
      </c>
    </row>
    <row r="275" spans="1:9" x14ac:dyDescent="0.25">
      <c r="A275">
        <f>'[1]SNO RTF daily report1'!A275</f>
        <v>0</v>
      </c>
      <c r="B275">
        <f>'[1]SNO RTF daily report1'!B275</f>
        <v>0</v>
      </c>
      <c r="C275">
        <f>'[1]SNO RTF daily report1'!C275</f>
        <v>0</v>
      </c>
      <c r="D275">
        <f>'[1]SNO RTF daily report1'!D275</f>
        <v>0</v>
      </c>
      <c r="E275">
        <f>'[1]SNO RTF daily report1'!E275</f>
        <v>0</v>
      </c>
      <c r="F275">
        <f>'[1]SNO RTF daily report1'!F275</f>
        <v>0</v>
      </c>
      <c r="G275">
        <f>'[1]SNO RTF daily report1'!G275</f>
        <v>0</v>
      </c>
      <c r="H275">
        <f>'[1]SNO RTF daily report1'!H275</f>
        <v>0</v>
      </c>
      <c r="I275">
        <f>'[1]SNO RTF daily report1'!I275</f>
        <v>0</v>
      </c>
    </row>
    <row r="276" spans="1:9" x14ac:dyDescent="0.25">
      <c r="A276">
        <f>'[1]SNO RTF daily report1'!A276</f>
        <v>0</v>
      </c>
      <c r="B276">
        <f>'[1]SNO RTF daily report1'!B276</f>
        <v>0</v>
      </c>
      <c r="C276">
        <f>'[1]SNO RTF daily report1'!C276</f>
        <v>0</v>
      </c>
      <c r="D276">
        <f>'[1]SNO RTF daily report1'!D276</f>
        <v>0</v>
      </c>
      <c r="E276">
        <f>'[1]SNO RTF daily report1'!E276</f>
        <v>0</v>
      </c>
      <c r="F276">
        <f>'[1]SNO RTF daily report1'!F276</f>
        <v>0</v>
      </c>
      <c r="G276">
        <f>'[1]SNO RTF daily report1'!G276</f>
        <v>0</v>
      </c>
      <c r="H276">
        <f>'[1]SNO RTF daily report1'!H276</f>
        <v>0</v>
      </c>
      <c r="I276">
        <f>'[1]SNO RTF daily report1'!I276</f>
        <v>0</v>
      </c>
    </row>
    <row r="277" spans="1:9" x14ac:dyDescent="0.25">
      <c r="A277">
        <f>'[1]SNO RTF daily report1'!A277</f>
        <v>0</v>
      </c>
      <c r="B277">
        <f>'[1]SNO RTF daily report1'!B277</f>
        <v>0</v>
      </c>
      <c r="C277">
        <f>'[1]SNO RTF daily report1'!C277</f>
        <v>0</v>
      </c>
      <c r="D277">
        <f>'[1]SNO RTF daily report1'!D277</f>
        <v>0</v>
      </c>
      <c r="E277">
        <f>'[1]SNO RTF daily report1'!E277</f>
        <v>0</v>
      </c>
      <c r="F277">
        <f>'[1]SNO RTF daily report1'!F277</f>
        <v>0</v>
      </c>
      <c r="G277">
        <f>'[1]SNO RTF daily report1'!G277</f>
        <v>0</v>
      </c>
      <c r="H277">
        <f>'[1]SNO RTF daily report1'!H277</f>
        <v>0</v>
      </c>
      <c r="I277">
        <f>'[1]SNO RTF daily report1'!I277</f>
        <v>0</v>
      </c>
    </row>
    <row r="278" spans="1:9" x14ac:dyDescent="0.25">
      <c r="A278">
        <f>'[1]SNO RTF daily report1'!A278</f>
        <v>0</v>
      </c>
      <c r="B278">
        <f>'[1]SNO RTF daily report1'!B278</f>
        <v>0</v>
      </c>
      <c r="C278">
        <f>'[1]SNO RTF daily report1'!C278</f>
        <v>0</v>
      </c>
      <c r="D278">
        <f>'[1]SNO RTF daily report1'!D278</f>
        <v>0</v>
      </c>
      <c r="E278">
        <f>'[1]SNO RTF daily report1'!E278</f>
        <v>0</v>
      </c>
      <c r="F278">
        <f>'[1]SNO RTF daily report1'!F278</f>
        <v>0</v>
      </c>
      <c r="G278">
        <f>'[1]SNO RTF daily report1'!G278</f>
        <v>0</v>
      </c>
      <c r="H278">
        <f>'[1]SNO RTF daily report1'!H278</f>
        <v>0</v>
      </c>
      <c r="I278">
        <f>'[1]SNO RTF daily report1'!I278</f>
        <v>0</v>
      </c>
    </row>
    <row r="279" spans="1:9" x14ac:dyDescent="0.25">
      <c r="A279">
        <f>'[1]SNO RTF daily report1'!A279</f>
        <v>0</v>
      </c>
      <c r="B279">
        <f>'[1]SNO RTF daily report1'!B279</f>
        <v>0</v>
      </c>
      <c r="C279">
        <f>'[1]SNO RTF daily report1'!C279</f>
        <v>0</v>
      </c>
      <c r="D279">
        <f>'[1]SNO RTF daily report1'!D279</f>
        <v>0</v>
      </c>
      <c r="E279">
        <f>'[1]SNO RTF daily report1'!E279</f>
        <v>0</v>
      </c>
      <c r="F279">
        <f>'[1]SNO RTF daily report1'!F279</f>
        <v>0</v>
      </c>
      <c r="G279">
        <f>'[1]SNO RTF daily report1'!G279</f>
        <v>0</v>
      </c>
      <c r="H279">
        <f>'[1]SNO RTF daily report1'!H279</f>
        <v>0</v>
      </c>
      <c r="I279">
        <f>'[1]SNO RTF daily report1'!I279</f>
        <v>0</v>
      </c>
    </row>
    <row r="280" spans="1:9" x14ac:dyDescent="0.25">
      <c r="A280">
        <f>'[1]SNO RTF daily report1'!A280</f>
        <v>0</v>
      </c>
      <c r="B280">
        <f>'[1]SNO RTF daily report1'!B280</f>
        <v>0</v>
      </c>
      <c r="C280">
        <f>'[1]SNO RTF daily report1'!C280</f>
        <v>0</v>
      </c>
      <c r="D280">
        <f>'[1]SNO RTF daily report1'!D280</f>
        <v>0</v>
      </c>
      <c r="E280">
        <f>'[1]SNO RTF daily report1'!E280</f>
        <v>0</v>
      </c>
      <c r="F280">
        <f>'[1]SNO RTF daily report1'!F280</f>
        <v>0</v>
      </c>
      <c r="G280">
        <f>'[1]SNO RTF daily report1'!G280</f>
        <v>0</v>
      </c>
      <c r="H280">
        <f>'[1]SNO RTF daily report1'!H280</f>
        <v>0</v>
      </c>
      <c r="I280">
        <f>'[1]SNO RTF daily report1'!I280</f>
        <v>0</v>
      </c>
    </row>
    <row r="281" spans="1:9" x14ac:dyDescent="0.25">
      <c r="A281">
        <f>'[1]SNO RTF daily report1'!A281</f>
        <v>0</v>
      </c>
      <c r="B281">
        <f>'[1]SNO RTF daily report1'!B281</f>
        <v>0</v>
      </c>
      <c r="C281">
        <f>'[1]SNO RTF daily report1'!C281</f>
        <v>0</v>
      </c>
      <c r="D281">
        <f>'[1]SNO RTF daily report1'!D281</f>
        <v>0</v>
      </c>
      <c r="E281">
        <f>'[1]SNO RTF daily report1'!E281</f>
        <v>0</v>
      </c>
      <c r="F281">
        <f>'[1]SNO RTF daily report1'!F281</f>
        <v>0</v>
      </c>
      <c r="G281">
        <f>'[1]SNO RTF daily report1'!G281</f>
        <v>0</v>
      </c>
      <c r="H281">
        <f>'[1]SNO RTF daily report1'!H281</f>
        <v>0</v>
      </c>
      <c r="I281">
        <f>'[1]SNO RTF daily report1'!I281</f>
        <v>0</v>
      </c>
    </row>
    <row r="282" spans="1:9" x14ac:dyDescent="0.25">
      <c r="A282">
        <f>'[1]SNO RTF daily report1'!A282</f>
        <v>0</v>
      </c>
      <c r="B282">
        <f>'[1]SNO RTF daily report1'!B282</f>
        <v>0</v>
      </c>
      <c r="C282">
        <f>'[1]SNO RTF daily report1'!C282</f>
        <v>0</v>
      </c>
      <c r="D282">
        <f>'[1]SNO RTF daily report1'!D282</f>
        <v>0</v>
      </c>
      <c r="E282">
        <f>'[1]SNO RTF daily report1'!E282</f>
        <v>0</v>
      </c>
      <c r="F282">
        <f>'[1]SNO RTF daily report1'!F282</f>
        <v>0</v>
      </c>
      <c r="G282">
        <f>'[1]SNO RTF daily report1'!G282</f>
        <v>0</v>
      </c>
      <c r="H282">
        <f>'[1]SNO RTF daily report1'!H282</f>
        <v>0</v>
      </c>
      <c r="I282">
        <f>'[1]SNO RTF daily report1'!I282</f>
        <v>0</v>
      </c>
    </row>
    <row r="283" spans="1:9" x14ac:dyDescent="0.25">
      <c r="A283">
        <f>'[1]SNO RTF daily report1'!A283</f>
        <v>0</v>
      </c>
      <c r="B283">
        <f>'[1]SNO RTF daily report1'!B283</f>
        <v>0</v>
      </c>
      <c r="C283">
        <f>'[1]SNO RTF daily report1'!C283</f>
        <v>0</v>
      </c>
      <c r="D283">
        <f>'[1]SNO RTF daily report1'!D283</f>
        <v>0</v>
      </c>
      <c r="E283">
        <f>'[1]SNO RTF daily report1'!E283</f>
        <v>0</v>
      </c>
      <c r="F283">
        <f>'[1]SNO RTF daily report1'!F283</f>
        <v>0</v>
      </c>
      <c r="G283">
        <f>'[1]SNO RTF daily report1'!G283</f>
        <v>0</v>
      </c>
      <c r="H283">
        <f>'[1]SNO RTF daily report1'!H283</f>
        <v>0</v>
      </c>
      <c r="I283">
        <f>'[1]SNO RTF daily report1'!I283</f>
        <v>0</v>
      </c>
    </row>
    <row r="284" spans="1:9" x14ac:dyDescent="0.25">
      <c r="A284">
        <f>'[1]SNO RTF daily report1'!A284</f>
        <v>0</v>
      </c>
      <c r="B284">
        <f>'[1]SNO RTF daily report1'!B284</f>
        <v>0</v>
      </c>
      <c r="C284">
        <f>'[1]SNO RTF daily report1'!C284</f>
        <v>0</v>
      </c>
      <c r="D284">
        <f>'[1]SNO RTF daily report1'!D284</f>
        <v>0</v>
      </c>
      <c r="E284">
        <f>'[1]SNO RTF daily report1'!E284</f>
        <v>0</v>
      </c>
      <c r="F284">
        <f>'[1]SNO RTF daily report1'!F284</f>
        <v>0</v>
      </c>
      <c r="G284">
        <f>'[1]SNO RTF daily report1'!G284</f>
        <v>0</v>
      </c>
      <c r="H284">
        <f>'[1]SNO RTF daily report1'!H284</f>
        <v>0</v>
      </c>
      <c r="I284">
        <f>'[1]SNO RTF daily report1'!I284</f>
        <v>0</v>
      </c>
    </row>
    <row r="285" spans="1:9" x14ac:dyDescent="0.25">
      <c r="A285">
        <f>'[1]SNO RTF daily report1'!A285</f>
        <v>0</v>
      </c>
      <c r="B285">
        <f>'[1]SNO RTF daily report1'!B285</f>
        <v>0</v>
      </c>
      <c r="C285">
        <f>'[1]SNO RTF daily report1'!C285</f>
        <v>0</v>
      </c>
      <c r="D285">
        <f>'[1]SNO RTF daily report1'!D285</f>
        <v>0</v>
      </c>
      <c r="E285">
        <f>'[1]SNO RTF daily report1'!E285</f>
        <v>0</v>
      </c>
      <c r="F285">
        <f>'[1]SNO RTF daily report1'!F285</f>
        <v>0</v>
      </c>
      <c r="G285">
        <f>'[1]SNO RTF daily report1'!G285</f>
        <v>0</v>
      </c>
      <c r="H285">
        <f>'[1]SNO RTF daily report1'!H285</f>
        <v>0</v>
      </c>
      <c r="I285">
        <f>'[1]SNO RTF daily report1'!I285</f>
        <v>0</v>
      </c>
    </row>
    <row r="286" spans="1:9" x14ac:dyDescent="0.25">
      <c r="A286">
        <f>'[1]SNO RTF daily report1'!A286</f>
        <v>0</v>
      </c>
      <c r="B286">
        <f>'[1]SNO RTF daily report1'!B286</f>
        <v>0</v>
      </c>
      <c r="C286">
        <f>'[1]SNO RTF daily report1'!C286</f>
        <v>0</v>
      </c>
      <c r="D286">
        <f>'[1]SNO RTF daily report1'!D286</f>
        <v>0</v>
      </c>
      <c r="E286">
        <f>'[1]SNO RTF daily report1'!E286</f>
        <v>0</v>
      </c>
      <c r="F286">
        <f>'[1]SNO RTF daily report1'!F286</f>
        <v>0</v>
      </c>
      <c r="G286">
        <f>'[1]SNO RTF daily report1'!G286</f>
        <v>0</v>
      </c>
      <c r="H286">
        <f>'[1]SNO RTF daily report1'!H286</f>
        <v>0</v>
      </c>
      <c r="I286">
        <f>'[1]SNO RTF daily report1'!I286</f>
        <v>0</v>
      </c>
    </row>
    <row r="287" spans="1:9" x14ac:dyDescent="0.25">
      <c r="A287">
        <f>'[1]SNO RTF daily report1'!A287</f>
        <v>0</v>
      </c>
      <c r="B287">
        <f>'[1]SNO RTF daily report1'!B287</f>
        <v>0</v>
      </c>
      <c r="C287">
        <f>'[1]SNO RTF daily report1'!C287</f>
        <v>0</v>
      </c>
      <c r="D287">
        <f>'[1]SNO RTF daily report1'!D287</f>
        <v>0</v>
      </c>
      <c r="E287">
        <f>'[1]SNO RTF daily report1'!E287</f>
        <v>0</v>
      </c>
      <c r="F287">
        <f>'[1]SNO RTF daily report1'!F287</f>
        <v>0</v>
      </c>
      <c r="G287">
        <f>'[1]SNO RTF daily report1'!G287</f>
        <v>0</v>
      </c>
      <c r="H287">
        <f>'[1]SNO RTF daily report1'!H287</f>
        <v>0</v>
      </c>
      <c r="I287">
        <f>'[1]SNO RTF daily report1'!I287</f>
        <v>0</v>
      </c>
    </row>
    <row r="288" spans="1:9" x14ac:dyDescent="0.25">
      <c r="A288">
        <f>'[1]SNO RTF daily report1'!A288</f>
        <v>0</v>
      </c>
      <c r="B288">
        <f>'[1]SNO RTF daily report1'!B288</f>
        <v>0</v>
      </c>
      <c r="C288">
        <f>'[1]SNO RTF daily report1'!C288</f>
        <v>0</v>
      </c>
      <c r="D288">
        <f>'[1]SNO RTF daily report1'!D288</f>
        <v>0</v>
      </c>
      <c r="E288">
        <f>'[1]SNO RTF daily report1'!E288</f>
        <v>0</v>
      </c>
      <c r="F288">
        <f>'[1]SNO RTF daily report1'!F288</f>
        <v>0</v>
      </c>
      <c r="G288">
        <f>'[1]SNO RTF daily report1'!G288</f>
        <v>0</v>
      </c>
      <c r="H288">
        <f>'[1]SNO RTF daily report1'!H288</f>
        <v>0</v>
      </c>
      <c r="I288">
        <f>'[1]SNO RTF daily report1'!I288</f>
        <v>0</v>
      </c>
    </row>
    <row r="289" spans="1:9" x14ac:dyDescent="0.25">
      <c r="A289">
        <f>'[1]SNO RTF daily report1'!A289</f>
        <v>0</v>
      </c>
      <c r="B289">
        <f>'[1]SNO RTF daily report1'!B289</f>
        <v>0</v>
      </c>
      <c r="C289">
        <f>'[1]SNO RTF daily report1'!C289</f>
        <v>0</v>
      </c>
      <c r="D289">
        <f>'[1]SNO RTF daily report1'!D289</f>
        <v>0</v>
      </c>
      <c r="E289">
        <f>'[1]SNO RTF daily report1'!E289</f>
        <v>0</v>
      </c>
      <c r="F289">
        <f>'[1]SNO RTF daily report1'!F289</f>
        <v>0</v>
      </c>
      <c r="G289">
        <f>'[1]SNO RTF daily report1'!G289</f>
        <v>0</v>
      </c>
      <c r="H289">
        <f>'[1]SNO RTF daily report1'!H289</f>
        <v>0</v>
      </c>
      <c r="I289">
        <f>'[1]SNO RTF daily report1'!I289</f>
        <v>0</v>
      </c>
    </row>
    <row r="290" spans="1:9" x14ac:dyDescent="0.25">
      <c r="A290">
        <f>'[1]SNO RTF daily report1'!A290</f>
        <v>0</v>
      </c>
      <c r="B290">
        <f>'[1]SNO RTF daily report1'!B290</f>
        <v>0</v>
      </c>
      <c r="C290">
        <f>'[1]SNO RTF daily report1'!C290</f>
        <v>0</v>
      </c>
      <c r="D290">
        <f>'[1]SNO RTF daily report1'!D290</f>
        <v>0</v>
      </c>
      <c r="E290">
        <f>'[1]SNO RTF daily report1'!E290</f>
        <v>0</v>
      </c>
      <c r="F290">
        <f>'[1]SNO RTF daily report1'!F290</f>
        <v>0</v>
      </c>
      <c r="G290">
        <f>'[1]SNO RTF daily report1'!G290</f>
        <v>0</v>
      </c>
      <c r="H290">
        <f>'[1]SNO RTF daily report1'!H290</f>
        <v>0</v>
      </c>
      <c r="I290">
        <f>'[1]SNO RTF daily report1'!I290</f>
        <v>0</v>
      </c>
    </row>
    <row r="291" spans="1:9" x14ac:dyDescent="0.25">
      <c r="A291">
        <f>'[1]SNO RTF daily report1'!A291</f>
        <v>0</v>
      </c>
      <c r="B291">
        <f>'[1]SNO RTF daily report1'!B291</f>
        <v>0</v>
      </c>
      <c r="C291">
        <f>'[1]SNO RTF daily report1'!C291</f>
        <v>0</v>
      </c>
      <c r="D291">
        <f>'[1]SNO RTF daily report1'!D291</f>
        <v>0</v>
      </c>
      <c r="E291">
        <f>'[1]SNO RTF daily report1'!E291</f>
        <v>0</v>
      </c>
      <c r="F291">
        <f>'[1]SNO RTF daily report1'!F291</f>
        <v>0</v>
      </c>
      <c r="G291">
        <f>'[1]SNO RTF daily report1'!G291</f>
        <v>0</v>
      </c>
      <c r="H291">
        <f>'[1]SNO RTF daily report1'!H291</f>
        <v>0</v>
      </c>
      <c r="I291">
        <f>'[1]SNO RTF daily report1'!I291</f>
        <v>0</v>
      </c>
    </row>
    <row r="292" spans="1:9" x14ac:dyDescent="0.25">
      <c r="A292">
        <f>'[1]SNO RTF daily report1'!A292</f>
        <v>0</v>
      </c>
      <c r="B292">
        <f>'[1]SNO RTF daily report1'!B292</f>
        <v>0</v>
      </c>
      <c r="C292">
        <f>'[1]SNO RTF daily report1'!C292</f>
        <v>0</v>
      </c>
      <c r="D292">
        <f>'[1]SNO RTF daily report1'!D292</f>
        <v>0</v>
      </c>
      <c r="E292">
        <f>'[1]SNO RTF daily report1'!E292</f>
        <v>0</v>
      </c>
      <c r="F292">
        <f>'[1]SNO RTF daily report1'!F292</f>
        <v>0</v>
      </c>
      <c r="G292">
        <f>'[1]SNO RTF daily report1'!G292</f>
        <v>0</v>
      </c>
      <c r="H292">
        <f>'[1]SNO RTF daily report1'!H292</f>
        <v>0</v>
      </c>
      <c r="I292">
        <f>'[1]SNO RTF daily report1'!I292</f>
        <v>0</v>
      </c>
    </row>
    <row r="293" spans="1:9" x14ac:dyDescent="0.25">
      <c r="A293">
        <f>'[1]SNO RTF daily report1'!A293</f>
        <v>0</v>
      </c>
      <c r="B293">
        <f>'[1]SNO RTF daily report1'!B293</f>
        <v>0</v>
      </c>
      <c r="C293">
        <f>'[1]SNO RTF daily report1'!C293</f>
        <v>0</v>
      </c>
      <c r="D293">
        <f>'[1]SNO RTF daily report1'!D293</f>
        <v>0</v>
      </c>
      <c r="E293">
        <f>'[1]SNO RTF daily report1'!E293</f>
        <v>0</v>
      </c>
      <c r="F293">
        <f>'[1]SNO RTF daily report1'!F293</f>
        <v>0</v>
      </c>
      <c r="G293">
        <f>'[1]SNO RTF daily report1'!G293</f>
        <v>0</v>
      </c>
      <c r="H293">
        <f>'[1]SNO RTF daily report1'!H293</f>
        <v>0</v>
      </c>
      <c r="I293">
        <f>'[1]SNO RTF daily report1'!I293</f>
        <v>0</v>
      </c>
    </row>
    <row r="294" spans="1:9" x14ac:dyDescent="0.25">
      <c r="A294">
        <f>'[1]SNO RTF daily report1'!A294</f>
        <v>0</v>
      </c>
      <c r="B294">
        <f>'[1]SNO RTF daily report1'!B294</f>
        <v>0</v>
      </c>
      <c r="C294">
        <f>'[1]SNO RTF daily report1'!C294</f>
        <v>0</v>
      </c>
      <c r="D294">
        <f>'[1]SNO RTF daily report1'!D294</f>
        <v>0</v>
      </c>
      <c r="E294">
        <f>'[1]SNO RTF daily report1'!E294</f>
        <v>0</v>
      </c>
      <c r="F294">
        <f>'[1]SNO RTF daily report1'!F294</f>
        <v>0</v>
      </c>
      <c r="G294">
        <f>'[1]SNO RTF daily report1'!G294</f>
        <v>0</v>
      </c>
      <c r="H294">
        <f>'[1]SNO RTF daily report1'!H294</f>
        <v>0</v>
      </c>
      <c r="I294">
        <f>'[1]SNO RTF daily report1'!I294</f>
        <v>0</v>
      </c>
    </row>
    <row r="295" spans="1:9" x14ac:dyDescent="0.25">
      <c r="A295">
        <f>'[1]SNO RTF daily report1'!A295</f>
        <v>0</v>
      </c>
      <c r="B295">
        <f>'[1]SNO RTF daily report1'!B295</f>
        <v>0</v>
      </c>
      <c r="C295">
        <f>'[1]SNO RTF daily report1'!C295</f>
        <v>0</v>
      </c>
      <c r="D295">
        <f>'[1]SNO RTF daily report1'!D295</f>
        <v>0</v>
      </c>
      <c r="E295">
        <f>'[1]SNO RTF daily report1'!E295</f>
        <v>0</v>
      </c>
      <c r="F295">
        <f>'[1]SNO RTF daily report1'!F295</f>
        <v>0</v>
      </c>
      <c r="G295">
        <f>'[1]SNO RTF daily report1'!G295</f>
        <v>0</v>
      </c>
      <c r="H295">
        <f>'[1]SNO RTF daily report1'!H295</f>
        <v>0</v>
      </c>
      <c r="I295">
        <f>'[1]SNO RTF daily report1'!I295</f>
        <v>0</v>
      </c>
    </row>
    <row r="296" spans="1:9" x14ac:dyDescent="0.25">
      <c r="A296">
        <f>'[1]SNO RTF daily report1'!A296</f>
        <v>0</v>
      </c>
      <c r="B296">
        <f>'[1]SNO RTF daily report1'!B296</f>
        <v>0</v>
      </c>
      <c r="C296">
        <f>'[1]SNO RTF daily report1'!C296</f>
        <v>0</v>
      </c>
      <c r="D296">
        <f>'[1]SNO RTF daily report1'!D296</f>
        <v>0</v>
      </c>
      <c r="E296">
        <f>'[1]SNO RTF daily report1'!E296</f>
        <v>0</v>
      </c>
      <c r="F296">
        <f>'[1]SNO RTF daily report1'!F296</f>
        <v>0</v>
      </c>
      <c r="G296">
        <f>'[1]SNO RTF daily report1'!G296</f>
        <v>0</v>
      </c>
      <c r="H296">
        <f>'[1]SNO RTF daily report1'!H296</f>
        <v>0</v>
      </c>
      <c r="I296">
        <f>'[1]SNO RTF daily report1'!I296</f>
        <v>0</v>
      </c>
    </row>
    <row r="297" spans="1:9" x14ac:dyDescent="0.25">
      <c r="A297">
        <f>'[1]SNO RTF daily report1'!A297</f>
        <v>0</v>
      </c>
      <c r="B297">
        <f>'[1]SNO RTF daily report1'!B297</f>
        <v>0</v>
      </c>
      <c r="C297">
        <f>'[1]SNO RTF daily report1'!C297</f>
        <v>0</v>
      </c>
      <c r="D297">
        <f>'[1]SNO RTF daily report1'!D297</f>
        <v>0</v>
      </c>
      <c r="E297">
        <f>'[1]SNO RTF daily report1'!E297</f>
        <v>0</v>
      </c>
      <c r="F297">
        <f>'[1]SNO RTF daily report1'!F297</f>
        <v>0</v>
      </c>
      <c r="G297">
        <f>'[1]SNO RTF daily report1'!G297</f>
        <v>0</v>
      </c>
      <c r="H297">
        <f>'[1]SNO RTF daily report1'!H297</f>
        <v>0</v>
      </c>
      <c r="I297">
        <f>'[1]SNO RTF daily report1'!I297</f>
        <v>0</v>
      </c>
    </row>
    <row r="298" spans="1:9" x14ac:dyDescent="0.25">
      <c r="A298">
        <f>'[1]SNO RTF daily report1'!A298</f>
        <v>0</v>
      </c>
      <c r="B298">
        <f>'[1]SNO RTF daily report1'!B298</f>
        <v>0</v>
      </c>
      <c r="C298">
        <f>'[1]SNO RTF daily report1'!C298</f>
        <v>0</v>
      </c>
      <c r="D298">
        <f>'[1]SNO RTF daily report1'!D298</f>
        <v>0</v>
      </c>
      <c r="E298">
        <f>'[1]SNO RTF daily report1'!E298</f>
        <v>0</v>
      </c>
      <c r="F298">
        <f>'[1]SNO RTF daily report1'!F298</f>
        <v>0</v>
      </c>
      <c r="G298">
        <f>'[1]SNO RTF daily report1'!G298</f>
        <v>0</v>
      </c>
      <c r="H298">
        <f>'[1]SNO RTF daily report1'!H298</f>
        <v>0</v>
      </c>
      <c r="I298">
        <f>'[1]SNO RTF daily report1'!I298</f>
        <v>0</v>
      </c>
    </row>
    <row r="299" spans="1:9" x14ac:dyDescent="0.25">
      <c r="A299">
        <f>'[1]SNO RTF daily report1'!A299</f>
        <v>0</v>
      </c>
      <c r="B299">
        <f>'[1]SNO RTF daily report1'!B299</f>
        <v>0</v>
      </c>
      <c r="C299">
        <f>'[1]SNO RTF daily report1'!C299</f>
        <v>0</v>
      </c>
      <c r="D299">
        <f>'[1]SNO RTF daily report1'!D299</f>
        <v>0</v>
      </c>
      <c r="E299">
        <f>'[1]SNO RTF daily report1'!E299</f>
        <v>0</v>
      </c>
      <c r="F299">
        <f>'[1]SNO RTF daily report1'!F299</f>
        <v>0</v>
      </c>
      <c r="G299">
        <f>'[1]SNO RTF daily report1'!G299</f>
        <v>0</v>
      </c>
      <c r="H299">
        <f>'[1]SNO RTF daily report1'!H299</f>
        <v>0</v>
      </c>
      <c r="I299">
        <f>'[1]SNO RTF daily report1'!I299</f>
        <v>0</v>
      </c>
    </row>
    <row r="300" spans="1:9" x14ac:dyDescent="0.25">
      <c r="A300">
        <f>'[1]SNO RTF daily report1'!A300</f>
        <v>0</v>
      </c>
      <c r="B300">
        <f>'[1]SNO RTF daily report1'!B300</f>
        <v>0</v>
      </c>
      <c r="C300">
        <f>'[1]SNO RTF daily report1'!C300</f>
        <v>0</v>
      </c>
      <c r="D300">
        <f>'[1]SNO RTF daily report1'!D300</f>
        <v>0</v>
      </c>
      <c r="E300">
        <f>'[1]SNO RTF daily report1'!E300</f>
        <v>0</v>
      </c>
      <c r="F300">
        <f>'[1]SNO RTF daily report1'!F300</f>
        <v>0</v>
      </c>
      <c r="G300">
        <f>'[1]SNO RTF daily report1'!G300</f>
        <v>0</v>
      </c>
      <c r="H300">
        <f>'[1]SNO RTF daily report1'!H300</f>
        <v>0</v>
      </c>
      <c r="I300">
        <f>'[1]SNO RTF daily report1'!I300</f>
        <v>0</v>
      </c>
    </row>
    <row r="301" spans="1:9" x14ac:dyDescent="0.25">
      <c r="A301">
        <f>'[1]SNO RTF daily report1'!A301</f>
        <v>0</v>
      </c>
      <c r="B301">
        <f>'[1]SNO RTF daily report1'!B301</f>
        <v>0</v>
      </c>
      <c r="C301">
        <f>'[1]SNO RTF daily report1'!C301</f>
        <v>0</v>
      </c>
      <c r="D301">
        <f>'[1]SNO RTF daily report1'!D301</f>
        <v>0</v>
      </c>
      <c r="E301">
        <f>'[1]SNO RTF daily report1'!E301</f>
        <v>0</v>
      </c>
      <c r="F301">
        <f>'[1]SNO RTF daily report1'!F301</f>
        <v>0</v>
      </c>
      <c r="G301">
        <f>'[1]SNO RTF daily report1'!G301</f>
        <v>0</v>
      </c>
      <c r="H301">
        <f>'[1]SNO RTF daily report1'!H301</f>
        <v>0</v>
      </c>
      <c r="I301">
        <f>'[1]SNO RTF daily report1'!I301</f>
        <v>0</v>
      </c>
    </row>
    <row r="302" spans="1:9" x14ac:dyDescent="0.25">
      <c r="A302">
        <f>'[1]SNO RTF daily report1'!A302</f>
        <v>0</v>
      </c>
      <c r="B302">
        <f>'[1]SNO RTF daily report1'!B302</f>
        <v>0</v>
      </c>
      <c r="C302">
        <f>'[1]SNO RTF daily report1'!C302</f>
        <v>0</v>
      </c>
      <c r="D302">
        <f>'[1]SNO RTF daily report1'!D302</f>
        <v>0</v>
      </c>
      <c r="E302">
        <f>'[1]SNO RTF daily report1'!E302</f>
        <v>0</v>
      </c>
      <c r="F302">
        <f>'[1]SNO RTF daily report1'!F302</f>
        <v>0</v>
      </c>
      <c r="G302">
        <f>'[1]SNO RTF daily report1'!G302</f>
        <v>0</v>
      </c>
      <c r="H302">
        <f>'[1]SNO RTF daily report1'!H302</f>
        <v>0</v>
      </c>
      <c r="I302">
        <f>'[1]SNO RTF daily report1'!I302</f>
        <v>0</v>
      </c>
    </row>
    <row r="303" spans="1:9" x14ac:dyDescent="0.25">
      <c r="A303">
        <f>'[1]SNO RTF daily report1'!A303</f>
        <v>0</v>
      </c>
      <c r="B303">
        <f>'[1]SNO RTF daily report1'!B303</f>
        <v>0</v>
      </c>
      <c r="C303">
        <f>'[1]SNO RTF daily report1'!C303</f>
        <v>0</v>
      </c>
      <c r="D303">
        <f>'[1]SNO RTF daily report1'!D303</f>
        <v>0</v>
      </c>
      <c r="E303">
        <f>'[1]SNO RTF daily report1'!E303</f>
        <v>0</v>
      </c>
      <c r="F303">
        <f>'[1]SNO RTF daily report1'!F303</f>
        <v>0</v>
      </c>
      <c r="G303">
        <f>'[1]SNO RTF daily report1'!G303</f>
        <v>0</v>
      </c>
      <c r="H303">
        <f>'[1]SNO RTF daily report1'!H303</f>
        <v>0</v>
      </c>
      <c r="I303">
        <f>'[1]SNO RTF daily report1'!I303</f>
        <v>0</v>
      </c>
    </row>
    <row r="304" spans="1:9" x14ac:dyDescent="0.25">
      <c r="A304">
        <f>'[1]SNO RTF daily report1'!A304</f>
        <v>0</v>
      </c>
      <c r="B304">
        <f>'[1]SNO RTF daily report1'!B304</f>
        <v>0</v>
      </c>
      <c r="C304">
        <f>'[1]SNO RTF daily report1'!C304</f>
        <v>0</v>
      </c>
      <c r="D304">
        <f>'[1]SNO RTF daily report1'!D304</f>
        <v>0</v>
      </c>
      <c r="E304">
        <f>'[1]SNO RTF daily report1'!E304</f>
        <v>0</v>
      </c>
      <c r="F304">
        <f>'[1]SNO RTF daily report1'!F304</f>
        <v>0</v>
      </c>
      <c r="G304">
        <f>'[1]SNO RTF daily report1'!G304</f>
        <v>0</v>
      </c>
      <c r="H304">
        <f>'[1]SNO RTF daily report1'!H304</f>
        <v>0</v>
      </c>
      <c r="I304">
        <f>'[1]SNO RTF daily report1'!I304</f>
        <v>0</v>
      </c>
    </row>
    <row r="305" spans="1:9" x14ac:dyDescent="0.25">
      <c r="A305">
        <f>'[1]SNO RTF daily report1'!A305</f>
        <v>0</v>
      </c>
      <c r="B305">
        <f>'[1]SNO RTF daily report1'!B305</f>
        <v>0</v>
      </c>
      <c r="C305">
        <f>'[1]SNO RTF daily report1'!C305</f>
        <v>0</v>
      </c>
      <c r="D305">
        <f>'[1]SNO RTF daily report1'!D305</f>
        <v>0</v>
      </c>
      <c r="E305">
        <f>'[1]SNO RTF daily report1'!E305</f>
        <v>0</v>
      </c>
      <c r="F305">
        <f>'[1]SNO RTF daily report1'!F305</f>
        <v>0</v>
      </c>
      <c r="G305">
        <f>'[1]SNO RTF daily report1'!G305</f>
        <v>0</v>
      </c>
      <c r="H305">
        <f>'[1]SNO RTF daily report1'!H305</f>
        <v>0</v>
      </c>
      <c r="I305">
        <f>'[1]SNO RTF daily report1'!I305</f>
        <v>0</v>
      </c>
    </row>
    <row r="306" spans="1:9" x14ac:dyDescent="0.25">
      <c r="A306">
        <f>'[1]SNO RTF daily report1'!A306</f>
        <v>0</v>
      </c>
      <c r="B306">
        <f>'[1]SNO RTF daily report1'!B306</f>
        <v>0</v>
      </c>
      <c r="C306">
        <f>'[1]SNO RTF daily report1'!C306</f>
        <v>0</v>
      </c>
      <c r="D306">
        <f>'[1]SNO RTF daily report1'!D306</f>
        <v>0</v>
      </c>
      <c r="E306">
        <f>'[1]SNO RTF daily report1'!E306</f>
        <v>0</v>
      </c>
      <c r="F306">
        <f>'[1]SNO RTF daily report1'!F306</f>
        <v>0</v>
      </c>
      <c r="G306">
        <f>'[1]SNO RTF daily report1'!G306</f>
        <v>0</v>
      </c>
      <c r="H306">
        <f>'[1]SNO RTF daily report1'!H306</f>
        <v>0</v>
      </c>
      <c r="I306">
        <f>'[1]SNO RTF daily report1'!I306</f>
        <v>0</v>
      </c>
    </row>
    <row r="307" spans="1:9" x14ac:dyDescent="0.25">
      <c r="A307">
        <f>'[1]SNO RTF daily report1'!A307</f>
        <v>0</v>
      </c>
      <c r="B307">
        <f>'[1]SNO RTF daily report1'!B307</f>
        <v>0</v>
      </c>
      <c r="C307">
        <f>'[1]SNO RTF daily report1'!C307</f>
        <v>0</v>
      </c>
      <c r="D307">
        <f>'[1]SNO RTF daily report1'!D307</f>
        <v>0</v>
      </c>
      <c r="E307">
        <f>'[1]SNO RTF daily report1'!E307</f>
        <v>0</v>
      </c>
      <c r="F307">
        <f>'[1]SNO RTF daily report1'!F307</f>
        <v>0</v>
      </c>
      <c r="G307">
        <f>'[1]SNO RTF daily report1'!G307</f>
        <v>0</v>
      </c>
      <c r="H307">
        <f>'[1]SNO RTF daily report1'!H307</f>
        <v>0</v>
      </c>
      <c r="I307">
        <f>'[1]SNO RTF daily report1'!I307</f>
        <v>0</v>
      </c>
    </row>
    <row r="308" spans="1:9" x14ac:dyDescent="0.25">
      <c r="A308">
        <f>'[1]SNO RTF daily report1'!A308</f>
        <v>0</v>
      </c>
      <c r="B308">
        <f>'[1]SNO RTF daily report1'!B308</f>
        <v>0</v>
      </c>
      <c r="C308">
        <f>'[1]SNO RTF daily report1'!C308</f>
        <v>0</v>
      </c>
      <c r="D308">
        <f>'[1]SNO RTF daily report1'!D308</f>
        <v>0</v>
      </c>
      <c r="E308">
        <f>'[1]SNO RTF daily report1'!E308</f>
        <v>0</v>
      </c>
      <c r="F308">
        <f>'[1]SNO RTF daily report1'!F308</f>
        <v>0</v>
      </c>
      <c r="G308">
        <f>'[1]SNO RTF daily report1'!G308</f>
        <v>0</v>
      </c>
      <c r="H308">
        <f>'[1]SNO RTF daily report1'!H308</f>
        <v>0</v>
      </c>
      <c r="I308">
        <f>'[1]SNO RTF daily report1'!I308</f>
        <v>0</v>
      </c>
    </row>
    <row r="309" spans="1:9" x14ac:dyDescent="0.25">
      <c r="A309">
        <f>'[1]SNO RTF daily report1'!A309</f>
        <v>0</v>
      </c>
      <c r="B309">
        <f>'[1]SNO RTF daily report1'!B309</f>
        <v>0</v>
      </c>
      <c r="C309">
        <f>'[1]SNO RTF daily report1'!C309</f>
        <v>0</v>
      </c>
      <c r="D309">
        <f>'[1]SNO RTF daily report1'!D309</f>
        <v>0</v>
      </c>
      <c r="E309">
        <f>'[1]SNO RTF daily report1'!E309</f>
        <v>0</v>
      </c>
      <c r="F309">
        <f>'[1]SNO RTF daily report1'!F309</f>
        <v>0</v>
      </c>
      <c r="G309">
        <f>'[1]SNO RTF daily report1'!G309</f>
        <v>0</v>
      </c>
      <c r="H309">
        <f>'[1]SNO RTF daily report1'!H309</f>
        <v>0</v>
      </c>
      <c r="I309">
        <f>'[1]SNO RTF daily report1'!I309</f>
        <v>0</v>
      </c>
    </row>
    <row r="310" spans="1:9" x14ac:dyDescent="0.25">
      <c r="A310">
        <f>'[1]SNO RTF daily report1'!A310</f>
        <v>0</v>
      </c>
      <c r="B310">
        <f>'[1]SNO RTF daily report1'!B310</f>
        <v>0</v>
      </c>
      <c r="C310">
        <f>'[1]SNO RTF daily report1'!C310</f>
        <v>0</v>
      </c>
      <c r="D310">
        <f>'[1]SNO RTF daily report1'!D310</f>
        <v>0</v>
      </c>
      <c r="E310">
        <f>'[1]SNO RTF daily report1'!E310</f>
        <v>0</v>
      </c>
      <c r="F310">
        <f>'[1]SNO RTF daily report1'!F310</f>
        <v>0</v>
      </c>
      <c r="G310">
        <f>'[1]SNO RTF daily report1'!G310</f>
        <v>0</v>
      </c>
      <c r="H310">
        <f>'[1]SNO RTF daily report1'!H310</f>
        <v>0</v>
      </c>
      <c r="I310">
        <f>'[1]SNO RTF daily report1'!I310</f>
        <v>0</v>
      </c>
    </row>
    <row r="311" spans="1:9" x14ac:dyDescent="0.25">
      <c r="A311">
        <f>'[1]SNO RTF daily report1'!A311</f>
        <v>0</v>
      </c>
      <c r="B311">
        <f>'[1]SNO RTF daily report1'!B311</f>
        <v>0</v>
      </c>
      <c r="C311">
        <f>'[1]SNO RTF daily report1'!C311</f>
        <v>0</v>
      </c>
      <c r="D311">
        <f>'[1]SNO RTF daily report1'!D311</f>
        <v>0</v>
      </c>
      <c r="E311">
        <f>'[1]SNO RTF daily report1'!E311</f>
        <v>0</v>
      </c>
      <c r="F311">
        <f>'[1]SNO RTF daily report1'!F311</f>
        <v>0</v>
      </c>
      <c r="G311">
        <f>'[1]SNO RTF daily report1'!G311</f>
        <v>0</v>
      </c>
      <c r="H311">
        <f>'[1]SNO RTF daily report1'!H311</f>
        <v>0</v>
      </c>
      <c r="I311">
        <f>'[1]SNO RTF daily report1'!I311</f>
        <v>0</v>
      </c>
    </row>
    <row r="312" spans="1:9" x14ac:dyDescent="0.25">
      <c r="A312">
        <f>'[1]SNO RTF daily report1'!A312</f>
        <v>0</v>
      </c>
      <c r="B312">
        <f>'[1]SNO RTF daily report1'!B312</f>
        <v>0</v>
      </c>
      <c r="C312">
        <f>'[1]SNO RTF daily report1'!C312</f>
        <v>0</v>
      </c>
      <c r="D312">
        <f>'[1]SNO RTF daily report1'!D312</f>
        <v>0</v>
      </c>
      <c r="E312">
        <f>'[1]SNO RTF daily report1'!E312</f>
        <v>0</v>
      </c>
      <c r="F312">
        <f>'[1]SNO RTF daily report1'!F312</f>
        <v>0</v>
      </c>
      <c r="G312">
        <f>'[1]SNO RTF daily report1'!G312</f>
        <v>0</v>
      </c>
      <c r="H312">
        <f>'[1]SNO RTF daily report1'!H312</f>
        <v>0</v>
      </c>
      <c r="I312">
        <f>'[1]SNO RTF daily report1'!I312</f>
        <v>0</v>
      </c>
    </row>
    <row r="313" spans="1:9" x14ac:dyDescent="0.25">
      <c r="A313">
        <f>'[1]SNO RTF daily report1'!A313</f>
        <v>0</v>
      </c>
      <c r="B313">
        <f>'[1]SNO RTF daily report1'!B313</f>
        <v>0</v>
      </c>
      <c r="C313">
        <f>'[1]SNO RTF daily report1'!C313</f>
        <v>0</v>
      </c>
      <c r="D313">
        <f>'[1]SNO RTF daily report1'!D313</f>
        <v>0</v>
      </c>
      <c r="E313">
        <f>'[1]SNO RTF daily report1'!E313</f>
        <v>0</v>
      </c>
      <c r="F313">
        <f>'[1]SNO RTF daily report1'!F313</f>
        <v>0</v>
      </c>
      <c r="G313">
        <f>'[1]SNO RTF daily report1'!G313</f>
        <v>0</v>
      </c>
      <c r="H313">
        <f>'[1]SNO RTF daily report1'!H313</f>
        <v>0</v>
      </c>
      <c r="I313">
        <f>'[1]SNO RTF daily report1'!I313</f>
        <v>0</v>
      </c>
    </row>
    <row r="314" spans="1:9" x14ac:dyDescent="0.25">
      <c r="A314">
        <f>'[1]SNO RTF daily report1'!A314</f>
        <v>0</v>
      </c>
      <c r="B314">
        <f>'[1]SNO RTF daily report1'!B314</f>
        <v>0</v>
      </c>
      <c r="C314">
        <f>'[1]SNO RTF daily report1'!C314</f>
        <v>0</v>
      </c>
      <c r="D314">
        <f>'[1]SNO RTF daily report1'!D314</f>
        <v>0</v>
      </c>
      <c r="E314">
        <f>'[1]SNO RTF daily report1'!E314</f>
        <v>0</v>
      </c>
      <c r="F314">
        <f>'[1]SNO RTF daily report1'!F314</f>
        <v>0</v>
      </c>
      <c r="G314">
        <f>'[1]SNO RTF daily report1'!G314</f>
        <v>0</v>
      </c>
      <c r="H314">
        <f>'[1]SNO RTF daily report1'!H314</f>
        <v>0</v>
      </c>
      <c r="I314">
        <f>'[1]SNO RTF daily report1'!I314</f>
        <v>0</v>
      </c>
    </row>
    <row r="315" spans="1:9" x14ac:dyDescent="0.25">
      <c r="A315">
        <f>'[1]SNO RTF daily report1'!A315</f>
        <v>0</v>
      </c>
      <c r="B315">
        <f>'[1]SNO RTF daily report1'!B315</f>
        <v>0</v>
      </c>
      <c r="C315">
        <f>'[1]SNO RTF daily report1'!C315</f>
        <v>0</v>
      </c>
      <c r="D315">
        <f>'[1]SNO RTF daily report1'!D315</f>
        <v>0</v>
      </c>
      <c r="E315">
        <f>'[1]SNO RTF daily report1'!E315</f>
        <v>0</v>
      </c>
      <c r="F315">
        <f>'[1]SNO RTF daily report1'!F315</f>
        <v>0</v>
      </c>
      <c r="G315">
        <f>'[1]SNO RTF daily report1'!G315</f>
        <v>0</v>
      </c>
      <c r="H315">
        <f>'[1]SNO RTF daily report1'!H315</f>
        <v>0</v>
      </c>
      <c r="I315">
        <f>'[1]SNO RTF daily report1'!I315</f>
        <v>0</v>
      </c>
    </row>
    <row r="316" spans="1:9" x14ac:dyDescent="0.25">
      <c r="A316">
        <f>'[1]SNO RTF daily report1'!A316</f>
        <v>0</v>
      </c>
      <c r="B316">
        <f>'[1]SNO RTF daily report1'!B316</f>
        <v>0</v>
      </c>
      <c r="C316">
        <f>'[1]SNO RTF daily report1'!C316</f>
        <v>0</v>
      </c>
      <c r="D316">
        <f>'[1]SNO RTF daily report1'!D316</f>
        <v>0</v>
      </c>
      <c r="E316">
        <f>'[1]SNO RTF daily report1'!E316</f>
        <v>0</v>
      </c>
      <c r="F316">
        <f>'[1]SNO RTF daily report1'!F316</f>
        <v>0</v>
      </c>
      <c r="G316">
        <f>'[1]SNO RTF daily report1'!G316</f>
        <v>0</v>
      </c>
      <c r="H316">
        <f>'[1]SNO RTF daily report1'!H316</f>
        <v>0</v>
      </c>
      <c r="I316">
        <f>'[1]SNO RTF daily report1'!I316</f>
        <v>0</v>
      </c>
    </row>
    <row r="317" spans="1:9" x14ac:dyDescent="0.25">
      <c r="A317">
        <f>'[1]SNO RTF daily report1'!A317</f>
        <v>0</v>
      </c>
      <c r="B317">
        <f>'[1]SNO RTF daily report1'!B317</f>
        <v>0</v>
      </c>
      <c r="C317">
        <f>'[1]SNO RTF daily report1'!C317</f>
        <v>0</v>
      </c>
      <c r="D317">
        <f>'[1]SNO RTF daily report1'!D317</f>
        <v>0</v>
      </c>
      <c r="E317">
        <f>'[1]SNO RTF daily report1'!E317</f>
        <v>0</v>
      </c>
      <c r="F317">
        <f>'[1]SNO RTF daily report1'!F317</f>
        <v>0</v>
      </c>
      <c r="G317">
        <f>'[1]SNO RTF daily report1'!G317</f>
        <v>0</v>
      </c>
      <c r="H317">
        <f>'[1]SNO RTF daily report1'!H317</f>
        <v>0</v>
      </c>
      <c r="I317">
        <f>'[1]SNO RTF daily report1'!I317</f>
        <v>0</v>
      </c>
    </row>
    <row r="318" spans="1:9" x14ac:dyDescent="0.25">
      <c r="A318">
        <f>'[1]SNO RTF daily report1'!A318</f>
        <v>0</v>
      </c>
      <c r="B318">
        <f>'[1]SNO RTF daily report1'!B318</f>
        <v>0</v>
      </c>
      <c r="C318">
        <f>'[1]SNO RTF daily report1'!C318</f>
        <v>0</v>
      </c>
      <c r="D318">
        <f>'[1]SNO RTF daily report1'!D318</f>
        <v>0</v>
      </c>
      <c r="E318">
        <f>'[1]SNO RTF daily report1'!E318</f>
        <v>0</v>
      </c>
      <c r="F318">
        <f>'[1]SNO RTF daily report1'!F318</f>
        <v>0</v>
      </c>
      <c r="G318">
        <f>'[1]SNO RTF daily report1'!G318</f>
        <v>0</v>
      </c>
      <c r="H318">
        <f>'[1]SNO RTF daily report1'!H318</f>
        <v>0</v>
      </c>
      <c r="I318">
        <f>'[1]SNO RTF daily report1'!I318</f>
        <v>0</v>
      </c>
    </row>
    <row r="319" spans="1:9" x14ac:dyDescent="0.25">
      <c r="A319">
        <f>'[1]SNO RTF daily report1'!A319</f>
        <v>0</v>
      </c>
      <c r="B319">
        <f>'[1]SNO RTF daily report1'!B319</f>
        <v>0</v>
      </c>
      <c r="C319">
        <f>'[1]SNO RTF daily report1'!C319</f>
        <v>0</v>
      </c>
      <c r="D319">
        <f>'[1]SNO RTF daily report1'!D319</f>
        <v>0</v>
      </c>
      <c r="E319">
        <f>'[1]SNO RTF daily report1'!E319</f>
        <v>0</v>
      </c>
      <c r="F319">
        <f>'[1]SNO RTF daily report1'!F319</f>
        <v>0</v>
      </c>
      <c r="G319">
        <f>'[1]SNO RTF daily report1'!G319</f>
        <v>0</v>
      </c>
      <c r="H319">
        <f>'[1]SNO RTF daily report1'!H319</f>
        <v>0</v>
      </c>
      <c r="I319">
        <f>'[1]SNO RTF daily report1'!I319</f>
        <v>0</v>
      </c>
    </row>
    <row r="320" spans="1:9" x14ac:dyDescent="0.25">
      <c r="A320">
        <f>'[1]SNO RTF daily report1'!A320</f>
        <v>0</v>
      </c>
      <c r="B320">
        <f>'[1]SNO RTF daily report1'!B320</f>
        <v>0</v>
      </c>
      <c r="C320">
        <f>'[1]SNO RTF daily report1'!C320</f>
        <v>0</v>
      </c>
      <c r="D320">
        <f>'[1]SNO RTF daily report1'!D320</f>
        <v>0</v>
      </c>
      <c r="E320">
        <f>'[1]SNO RTF daily report1'!E320</f>
        <v>0</v>
      </c>
      <c r="F320">
        <f>'[1]SNO RTF daily report1'!F320</f>
        <v>0</v>
      </c>
      <c r="G320">
        <f>'[1]SNO RTF daily report1'!G320</f>
        <v>0</v>
      </c>
      <c r="H320">
        <f>'[1]SNO RTF daily report1'!H320</f>
        <v>0</v>
      </c>
      <c r="I320">
        <f>'[1]SNO RTF daily report1'!I320</f>
        <v>0</v>
      </c>
    </row>
    <row r="321" spans="1:9" x14ac:dyDescent="0.25">
      <c r="A321">
        <f>'[1]SNO RTF daily report1'!A321</f>
        <v>0</v>
      </c>
      <c r="B321">
        <f>'[1]SNO RTF daily report1'!B321</f>
        <v>0</v>
      </c>
      <c r="C321">
        <f>'[1]SNO RTF daily report1'!C321</f>
        <v>0</v>
      </c>
      <c r="D321">
        <f>'[1]SNO RTF daily report1'!D321</f>
        <v>0</v>
      </c>
      <c r="E321">
        <f>'[1]SNO RTF daily report1'!E321</f>
        <v>0</v>
      </c>
      <c r="F321">
        <f>'[1]SNO RTF daily report1'!F321</f>
        <v>0</v>
      </c>
      <c r="G321">
        <f>'[1]SNO RTF daily report1'!G321</f>
        <v>0</v>
      </c>
      <c r="H321">
        <f>'[1]SNO RTF daily report1'!H321</f>
        <v>0</v>
      </c>
      <c r="I321">
        <f>'[1]SNO RTF daily report1'!I321</f>
        <v>0</v>
      </c>
    </row>
    <row r="322" spans="1:9" x14ac:dyDescent="0.25">
      <c r="A322">
        <f>'[1]SNO RTF daily report1'!A322</f>
        <v>0</v>
      </c>
      <c r="B322">
        <f>'[1]SNO RTF daily report1'!B322</f>
        <v>0</v>
      </c>
      <c r="C322">
        <f>'[1]SNO RTF daily report1'!C322</f>
        <v>0</v>
      </c>
      <c r="D322">
        <f>'[1]SNO RTF daily report1'!D322</f>
        <v>0</v>
      </c>
      <c r="E322">
        <f>'[1]SNO RTF daily report1'!E322</f>
        <v>0</v>
      </c>
      <c r="F322">
        <f>'[1]SNO RTF daily report1'!F322</f>
        <v>0</v>
      </c>
      <c r="G322">
        <f>'[1]SNO RTF daily report1'!G322</f>
        <v>0</v>
      </c>
      <c r="H322">
        <f>'[1]SNO RTF daily report1'!H322</f>
        <v>0</v>
      </c>
      <c r="I322">
        <f>'[1]SNO RTF daily report1'!I322</f>
        <v>0</v>
      </c>
    </row>
    <row r="323" spans="1:9" x14ac:dyDescent="0.25">
      <c r="A323">
        <f>'[1]SNO RTF daily report1'!A323</f>
        <v>0</v>
      </c>
      <c r="B323">
        <f>'[1]SNO RTF daily report1'!B323</f>
        <v>0</v>
      </c>
      <c r="C323">
        <f>'[1]SNO RTF daily report1'!C323</f>
        <v>0</v>
      </c>
      <c r="D323">
        <f>'[1]SNO RTF daily report1'!D323</f>
        <v>0</v>
      </c>
      <c r="E323">
        <f>'[1]SNO RTF daily report1'!E323</f>
        <v>0</v>
      </c>
      <c r="F323">
        <f>'[1]SNO RTF daily report1'!F323</f>
        <v>0</v>
      </c>
      <c r="G323">
        <f>'[1]SNO RTF daily report1'!G323</f>
        <v>0</v>
      </c>
      <c r="H323">
        <f>'[1]SNO RTF daily report1'!H323</f>
        <v>0</v>
      </c>
      <c r="I323">
        <f>'[1]SNO RTF daily report1'!I323</f>
        <v>0</v>
      </c>
    </row>
    <row r="324" spans="1:9" x14ac:dyDescent="0.25">
      <c r="A324">
        <f>'[1]SNO RTF daily report1'!A324</f>
        <v>0</v>
      </c>
      <c r="B324">
        <f>'[1]SNO RTF daily report1'!B324</f>
        <v>0</v>
      </c>
      <c r="C324">
        <f>'[1]SNO RTF daily report1'!C324</f>
        <v>0</v>
      </c>
      <c r="D324">
        <f>'[1]SNO RTF daily report1'!D324</f>
        <v>0</v>
      </c>
      <c r="E324">
        <f>'[1]SNO RTF daily report1'!E324</f>
        <v>0</v>
      </c>
      <c r="F324">
        <f>'[1]SNO RTF daily report1'!F324</f>
        <v>0</v>
      </c>
      <c r="G324">
        <f>'[1]SNO RTF daily report1'!G324</f>
        <v>0</v>
      </c>
      <c r="H324">
        <f>'[1]SNO RTF daily report1'!H324</f>
        <v>0</v>
      </c>
      <c r="I324">
        <f>'[1]SNO RTF daily report1'!I324</f>
        <v>0</v>
      </c>
    </row>
    <row r="325" spans="1:9" x14ac:dyDescent="0.25">
      <c r="A325">
        <f>'[1]SNO RTF daily report1'!A325</f>
        <v>0</v>
      </c>
      <c r="B325">
        <f>'[1]SNO RTF daily report1'!B325</f>
        <v>0</v>
      </c>
      <c r="C325">
        <f>'[1]SNO RTF daily report1'!C325</f>
        <v>0</v>
      </c>
      <c r="D325">
        <f>'[1]SNO RTF daily report1'!D325</f>
        <v>0</v>
      </c>
      <c r="E325">
        <f>'[1]SNO RTF daily report1'!E325</f>
        <v>0</v>
      </c>
      <c r="F325">
        <f>'[1]SNO RTF daily report1'!F325</f>
        <v>0</v>
      </c>
      <c r="G325">
        <f>'[1]SNO RTF daily report1'!G325</f>
        <v>0</v>
      </c>
      <c r="H325">
        <f>'[1]SNO RTF daily report1'!H325</f>
        <v>0</v>
      </c>
      <c r="I325">
        <f>'[1]SNO RTF daily report1'!I325</f>
        <v>0</v>
      </c>
    </row>
    <row r="326" spans="1:9" x14ac:dyDescent="0.25">
      <c r="A326">
        <f>'[1]SNO RTF daily report1'!A326</f>
        <v>0</v>
      </c>
      <c r="B326">
        <f>'[1]SNO RTF daily report1'!B326</f>
        <v>0</v>
      </c>
      <c r="C326">
        <f>'[1]SNO RTF daily report1'!C326</f>
        <v>0</v>
      </c>
      <c r="D326">
        <f>'[1]SNO RTF daily report1'!D326</f>
        <v>0</v>
      </c>
      <c r="E326">
        <f>'[1]SNO RTF daily report1'!E326</f>
        <v>0</v>
      </c>
      <c r="F326">
        <f>'[1]SNO RTF daily report1'!F326</f>
        <v>0</v>
      </c>
      <c r="G326">
        <f>'[1]SNO RTF daily report1'!G326</f>
        <v>0</v>
      </c>
      <c r="H326">
        <f>'[1]SNO RTF daily report1'!H326</f>
        <v>0</v>
      </c>
      <c r="I326">
        <f>'[1]SNO RTF daily report1'!I326</f>
        <v>0</v>
      </c>
    </row>
    <row r="327" spans="1:9" x14ac:dyDescent="0.25">
      <c r="A327">
        <f>'[1]SNO RTF daily report1'!A327</f>
        <v>0</v>
      </c>
      <c r="B327">
        <f>'[1]SNO RTF daily report1'!B327</f>
        <v>0</v>
      </c>
      <c r="C327">
        <f>'[1]SNO RTF daily report1'!C327</f>
        <v>0</v>
      </c>
      <c r="D327">
        <f>'[1]SNO RTF daily report1'!D327</f>
        <v>0</v>
      </c>
      <c r="E327">
        <f>'[1]SNO RTF daily report1'!E327</f>
        <v>0</v>
      </c>
      <c r="F327">
        <f>'[1]SNO RTF daily report1'!F327</f>
        <v>0</v>
      </c>
      <c r="G327">
        <f>'[1]SNO RTF daily report1'!G327</f>
        <v>0</v>
      </c>
      <c r="H327">
        <f>'[1]SNO RTF daily report1'!H327</f>
        <v>0</v>
      </c>
      <c r="I327">
        <f>'[1]SNO RTF daily report1'!I327</f>
        <v>0</v>
      </c>
    </row>
    <row r="328" spans="1:9" x14ac:dyDescent="0.25">
      <c r="A328">
        <f>'[1]SNO RTF daily report1'!A328</f>
        <v>0</v>
      </c>
      <c r="B328">
        <f>'[1]SNO RTF daily report1'!B328</f>
        <v>0</v>
      </c>
      <c r="C328">
        <f>'[1]SNO RTF daily report1'!C328</f>
        <v>0</v>
      </c>
      <c r="D328">
        <f>'[1]SNO RTF daily report1'!D328</f>
        <v>0</v>
      </c>
      <c r="E328">
        <f>'[1]SNO RTF daily report1'!E328</f>
        <v>0</v>
      </c>
      <c r="F328">
        <f>'[1]SNO RTF daily report1'!F328</f>
        <v>0</v>
      </c>
      <c r="G328">
        <f>'[1]SNO RTF daily report1'!G328</f>
        <v>0</v>
      </c>
      <c r="H328">
        <f>'[1]SNO RTF daily report1'!H328</f>
        <v>0</v>
      </c>
      <c r="I328">
        <f>'[1]SNO RTF daily report1'!I328</f>
        <v>0</v>
      </c>
    </row>
    <row r="329" spans="1:9" x14ac:dyDescent="0.25">
      <c r="A329">
        <f>'[1]SNO RTF daily report1'!A329</f>
        <v>0</v>
      </c>
      <c r="B329">
        <f>'[1]SNO RTF daily report1'!B329</f>
        <v>0</v>
      </c>
      <c r="C329">
        <f>'[1]SNO RTF daily report1'!C329</f>
        <v>0</v>
      </c>
      <c r="D329">
        <f>'[1]SNO RTF daily report1'!D329</f>
        <v>0</v>
      </c>
      <c r="E329">
        <f>'[1]SNO RTF daily report1'!E329</f>
        <v>0</v>
      </c>
      <c r="F329">
        <f>'[1]SNO RTF daily report1'!F329</f>
        <v>0</v>
      </c>
      <c r="G329">
        <f>'[1]SNO RTF daily report1'!G329</f>
        <v>0</v>
      </c>
      <c r="H329">
        <f>'[1]SNO RTF daily report1'!H329</f>
        <v>0</v>
      </c>
      <c r="I329">
        <f>'[1]SNO RTF daily report1'!I329</f>
        <v>0</v>
      </c>
    </row>
    <row r="330" spans="1:9" x14ac:dyDescent="0.25">
      <c r="A330">
        <f>'[1]SNO RTF daily report1'!A330</f>
        <v>0</v>
      </c>
      <c r="B330">
        <f>'[1]SNO RTF daily report1'!B330</f>
        <v>0</v>
      </c>
      <c r="C330">
        <f>'[1]SNO RTF daily report1'!C330</f>
        <v>0</v>
      </c>
      <c r="D330">
        <f>'[1]SNO RTF daily report1'!D330</f>
        <v>0</v>
      </c>
      <c r="E330">
        <f>'[1]SNO RTF daily report1'!E330</f>
        <v>0</v>
      </c>
      <c r="F330">
        <f>'[1]SNO RTF daily report1'!F330</f>
        <v>0</v>
      </c>
      <c r="G330">
        <f>'[1]SNO RTF daily report1'!G330</f>
        <v>0</v>
      </c>
      <c r="H330">
        <f>'[1]SNO RTF daily report1'!H330</f>
        <v>0</v>
      </c>
      <c r="I330">
        <f>'[1]SNO RTF daily report1'!I330</f>
        <v>0</v>
      </c>
    </row>
    <row r="331" spans="1:9" x14ac:dyDescent="0.25">
      <c r="A331">
        <f>'[1]SNO RTF daily report1'!A331</f>
        <v>0</v>
      </c>
      <c r="B331">
        <f>'[1]SNO RTF daily report1'!B331</f>
        <v>0</v>
      </c>
      <c r="C331">
        <f>'[1]SNO RTF daily report1'!C331</f>
        <v>0</v>
      </c>
      <c r="D331">
        <f>'[1]SNO RTF daily report1'!D331</f>
        <v>0</v>
      </c>
      <c r="E331">
        <f>'[1]SNO RTF daily report1'!E331</f>
        <v>0</v>
      </c>
      <c r="F331">
        <f>'[1]SNO RTF daily report1'!F331</f>
        <v>0</v>
      </c>
      <c r="G331">
        <f>'[1]SNO RTF daily report1'!G331</f>
        <v>0</v>
      </c>
      <c r="H331">
        <f>'[1]SNO RTF daily report1'!H331</f>
        <v>0</v>
      </c>
      <c r="I331">
        <f>'[1]SNO RTF daily report1'!I331</f>
        <v>0</v>
      </c>
    </row>
    <row r="332" spans="1:9" x14ac:dyDescent="0.25">
      <c r="A332">
        <f>'[1]SNO RTF daily report1'!A332</f>
        <v>0</v>
      </c>
      <c r="B332">
        <f>'[1]SNO RTF daily report1'!B332</f>
        <v>0</v>
      </c>
      <c r="C332">
        <f>'[1]SNO RTF daily report1'!C332</f>
        <v>0</v>
      </c>
      <c r="D332">
        <f>'[1]SNO RTF daily report1'!D332</f>
        <v>0</v>
      </c>
      <c r="E332">
        <f>'[1]SNO RTF daily report1'!E332</f>
        <v>0</v>
      </c>
      <c r="F332">
        <f>'[1]SNO RTF daily report1'!F332</f>
        <v>0</v>
      </c>
      <c r="G332">
        <f>'[1]SNO RTF daily report1'!G332</f>
        <v>0</v>
      </c>
      <c r="H332">
        <f>'[1]SNO RTF daily report1'!H332</f>
        <v>0</v>
      </c>
      <c r="I332">
        <f>'[1]SNO RTF daily report1'!I332</f>
        <v>0</v>
      </c>
    </row>
    <row r="333" spans="1:9" x14ac:dyDescent="0.25">
      <c r="A333">
        <f>'[1]SNO RTF daily report1'!A333</f>
        <v>0</v>
      </c>
      <c r="B333">
        <f>'[1]SNO RTF daily report1'!B333</f>
        <v>0</v>
      </c>
      <c r="C333">
        <f>'[1]SNO RTF daily report1'!C333</f>
        <v>0</v>
      </c>
      <c r="D333">
        <f>'[1]SNO RTF daily report1'!D333</f>
        <v>0</v>
      </c>
      <c r="E333">
        <f>'[1]SNO RTF daily report1'!E333</f>
        <v>0</v>
      </c>
      <c r="F333">
        <f>'[1]SNO RTF daily report1'!F333</f>
        <v>0</v>
      </c>
      <c r="G333">
        <f>'[1]SNO RTF daily report1'!G333</f>
        <v>0</v>
      </c>
      <c r="H333">
        <f>'[1]SNO RTF daily report1'!H333</f>
        <v>0</v>
      </c>
      <c r="I333">
        <f>'[1]SNO RTF daily report1'!I333</f>
        <v>0</v>
      </c>
    </row>
    <row r="334" spans="1:9" x14ac:dyDescent="0.25">
      <c r="A334">
        <f>'[1]SNO RTF daily report1'!A334</f>
        <v>0</v>
      </c>
      <c r="B334">
        <f>'[1]SNO RTF daily report1'!B334</f>
        <v>0</v>
      </c>
      <c r="C334">
        <f>'[1]SNO RTF daily report1'!C334</f>
        <v>0</v>
      </c>
      <c r="D334">
        <f>'[1]SNO RTF daily report1'!D334</f>
        <v>0</v>
      </c>
      <c r="E334">
        <f>'[1]SNO RTF daily report1'!E334</f>
        <v>0</v>
      </c>
      <c r="F334">
        <f>'[1]SNO RTF daily report1'!F334</f>
        <v>0</v>
      </c>
      <c r="G334">
        <f>'[1]SNO RTF daily report1'!G334</f>
        <v>0</v>
      </c>
      <c r="H334">
        <f>'[1]SNO RTF daily report1'!H334</f>
        <v>0</v>
      </c>
      <c r="I334">
        <f>'[1]SNO RTF daily report1'!I334</f>
        <v>0</v>
      </c>
    </row>
    <row r="335" spans="1:9" x14ac:dyDescent="0.25">
      <c r="A335">
        <f>'[1]SNO RTF daily report1'!A335</f>
        <v>0</v>
      </c>
      <c r="B335">
        <f>'[1]SNO RTF daily report1'!B335</f>
        <v>0</v>
      </c>
      <c r="C335">
        <f>'[1]SNO RTF daily report1'!C335</f>
        <v>0</v>
      </c>
      <c r="D335">
        <f>'[1]SNO RTF daily report1'!D335</f>
        <v>0</v>
      </c>
      <c r="E335">
        <f>'[1]SNO RTF daily report1'!E335</f>
        <v>0</v>
      </c>
      <c r="F335">
        <f>'[1]SNO RTF daily report1'!F335</f>
        <v>0</v>
      </c>
      <c r="G335">
        <f>'[1]SNO RTF daily report1'!G335</f>
        <v>0</v>
      </c>
      <c r="H335">
        <f>'[1]SNO RTF daily report1'!H335</f>
        <v>0</v>
      </c>
      <c r="I335">
        <f>'[1]SNO RTF daily report1'!I335</f>
        <v>0</v>
      </c>
    </row>
    <row r="336" spans="1:9" x14ac:dyDescent="0.25">
      <c r="A336">
        <f>'[1]SNO RTF daily report1'!A336</f>
        <v>0</v>
      </c>
      <c r="B336">
        <f>'[1]SNO RTF daily report1'!B336</f>
        <v>0</v>
      </c>
      <c r="C336">
        <f>'[1]SNO RTF daily report1'!C336</f>
        <v>0</v>
      </c>
      <c r="D336">
        <f>'[1]SNO RTF daily report1'!D336</f>
        <v>0</v>
      </c>
      <c r="E336">
        <f>'[1]SNO RTF daily report1'!E336</f>
        <v>0</v>
      </c>
      <c r="F336">
        <f>'[1]SNO RTF daily report1'!F336</f>
        <v>0</v>
      </c>
      <c r="G336">
        <f>'[1]SNO RTF daily report1'!G336</f>
        <v>0</v>
      </c>
      <c r="H336">
        <f>'[1]SNO RTF daily report1'!H336</f>
        <v>0</v>
      </c>
      <c r="I336">
        <f>'[1]SNO RTF daily report1'!I336</f>
        <v>0</v>
      </c>
    </row>
    <row r="337" spans="1:9" x14ac:dyDescent="0.25">
      <c r="A337">
        <f>'[1]SNO RTF daily report1'!A337</f>
        <v>0</v>
      </c>
      <c r="B337">
        <f>'[1]SNO RTF daily report1'!B337</f>
        <v>0</v>
      </c>
      <c r="C337">
        <f>'[1]SNO RTF daily report1'!C337</f>
        <v>0</v>
      </c>
      <c r="D337">
        <f>'[1]SNO RTF daily report1'!D337</f>
        <v>0</v>
      </c>
      <c r="E337">
        <f>'[1]SNO RTF daily report1'!E337</f>
        <v>0</v>
      </c>
      <c r="F337">
        <f>'[1]SNO RTF daily report1'!F337</f>
        <v>0</v>
      </c>
      <c r="G337">
        <f>'[1]SNO RTF daily report1'!G337</f>
        <v>0</v>
      </c>
      <c r="H337">
        <f>'[1]SNO RTF daily report1'!H337</f>
        <v>0</v>
      </c>
      <c r="I337">
        <f>'[1]SNO RTF daily report1'!I337</f>
        <v>0</v>
      </c>
    </row>
    <row r="338" spans="1:9" x14ac:dyDescent="0.25">
      <c r="A338">
        <f>'[1]SNO RTF daily report1'!A338</f>
        <v>0</v>
      </c>
      <c r="B338">
        <f>'[1]SNO RTF daily report1'!B338</f>
        <v>0</v>
      </c>
      <c r="C338">
        <f>'[1]SNO RTF daily report1'!C338</f>
        <v>0</v>
      </c>
      <c r="D338">
        <f>'[1]SNO RTF daily report1'!D338</f>
        <v>0</v>
      </c>
      <c r="E338">
        <f>'[1]SNO RTF daily report1'!E338</f>
        <v>0</v>
      </c>
      <c r="F338">
        <f>'[1]SNO RTF daily report1'!F338</f>
        <v>0</v>
      </c>
      <c r="G338">
        <f>'[1]SNO RTF daily report1'!G338</f>
        <v>0</v>
      </c>
      <c r="H338">
        <f>'[1]SNO RTF daily report1'!H338</f>
        <v>0</v>
      </c>
      <c r="I338">
        <f>'[1]SNO RTF daily report1'!I338</f>
        <v>0</v>
      </c>
    </row>
    <row r="339" spans="1:9" x14ac:dyDescent="0.25">
      <c r="A339">
        <f>'[1]SNO RTF daily report1'!A339</f>
        <v>0</v>
      </c>
      <c r="B339">
        <f>'[1]SNO RTF daily report1'!B339</f>
        <v>0</v>
      </c>
      <c r="C339">
        <f>'[1]SNO RTF daily report1'!C339</f>
        <v>0</v>
      </c>
      <c r="D339">
        <f>'[1]SNO RTF daily report1'!D339</f>
        <v>0</v>
      </c>
      <c r="E339">
        <f>'[1]SNO RTF daily report1'!E339</f>
        <v>0</v>
      </c>
      <c r="F339">
        <f>'[1]SNO RTF daily report1'!F339</f>
        <v>0</v>
      </c>
      <c r="G339">
        <f>'[1]SNO RTF daily report1'!G339</f>
        <v>0</v>
      </c>
      <c r="H339">
        <f>'[1]SNO RTF daily report1'!H339</f>
        <v>0</v>
      </c>
      <c r="I339">
        <f>'[1]SNO RTF daily report1'!I339</f>
        <v>0</v>
      </c>
    </row>
    <row r="340" spans="1:9" x14ac:dyDescent="0.25">
      <c r="A340">
        <f>'[1]SNO RTF daily report1'!A340</f>
        <v>0</v>
      </c>
      <c r="B340">
        <f>'[1]SNO RTF daily report1'!B340</f>
        <v>0</v>
      </c>
      <c r="C340">
        <f>'[1]SNO RTF daily report1'!C340</f>
        <v>0</v>
      </c>
      <c r="D340">
        <f>'[1]SNO RTF daily report1'!D340</f>
        <v>0</v>
      </c>
      <c r="E340">
        <f>'[1]SNO RTF daily report1'!E340</f>
        <v>0</v>
      </c>
      <c r="F340">
        <f>'[1]SNO RTF daily report1'!F340</f>
        <v>0</v>
      </c>
      <c r="G340">
        <f>'[1]SNO RTF daily report1'!G340</f>
        <v>0</v>
      </c>
      <c r="H340">
        <f>'[1]SNO RTF daily report1'!H340</f>
        <v>0</v>
      </c>
      <c r="I340">
        <f>'[1]SNO RTF daily report1'!I340</f>
        <v>0</v>
      </c>
    </row>
    <row r="341" spans="1:9" x14ac:dyDescent="0.25">
      <c r="A341">
        <f>'[1]SNO RTF daily report1'!A341</f>
        <v>0</v>
      </c>
      <c r="B341">
        <f>'[1]SNO RTF daily report1'!B341</f>
        <v>0</v>
      </c>
      <c r="C341">
        <f>'[1]SNO RTF daily report1'!C341</f>
        <v>0</v>
      </c>
      <c r="D341">
        <f>'[1]SNO RTF daily report1'!D341</f>
        <v>0</v>
      </c>
      <c r="E341">
        <f>'[1]SNO RTF daily report1'!E341</f>
        <v>0</v>
      </c>
      <c r="F341">
        <f>'[1]SNO RTF daily report1'!F341</f>
        <v>0</v>
      </c>
      <c r="G341">
        <f>'[1]SNO RTF daily report1'!G341</f>
        <v>0</v>
      </c>
      <c r="H341">
        <f>'[1]SNO RTF daily report1'!H341</f>
        <v>0</v>
      </c>
      <c r="I341">
        <f>'[1]SNO RTF daily report1'!I341</f>
        <v>0</v>
      </c>
    </row>
    <row r="342" spans="1:9" x14ac:dyDescent="0.25">
      <c r="A342">
        <f>'[1]SNO RTF daily report1'!A342</f>
        <v>0</v>
      </c>
      <c r="B342">
        <f>'[1]SNO RTF daily report1'!B342</f>
        <v>0</v>
      </c>
      <c r="C342">
        <f>'[1]SNO RTF daily report1'!C342</f>
        <v>0</v>
      </c>
      <c r="D342">
        <f>'[1]SNO RTF daily report1'!D342</f>
        <v>0</v>
      </c>
      <c r="E342">
        <f>'[1]SNO RTF daily report1'!E342</f>
        <v>0</v>
      </c>
      <c r="F342">
        <f>'[1]SNO RTF daily report1'!F342</f>
        <v>0</v>
      </c>
      <c r="G342">
        <f>'[1]SNO RTF daily report1'!G342</f>
        <v>0</v>
      </c>
      <c r="H342">
        <f>'[1]SNO RTF daily report1'!H342</f>
        <v>0</v>
      </c>
      <c r="I342">
        <f>'[1]SNO RTF daily report1'!I342</f>
        <v>0</v>
      </c>
    </row>
    <row r="343" spans="1:9" x14ac:dyDescent="0.25">
      <c r="A343">
        <f>'[1]SNO RTF daily report1'!A343</f>
        <v>0</v>
      </c>
      <c r="B343">
        <f>'[1]SNO RTF daily report1'!B343</f>
        <v>0</v>
      </c>
      <c r="C343">
        <f>'[1]SNO RTF daily report1'!C343</f>
        <v>0</v>
      </c>
      <c r="D343">
        <f>'[1]SNO RTF daily report1'!D343</f>
        <v>0</v>
      </c>
      <c r="E343">
        <f>'[1]SNO RTF daily report1'!E343</f>
        <v>0</v>
      </c>
      <c r="F343">
        <f>'[1]SNO RTF daily report1'!F343</f>
        <v>0</v>
      </c>
      <c r="G343">
        <f>'[1]SNO RTF daily report1'!G343</f>
        <v>0</v>
      </c>
      <c r="H343">
        <f>'[1]SNO RTF daily report1'!H343</f>
        <v>0</v>
      </c>
      <c r="I343">
        <f>'[1]SNO RTF daily report1'!I343</f>
        <v>0</v>
      </c>
    </row>
    <row r="344" spans="1:9" x14ac:dyDescent="0.25">
      <c r="A344">
        <f>'[1]SNO RTF daily report1'!A344</f>
        <v>0</v>
      </c>
      <c r="B344">
        <f>'[1]SNO RTF daily report1'!B344</f>
        <v>0</v>
      </c>
      <c r="C344">
        <f>'[1]SNO RTF daily report1'!C344</f>
        <v>0</v>
      </c>
      <c r="D344">
        <f>'[1]SNO RTF daily report1'!D344</f>
        <v>0</v>
      </c>
      <c r="E344">
        <f>'[1]SNO RTF daily report1'!E344</f>
        <v>0</v>
      </c>
      <c r="F344">
        <f>'[1]SNO RTF daily report1'!F344</f>
        <v>0</v>
      </c>
      <c r="G344">
        <f>'[1]SNO RTF daily report1'!G344</f>
        <v>0</v>
      </c>
      <c r="H344">
        <f>'[1]SNO RTF daily report1'!H344</f>
        <v>0</v>
      </c>
      <c r="I344">
        <f>'[1]SNO RTF daily report1'!I344</f>
        <v>0</v>
      </c>
    </row>
    <row r="345" spans="1:9" x14ac:dyDescent="0.25">
      <c r="A345">
        <f>'[1]SNO RTF daily report1'!A345</f>
        <v>0</v>
      </c>
      <c r="B345">
        <f>'[1]SNO RTF daily report1'!B345</f>
        <v>0</v>
      </c>
      <c r="C345">
        <f>'[1]SNO RTF daily report1'!C345</f>
        <v>0</v>
      </c>
      <c r="D345">
        <f>'[1]SNO RTF daily report1'!D345</f>
        <v>0</v>
      </c>
      <c r="E345">
        <f>'[1]SNO RTF daily report1'!E345</f>
        <v>0</v>
      </c>
      <c r="F345">
        <f>'[1]SNO RTF daily report1'!F345</f>
        <v>0</v>
      </c>
      <c r="G345">
        <f>'[1]SNO RTF daily report1'!G345</f>
        <v>0</v>
      </c>
      <c r="H345">
        <f>'[1]SNO RTF daily report1'!H345</f>
        <v>0</v>
      </c>
      <c r="I345">
        <f>'[1]SNO RTF daily report1'!I345</f>
        <v>0</v>
      </c>
    </row>
    <row r="346" spans="1:9" x14ac:dyDescent="0.25">
      <c r="A346">
        <f>'[1]SNO RTF daily report1'!A346</f>
        <v>0</v>
      </c>
      <c r="B346">
        <f>'[1]SNO RTF daily report1'!B346</f>
        <v>0</v>
      </c>
      <c r="C346">
        <f>'[1]SNO RTF daily report1'!C346</f>
        <v>0</v>
      </c>
      <c r="D346">
        <f>'[1]SNO RTF daily report1'!D346</f>
        <v>0</v>
      </c>
      <c r="E346">
        <f>'[1]SNO RTF daily report1'!E346</f>
        <v>0</v>
      </c>
      <c r="F346">
        <f>'[1]SNO RTF daily report1'!F346</f>
        <v>0</v>
      </c>
      <c r="G346">
        <f>'[1]SNO RTF daily report1'!G346</f>
        <v>0</v>
      </c>
      <c r="H346">
        <f>'[1]SNO RTF daily report1'!H346</f>
        <v>0</v>
      </c>
      <c r="I346">
        <f>'[1]SNO RTF daily report1'!I346</f>
        <v>0</v>
      </c>
    </row>
    <row r="347" spans="1:9" x14ac:dyDescent="0.25">
      <c r="A347">
        <f>'[1]SNO RTF daily report1'!A347</f>
        <v>0</v>
      </c>
      <c r="B347">
        <f>'[1]SNO RTF daily report1'!B347</f>
        <v>0</v>
      </c>
      <c r="C347">
        <f>'[1]SNO RTF daily report1'!C347</f>
        <v>0</v>
      </c>
      <c r="D347">
        <f>'[1]SNO RTF daily report1'!D347</f>
        <v>0</v>
      </c>
      <c r="E347">
        <f>'[1]SNO RTF daily report1'!E347</f>
        <v>0</v>
      </c>
      <c r="F347">
        <f>'[1]SNO RTF daily report1'!F347</f>
        <v>0</v>
      </c>
      <c r="G347">
        <f>'[1]SNO RTF daily report1'!G347</f>
        <v>0</v>
      </c>
      <c r="H347">
        <f>'[1]SNO RTF daily report1'!H347</f>
        <v>0</v>
      </c>
      <c r="I347">
        <f>'[1]SNO RTF daily report1'!I347</f>
        <v>0</v>
      </c>
    </row>
    <row r="348" spans="1:9" x14ac:dyDescent="0.25">
      <c r="A348">
        <f>'[1]SNO RTF daily report1'!A348</f>
        <v>0</v>
      </c>
      <c r="B348">
        <f>'[1]SNO RTF daily report1'!B348</f>
        <v>0</v>
      </c>
      <c r="C348">
        <f>'[1]SNO RTF daily report1'!C348</f>
        <v>0</v>
      </c>
      <c r="D348">
        <f>'[1]SNO RTF daily report1'!D348</f>
        <v>0</v>
      </c>
      <c r="E348">
        <f>'[1]SNO RTF daily report1'!E348</f>
        <v>0</v>
      </c>
      <c r="F348">
        <f>'[1]SNO RTF daily report1'!F348</f>
        <v>0</v>
      </c>
      <c r="G348">
        <f>'[1]SNO RTF daily report1'!G348</f>
        <v>0</v>
      </c>
      <c r="H348">
        <f>'[1]SNO RTF daily report1'!H348</f>
        <v>0</v>
      </c>
      <c r="I348">
        <f>'[1]SNO RTF daily report1'!I348</f>
        <v>0</v>
      </c>
    </row>
    <row r="349" spans="1:9" x14ac:dyDescent="0.25">
      <c r="A349">
        <f>'[1]SNO RTF daily report1'!A349</f>
        <v>0</v>
      </c>
      <c r="B349">
        <f>'[1]SNO RTF daily report1'!B349</f>
        <v>0</v>
      </c>
      <c r="C349">
        <f>'[1]SNO RTF daily report1'!C349</f>
        <v>0</v>
      </c>
      <c r="D349">
        <f>'[1]SNO RTF daily report1'!D349</f>
        <v>0</v>
      </c>
      <c r="E349">
        <f>'[1]SNO RTF daily report1'!E349</f>
        <v>0</v>
      </c>
      <c r="F349">
        <f>'[1]SNO RTF daily report1'!F349</f>
        <v>0</v>
      </c>
      <c r="G349">
        <f>'[1]SNO RTF daily report1'!G349</f>
        <v>0</v>
      </c>
      <c r="H349">
        <f>'[1]SNO RTF daily report1'!H349</f>
        <v>0</v>
      </c>
      <c r="I349">
        <f>'[1]SNO RTF daily report1'!I349</f>
        <v>0</v>
      </c>
    </row>
    <row r="350" spans="1:9" x14ac:dyDescent="0.25">
      <c r="A350">
        <f>'[1]SNO RTF daily report1'!A350</f>
        <v>0</v>
      </c>
      <c r="B350">
        <f>'[1]SNO RTF daily report1'!B350</f>
        <v>0</v>
      </c>
      <c r="C350">
        <f>'[1]SNO RTF daily report1'!C350</f>
        <v>0</v>
      </c>
      <c r="D350">
        <f>'[1]SNO RTF daily report1'!D350</f>
        <v>0</v>
      </c>
      <c r="E350">
        <f>'[1]SNO RTF daily report1'!E350</f>
        <v>0</v>
      </c>
      <c r="F350">
        <f>'[1]SNO RTF daily report1'!F350</f>
        <v>0</v>
      </c>
      <c r="G350">
        <f>'[1]SNO RTF daily report1'!G350</f>
        <v>0</v>
      </c>
      <c r="H350">
        <f>'[1]SNO RTF daily report1'!H350</f>
        <v>0</v>
      </c>
      <c r="I350">
        <f>'[1]SNO RTF daily report1'!I350</f>
        <v>0</v>
      </c>
    </row>
    <row r="351" spans="1:9" x14ac:dyDescent="0.25">
      <c r="A351">
        <f>'[1]SNO RTF daily report1'!A351</f>
        <v>0</v>
      </c>
      <c r="B351">
        <f>'[1]SNO RTF daily report1'!B351</f>
        <v>0</v>
      </c>
      <c r="C351">
        <f>'[1]SNO RTF daily report1'!C351</f>
        <v>0</v>
      </c>
      <c r="D351">
        <f>'[1]SNO RTF daily report1'!D351</f>
        <v>0</v>
      </c>
      <c r="E351">
        <f>'[1]SNO RTF daily report1'!E351</f>
        <v>0</v>
      </c>
      <c r="F351">
        <f>'[1]SNO RTF daily report1'!F351</f>
        <v>0</v>
      </c>
      <c r="G351">
        <f>'[1]SNO RTF daily report1'!G351</f>
        <v>0</v>
      </c>
      <c r="H351">
        <f>'[1]SNO RTF daily report1'!H351</f>
        <v>0</v>
      </c>
      <c r="I351">
        <f>'[1]SNO RTF daily report1'!I351</f>
        <v>0</v>
      </c>
    </row>
    <row r="352" spans="1:9" x14ac:dyDescent="0.25">
      <c r="A352">
        <f>'[1]SNO RTF daily report1'!A352</f>
        <v>0</v>
      </c>
      <c r="B352">
        <f>'[1]SNO RTF daily report1'!B352</f>
        <v>0</v>
      </c>
      <c r="C352">
        <f>'[1]SNO RTF daily report1'!C352</f>
        <v>0</v>
      </c>
      <c r="D352">
        <f>'[1]SNO RTF daily report1'!D352</f>
        <v>0</v>
      </c>
      <c r="E352">
        <f>'[1]SNO RTF daily report1'!E352</f>
        <v>0</v>
      </c>
      <c r="F352">
        <f>'[1]SNO RTF daily report1'!F352</f>
        <v>0</v>
      </c>
      <c r="G352">
        <f>'[1]SNO RTF daily report1'!G352</f>
        <v>0</v>
      </c>
      <c r="H352">
        <f>'[1]SNO RTF daily report1'!H352</f>
        <v>0</v>
      </c>
      <c r="I352">
        <f>'[1]SNO RTF daily report1'!I352</f>
        <v>0</v>
      </c>
    </row>
    <row r="353" spans="1:9" x14ac:dyDescent="0.25">
      <c r="A353">
        <f>'[1]SNO RTF daily report1'!A353</f>
        <v>0</v>
      </c>
      <c r="B353">
        <f>'[1]SNO RTF daily report1'!B353</f>
        <v>0</v>
      </c>
      <c r="C353">
        <f>'[1]SNO RTF daily report1'!C353</f>
        <v>0</v>
      </c>
      <c r="D353">
        <f>'[1]SNO RTF daily report1'!D353</f>
        <v>0</v>
      </c>
      <c r="E353">
        <f>'[1]SNO RTF daily report1'!E353</f>
        <v>0</v>
      </c>
      <c r="F353">
        <f>'[1]SNO RTF daily report1'!F353</f>
        <v>0</v>
      </c>
      <c r="G353">
        <f>'[1]SNO RTF daily report1'!G353</f>
        <v>0</v>
      </c>
      <c r="H353">
        <f>'[1]SNO RTF daily report1'!H353</f>
        <v>0</v>
      </c>
      <c r="I353">
        <f>'[1]SNO RTF daily report1'!I353</f>
        <v>0</v>
      </c>
    </row>
    <row r="354" spans="1:9" x14ac:dyDescent="0.25">
      <c r="A354">
        <f>'[1]SNO RTF daily report1'!A354</f>
        <v>0</v>
      </c>
      <c r="B354">
        <f>'[1]SNO RTF daily report1'!B354</f>
        <v>0</v>
      </c>
      <c r="C354">
        <f>'[1]SNO RTF daily report1'!C354</f>
        <v>0</v>
      </c>
      <c r="D354">
        <f>'[1]SNO RTF daily report1'!D354</f>
        <v>0</v>
      </c>
      <c r="E354">
        <f>'[1]SNO RTF daily report1'!E354</f>
        <v>0</v>
      </c>
      <c r="F354">
        <f>'[1]SNO RTF daily report1'!F354</f>
        <v>0</v>
      </c>
      <c r="G354">
        <f>'[1]SNO RTF daily report1'!G354</f>
        <v>0</v>
      </c>
      <c r="H354">
        <f>'[1]SNO RTF daily report1'!H354</f>
        <v>0</v>
      </c>
      <c r="I354">
        <f>'[1]SNO RTF daily report1'!I354</f>
        <v>0</v>
      </c>
    </row>
    <row r="355" spans="1:9" x14ac:dyDescent="0.25">
      <c r="A355">
        <f>'[1]SNO RTF daily report1'!A355</f>
        <v>0</v>
      </c>
      <c r="B355">
        <f>'[1]SNO RTF daily report1'!B355</f>
        <v>0</v>
      </c>
      <c r="C355">
        <f>'[1]SNO RTF daily report1'!C355</f>
        <v>0</v>
      </c>
      <c r="D355">
        <f>'[1]SNO RTF daily report1'!D355</f>
        <v>0</v>
      </c>
      <c r="E355">
        <f>'[1]SNO RTF daily report1'!E355</f>
        <v>0</v>
      </c>
      <c r="F355">
        <f>'[1]SNO RTF daily report1'!F355</f>
        <v>0</v>
      </c>
      <c r="G355">
        <f>'[1]SNO RTF daily report1'!G355</f>
        <v>0</v>
      </c>
      <c r="H355">
        <f>'[1]SNO RTF daily report1'!H355</f>
        <v>0</v>
      </c>
      <c r="I355">
        <f>'[1]SNO RTF daily report1'!I355</f>
        <v>0</v>
      </c>
    </row>
    <row r="356" spans="1:9" x14ac:dyDescent="0.25">
      <c r="A356">
        <f>'[1]SNO RTF daily report1'!A356</f>
        <v>0</v>
      </c>
      <c r="B356">
        <f>'[1]SNO RTF daily report1'!B356</f>
        <v>0</v>
      </c>
      <c r="C356">
        <f>'[1]SNO RTF daily report1'!C356</f>
        <v>0</v>
      </c>
      <c r="D356">
        <f>'[1]SNO RTF daily report1'!D356</f>
        <v>0</v>
      </c>
      <c r="E356">
        <f>'[1]SNO RTF daily report1'!E356</f>
        <v>0</v>
      </c>
      <c r="F356">
        <f>'[1]SNO RTF daily report1'!F356</f>
        <v>0</v>
      </c>
      <c r="G356">
        <f>'[1]SNO RTF daily report1'!G356</f>
        <v>0</v>
      </c>
      <c r="H356">
        <f>'[1]SNO RTF daily report1'!H356</f>
        <v>0</v>
      </c>
      <c r="I356">
        <f>'[1]SNO RTF daily report1'!I356</f>
        <v>0</v>
      </c>
    </row>
    <row r="357" spans="1:9" x14ac:dyDescent="0.25">
      <c r="A357">
        <f>'[1]SNO RTF daily report1'!A357</f>
        <v>0</v>
      </c>
      <c r="B357">
        <f>'[1]SNO RTF daily report1'!B357</f>
        <v>0</v>
      </c>
      <c r="C357">
        <f>'[1]SNO RTF daily report1'!C357</f>
        <v>0</v>
      </c>
      <c r="D357">
        <f>'[1]SNO RTF daily report1'!D357</f>
        <v>0</v>
      </c>
      <c r="E357">
        <f>'[1]SNO RTF daily report1'!E357</f>
        <v>0</v>
      </c>
      <c r="F357">
        <f>'[1]SNO RTF daily report1'!F357</f>
        <v>0</v>
      </c>
      <c r="G357">
        <f>'[1]SNO RTF daily report1'!G357</f>
        <v>0</v>
      </c>
      <c r="H357">
        <f>'[1]SNO RTF daily report1'!H357</f>
        <v>0</v>
      </c>
      <c r="I357">
        <f>'[1]SNO RTF daily report1'!I357</f>
        <v>0</v>
      </c>
    </row>
    <row r="358" spans="1:9" x14ac:dyDescent="0.25">
      <c r="A358">
        <f>'[1]SNO RTF daily report1'!A358</f>
        <v>0</v>
      </c>
      <c r="B358">
        <f>'[1]SNO RTF daily report1'!B358</f>
        <v>0</v>
      </c>
      <c r="C358">
        <f>'[1]SNO RTF daily report1'!C358</f>
        <v>0</v>
      </c>
      <c r="D358">
        <f>'[1]SNO RTF daily report1'!D358</f>
        <v>0</v>
      </c>
      <c r="E358">
        <f>'[1]SNO RTF daily report1'!E358</f>
        <v>0</v>
      </c>
      <c r="F358">
        <f>'[1]SNO RTF daily report1'!F358</f>
        <v>0</v>
      </c>
      <c r="G358">
        <f>'[1]SNO RTF daily report1'!G358</f>
        <v>0</v>
      </c>
      <c r="H358">
        <f>'[1]SNO RTF daily report1'!H358</f>
        <v>0</v>
      </c>
      <c r="I358">
        <f>'[1]SNO RTF daily report1'!I358</f>
        <v>0</v>
      </c>
    </row>
    <row r="359" spans="1:9" x14ac:dyDescent="0.25">
      <c r="A359">
        <f>'[1]SNO RTF daily report1'!A359</f>
        <v>0</v>
      </c>
      <c r="B359">
        <f>'[1]SNO RTF daily report1'!B359</f>
        <v>0</v>
      </c>
      <c r="C359">
        <f>'[1]SNO RTF daily report1'!C359</f>
        <v>0</v>
      </c>
      <c r="D359">
        <f>'[1]SNO RTF daily report1'!D359</f>
        <v>0</v>
      </c>
      <c r="E359">
        <f>'[1]SNO RTF daily report1'!E359</f>
        <v>0</v>
      </c>
      <c r="F359">
        <f>'[1]SNO RTF daily report1'!F359</f>
        <v>0</v>
      </c>
      <c r="G359">
        <f>'[1]SNO RTF daily report1'!G359</f>
        <v>0</v>
      </c>
      <c r="H359">
        <f>'[1]SNO RTF daily report1'!H359</f>
        <v>0</v>
      </c>
      <c r="I359">
        <f>'[1]SNO RTF daily report1'!I359</f>
        <v>0</v>
      </c>
    </row>
    <row r="360" spans="1:9" x14ac:dyDescent="0.25">
      <c r="A360">
        <f>'[1]SNO RTF daily report1'!A360</f>
        <v>0</v>
      </c>
      <c r="B360">
        <f>'[1]SNO RTF daily report1'!B360</f>
        <v>0</v>
      </c>
      <c r="C360">
        <f>'[1]SNO RTF daily report1'!C360</f>
        <v>0</v>
      </c>
      <c r="D360">
        <f>'[1]SNO RTF daily report1'!D360</f>
        <v>0</v>
      </c>
      <c r="E360">
        <f>'[1]SNO RTF daily report1'!E360</f>
        <v>0</v>
      </c>
      <c r="F360">
        <f>'[1]SNO RTF daily report1'!F360</f>
        <v>0</v>
      </c>
      <c r="G360">
        <f>'[1]SNO RTF daily report1'!G360</f>
        <v>0</v>
      </c>
      <c r="H360">
        <f>'[1]SNO RTF daily report1'!H360</f>
        <v>0</v>
      </c>
      <c r="I360">
        <f>'[1]SNO RTF daily report1'!I360</f>
        <v>0</v>
      </c>
    </row>
    <row r="361" spans="1:9" x14ac:dyDescent="0.25">
      <c r="A361">
        <f>'[1]SNO RTF daily report1'!A361</f>
        <v>0</v>
      </c>
      <c r="B361">
        <f>'[1]SNO RTF daily report1'!B361</f>
        <v>0</v>
      </c>
      <c r="C361">
        <f>'[1]SNO RTF daily report1'!C361</f>
        <v>0</v>
      </c>
      <c r="D361">
        <f>'[1]SNO RTF daily report1'!D361</f>
        <v>0</v>
      </c>
      <c r="E361">
        <f>'[1]SNO RTF daily report1'!E361</f>
        <v>0</v>
      </c>
      <c r="F361">
        <f>'[1]SNO RTF daily report1'!F361</f>
        <v>0</v>
      </c>
      <c r="G361">
        <f>'[1]SNO RTF daily report1'!G361</f>
        <v>0</v>
      </c>
      <c r="H361">
        <f>'[1]SNO RTF daily report1'!H361</f>
        <v>0</v>
      </c>
      <c r="I361">
        <f>'[1]SNO RTF daily report1'!I361</f>
        <v>0</v>
      </c>
    </row>
    <row r="362" spans="1:9" x14ac:dyDescent="0.25">
      <c r="A362">
        <f>'[1]SNO RTF daily report1'!A362</f>
        <v>0</v>
      </c>
      <c r="B362">
        <f>'[1]SNO RTF daily report1'!B362</f>
        <v>0</v>
      </c>
      <c r="C362">
        <f>'[1]SNO RTF daily report1'!C362</f>
        <v>0</v>
      </c>
      <c r="D362">
        <f>'[1]SNO RTF daily report1'!D362</f>
        <v>0</v>
      </c>
      <c r="E362">
        <f>'[1]SNO RTF daily report1'!E362</f>
        <v>0</v>
      </c>
      <c r="F362">
        <f>'[1]SNO RTF daily report1'!F362</f>
        <v>0</v>
      </c>
      <c r="G362">
        <f>'[1]SNO RTF daily report1'!G362</f>
        <v>0</v>
      </c>
      <c r="H362">
        <f>'[1]SNO RTF daily report1'!H362</f>
        <v>0</v>
      </c>
      <c r="I362">
        <f>'[1]SNO RTF daily report1'!I362</f>
        <v>0</v>
      </c>
    </row>
    <row r="363" spans="1:9" x14ac:dyDescent="0.25">
      <c r="A363">
        <f>'[1]SNO RTF daily report1'!A363</f>
        <v>0</v>
      </c>
      <c r="B363">
        <f>'[1]SNO RTF daily report1'!B363</f>
        <v>0</v>
      </c>
      <c r="C363">
        <f>'[1]SNO RTF daily report1'!C363</f>
        <v>0</v>
      </c>
      <c r="D363">
        <f>'[1]SNO RTF daily report1'!D363</f>
        <v>0</v>
      </c>
      <c r="E363">
        <f>'[1]SNO RTF daily report1'!E363</f>
        <v>0</v>
      </c>
      <c r="F363">
        <f>'[1]SNO RTF daily report1'!F363</f>
        <v>0</v>
      </c>
      <c r="G363">
        <f>'[1]SNO RTF daily report1'!G363</f>
        <v>0</v>
      </c>
      <c r="H363">
        <f>'[1]SNO RTF daily report1'!H363</f>
        <v>0</v>
      </c>
      <c r="I363">
        <f>'[1]SNO RTF daily report1'!I363</f>
        <v>0</v>
      </c>
    </row>
    <row r="364" spans="1:9" x14ac:dyDescent="0.25">
      <c r="A364">
        <f>'[1]SNO RTF daily report1'!A364</f>
        <v>0</v>
      </c>
      <c r="B364">
        <f>'[1]SNO RTF daily report1'!B364</f>
        <v>0</v>
      </c>
      <c r="C364">
        <f>'[1]SNO RTF daily report1'!C364</f>
        <v>0</v>
      </c>
      <c r="D364">
        <f>'[1]SNO RTF daily report1'!D364</f>
        <v>0</v>
      </c>
      <c r="E364">
        <f>'[1]SNO RTF daily report1'!E364</f>
        <v>0</v>
      </c>
      <c r="F364">
        <f>'[1]SNO RTF daily report1'!F364</f>
        <v>0</v>
      </c>
      <c r="G364">
        <f>'[1]SNO RTF daily report1'!G364</f>
        <v>0</v>
      </c>
      <c r="H364">
        <f>'[1]SNO RTF daily report1'!H364</f>
        <v>0</v>
      </c>
      <c r="I364">
        <f>'[1]SNO RTF daily report1'!I364</f>
        <v>0</v>
      </c>
    </row>
    <row r="365" spans="1:9" x14ac:dyDescent="0.25">
      <c r="A365">
        <f>'[1]SNO RTF daily report1'!A365</f>
        <v>0</v>
      </c>
      <c r="B365">
        <f>'[1]SNO RTF daily report1'!B365</f>
        <v>0</v>
      </c>
      <c r="C365">
        <f>'[1]SNO RTF daily report1'!C365</f>
        <v>0</v>
      </c>
      <c r="D365">
        <f>'[1]SNO RTF daily report1'!D365</f>
        <v>0</v>
      </c>
      <c r="E365">
        <f>'[1]SNO RTF daily report1'!E365</f>
        <v>0</v>
      </c>
      <c r="F365">
        <f>'[1]SNO RTF daily report1'!F365</f>
        <v>0</v>
      </c>
      <c r="G365">
        <f>'[1]SNO RTF daily report1'!G365</f>
        <v>0</v>
      </c>
      <c r="H365">
        <f>'[1]SNO RTF daily report1'!H365</f>
        <v>0</v>
      </c>
      <c r="I365">
        <f>'[1]SNO RTF daily report1'!I365</f>
        <v>0</v>
      </c>
    </row>
    <row r="366" spans="1:9" x14ac:dyDescent="0.25">
      <c r="A366">
        <f>'[1]SNO RTF daily report1'!A366</f>
        <v>0</v>
      </c>
      <c r="B366">
        <f>'[1]SNO RTF daily report1'!B366</f>
        <v>0</v>
      </c>
      <c r="C366">
        <f>'[1]SNO RTF daily report1'!C366</f>
        <v>0</v>
      </c>
      <c r="D366">
        <f>'[1]SNO RTF daily report1'!D366</f>
        <v>0</v>
      </c>
      <c r="E366">
        <f>'[1]SNO RTF daily report1'!E366</f>
        <v>0</v>
      </c>
      <c r="F366">
        <f>'[1]SNO RTF daily report1'!F366</f>
        <v>0</v>
      </c>
      <c r="G366">
        <f>'[1]SNO RTF daily report1'!G366</f>
        <v>0</v>
      </c>
      <c r="H366">
        <f>'[1]SNO RTF daily report1'!H366</f>
        <v>0</v>
      </c>
      <c r="I366">
        <f>'[1]SNO RTF daily report1'!I366</f>
        <v>0</v>
      </c>
    </row>
    <row r="367" spans="1:9" x14ac:dyDescent="0.25">
      <c r="A367">
        <f>'[1]SNO RTF daily report1'!A367</f>
        <v>0</v>
      </c>
      <c r="B367">
        <f>'[1]SNO RTF daily report1'!B367</f>
        <v>0</v>
      </c>
      <c r="C367">
        <f>'[1]SNO RTF daily report1'!C367</f>
        <v>0</v>
      </c>
      <c r="D367">
        <f>'[1]SNO RTF daily report1'!D367</f>
        <v>0</v>
      </c>
      <c r="E367">
        <f>'[1]SNO RTF daily report1'!E367</f>
        <v>0</v>
      </c>
      <c r="F367">
        <f>'[1]SNO RTF daily report1'!F367</f>
        <v>0</v>
      </c>
      <c r="G367">
        <f>'[1]SNO RTF daily report1'!G367</f>
        <v>0</v>
      </c>
      <c r="H367">
        <f>'[1]SNO RTF daily report1'!H367</f>
        <v>0</v>
      </c>
      <c r="I367">
        <f>'[1]SNO RTF daily report1'!I367</f>
        <v>0</v>
      </c>
    </row>
    <row r="368" spans="1:9" x14ac:dyDescent="0.25">
      <c r="A368">
        <f>'[1]SNO RTF daily report1'!A368</f>
        <v>0</v>
      </c>
      <c r="B368">
        <f>'[1]SNO RTF daily report1'!B368</f>
        <v>0</v>
      </c>
      <c r="C368">
        <f>'[1]SNO RTF daily report1'!C368</f>
        <v>0</v>
      </c>
      <c r="D368">
        <f>'[1]SNO RTF daily report1'!D368</f>
        <v>0</v>
      </c>
      <c r="E368">
        <f>'[1]SNO RTF daily report1'!E368</f>
        <v>0</v>
      </c>
      <c r="F368">
        <f>'[1]SNO RTF daily report1'!F368</f>
        <v>0</v>
      </c>
      <c r="G368">
        <f>'[1]SNO RTF daily report1'!G368</f>
        <v>0</v>
      </c>
      <c r="H368">
        <f>'[1]SNO RTF daily report1'!H368</f>
        <v>0</v>
      </c>
      <c r="I368">
        <f>'[1]SNO RTF daily report1'!I368</f>
        <v>0</v>
      </c>
    </row>
    <row r="369" spans="1:9" x14ac:dyDescent="0.25">
      <c r="A369">
        <f>'[1]SNO RTF daily report1'!A369</f>
        <v>0</v>
      </c>
      <c r="B369">
        <f>'[1]SNO RTF daily report1'!B369</f>
        <v>0</v>
      </c>
      <c r="C369">
        <f>'[1]SNO RTF daily report1'!C369</f>
        <v>0</v>
      </c>
      <c r="D369">
        <f>'[1]SNO RTF daily report1'!D369</f>
        <v>0</v>
      </c>
      <c r="E369">
        <f>'[1]SNO RTF daily report1'!E369</f>
        <v>0</v>
      </c>
      <c r="F369">
        <f>'[1]SNO RTF daily report1'!F369</f>
        <v>0</v>
      </c>
      <c r="G369">
        <f>'[1]SNO RTF daily report1'!G369</f>
        <v>0</v>
      </c>
      <c r="H369">
        <f>'[1]SNO RTF daily report1'!H369</f>
        <v>0</v>
      </c>
      <c r="I369">
        <f>'[1]SNO RTF daily report1'!I369</f>
        <v>0</v>
      </c>
    </row>
    <row r="370" spans="1:9" x14ac:dyDescent="0.25">
      <c r="A370">
        <f>'[1]SNO RTF daily report1'!A370</f>
        <v>0</v>
      </c>
      <c r="B370">
        <f>'[1]SNO RTF daily report1'!B370</f>
        <v>0</v>
      </c>
      <c r="C370">
        <f>'[1]SNO RTF daily report1'!C370</f>
        <v>0</v>
      </c>
      <c r="D370">
        <f>'[1]SNO RTF daily report1'!D370</f>
        <v>0</v>
      </c>
      <c r="E370">
        <f>'[1]SNO RTF daily report1'!E370</f>
        <v>0</v>
      </c>
      <c r="F370">
        <f>'[1]SNO RTF daily report1'!F370</f>
        <v>0</v>
      </c>
      <c r="G370">
        <f>'[1]SNO RTF daily report1'!G370</f>
        <v>0</v>
      </c>
      <c r="H370">
        <f>'[1]SNO RTF daily report1'!H370</f>
        <v>0</v>
      </c>
      <c r="I370">
        <f>'[1]SNO RTF daily report1'!I370</f>
        <v>0</v>
      </c>
    </row>
    <row r="371" spans="1:9" x14ac:dyDescent="0.25">
      <c r="A371">
        <f>'[1]SNO RTF daily report1'!A371</f>
        <v>0</v>
      </c>
      <c r="B371">
        <f>'[1]SNO RTF daily report1'!B371</f>
        <v>0</v>
      </c>
      <c r="C371">
        <f>'[1]SNO RTF daily report1'!C371</f>
        <v>0</v>
      </c>
      <c r="D371">
        <f>'[1]SNO RTF daily report1'!D371</f>
        <v>0</v>
      </c>
      <c r="E371">
        <f>'[1]SNO RTF daily report1'!E371</f>
        <v>0</v>
      </c>
      <c r="F371">
        <f>'[1]SNO RTF daily report1'!F371</f>
        <v>0</v>
      </c>
      <c r="G371">
        <f>'[1]SNO RTF daily report1'!G371</f>
        <v>0</v>
      </c>
      <c r="H371">
        <f>'[1]SNO RTF daily report1'!H371</f>
        <v>0</v>
      </c>
      <c r="I371">
        <f>'[1]SNO RTF daily report1'!I371</f>
        <v>0</v>
      </c>
    </row>
    <row r="372" spans="1:9" x14ac:dyDescent="0.25">
      <c r="A372">
        <f>'[1]SNO RTF daily report1'!A372</f>
        <v>0</v>
      </c>
      <c r="B372">
        <f>'[1]SNO RTF daily report1'!B372</f>
        <v>0</v>
      </c>
      <c r="C372">
        <f>'[1]SNO RTF daily report1'!C372</f>
        <v>0</v>
      </c>
      <c r="D372">
        <f>'[1]SNO RTF daily report1'!D372</f>
        <v>0</v>
      </c>
      <c r="E372">
        <f>'[1]SNO RTF daily report1'!E372</f>
        <v>0</v>
      </c>
      <c r="F372">
        <f>'[1]SNO RTF daily report1'!F372</f>
        <v>0</v>
      </c>
      <c r="G372">
        <f>'[1]SNO RTF daily report1'!G372</f>
        <v>0</v>
      </c>
      <c r="H372">
        <f>'[1]SNO RTF daily report1'!H372</f>
        <v>0</v>
      </c>
      <c r="I372">
        <f>'[1]SNO RTF daily report1'!I372</f>
        <v>0</v>
      </c>
    </row>
    <row r="373" spans="1:9" x14ac:dyDescent="0.25">
      <c r="A373">
        <f>'[1]SNO RTF daily report1'!A373</f>
        <v>0</v>
      </c>
      <c r="B373">
        <f>'[1]SNO RTF daily report1'!B373</f>
        <v>0</v>
      </c>
      <c r="C373">
        <f>'[1]SNO RTF daily report1'!C373</f>
        <v>0</v>
      </c>
      <c r="D373">
        <f>'[1]SNO RTF daily report1'!D373</f>
        <v>0</v>
      </c>
      <c r="E373">
        <f>'[1]SNO RTF daily report1'!E373</f>
        <v>0</v>
      </c>
      <c r="F373">
        <f>'[1]SNO RTF daily report1'!F373</f>
        <v>0</v>
      </c>
      <c r="G373">
        <f>'[1]SNO RTF daily report1'!G373</f>
        <v>0</v>
      </c>
      <c r="H373">
        <f>'[1]SNO RTF daily report1'!H373</f>
        <v>0</v>
      </c>
      <c r="I373">
        <f>'[1]SNO RTF daily report1'!I373</f>
        <v>0</v>
      </c>
    </row>
    <row r="374" spans="1:9" x14ac:dyDescent="0.25">
      <c r="A374">
        <f>'[1]SNO RTF daily report1'!A374</f>
        <v>0</v>
      </c>
      <c r="B374">
        <f>'[1]SNO RTF daily report1'!B374</f>
        <v>0</v>
      </c>
      <c r="C374">
        <f>'[1]SNO RTF daily report1'!C374</f>
        <v>0</v>
      </c>
      <c r="D374">
        <f>'[1]SNO RTF daily report1'!D374</f>
        <v>0</v>
      </c>
      <c r="E374">
        <f>'[1]SNO RTF daily report1'!E374</f>
        <v>0</v>
      </c>
      <c r="F374">
        <f>'[1]SNO RTF daily report1'!F374</f>
        <v>0</v>
      </c>
      <c r="G374">
        <f>'[1]SNO RTF daily report1'!G374</f>
        <v>0</v>
      </c>
      <c r="H374">
        <f>'[1]SNO RTF daily report1'!H374</f>
        <v>0</v>
      </c>
      <c r="I374">
        <f>'[1]SNO RTF daily report1'!I374</f>
        <v>0</v>
      </c>
    </row>
    <row r="375" spans="1:9" x14ac:dyDescent="0.25">
      <c r="A375">
        <f>'[1]SNO RTF daily report1'!A375</f>
        <v>0</v>
      </c>
      <c r="B375">
        <f>'[1]SNO RTF daily report1'!B375</f>
        <v>0</v>
      </c>
      <c r="C375">
        <f>'[1]SNO RTF daily report1'!C375</f>
        <v>0</v>
      </c>
      <c r="D375">
        <f>'[1]SNO RTF daily report1'!D375</f>
        <v>0</v>
      </c>
      <c r="E375">
        <f>'[1]SNO RTF daily report1'!E375</f>
        <v>0</v>
      </c>
      <c r="F375">
        <f>'[1]SNO RTF daily report1'!F375</f>
        <v>0</v>
      </c>
      <c r="G375">
        <f>'[1]SNO RTF daily report1'!G375</f>
        <v>0</v>
      </c>
      <c r="H375">
        <f>'[1]SNO RTF daily report1'!H375</f>
        <v>0</v>
      </c>
      <c r="I375">
        <f>'[1]SNO RTF daily report1'!I375</f>
        <v>0</v>
      </c>
    </row>
    <row r="376" spans="1:9" x14ac:dyDescent="0.25">
      <c r="A376">
        <f>'[1]SNO RTF daily report1'!A376</f>
        <v>0</v>
      </c>
      <c r="B376">
        <f>'[1]SNO RTF daily report1'!B376</f>
        <v>0</v>
      </c>
      <c r="C376">
        <f>'[1]SNO RTF daily report1'!C376</f>
        <v>0</v>
      </c>
      <c r="D376">
        <f>'[1]SNO RTF daily report1'!D376</f>
        <v>0</v>
      </c>
      <c r="E376">
        <f>'[1]SNO RTF daily report1'!E376</f>
        <v>0</v>
      </c>
      <c r="F376">
        <f>'[1]SNO RTF daily report1'!F376</f>
        <v>0</v>
      </c>
      <c r="G376">
        <f>'[1]SNO RTF daily report1'!G376</f>
        <v>0</v>
      </c>
      <c r="H376">
        <f>'[1]SNO RTF daily report1'!H376</f>
        <v>0</v>
      </c>
      <c r="I376">
        <f>'[1]SNO RTF daily report1'!I376</f>
        <v>0</v>
      </c>
    </row>
    <row r="377" spans="1:9" x14ac:dyDescent="0.25">
      <c r="A377">
        <f>'[1]SNO RTF daily report1'!A377</f>
        <v>0</v>
      </c>
      <c r="B377">
        <f>'[1]SNO RTF daily report1'!B377</f>
        <v>0</v>
      </c>
      <c r="C377">
        <f>'[1]SNO RTF daily report1'!C377</f>
        <v>0</v>
      </c>
      <c r="D377">
        <f>'[1]SNO RTF daily report1'!D377</f>
        <v>0</v>
      </c>
      <c r="E377">
        <f>'[1]SNO RTF daily report1'!E377</f>
        <v>0</v>
      </c>
      <c r="F377">
        <f>'[1]SNO RTF daily report1'!F377</f>
        <v>0</v>
      </c>
      <c r="G377">
        <f>'[1]SNO RTF daily report1'!G377</f>
        <v>0</v>
      </c>
      <c r="H377">
        <f>'[1]SNO RTF daily report1'!H377</f>
        <v>0</v>
      </c>
      <c r="I377">
        <f>'[1]SNO RTF daily report1'!I377</f>
        <v>0</v>
      </c>
    </row>
    <row r="378" spans="1:9" x14ac:dyDescent="0.25">
      <c r="A378">
        <f>'[1]SNO RTF daily report1'!A378</f>
        <v>0</v>
      </c>
      <c r="B378">
        <f>'[1]SNO RTF daily report1'!B378</f>
        <v>0</v>
      </c>
      <c r="C378">
        <f>'[1]SNO RTF daily report1'!C378</f>
        <v>0</v>
      </c>
      <c r="D378">
        <f>'[1]SNO RTF daily report1'!D378</f>
        <v>0</v>
      </c>
      <c r="E378">
        <f>'[1]SNO RTF daily report1'!E378</f>
        <v>0</v>
      </c>
      <c r="F378">
        <f>'[1]SNO RTF daily report1'!F378</f>
        <v>0</v>
      </c>
      <c r="G378">
        <f>'[1]SNO RTF daily report1'!G378</f>
        <v>0</v>
      </c>
      <c r="H378">
        <f>'[1]SNO RTF daily report1'!H378</f>
        <v>0</v>
      </c>
      <c r="I378">
        <f>'[1]SNO RTF daily report1'!I378</f>
        <v>0</v>
      </c>
    </row>
    <row r="379" spans="1:9" x14ac:dyDescent="0.25">
      <c r="A379">
        <f>'[1]SNO RTF daily report1'!A379</f>
        <v>0</v>
      </c>
      <c r="B379">
        <f>'[1]SNO RTF daily report1'!B379</f>
        <v>0</v>
      </c>
      <c r="C379">
        <f>'[1]SNO RTF daily report1'!C379</f>
        <v>0</v>
      </c>
      <c r="D379">
        <f>'[1]SNO RTF daily report1'!D379</f>
        <v>0</v>
      </c>
      <c r="E379">
        <f>'[1]SNO RTF daily report1'!E379</f>
        <v>0</v>
      </c>
      <c r="F379">
        <f>'[1]SNO RTF daily report1'!F379</f>
        <v>0</v>
      </c>
      <c r="G379">
        <f>'[1]SNO RTF daily report1'!G379</f>
        <v>0</v>
      </c>
      <c r="H379">
        <f>'[1]SNO RTF daily report1'!H379</f>
        <v>0</v>
      </c>
      <c r="I379">
        <f>'[1]SNO RTF daily report1'!I379</f>
        <v>0</v>
      </c>
    </row>
    <row r="380" spans="1:9" x14ac:dyDescent="0.25">
      <c r="A380">
        <f>'[1]SNO RTF daily report1'!A380</f>
        <v>0</v>
      </c>
      <c r="B380">
        <f>'[1]SNO RTF daily report1'!B380</f>
        <v>0</v>
      </c>
      <c r="C380">
        <f>'[1]SNO RTF daily report1'!C380</f>
        <v>0</v>
      </c>
      <c r="D380">
        <f>'[1]SNO RTF daily report1'!D380</f>
        <v>0</v>
      </c>
      <c r="E380">
        <f>'[1]SNO RTF daily report1'!E380</f>
        <v>0</v>
      </c>
      <c r="F380">
        <f>'[1]SNO RTF daily report1'!F380</f>
        <v>0</v>
      </c>
      <c r="G380">
        <f>'[1]SNO RTF daily report1'!G380</f>
        <v>0</v>
      </c>
      <c r="H380">
        <f>'[1]SNO RTF daily report1'!H380</f>
        <v>0</v>
      </c>
      <c r="I380">
        <f>'[1]SNO RTF daily report1'!I380</f>
        <v>0</v>
      </c>
    </row>
    <row r="381" spans="1:9" x14ac:dyDescent="0.25">
      <c r="A381">
        <f>'[1]SNO RTF daily report1'!A381</f>
        <v>0</v>
      </c>
      <c r="B381">
        <f>'[1]SNO RTF daily report1'!B381</f>
        <v>0</v>
      </c>
      <c r="C381">
        <f>'[1]SNO RTF daily report1'!C381</f>
        <v>0</v>
      </c>
      <c r="D381">
        <f>'[1]SNO RTF daily report1'!D381</f>
        <v>0</v>
      </c>
      <c r="E381">
        <f>'[1]SNO RTF daily report1'!E381</f>
        <v>0</v>
      </c>
      <c r="F381">
        <f>'[1]SNO RTF daily report1'!F381</f>
        <v>0</v>
      </c>
      <c r="G381">
        <f>'[1]SNO RTF daily report1'!G381</f>
        <v>0</v>
      </c>
      <c r="H381">
        <f>'[1]SNO RTF daily report1'!H381</f>
        <v>0</v>
      </c>
      <c r="I381">
        <f>'[1]SNO RTF daily report1'!I381</f>
        <v>0</v>
      </c>
    </row>
    <row r="382" spans="1:9" x14ac:dyDescent="0.25">
      <c r="A382">
        <f>'[1]SNO RTF daily report1'!A382</f>
        <v>0</v>
      </c>
      <c r="B382">
        <f>'[1]SNO RTF daily report1'!B382</f>
        <v>0</v>
      </c>
      <c r="C382">
        <f>'[1]SNO RTF daily report1'!C382</f>
        <v>0</v>
      </c>
      <c r="D382">
        <f>'[1]SNO RTF daily report1'!D382</f>
        <v>0</v>
      </c>
      <c r="E382">
        <f>'[1]SNO RTF daily report1'!E382</f>
        <v>0</v>
      </c>
      <c r="F382">
        <f>'[1]SNO RTF daily report1'!F382</f>
        <v>0</v>
      </c>
      <c r="G382">
        <f>'[1]SNO RTF daily report1'!G382</f>
        <v>0</v>
      </c>
      <c r="H382">
        <f>'[1]SNO RTF daily report1'!H382</f>
        <v>0</v>
      </c>
      <c r="I382">
        <f>'[1]SNO RTF daily report1'!I382</f>
        <v>0</v>
      </c>
    </row>
    <row r="383" spans="1:9" x14ac:dyDescent="0.25">
      <c r="A383">
        <f>'[1]SNO RTF daily report1'!A383</f>
        <v>0</v>
      </c>
      <c r="B383">
        <f>'[1]SNO RTF daily report1'!B383</f>
        <v>0</v>
      </c>
      <c r="C383">
        <f>'[1]SNO RTF daily report1'!C383</f>
        <v>0</v>
      </c>
      <c r="D383">
        <f>'[1]SNO RTF daily report1'!D383</f>
        <v>0</v>
      </c>
      <c r="E383">
        <f>'[1]SNO RTF daily report1'!E383</f>
        <v>0</v>
      </c>
      <c r="F383">
        <f>'[1]SNO RTF daily report1'!F383</f>
        <v>0</v>
      </c>
      <c r="G383">
        <f>'[1]SNO RTF daily report1'!G383</f>
        <v>0</v>
      </c>
      <c r="H383">
        <f>'[1]SNO RTF daily report1'!H383</f>
        <v>0</v>
      </c>
      <c r="I383">
        <f>'[1]SNO RTF daily report1'!I383</f>
        <v>0</v>
      </c>
    </row>
    <row r="384" spans="1:9" x14ac:dyDescent="0.25">
      <c r="A384">
        <f>'[1]SNO RTF daily report1'!A384</f>
        <v>0</v>
      </c>
      <c r="B384">
        <f>'[1]SNO RTF daily report1'!B384</f>
        <v>0</v>
      </c>
      <c r="C384">
        <f>'[1]SNO RTF daily report1'!C384</f>
        <v>0</v>
      </c>
      <c r="D384">
        <f>'[1]SNO RTF daily report1'!D384</f>
        <v>0</v>
      </c>
      <c r="E384">
        <f>'[1]SNO RTF daily report1'!E384</f>
        <v>0</v>
      </c>
      <c r="F384">
        <f>'[1]SNO RTF daily report1'!F384</f>
        <v>0</v>
      </c>
      <c r="G384">
        <f>'[1]SNO RTF daily report1'!G384</f>
        <v>0</v>
      </c>
      <c r="H384">
        <f>'[1]SNO RTF daily report1'!H384</f>
        <v>0</v>
      </c>
      <c r="I384">
        <f>'[1]SNO RTF daily report1'!I384</f>
        <v>0</v>
      </c>
    </row>
    <row r="385" spans="1:9" x14ac:dyDescent="0.25">
      <c r="A385">
        <f>'[1]SNO RTF daily report1'!A385</f>
        <v>0</v>
      </c>
      <c r="B385">
        <f>'[1]SNO RTF daily report1'!B385</f>
        <v>0</v>
      </c>
      <c r="C385">
        <f>'[1]SNO RTF daily report1'!C385</f>
        <v>0</v>
      </c>
      <c r="D385">
        <f>'[1]SNO RTF daily report1'!D385</f>
        <v>0</v>
      </c>
      <c r="E385">
        <f>'[1]SNO RTF daily report1'!E385</f>
        <v>0</v>
      </c>
      <c r="F385">
        <f>'[1]SNO RTF daily report1'!F385</f>
        <v>0</v>
      </c>
      <c r="G385">
        <f>'[1]SNO RTF daily report1'!G385</f>
        <v>0</v>
      </c>
      <c r="H385">
        <f>'[1]SNO RTF daily report1'!H385</f>
        <v>0</v>
      </c>
      <c r="I385">
        <f>'[1]SNO RTF daily report1'!I385</f>
        <v>0</v>
      </c>
    </row>
    <row r="386" spans="1:9" x14ac:dyDescent="0.25">
      <c r="A386">
        <f>'[1]SNO RTF daily report1'!A386</f>
        <v>0</v>
      </c>
      <c r="B386">
        <f>'[1]SNO RTF daily report1'!B386</f>
        <v>0</v>
      </c>
      <c r="C386">
        <f>'[1]SNO RTF daily report1'!C386</f>
        <v>0</v>
      </c>
      <c r="D386">
        <f>'[1]SNO RTF daily report1'!D386</f>
        <v>0</v>
      </c>
      <c r="E386">
        <f>'[1]SNO RTF daily report1'!E386</f>
        <v>0</v>
      </c>
      <c r="F386">
        <f>'[1]SNO RTF daily report1'!F386</f>
        <v>0</v>
      </c>
      <c r="G386">
        <f>'[1]SNO RTF daily report1'!G386</f>
        <v>0</v>
      </c>
      <c r="H386">
        <f>'[1]SNO RTF daily report1'!H386</f>
        <v>0</v>
      </c>
      <c r="I386">
        <f>'[1]SNO RTF daily report1'!I386</f>
        <v>0</v>
      </c>
    </row>
    <row r="387" spans="1:9" x14ac:dyDescent="0.25">
      <c r="A387">
        <f>'[1]SNO RTF daily report1'!A387</f>
        <v>0</v>
      </c>
      <c r="B387">
        <f>'[1]SNO RTF daily report1'!B387</f>
        <v>0</v>
      </c>
      <c r="C387">
        <f>'[1]SNO RTF daily report1'!C387</f>
        <v>0</v>
      </c>
      <c r="D387">
        <f>'[1]SNO RTF daily report1'!D387</f>
        <v>0</v>
      </c>
      <c r="E387">
        <f>'[1]SNO RTF daily report1'!E387</f>
        <v>0</v>
      </c>
      <c r="F387">
        <f>'[1]SNO RTF daily report1'!F387</f>
        <v>0</v>
      </c>
      <c r="G387">
        <f>'[1]SNO RTF daily report1'!G387</f>
        <v>0</v>
      </c>
      <c r="H387">
        <f>'[1]SNO RTF daily report1'!H387</f>
        <v>0</v>
      </c>
      <c r="I387">
        <f>'[1]SNO RTF daily report1'!I387</f>
        <v>0</v>
      </c>
    </row>
    <row r="388" spans="1:9" x14ac:dyDescent="0.25">
      <c r="A388">
        <f>'[1]SNO RTF daily report1'!A388</f>
        <v>0</v>
      </c>
      <c r="B388">
        <f>'[1]SNO RTF daily report1'!B388</f>
        <v>0</v>
      </c>
      <c r="C388">
        <f>'[1]SNO RTF daily report1'!C388</f>
        <v>0</v>
      </c>
      <c r="D388">
        <f>'[1]SNO RTF daily report1'!D388</f>
        <v>0</v>
      </c>
      <c r="E388">
        <f>'[1]SNO RTF daily report1'!E388</f>
        <v>0</v>
      </c>
      <c r="F388">
        <f>'[1]SNO RTF daily report1'!F388</f>
        <v>0</v>
      </c>
      <c r="G388">
        <f>'[1]SNO RTF daily report1'!G388</f>
        <v>0</v>
      </c>
      <c r="H388">
        <f>'[1]SNO RTF daily report1'!H388</f>
        <v>0</v>
      </c>
      <c r="I388">
        <f>'[1]SNO RTF daily report1'!I388</f>
        <v>0</v>
      </c>
    </row>
    <row r="389" spans="1:9" x14ac:dyDescent="0.25">
      <c r="A389">
        <f>'[1]SNO RTF daily report1'!A389</f>
        <v>0</v>
      </c>
      <c r="B389">
        <f>'[1]SNO RTF daily report1'!B389</f>
        <v>0</v>
      </c>
      <c r="C389">
        <f>'[1]SNO RTF daily report1'!C389</f>
        <v>0</v>
      </c>
      <c r="D389">
        <f>'[1]SNO RTF daily report1'!D389</f>
        <v>0</v>
      </c>
      <c r="E389">
        <f>'[1]SNO RTF daily report1'!E389</f>
        <v>0</v>
      </c>
      <c r="F389">
        <f>'[1]SNO RTF daily report1'!F389</f>
        <v>0</v>
      </c>
      <c r="G389">
        <f>'[1]SNO RTF daily report1'!G389</f>
        <v>0</v>
      </c>
      <c r="H389">
        <f>'[1]SNO RTF daily report1'!H389</f>
        <v>0</v>
      </c>
      <c r="I389">
        <f>'[1]SNO RTF daily report1'!I389</f>
        <v>0</v>
      </c>
    </row>
    <row r="390" spans="1:9" x14ac:dyDescent="0.25">
      <c r="A390">
        <f>'[1]SNO RTF daily report1'!A390</f>
        <v>0</v>
      </c>
      <c r="B390">
        <f>'[1]SNO RTF daily report1'!B390</f>
        <v>0</v>
      </c>
      <c r="C390">
        <f>'[1]SNO RTF daily report1'!C390</f>
        <v>0</v>
      </c>
      <c r="D390">
        <f>'[1]SNO RTF daily report1'!D390</f>
        <v>0</v>
      </c>
      <c r="E390">
        <f>'[1]SNO RTF daily report1'!E390</f>
        <v>0</v>
      </c>
      <c r="F390">
        <f>'[1]SNO RTF daily report1'!F390</f>
        <v>0</v>
      </c>
      <c r="G390">
        <f>'[1]SNO RTF daily report1'!G390</f>
        <v>0</v>
      </c>
      <c r="H390">
        <f>'[1]SNO RTF daily report1'!H390</f>
        <v>0</v>
      </c>
      <c r="I390">
        <f>'[1]SNO RTF daily report1'!I390</f>
        <v>0</v>
      </c>
    </row>
    <row r="391" spans="1:9" x14ac:dyDescent="0.25">
      <c r="A391">
        <f>'[1]SNO RTF daily report1'!A391</f>
        <v>0</v>
      </c>
      <c r="B391">
        <f>'[1]SNO RTF daily report1'!B391</f>
        <v>0</v>
      </c>
      <c r="C391">
        <f>'[1]SNO RTF daily report1'!C391</f>
        <v>0</v>
      </c>
      <c r="D391">
        <f>'[1]SNO RTF daily report1'!D391</f>
        <v>0</v>
      </c>
      <c r="E391">
        <f>'[1]SNO RTF daily report1'!E391</f>
        <v>0</v>
      </c>
      <c r="F391">
        <f>'[1]SNO RTF daily report1'!F391</f>
        <v>0</v>
      </c>
      <c r="G391">
        <f>'[1]SNO RTF daily report1'!G391</f>
        <v>0</v>
      </c>
      <c r="H391">
        <f>'[1]SNO RTF daily report1'!H391</f>
        <v>0</v>
      </c>
      <c r="I391">
        <f>'[1]SNO RTF daily report1'!I391</f>
        <v>0</v>
      </c>
    </row>
    <row r="392" spans="1:9" x14ac:dyDescent="0.25">
      <c r="A392">
        <f>'[1]SNO RTF daily report1'!A392</f>
        <v>0</v>
      </c>
      <c r="B392">
        <f>'[1]SNO RTF daily report1'!B392</f>
        <v>0</v>
      </c>
      <c r="C392">
        <f>'[1]SNO RTF daily report1'!C392</f>
        <v>0</v>
      </c>
      <c r="D392">
        <f>'[1]SNO RTF daily report1'!D392</f>
        <v>0</v>
      </c>
      <c r="E392">
        <f>'[1]SNO RTF daily report1'!E392</f>
        <v>0</v>
      </c>
      <c r="F392">
        <f>'[1]SNO RTF daily report1'!F392</f>
        <v>0</v>
      </c>
      <c r="G392">
        <f>'[1]SNO RTF daily report1'!G392</f>
        <v>0</v>
      </c>
      <c r="H392">
        <f>'[1]SNO RTF daily report1'!H392</f>
        <v>0</v>
      </c>
      <c r="I392">
        <f>'[1]SNO RTF daily report1'!I392</f>
        <v>0</v>
      </c>
    </row>
    <row r="393" spans="1:9" x14ac:dyDescent="0.25">
      <c r="A393">
        <f>'[1]SNO RTF daily report1'!A393</f>
        <v>0</v>
      </c>
      <c r="B393">
        <f>'[1]SNO RTF daily report1'!B393</f>
        <v>0</v>
      </c>
      <c r="C393">
        <f>'[1]SNO RTF daily report1'!C393</f>
        <v>0</v>
      </c>
      <c r="D393">
        <f>'[1]SNO RTF daily report1'!D393</f>
        <v>0</v>
      </c>
      <c r="E393">
        <f>'[1]SNO RTF daily report1'!E393</f>
        <v>0</v>
      </c>
      <c r="F393">
        <f>'[1]SNO RTF daily report1'!F393</f>
        <v>0</v>
      </c>
      <c r="G393">
        <f>'[1]SNO RTF daily report1'!G393</f>
        <v>0</v>
      </c>
      <c r="H393">
        <f>'[1]SNO RTF daily report1'!H393</f>
        <v>0</v>
      </c>
      <c r="I393">
        <f>'[1]SNO RTF daily report1'!I393</f>
        <v>0</v>
      </c>
    </row>
    <row r="394" spans="1:9" x14ac:dyDescent="0.25">
      <c r="A394">
        <f>'[1]SNO RTF daily report1'!A394</f>
        <v>0</v>
      </c>
      <c r="B394">
        <f>'[1]SNO RTF daily report1'!B394</f>
        <v>0</v>
      </c>
      <c r="C394">
        <f>'[1]SNO RTF daily report1'!C394</f>
        <v>0</v>
      </c>
      <c r="D394">
        <f>'[1]SNO RTF daily report1'!D394</f>
        <v>0</v>
      </c>
      <c r="E394">
        <f>'[1]SNO RTF daily report1'!E394</f>
        <v>0</v>
      </c>
      <c r="F394">
        <f>'[1]SNO RTF daily report1'!F394</f>
        <v>0</v>
      </c>
      <c r="G394">
        <f>'[1]SNO RTF daily report1'!G394</f>
        <v>0</v>
      </c>
      <c r="H394">
        <f>'[1]SNO RTF daily report1'!H394</f>
        <v>0</v>
      </c>
      <c r="I394">
        <f>'[1]SNO RTF daily report1'!I394</f>
        <v>0</v>
      </c>
    </row>
    <row r="395" spans="1:9" x14ac:dyDescent="0.25">
      <c r="A395">
        <f>'[1]SNO RTF daily report1'!A395</f>
        <v>0</v>
      </c>
      <c r="B395">
        <f>'[1]SNO RTF daily report1'!B395</f>
        <v>0</v>
      </c>
      <c r="C395">
        <f>'[1]SNO RTF daily report1'!C395</f>
        <v>0</v>
      </c>
      <c r="D395">
        <f>'[1]SNO RTF daily report1'!D395</f>
        <v>0</v>
      </c>
      <c r="E395">
        <f>'[1]SNO RTF daily report1'!E395</f>
        <v>0</v>
      </c>
      <c r="F395">
        <f>'[1]SNO RTF daily report1'!F395</f>
        <v>0</v>
      </c>
      <c r="G395">
        <f>'[1]SNO RTF daily report1'!G395</f>
        <v>0</v>
      </c>
      <c r="H395">
        <f>'[1]SNO RTF daily report1'!H395</f>
        <v>0</v>
      </c>
      <c r="I395">
        <f>'[1]SNO RTF daily report1'!I395</f>
        <v>0</v>
      </c>
    </row>
    <row r="396" spans="1:9" x14ac:dyDescent="0.25">
      <c r="A396">
        <f>'[1]SNO RTF daily report1'!A396</f>
        <v>0</v>
      </c>
      <c r="B396">
        <f>'[1]SNO RTF daily report1'!B396</f>
        <v>0</v>
      </c>
      <c r="C396">
        <f>'[1]SNO RTF daily report1'!C396</f>
        <v>0</v>
      </c>
      <c r="D396">
        <f>'[1]SNO RTF daily report1'!D396</f>
        <v>0</v>
      </c>
      <c r="E396">
        <f>'[1]SNO RTF daily report1'!E396</f>
        <v>0</v>
      </c>
      <c r="F396">
        <f>'[1]SNO RTF daily report1'!F396</f>
        <v>0</v>
      </c>
      <c r="G396">
        <f>'[1]SNO RTF daily report1'!G396</f>
        <v>0</v>
      </c>
      <c r="H396">
        <f>'[1]SNO RTF daily report1'!H396</f>
        <v>0</v>
      </c>
      <c r="I396">
        <f>'[1]SNO RTF daily report1'!I396</f>
        <v>0</v>
      </c>
    </row>
    <row r="397" spans="1:9" x14ac:dyDescent="0.25">
      <c r="A397">
        <f>'[1]SNO RTF daily report1'!A397</f>
        <v>0</v>
      </c>
      <c r="B397">
        <f>'[1]SNO RTF daily report1'!B397</f>
        <v>0</v>
      </c>
      <c r="C397">
        <f>'[1]SNO RTF daily report1'!C397</f>
        <v>0</v>
      </c>
      <c r="D397">
        <f>'[1]SNO RTF daily report1'!D397</f>
        <v>0</v>
      </c>
      <c r="E397">
        <f>'[1]SNO RTF daily report1'!E397</f>
        <v>0</v>
      </c>
      <c r="F397">
        <f>'[1]SNO RTF daily report1'!F397</f>
        <v>0</v>
      </c>
      <c r="G397">
        <f>'[1]SNO RTF daily report1'!G397</f>
        <v>0</v>
      </c>
      <c r="H397">
        <f>'[1]SNO RTF daily report1'!H397</f>
        <v>0</v>
      </c>
      <c r="I397">
        <f>'[1]SNO RTF daily report1'!I397</f>
        <v>0</v>
      </c>
    </row>
    <row r="398" spans="1:9" x14ac:dyDescent="0.25">
      <c r="A398">
        <f>'[1]SNO RTF daily report1'!A398</f>
        <v>0</v>
      </c>
      <c r="B398">
        <f>'[1]SNO RTF daily report1'!B398</f>
        <v>0</v>
      </c>
      <c r="C398">
        <f>'[1]SNO RTF daily report1'!C398</f>
        <v>0</v>
      </c>
      <c r="D398">
        <f>'[1]SNO RTF daily report1'!D398</f>
        <v>0</v>
      </c>
      <c r="E398">
        <f>'[1]SNO RTF daily report1'!E398</f>
        <v>0</v>
      </c>
      <c r="F398">
        <f>'[1]SNO RTF daily report1'!F398</f>
        <v>0</v>
      </c>
      <c r="G398">
        <f>'[1]SNO RTF daily report1'!G398</f>
        <v>0</v>
      </c>
      <c r="H398">
        <f>'[1]SNO RTF daily report1'!H398</f>
        <v>0</v>
      </c>
      <c r="I398">
        <f>'[1]SNO RTF daily report1'!I398</f>
        <v>0</v>
      </c>
    </row>
    <row r="399" spans="1:9" x14ac:dyDescent="0.25">
      <c r="A399">
        <f>'[1]SNO RTF daily report1'!A399</f>
        <v>0</v>
      </c>
      <c r="B399">
        <f>'[1]SNO RTF daily report1'!B399</f>
        <v>0</v>
      </c>
      <c r="C399">
        <f>'[1]SNO RTF daily report1'!C399</f>
        <v>0</v>
      </c>
      <c r="D399">
        <f>'[1]SNO RTF daily report1'!D399</f>
        <v>0</v>
      </c>
      <c r="E399">
        <f>'[1]SNO RTF daily report1'!E399</f>
        <v>0</v>
      </c>
      <c r="F399">
        <f>'[1]SNO RTF daily report1'!F399</f>
        <v>0</v>
      </c>
      <c r="G399">
        <f>'[1]SNO RTF daily report1'!G399</f>
        <v>0</v>
      </c>
      <c r="H399">
        <f>'[1]SNO RTF daily report1'!H399</f>
        <v>0</v>
      </c>
      <c r="I399">
        <f>'[1]SNO RTF daily report1'!I399</f>
        <v>0</v>
      </c>
    </row>
    <row r="400" spans="1:9" x14ac:dyDescent="0.25">
      <c r="A400">
        <f>'[1]SNO RTF daily report1'!A400</f>
        <v>0</v>
      </c>
      <c r="B400">
        <f>'[1]SNO RTF daily report1'!B400</f>
        <v>0</v>
      </c>
      <c r="C400">
        <f>'[1]SNO RTF daily report1'!C400</f>
        <v>0</v>
      </c>
      <c r="D400">
        <f>'[1]SNO RTF daily report1'!D400</f>
        <v>0</v>
      </c>
      <c r="E400">
        <f>'[1]SNO RTF daily report1'!E400</f>
        <v>0</v>
      </c>
      <c r="F400">
        <f>'[1]SNO RTF daily report1'!F400</f>
        <v>0</v>
      </c>
      <c r="G400">
        <f>'[1]SNO RTF daily report1'!G400</f>
        <v>0</v>
      </c>
      <c r="H400">
        <f>'[1]SNO RTF daily report1'!H400</f>
        <v>0</v>
      </c>
      <c r="I400">
        <f>'[1]SNO RTF daily report1'!I400</f>
        <v>0</v>
      </c>
    </row>
    <row r="401" spans="1:9" x14ac:dyDescent="0.25">
      <c r="A401">
        <f>'[1]SNO RTF daily report1'!A401</f>
        <v>0</v>
      </c>
      <c r="B401">
        <f>'[1]SNO RTF daily report1'!B401</f>
        <v>0</v>
      </c>
      <c r="C401">
        <f>'[1]SNO RTF daily report1'!C401</f>
        <v>0</v>
      </c>
      <c r="D401">
        <f>'[1]SNO RTF daily report1'!D401</f>
        <v>0</v>
      </c>
      <c r="E401">
        <f>'[1]SNO RTF daily report1'!E401</f>
        <v>0</v>
      </c>
      <c r="F401">
        <f>'[1]SNO RTF daily report1'!F401</f>
        <v>0</v>
      </c>
      <c r="G401">
        <f>'[1]SNO RTF daily report1'!G401</f>
        <v>0</v>
      </c>
      <c r="H401">
        <f>'[1]SNO RTF daily report1'!H401</f>
        <v>0</v>
      </c>
      <c r="I401">
        <f>'[1]SNO RTF daily report1'!I401</f>
        <v>0</v>
      </c>
    </row>
    <row r="402" spans="1:9" x14ac:dyDescent="0.25">
      <c r="A402">
        <f>'[1]SNO RTF daily report1'!A402</f>
        <v>0</v>
      </c>
      <c r="B402">
        <f>'[1]SNO RTF daily report1'!B402</f>
        <v>0</v>
      </c>
      <c r="C402">
        <f>'[1]SNO RTF daily report1'!C402</f>
        <v>0</v>
      </c>
      <c r="D402">
        <f>'[1]SNO RTF daily report1'!D402</f>
        <v>0</v>
      </c>
      <c r="E402">
        <f>'[1]SNO RTF daily report1'!E402</f>
        <v>0</v>
      </c>
      <c r="F402">
        <f>'[1]SNO RTF daily report1'!F402</f>
        <v>0</v>
      </c>
      <c r="G402">
        <f>'[1]SNO RTF daily report1'!G402</f>
        <v>0</v>
      </c>
      <c r="H402">
        <f>'[1]SNO RTF daily report1'!H402</f>
        <v>0</v>
      </c>
      <c r="I402">
        <f>'[1]SNO RTF daily report1'!I402</f>
        <v>0</v>
      </c>
    </row>
    <row r="403" spans="1:9" x14ac:dyDescent="0.25">
      <c r="A403">
        <f>'[1]SNO RTF daily report1'!A403</f>
        <v>0</v>
      </c>
      <c r="B403">
        <f>'[1]SNO RTF daily report1'!B403</f>
        <v>0</v>
      </c>
      <c r="C403">
        <f>'[1]SNO RTF daily report1'!C403</f>
        <v>0</v>
      </c>
      <c r="D403">
        <f>'[1]SNO RTF daily report1'!D403</f>
        <v>0</v>
      </c>
      <c r="E403">
        <f>'[1]SNO RTF daily report1'!E403</f>
        <v>0</v>
      </c>
      <c r="F403">
        <f>'[1]SNO RTF daily report1'!F403</f>
        <v>0</v>
      </c>
      <c r="G403">
        <f>'[1]SNO RTF daily report1'!G403</f>
        <v>0</v>
      </c>
      <c r="H403">
        <f>'[1]SNO RTF daily report1'!H403</f>
        <v>0</v>
      </c>
      <c r="I403">
        <f>'[1]SNO RTF daily report1'!I403</f>
        <v>0</v>
      </c>
    </row>
    <row r="404" spans="1:9" x14ac:dyDescent="0.25">
      <c r="A404">
        <f>'[1]SNO RTF daily report1'!A404</f>
        <v>0</v>
      </c>
      <c r="B404">
        <f>'[1]SNO RTF daily report1'!B404</f>
        <v>0</v>
      </c>
      <c r="C404">
        <f>'[1]SNO RTF daily report1'!C404</f>
        <v>0</v>
      </c>
      <c r="D404">
        <f>'[1]SNO RTF daily report1'!D404</f>
        <v>0</v>
      </c>
      <c r="E404">
        <f>'[1]SNO RTF daily report1'!E404</f>
        <v>0</v>
      </c>
      <c r="F404">
        <f>'[1]SNO RTF daily report1'!F404</f>
        <v>0</v>
      </c>
      <c r="G404">
        <f>'[1]SNO RTF daily report1'!G404</f>
        <v>0</v>
      </c>
      <c r="H404">
        <f>'[1]SNO RTF daily report1'!H404</f>
        <v>0</v>
      </c>
      <c r="I404">
        <f>'[1]SNO RTF daily report1'!I404</f>
        <v>0</v>
      </c>
    </row>
    <row r="405" spans="1:9" x14ac:dyDescent="0.25">
      <c r="A405">
        <f>'[1]SNO RTF daily report1'!A405</f>
        <v>0</v>
      </c>
      <c r="B405">
        <f>'[1]SNO RTF daily report1'!B405</f>
        <v>0</v>
      </c>
      <c r="C405">
        <f>'[1]SNO RTF daily report1'!C405</f>
        <v>0</v>
      </c>
      <c r="D405">
        <f>'[1]SNO RTF daily report1'!D405</f>
        <v>0</v>
      </c>
      <c r="E405">
        <f>'[1]SNO RTF daily report1'!E405</f>
        <v>0</v>
      </c>
      <c r="F405">
        <f>'[1]SNO RTF daily report1'!F405</f>
        <v>0</v>
      </c>
      <c r="G405">
        <f>'[1]SNO RTF daily report1'!G405</f>
        <v>0</v>
      </c>
      <c r="H405">
        <f>'[1]SNO RTF daily report1'!H405</f>
        <v>0</v>
      </c>
      <c r="I405">
        <f>'[1]SNO RTF daily report1'!I405</f>
        <v>0</v>
      </c>
    </row>
    <row r="406" spans="1:9" x14ac:dyDescent="0.25">
      <c r="A406">
        <f>'[1]SNO RTF daily report1'!A406</f>
        <v>0</v>
      </c>
      <c r="B406">
        <f>'[1]SNO RTF daily report1'!B406</f>
        <v>0</v>
      </c>
      <c r="C406">
        <f>'[1]SNO RTF daily report1'!C406</f>
        <v>0</v>
      </c>
      <c r="D406">
        <f>'[1]SNO RTF daily report1'!D406</f>
        <v>0</v>
      </c>
      <c r="E406">
        <f>'[1]SNO RTF daily report1'!E406</f>
        <v>0</v>
      </c>
      <c r="F406">
        <f>'[1]SNO RTF daily report1'!F406</f>
        <v>0</v>
      </c>
      <c r="G406">
        <f>'[1]SNO RTF daily report1'!G406</f>
        <v>0</v>
      </c>
      <c r="H406">
        <f>'[1]SNO RTF daily report1'!H406</f>
        <v>0</v>
      </c>
      <c r="I406">
        <f>'[1]SNO RTF daily report1'!I406</f>
        <v>0</v>
      </c>
    </row>
    <row r="407" spans="1:9" x14ac:dyDescent="0.25">
      <c r="A407">
        <f>'[1]SNO RTF daily report1'!A407</f>
        <v>0</v>
      </c>
      <c r="B407">
        <f>'[1]SNO RTF daily report1'!B407</f>
        <v>0</v>
      </c>
      <c r="C407">
        <f>'[1]SNO RTF daily report1'!C407</f>
        <v>0</v>
      </c>
      <c r="D407">
        <f>'[1]SNO RTF daily report1'!D407</f>
        <v>0</v>
      </c>
      <c r="E407">
        <f>'[1]SNO RTF daily report1'!E407</f>
        <v>0</v>
      </c>
      <c r="F407">
        <f>'[1]SNO RTF daily report1'!F407</f>
        <v>0</v>
      </c>
      <c r="G407">
        <f>'[1]SNO RTF daily report1'!G407</f>
        <v>0</v>
      </c>
      <c r="H407">
        <f>'[1]SNO RTF daily report1'!H407</f>
        <v>0</v>
      </c>
      <c r="I407">
        <f>'[1]SNO RTF daily report1'!I407</f>
        <v>0</v>
      </c>
    </row>
    <row r="408" spans="1:9" x14ac:dyDescent="0.25">
      <c r="A408">
        <f>'[1]SNO RTF daily report1'!A408</f>
        <v>0</v>
      </c>
      <c r="B408">
        <f>'[1]SNO RTF daily report1'!B408</f>
        <v>0</v>
      </c>
      <c r="C408">
        <f>'[1]SNO RTF daily report1'!C408</f>
        <v>0</v>
      </c>
      <c r="D408">
        <f>'[1]SNO RTF daily report1'!D408</f>
        <v>0</v>
      </c>
      <c r="E408">
        <f>'[1]SNO RTF daily report1'!E408</f>
        <v>0</v>
      </c>
      <c r="F408">
        <f>'[1]SNO RTF daily report1'!F408</f>
        <v>0</v>
      </c>
      <c r="G408">
        <f>'[1]SNO RTF daily report1'!G408</f>
        <v>0</v>
      </c>
      <c r="H408">
        <f>'[1]SNO RTF daily report1'!H408</f>
        <v>0</v>
      </c>
      <c r="I408">
        <f>'[1]SNO RTF daily report1'!I408</f>
        <v>0</v>
      </c>
    </row>
    <row r="409" spans="1:9" x14ac:dyDescent="0.25">
      <c r="A409">
        <f>'[1]SNO RTF daily report1'!A409</f>
        <v>0</v>
      </c>
      <c r="B409">
        <f>'[1]SNO RTF daily report1'!B409</f>
        <v>0</v>
      </c>
      <c r="C409">
        <f>'[1]SNO RTF daily report1'!C409</f>
        <v>0</v>
      </c>
      <c r="D409">
        <f>'[1]SNO RTF daily report1'!D409</f>
        <v>0</v>
      </c>
      <c r="E409">
        <f>'[1]SNO RTF daily report1'!E409</f>
        <v>0</v>
      </c>
      <c r="F409">
        <f>'[1]SNO RTF daily report1'!F409</f>
        <v>0</v>
      </c>
      <c r="G409">
        <f>'[1]SNO RTF daily report1'!G409</f>
        <v>0</v>
      </c>
      <c r="H409">
        <f>'[1]SNO RTF daily report1'!H409</f>
        <v>0</v>
      </c>
      <c r="I409">
        <f>'[1]SNO RTF daily report1'!I409</f>
        <v>0</v>
      </c>
    </row>
    <row r="410" spans="1:9" x14ac:dyDescent="0.25">
      <c r="A410">
        <f>'[1]SNO RTF daily report1'!A410</f>
        <v>0</v>
      </c>
      <c r="B410">
        <f>'[1]SNO RTF daily report1'!B410</f>
        <v>0</v>
      </c>
      <c r="C410">
        <f>'[1]SNO RTF daily report1'!C410</f>
        <v>0</v>
      </c>
      <c r="D410">
        <f>'[1]SNO RTF daily report1'!D410</f>
        <v>0</v>
      </c>
      <c r="E410">
        <f>'[1]SNO RTF daily report1'!E410</f>
        <v>0</v>
      </c>
      <c r="F410">
        <f>'[1]SNO RTF daily report1'!F410</f>
        <v>0</v>
      </c>
      <c r="G410">
        <f>'[1]SNO RTF daily report1'!G410</f>
        <v>0</v>
      </c>
      <c r="H410">
        <f>'[1]SNO RTF daily report1'!H410</f>
        <v>0</v>
      </c>
      <c r="I410">
        <f>'[1]SNO RTF daily report1'!I410</f>
        <v>0</v>
      </c>
    </row>
    <row r="411" spans="1:9" x14ac:dyDescent="0.25">
      <c r="A411">
        <f>'[1]SNO RTF daily report1'!A411</f>
        <v>0</v>
      </c>
      <c r="B411">
        <f>'[1]SNO RTF daily report1'!B411</f>
        <v>0</v>
      </c>
      <c r="C411">
        <f>'[1]SNO RTF daily report1'!C411</f>
        <v>0</v>
      </c>
      <c r="D411">
        <f>'[1]SNO RTF daily report1'!D411</f>
        <v>0</v>
      </c>
      <c r="E411">
        <f>'[1]SNO RTF daily report1'!E411</f>
        <v>0</v>
      </c>
      <c r="F411">
        <f>'[1]SNO RTF daily report1'!F411</f>
        <v>0</v>
      </c>
      <c r="G411">
        <f>'[1]SNO RTF daily report1'!G411</f>
        <v>0</v>
      </c>
      <c r="H411">
        <f>'[1]SNO RTF daily report1'!H411</f>
        <v>0</v>
      </c>
      <c r="I411">
        <f>'[1]SNO RTF daily report1'!I411</f>
        <v>0</v>
      </c>
    </row>
    <row r="412" spans="1:9" x14ac:dyDescent="0.25">
      <c r="A412">
        <f>'[1]SNO RTF daily report1'!A412</f>
        <v>0</v>
      </c>
      <c r="B412">
        <f>'[1]SNO RTF daily report1'!B412</f>
        <v>0</v>
      </c>
      <c r="C412">
        <f>'[1]SNO RTF daily report1'!C412</f>
        <v>0</v>
      </c>
      <c r="D412">
        <f>'[1]SNO RTF daily report1'!D412</f>
        <v>0</v>
      </c>
      <c r="E412">
        <f>'[1]SNO RTF daily report1'!E412</f>
        <v>0</v>
      </c>
      <c r="F412">
        <f>'[1]SNO RTF daily report1'!F412</f>
        <v>0</v>
      </c>
      <c r="G412">
        <f>'[1]SNO RTF daily report1'!G412</f>
        <v>0</v>
      </c>
      <c r="H412">
        <f>'[1]SNO RTF daily report1'!H412</f>
        <v>0</v>
      </c>
      <c r="I412">
        <f>'[1]SNO RTF daily report1'!I412</f>
        <v>0</v>
      </c>
    </row>
    <row r="413" spans="1:9" x14ac:dyDescent="0.25">
      <c r="A413">
        <f>'[1]SNO RTF daily report1'!A413</f>
        <v>0</v>
      </c>
      <c r="B413">
        <f>'[1]SNO RTF daily report1'!B413</f>
        <v>0</v>
      </c>
      <c r="C413">
        <f>'[1]SNO RTF daily report1'!C413</f>
        <v>0</v>
      </c>
      <c r="D413">
        <f>'[1]SNO RTF daily report1'!D413</f>
        <v>0</v>
      </c>
      <c r="E413">
        <f>'[1]SNO RTF daily report1'!E413</f>
        <v>0</v>
      </c>
      <c r="F413">
        <f>'[1]SNO RTF daily report1'!F413</f>
        <v>0</v>
      </c>
      <c r="G413">
        <f>'[1]SNO RTF daily report1'!G413</f>
        <v>0</v>
      </c>
      <c r="H413">
        <f>'[1]SNO RTF daily report1'!H413</f>
        <v>0</v>
      </c>
      <c r="I413">
        <f>'[1]SNO RTF daily report1'!I413</f>
        <v>0</v>
      </c>
    </row>
    <row r="414" spans="1:9" x14ac:dyDescent="0.25">
      <c r="A414">
        <f>'[1]SNO RTF daily report1'!A414</f>
        <v>0</v>
      </c>
      <c r="B414">
        <f>'[1]SNO RTF daily report1'!B414</f>
        <v>0</v>
      </c>
      <c r="C414">
        <f>'[1]SNO RTF daily report1'!C414</f>
        <v>0</v>
      </c>
      <c r="D414">
        <f>'[1]SNO RTF daily report1'!D414</f>
        <v>0</v>
      </c>
      <c r="E414">
        <f>'[1]SNO RTF daily report1'!E414</f>
        <v>0</v>
      </c>
      <c r="F414">
        <f>'[1]SNO RTF daily report1'!F414</f>
        <v>0</v>
      </c>
      <c r="G414">
        <f>'[1]SNO RTF daily report1'!G414</f>
        <v>0</v>
      </c>
      <c r="H414">
        <f>'[1]SNO RTF daily report1'!H414</f>
        <v>0</v>
      </c>
      <c r="I414">
        <f>'[1]SNO RTF daily report1'!I414</f>
        <v>0</v>
      </c>
    </row>
    <row r="415" spans="1:9" x14ac:dyDescent="0.25">
      <c r="A415">
        <f>'[1]SNO RTF daily report1'!A415</f>
        <v>0</v>
      </c>
      <c r="B415">
        <f>'[1]SNO RTF daily report1'!B415</f>
        <v>0</v>
      </c>
      <c r="C415">
        <f>'[1]SNO RTF daily report1'!C415</f>
        <v>0</v>
      </c>
      <c r="D415">
        <f>'[1]SNO RTF daily report1'!D415</f>
        <v>0</v>
      </c>
      <c r="E415">
        <f>'[1]SNO RTF daily report1'!E415</f>
        <v>0</v>
      </c>
      <c r="F415">
        <f>'[1]SNO RTF daily report1'!F415</f>
        <v>0</v>
      </c>
      <c r="G415">
        <f>'[1]SNO RTF daily report1'!G415</f>
        <v>0</v>
      </c>
      <c r="H415">
        <f>'[1]SNO RTF daily report1'!H415</f>
        <v>0</v>
      </c>
      <c r="I415">
        <f>'[1]SNO RTF daily report1'!I415</f>
        <v>0</v>
      </c>
    </row>
    <row r="416" spans="1:9" x14ac:dyDescent="0.25">
      <c r="A416">
        <f>'[1]SNO RTF daily report1'!A416</f>
        <v>0</v>
      </c>
      <c r="B416">
        <f>'[1]SNO RTF daily report1'!B416</f>
        <v>0</v>
      </c>
      <c r="C416">
        <f>'[1]SNO RTF daily report1'!C416</f>
        <v>0</v>
      </c>
      <c r="D416">
        <f>'[1]SNO RTF daily report1'!D416</f>
        <v>0</v>
      </c>
      <c r="E416">
        <f>'[1]SNO RTF daily report1'!E416</f>
        <v>0</v>
      </c>
      <c r="F416">
        <f>'[1]SNO RTF daily report1'!F416</f>
        <v>0</v>
      </c>
      <c r="G416">
        <f>'[1]SNO RTF daily report1'!G416</f>
        <v>0</v>
      </c>
      <c r="H416">
        <f>'[1]SNO RTF daily report1'!H416</f>
        <v>0</v>
      </c>
      <c r="I416">
        <f>'[1]SNO RTF daily report1'!I416</f>
        <v>0</v>
      </c>
    </row>
    <row r="417" spans="1:9" x14ac:dyDescent="0.25">
      <c r="A417">
        <f>'[1]SNO RTF daily report1'!A417</f>
        <v>0</v>
      </c>
      <c r="B417">
        <f>'[1]SNO RTF daily report1'!B417</f>
        <v>0</v>
      </c>
      <c r="C417">
        <f>'[1]SNO RTF daily report1'!C417</f>
        <v>0</v>
      </c>
      <c r="D417">
        <f>'[1]SNO RTF daily report1'!D417</f>
        <v>0</v>
      </c>
      <c r="E417">
        <f>'[1]SNO RTF daily report1'!E417</f>
        <v>0</v>
      </c>
      <c r="F417">
        <f>'[1]SNO RTF daily report1'!F417</f>
        <v>0</v>
      </c>
      <c r="G417">
        <f>'[1]SNO RTF daily report1'!G417</f>
        <v>0</v>
      </c>
      <c r="H417">
        <f>'[1]SNO RTF daily report1'!H417</f>
        <v>0</v>
      </c>
      <c r="I417">
        <f>'[1]SNO RTF daily report1'!I417</f>
        <v>0</v>
      </c>
    </row>
    <row r="418" spans="1:9" x14ac:dyDescent="0.25">
      <c r="A418">
        <f>'[1]SNO RTF daily report1'!A418</f>
        <v>0</v>
      </c>
      <c r="B418">
        <f>'[1]SNO RTF daily report1'!B418</f>
        <v>0</v>
      </c>
      <c r="C418">
        <f>'[1]SNO RTF daily report1'!C418</f>
        <v>0</v>
      </c>
      <c r="D418">
        <f>'[1]SNO RTF daily report1'!D418</f>
        <v>0</v>
      </c>
      <c r="E418">
        <f>'[1]SNO RTF daily report1'!E418</f>
        <v>0</v>
      </c>
      <c r="F418">
        <f>'[1]SNO RTF daily report1'!F418</f>
        <v>0</v>
      </c>
      <c r="G418">
        <f>'[1]SNO RTF daily report1'!G418</f>
        <v>0</v>
      </c>
      <c r="H418">
        <f>'[1]SNO RTF daily report1'!H418</f>
        <v>0</v>
      </c>
      <c r="I418">
        <f>'[1]SNO RTF daily report1'!I418</f>
        <v>0</v>
      </c>
    </row>
    <row r="419" spans="1:9" x14ac:dyDescent="0.25">
      <c r="A419">
        <f>'[1]SNO RTF daily report1'!A419</f>
        <v>0</v>
      </c>
      <c r="B419">
        <f>'[1]SNO RTF daily report1'!B419</f>
        <v>0</v>
      </c>
      <c r="C419">
        <f>'[1]SNO RTF daily report1'!C419</f>
        <v>0</v>
      </c>
      <c r="D419">
        <f>'[1]SNO RTF daily report1'!D419</f>
        <v>0</v>
      </c>
      <c r="E419">
        <f>'[1]SNO RTF daily report1'!E419</f>
        <v>0</v>
      </c>
      <c r="F419">
        <f>'[1]SNO RTF daily report1'!F419</f>
        <v>0</v>
      </c>
      <c r="G419">
        <f>'[1]SNO RTF daily report1'!G419</f>
        <v>0</v>
      </c>
      <c r="H419">
        <f>'[1]SNO RTF daily report1'!H419</f>
        <v>0</v>
      </c>
      <c r="I419">
        <f>'[1]SNO RTF daily report1'!I419</f>
        <v>0</v>
      </c>
    </row>
    <row r="420" spans="1:9" x14ac:dyDescent="0.25">
      <c r="A420">
        <f>'[1]SNO RTF daily report1'!A420</f>
        <v>0</v>
      </c>
      <c r="B420">
        <f>'[1]SNO RTF daily report1'!B420</f>
        <v>0</v>
      </c>
      <c r="C420">
        <f>'[1]SNO RTF daily report1'!C420</f>
        <v>0</v>
      </c>
      <c r="D420">
        <f>'[1]SNO RTF daily report1'!D420</f>
        <v>0</v>
      </c>
      <c r="E420">
        <f>'[1]SNO RTF daily report1'!E420</f>
        <v>0</v>
      </c>
      <c r="F420">
        <f>'[1]SNO RTF daily report1'!F420</f>
        <v>0</v>
      </c>
      <c r="G420">
        <f>'[1]SNO RTF daily report1'!G420</f>
        <v>0</v>
      </c>
      <c r="H420">
        <f>'[1]SNO RTF daily report1'!H420</f>
        <v>0</v>
      </c>
      <c r="I420">
        <f>'[1]SNO RTF daily report1'!I420</f>
        <v>0</v>
      </c>
    </row>
    <row r="421" spans="1:9" x14ac:dyDescent="0.25">
      <c r="A421">
        <f>'[1]SNO RTF daily report1'!A421</f>
        <v>0</v>
      </c>
      <c r="B421">
        <f>'[1]SNO RTF daily report1'!B421</f>
        <v>0</v>
      </c>
      <c r="C421">
        <f>'[1]SNO RTF daily report1'!C421</f>
        <v>0</v>
      </c>
      <c r="D421">
        <f>'[1]SNO RTF daily report1'!D421</f>
        <v>0</v>
      </c>
      <c r="E421">
        <f>'[1]SNO RTF daily report1'!E421</f>
        <v>0</v>
      </c>
      <c r="F421">
        <f>'[1]SNO RTF daily report1'!F421</f>
        <v>0</v>
      </c>
      <c r="G421">
        <f>'[1]SNO RTF daily report1'!G421</f>
        <v>0</v>
      </c>
      <c r="H421">
        <f>'[1]SNO RTF daily report1'!H421</f>
        <v>0</v>
      </c>
      <c r="I421">
        <f>'[1]SNO RTF daily report1'!I421</f>
        <v>0</v>
      </c>
    </row>
    <row r="422" spans="1:9" x14ac:dyDescent="0.25">
      <c r="A422">
        <f>'[1]SNO RTF daily report1'!A422</f>
        <v>0</v>
      </c>
      <c r="B422">
        <f>'[1]SNO RTF daily report1'!B422</f>
        <v>0</v>
      </c>
      <c r="C422">
        <f>'[1]SNO RTF daily report1'!C422</f>
        <v>0</v>
      </c>
      <c r="D422">
        <f>'[1]SNO RTF daily report1'!D422</f>
        <v>0</v>
      </c>
      <c r="E422">
        <f>'[1]SNO RTF daily report1'!E422</f>
        <v>0</v>
      </c>
      <c r="F422">
        <f>'[1]SNO RTF daily report1'!F422</f>
        <v>0</v>
      </c>
      <c r="G422">
        <f>'[1]SNO RTF daily report1'!G422</f>
        <v>0</v>
      </c>
      <c r="H422">
        <f>'[1]SNO RTF daily report1'!H422</f>
        <v>0</v>
      </c>
      <c r="I422">
        <f>'[1]SNO RTF daily report1'!I422</f>
        <v>0</v>
      </c>
    </row>
    <row r="423" spans="1:9" x14ac:dyDescent="0.25">
      <c r="A423">
        <f>'[1]SNO RTF daily report1'!A423</f>
        <v>0</v>
      </c>
      <c r="B423">
        <f>'[1]SNO RTF daily report1'!B423</f>
        <v>0</v>
      </c>
      <c r="C423">
        <f>'[1]SNO RTF daily report1'!C423</f>
        <v>0</v>
      </c>
      <c r="D423">
        <f>'[1]SNO RTF daily report1'!D423</f>
        <v>0</v>
      </c>
      <c r="E423">
        <f>'[1]SNO RTF daily report1'!E423</f>
        <v>0</v>
      </c>
      <c r="F423">
        <f>'[1]SNO RTF daily report1'!F423</f>
        <v>0</v>
      </c>
      <c r="G423">
        <f>'[1]SNO RTF daily report1'!G423</f>
        <v>0</v>
      </c>
      <c r="H423">
        <f>'[1]SNO RTF daily report1'!H423</f>
        <v>0</v>
      </c>
      <c r="I423">
        <f>'[1]SNO RTF daily report1'!I423</f>
        <v>0</v>
      </c>
    </row>
    <row r="424" spans="1:9" x14ac:dyDescent="0.25">
      <c r="A424">
        <f>'[1]SNO RTF daily report1'!A424</f>
        <v>0</v>
      </c>
      <c r="B424">
        <f>'[1]SNO RTF daily report1'!B424</f>
        <v>0</v>
      </c>
      <c r="C424">
        <f>'[1]SNO RTF daily report1'!C424</f>
        <v>0</v>
      </c>
      <c r="D424">
        <f>'[1]SNO RTF daily report1'!D424</f>
        <v>0</v>
      </c>
      <c r="E424">
        <f>'[1]SNO RTF daily report1'!E424</f>
        <v>0</v>
      </c>
      <c r="F424">
        <f>'[1]SNO RTF daily report1'!F424</f>
        <v>0</v>
      </c>
      <c r="G424">
        <f>'[1]SNO RTF daily report1'!G424</f>
        <v>0</v>
      </c>
      <c r="H424">
        <f>'[1]SNO RTF daily report1'!H424</f>
        <v>0</v>
      </c>
      <c r="I424">
        <f>'[1]SNO RTF daily report1'!I424</f>
        <v>0</v>
      </c>
    </row>
    <row r="425" spans="1:9" x14ac:dyDescent="0.25">
      <c r="A425">
        <f>'[1]SNO RTF daily report1'!A425</f>
        <v>0</v>
      </c>
      <c r="B425">
        <f>'[1]SNO RTF daily report1'!B425</f>
        <v>0</v>
      </c>
      <c r="C425">
        <f>'[1]SNO RTF daily report1'!C425</f>
        <v>0</v>
      </c>
      <c r="D425">
        <f>'[1]SNO RTF daily report1'!D425</f>
        <v>0</v>
      </c>
      <c r="E425">
        <f>'[1]SNO RTF daily report1'!E425</f>
        <v>0</v>
      </c>
      <c r="F425">
        <f>'[1]SNO RTF daily report1'!F425</f>
        <v>0</v>
      </c>
      <c r="G425">
        <f>'[1]SNO RTF daily report1'!G425</f>
        <v>0</v>
      </c>
      <c r="H425">
        <f>'[1]SNO RTF daily report1'!H425</f>
        <v>0</v>
      </c>
      <c r="I425">
        <f>'[1]SNO RTF daily report1'!I425</f>
        <v>0</v>
      </c>
    </row>
    <row r="426" spans="1:9" x14ac:dyDescent="0.25">
      <c r="A426">
        <f>'[1]SNO RTF daily report1'!A426</f>
        <v>0</v>
      </c>
      <c r="B426">
        <f>'[1]SNO RTF daily report1'!B426</f>
        <v>0</v>
      </c>
      <c r="C426">
        <f>'[1]SNO RTF daily report1'!C426</f>
        <v>0</v>
      </c>
      <c r="D426">
        <f>'[1]SNO RTF daily report1'!D426</f>
        <v>0</v>
      </c>
      <c r="E426">
        <f>'[1]SNO RTF daily report1'!E426</f>
        <v>0</v>
      </c>
      <c r="F426">
        <f>'[1]SNO RTF daily report1'!F426</f>
        <v>0</v>
      </c>
      <c r="G426">
        <f>'[1]SNO RTF daily report1'!G426</f>
        <v>0</v>
      </c>
      <c r="H426">
        <f>'[1]SNO RTF daily report1'!H426</f>
        <v>0</v>
      </c>
      <c r="I426">
        <f>'[1]SNO RTF daily report1'!I426</f>
        <v>0</v>
      </c>
    </row>
    <row r="427" spans="1:9" x14ac:dyDescent="0.25">
      <c r="A427">
        <f>'[1]SNO RTF daily report1'!A427</f>
        <v>0</v>
      </c>
      <c r="B427">
        <f>'[1]SNO RTF daily report1'!B427</f>
        <v>0</v>
      </c>
      <c r="C427">
        <f>'[1]SNO RTF daily report1'!C427</f>
        <v>0</v>
      </c>
      <c r="D427">
        <f>'[1]SNO RTF daily report1'!D427</f>
        <v>0</v>
      </c>
      <c r="E427">
        <f>'[1]SNO RTF daily report1'!E427</f>
        <v>0</v>
      </c>
      <c r="F427">
        <f>'[1]SNO RTF daily report1'!F427</f>
        <v>0</v>
      </c>
      <c r="G427">
        <f>'[1]SNO RTF daily report1'!G427</f>
        <v>0</v>
      </c>
      <c r="H427">
        <f>'[1]SNO RTF daily report1'!H427</f>
        <v>0</v>
      </c>
      <c r="I427">
        <f>'[1]SNO RTF daily report1'!I427</f>
        <v>0</v>
      </c>
    </row>
    <row r="428" spans="1:9" x14ac:dyDescent="0.25">
      <c r="A428">
        <f>'[1]SNO RTF daily report1'!A428</f>
        <v>0</v>
      </c>
      <c r="B428">
        <f>'[1]SNO RTF daily report1'!B428</f>
        <v>0</v>
      </c>
      <c r="C428">
        <f>'[1]SNO RTF daily report1'!C428</f>
        <v>0</v>
      </c>
      <c r="D428">
        <f>'[1]SNO RTF daily report1'!D428</f>
        <v>0</v>
      </c>
      <c r="E428">
        <f>'[1]SNO RTF daily report1'!E428</f>
        <v>0</v>
      </c>
      <c r="F428">
        <f>'[1]SNO RTF daily report1'!F428</f>
        <v>0</v>
      </c>
      <c r="G428">
        <f>'[1]SNO RTF daily report1'!G428</f>
        <v>0</v>
      </c>
      <c r="H428">
        <f>'[1]SNO RTF daily report1'!H428</f>
        <v>0</v>
      </c>
      <c r="I428">
        <f>'[1]SNO RTF daily report1'!I428</f>
        <v>0</v>
      </c>
    </row>
    <row r="429" spans="1:9" x14ac:dyDescent="0.25">
      <c r="A429">
        <f>'[1]SNO RTF daily report1'!A429</f>
        <v>0</v>
      </c>
      <c r="B429">
        <f>'[1]SNO RTF daily report1'!B429</f>
        <v>0</v>
      </c>
      <c r="C429">
        <f>'[1]SNO RTF daily report1'!C429</f>
        <v>0</v>
      </c>
      <c r="D429">
        <f>'[1]SNO RTF daily report1'!D429</f>
        <v>0</v>
      </c>
      <c r="E429">
        <f>'[1]SNO RTF daily report1'!E429</f>
        <v>0</v>
      </c>
      <c r="F429">
        <f>'[1]SNO RTF daily report1'!F429</f>
        <v>0</v>
      </c>
      <c r="G429">
        <f>'[1]SNO RTF daily report1'!G429</f>
        <v>0</v>
      </c>
      <c r="H429">
        <f>'[1]SNO RTF daily report1'!H429</f>
        <v>0</v>
      </c>
      <c r="I429">
        <f>'[1]SNO RTF daily report1'!I429</f>
        <v>0</v>
      </c>
    </row>
    <row r="430" spans="1:9" x14ac:dyDescent="0.25">
      <c r="A430">
        <f>'[1]SNO RTF daily report1'!A430</f>
        <v>0</v>
      </c>
      <c r="B430">
        <f>'[1]SNO RTF daily report1'!B430</f>
        <v>0</v>
      </c>
      <c r="C430">
        <f>'[1]SNO RTF daily report1'!C430</f>
        <v>0</v>
      </c>
      <c r="D430">
        <f>'[1]SNO RTF daily report1'!D430</f>
        <v>0</v>
      </c>
      <c r="E430">
        <f>'[1]SNO RTF daily report1'!E430</f>
        <v>0</v>
      </c>
      <c r="F430">
        <f>'[1]SNO RTF daily report1'!F430</f>
        <v>0</v>
      </c>
      <c r="G430">
        <f>'[1]SNO RTF daily report1'!G430</f>
        <v>0</v>
      </c>
      <c r="H430">
        <f>'[1]SNO RTF daily report1'!H430</f>
        <v>0</v>
      </c>
      <c r="I430">
        <f>'[1]SNO RTF daily report1'!I430</f>
        <v>0</v>
      </c>
    </row>
    <row r="431" spans="1:9" x14ac:dyDescent="0.25">
      <c r="A431">
        <f>'[1]SNO RTF daily report1'!A431</f>
        <v>0</v>
      </c>
      <c r="B431">
        <f>'[1]SNO RTF daily report1'!B431</f>
        <v>0</v>
      </c>
      <c r="C431">
        <f>'[1]SNO RTF daily report1'!C431</f>
        <v>0</v>
      </c>
      <c r="D431">
        <f>'[1]SNO RTF daily report1'!D431</f>
        <v>0</v>
      </c>
      <c r="E431">
        <f>'[1]SNO RTF daily report1'!E431</f>
        <v>0</v>
      </c>
      <c r="F431">
        <f>'[1]SNO RTF daily report1'!F431</f>
        <v>0</v>
      </c>
      <c r="G431">
        <f>'[1]SNO RTF daily report1'!G431</f>
        <v>0</v>
      </c>
      <c r="H431">
        <f>'[1]SNO RTF daily report1'!H431</f>
        <v>0</v>
      </c>
      <c r="I431">
        <f>'[1]SNO RTF daily report1'!I431</f>
        <v>0</v>
      </c>
    </row>
    <row r="432" spans="1:9" x14ac:dyDescent="0.25">
      <c r="A432">
        <f>'[1]SNO RTF daily report1'!A432</f>
        <v>0</v>
      </c>
      <c r="B432">
        <f>'[1]SNO RTF daily report1'!B432</f>
        <v>0</v>
      </c>
      <c r="C432">
        <f>'[1]SNO RTF daily report1'!C432</f>
        <v>0</v>
      </c>
      <c r="D432">
        <f>'[1]SNO RTF daily report1'!D432</f>
        <v>0</v>
      </c>
      <c r="E432">
        <f>'[1]SNO RTF daily report1'!E432</f>
        <v>0</v>
      </c>
      <c r="F432">
        <f>'[1]SNO RTF daily report1'!F432</f>
        <v>0</v>
      </c>
      <c r="G432">
        <f>'[1]SNO RTF daily report1'!G432</f>
        <v>0</v>
      </c>
      <c r="H432">
        <f>'[1]SNO RTF daily report1'!H432</f>
        <v>0</v>
      </c>
      <c r="I432">
        <f>'[1]SNO RTF daily report1'!I432</f>
        <v>0</v>
      </c>
    </row>
    <row r="433" spans="1:9" x14ac:dyDescent="0.25">
      <c r="A433">
        <f>'[1]SNO RTF daily report1'!A433</f>
        <v>0</v>
      </c>
      <c r="B433">
        <f>'[1]SNO RTF daily report1'!B433</f>
        <v>0</v>
      </c>
      <c r="C433">
        <f>'[1]SNO RTF daily report1'!C433</f>
        <v>0</v>
      </c>
      <c r="D433">
        <f>'[1]SNO RTF daily report1'!D433</f>
        <v>0</v>
      </c>
      <c r="E433">
        <f>'[1]SNO RTF daily report1'!E433</f>
        <v>0</v>
      </c>
      <c r="F433">
        <f>'[1]SNO RTF daily report1'!F433</f>
        <v>0</v>
      </c>
      <c r="G433">
        <f>'[1]SNO RTF daily report1'!G433</f>
        <v>0</v>
      </c>
      <c r="H433">
        <f>'[1]SNO RTF daily report1'!H433</f>
        <v>0</v>
      </c>
      <c r="I433">
        <f>'[1]SNO RTF daily report1'!I433</f>
        <v>0</v>
      </c>
    </row>
    <row r="434" spans="1:9" x14ac:dyDescent="0.25">
      <c r="A434">
        <f>'[1]SNO RTF daily report1'!A434</f>
        <v>0</v>
      </c>
      <c r="B434">
        <f>'[1]SNO RTF daily report1'!B434</f>
        <v>0</v>
      </c>
      <c r="C434">
        <f>'[1]SNO RTF daily report1'!C434</f>
        <v>0</v>
      </c>
      <c r="D434">
        <f>'[1]SNO RTF daily report1'!D434</f>
        <v>0</v>
      </c>
      <c r="E434">
        <f>'[1]SNO RTF daily report1'!E434</f>
        <v>0</v>
      </c>
      <c r="F434">
        <f>'[1]SNO RTF daily report1'!F434</f>
        <v>0</v>
      </c>
      <c r="G434">
        <f>'[1]SNO RTF daily report1'!G434</f>
        <v>0</v>
      </c>
      <c r="H434">
        <f>'[1]SNO RTF daily report1'!H434</f>
        <v>0</v>
      </c>
      <c r="I434">
        <f>'[1]SNO RTF daily report1'!I434</f>
        <v>0</v>
      </c>
    </row>
    <row r="435" spans="1:9" x14ac:dyDescent="0.25">
      <c r="A435">
        <f>'[1]SNO RTF daily report1'!A435</f>
        <v>0</v>
      </c>
      <c r="B435">
        <f>'[1]SNO RTF daily report1'!B435</f>
        <v>0</v>
      </c>
      <c r="C435">
        <f>'[1]SNO RTF daily report1'!C435</f>
        <v>0</v>
      </c>
      <c r="D435">
        <f>'[1]SNO RTF daily report1'!D435</f>
        <v>0</v>
      </c>
      <c r="E435">
        <f>'[1]SNO RTF daily report1'!E435</f>
        <v>0</v>
      </c>
      <c r="F435">
        <f>'[1]SNO RTF daily report1'!F435</f>
        <v>0</v>
      </c>
      <c r="G435">
        <f>'[1]SNO RTF daily report1'!G435</f>
        <v>0</v>
      </c>
      <c r="H435">
        <f>'[1]SNO RTF daily report1'!H435</f>
        <v>0</v>
      </c>
      <c r="I435">
        <f>'[1]SNO RTF daily report1'!I435</f>
        <v>0</v>
      </c>
    </row>
    <row r="436" spans="1:9" x14ac:dyDescent="0.25">
      <c r="A436">
        <f>'[1]SNO RTF daily report1'!A436</f>
        <v>0</v>
      </c>
      <c r="B436">
        <f>'[1]SNO RTF daily report1'!B436</f>
        <v>0</v>
      </c>
      <c r="C436">
        <f>'[1]SNO RTF daily report1'!C436</f>
        <v>0</v>
      </c>
      <c r="D436">
        <f>'[1]SNO RTF daily report1'!D436</f>
        <v>0</v>
      </c>
      <c r="E436">
        <f>'[1]SNO RTF daily report1'!E436</f>
        <v>0</v>
      </c>
      <c r="F436">
        <f>'[1]SNO RTF daily report1'!F436</f>
        <v>0</v>
      </c>
      <c r="G436">
        <f>'[1]SNO RTF daily report1'!G436</f>
        <v>0</v>
      </c>
      <c r="H436">
        <f>'[1]SNO RTF daily report1'!H436</f>
        <v>0</v>
      </c>
      <c r="I436">
        <f>'[1]SNO RTF daily report1'!I436</f>
        <v>0</v>
      </c>
    </row>
    <row r="437" spans="1:9" x14ac:dyDescent="0.25">
      <c r="A437">
        <f>'[1]SNO RTF daily report1'!A437</f>
        <v>0</v>
      </c>
      <c r="B437">
        <f>'[1]SNO RTF daily report1'!B437</f>
        <v>0</v>
      </c>
      <c r="C437">
        <f>'[1]SNO RTF daily report1'!C437</f>
        <v>0</v>
      </c>
      <c r="D437">
        <f>'[1]SNO RTF daily report1'!D437</f>
        <v>0</v>
      </c>
      <c r="E437">
        <f>'[1]SNO RTF daily report1'!E437</f>
        <v>0</v>
      </c>
      <c r="F437">
        <f>'[1]SNO RTF daily report1'!F437</f>
        <v>0</v>
      </c>
      <c r="G437">
        <f>'[1]SNO RTF daily report1'!G437</f>
        <v>0</v>
      </c>
      <c r="H437">
        <f>'[1]SNO RTF daily report1'!H437</f>
        <v>0</v>
      </c>
      <c r="I437">
        <f>'[1]SNO RTF daily report1'!I437</f>
        <v>0</v>
      </c>
    </row>
    <row r="438" spans="1:9" x14ac:dyDescent="0.25">
      <c r="A438">
        <f>'[1]SNO RTF daily report1'!A438</f>
        <v>0</v>
      </c>
      <c r="B438">
        <f>'[1]SNO RTF daily report1'!B438</f>
        <v>0</v>
      </c>
      <c r="C438">
        <f>'[1]SNO RTF daily report1'!C438</f>
        <v>0</v>
      </c>
      <c r="D438">
        <f>'[1]SNO RTF daily report1'!D438</f>
        <v>0</v>
      </c>
      <c r="E438">
        <f>'[1]SNO RTF daily report1'!E438</f>
        <v>0</v>
      </c>
      <c r="F438">
        <f>'[1]SNO RTF daily report1'!F438</f>
        <v>0</v>
      </c>
      <c r="G438">
        <f>'[1]SNO RTF daily report1'!G438</f>
        <v>0</v>
      </c>
      <c r="H438">
        <f>'[1]SNO RTF daily report1'!H438</f>
        <v>0</v>
      </c>
      <c r="I438">
        <f>'[1]SNO RTF daily report1'!I438</f>
        <v>0</v>
      </c>
    </row>
    <row r="439" spans="1:9" x14ac:dyDescent="0.25">
      <c r="A439">
        <f>'[1]SNO RTF daily report1'!A439</f>
        <v>0</v>
      </c>
      <c r="B439">
        <f>'[1]SNO RTF daily report1'!B439</f>
        <v>0</v>
      </c>
      <c r="C439">
        <f>'[1]SNO RTF daily report1'!C439</f>
        <v>0</v>
      </c>
      <c r="D439">
        <f>'[1]SNO RTF daily report1'!D439</f>
        <v>0</v>
      </c>
      <c r="E439">
        <f>'[1]SNO RTF daily report1'!E439</f>
        <v>0</v>
      </c>
      <c r="F439">
        <f>'[1]SNO RTF daily report1'!F439</f>
        <v>0</v>
      </c>
      <c r="G439">
        <f>'[1]SNO RTF daily report1'!G439</f>
        <v>0</v>
      </c>
      <c r="H439">
        <f>'[1]SNO RTF daily report1'!H439</f>
        <v>0</v>
      </c>
      <c r="I439">
        <f>'[1]SNO RTF daily report1'!I439</f>
        <v>0</v>
      </c>
    </row>
    <row r="440" spans="1:9" x14ac:dyDescent="0.25">
      <c r="A440">
        <f>'[1]SNO RTF daily report1'!A440</f>
        <v>0</v>
      </c>
      <c r="B440">
        <f>'[1]SNO RTF daily report1'!B440</f>
        <v>0</v>
      </c>
      <c r="C440">
        <f>'[1]SNO RTF daily report1'!C440</f>
        <v>0</v>
      </c>
      <c r="D440">
        <f>'[1]SNO RTF daily report1'!D440</f>
        <v>0</v>
      </c>
      <c r="E440">
        <f>'[1]SNO RTF daily report1'!E440</f>
        <v>0</v>
      </c>
      <c r="F440">
        <f>'[1]SNO RTF daily report1'!F440</f>
        <v>0</v>
      </c>
      <c r="G440">
        <f>'[1]SNO RTF daily report1'!G440</f>
        <v>0</v>
      </c>
      <c r="H440">
        <f>'[1]SNO RTF daily report1'!H440</f>
        <v>0</v>
      </c>
      <c r="I440">
        <f>'[1]SNO RTF daily report1'!I440</f>
        <v>0</v>
      </c>
    </row>
    <row r="441" spans="1:9" x14ac:dyDescent="0.25">
      <c r="A441">
        <f>'[1]SNO RTF daily report1'!A441</f>
        <v>0</v>
      </c>
      <c r="B441">
        <f>'[1]SNO RTF daily report1'!B441</f>
        <v>0</v>
      </c>
      <c r="C441">
        <f>'[1]SNO RTF daily report1'!C441</f>
        <v>0</v>
      </c>
      <c r="D441">
        <f>'[1]SNO RTF daily report1'!D441</f>
        <v>0</v>
      </c>
      <c r="E441">
        <f>'[1]SNO RTF daily report1'!E441</f>
        <v>0</v>
      </c>
      <c r="F441">
        <f>'[1]SNO RTF daily report1'!F441</f>
        <v>0</v>
      </c>
      <c r="G441">
        <f>'[1]SNO RTF daily report1'!G441</f>
        <v>0</v>
      </c>
      <c r="H441">
        <f>'[1]SNO RTF daily report1'!H441</f>
        <v>0</v>
      </c>
      <c r="I441">
        <f>'[1]SNO RTF daily report1'!I441</f>
        <v>0</v>
      </c>
    </row>
    <row r="442" spans="1:9" x14ac:dyDescent="0.25">
      <c r="A442">
        <f>'[1]SNO RTF daily report1'!A442</f>
        <v>0</v>
      </c>
      <c r="B442">
        <f>'[1]SNO RTF daily report1'!B442</f>
        <v>0</v>
      </c>
      <c r="C442">
        <f>'[1]SNO RTF daily report1'!C442</f>
        <v>0</v>
      </c>
      <c r="D442">
        <f>'[1]SNO RTF daily report1'!D442</f>
        <v>0</v>
      </c>
      <c r="E442">
        <f>'[1]SNO RTF daily report1'!E442</f>
        <v>0</v>
      </c>
      <c r="F442">
        <f>'[1]SNO RTF daily report1'!F442</f>
        <v>0</v>
      </c>
      <c r="G442">
        <f>'[1]SNO RTF daily report1'!G442</f>
        <v>0</v>
      </c>
      <c r="H442">
        <f>'[1]SNO RTF daily report1'!H442</f>
        <v>0</v>
      </c>
      <c r="I442">
        <f>'[1]SNO RTF daily report1'!I442</f>
        <v>0</v>
      </c>
    </row>
    <row r="443" spans="1:9" x14ac:dyDescent="0.25">
      <c r="A443">
        <f>'[1]SNO RTF daily report1'!A443</f>
        <v>0</v>
      </c>
      <c r="B443">
        <f>'[1]SNO RTF daily report1'!B443</f>
        <v>0</v>
      </c>
      <c r="C443">
        <f>'[1]SNO RTF daily report1'!C443</f>
        <v>0</v>
      </c>
      <c r="D443">
        <f>'[1]SNO RTF daily report1'!D443</f>
        <v>0</v>
      </c>
      <c r="E443">
        <f>'[1]SNO RTF daily report1'!E443</f>
        <v>0</v>
      </c>
      <c r="F443">
        <f>'[1]SNO RTF daily report1'!F443</f>
        <v>0</v>
      </c>
      <c r="G443">
        <f>'[1]SNO RTF daily report1'!G443</f>
        <v>0</v>
      </c>
      <c r="H443">
        <f>'[1]SNO RTF daily report1'!H443</f>
        <v>0</v>
      </c>
      <c r="I443">
        <f>'[1]SNO RTF daily report1'!I443</f>
        <v>0</v>
      </c>
    </row>
    <row r="444" spans="1:9" x14ac:dyDescent="0.25">
      <c r="A444">
        <f>'[1]SNO RTF daily report1'!A444</f>
        <v>0</v>
      </c>
      <c r="B444">
        <f>'[1]SNO RTF daily report1'!B444</f>
        <v>0</v>
      </c>
      <c r="C444">
        <f>'[1]SNO RTF daily report1'!C444</f>
        <v>0</v>
      </c>
      <c r="D444">
        <f>'[1]SNO RTF daily report1'!D444</f>
        <v>0</v>
      </c>
      <c r="E444">
        <f>'[1]SNO RTF daily report1'!E444</f>
        <v>0</v>
      </c>
      <c r="F444">
        <f>'[1]SNO RTF daily report1'!F444</f>
        <v>0</v>
      </c>
      <c r="G444">
        <f>'[1]SNO RTF daily report1'!G444</f>
        <v>0</v>
      </c>
      <c r="H444">
        <f>'[1]SNO RTF daily report1'!H444</f>
        <v>0</v>
      </c>
      <c r="I444">
        <f>'[1]SNO RTF daily report1'!I444</f>
        <v>0</v>
      </c>
    </row>
    <row r="445" spans="1:9" x14ac:dyDescent="0.25">
      <c r="A445">
        <f>'[1]SNO RTF daily report1'!A445</f>
        <v>0</v>
      </c>
      <c r="B445">
        <f>'[1]SNO RTF daily report1'!B445</f>
        <v>0</v>
      </c>
      <c r="C445">
        <f>'[1]SNO RTF daily report1'!C445</f>
        <v>0</v>
      </c>
      <c r="D445">
        <f>'[1]SNO RTF daily report1'!D445</f>
        <v>0</v>
      </c>
      <c r="E445">
        <f>'[1]SNO RTF daily report1'!E445</f>
        <v>0</v>
      </c>
      <c r="F445">
        <f>'[1]SNO RTF daily report1'!F445</f>
        <v>0</v>
      </c>
      <c r="G445">
        <f>'[1]SNO RTF daily report1'!G445</f>
        <v>0</v>
      </c>
      <c r="H445">
        <f>'[1]SNO RTF daily report1'!H445</f>
        <v>0</v>
      </c>
      <c r="I445">
        <f>'[1]SNO RTF daily report1'!I445</f>
        <v>0</v>
      </c>
    </row>
    <row r="446" spans="1:9" x14ac:dyDescent="0.25">
      <c r="A446">
        <f>'[1]SNO RTF daily report1'!A446</f>
        <v>0</v>
      </c>
      <c r="B446">
        <f>'[1]SNO RTF daily report1'!B446</f>
        <v>0</v>
      </c>
      <c r="C446">
        <f>'[1]SNO RTF daily report1'!C446</f>
        <v>0</v>
      </c>
      <c r="D446">
        <f>'[1]SNO RTF daily report1'!D446</f>
        <v>0</v>
      </c>
      <c r="E446">
        <f>'[1]SNO RTF daily report1'!E446</f>
        <v>0</v>
      </c>
      <c r="F446">
        <f>'[1]SNO RTF daily report1'!F446</f>
        <v>0</v>
      </c>
      <c r="G446">
        <f>'[1]SNO RTF daily report1'!G446</f>
        <v>0</v>
      </c>
      <c r="H446">
        <f>'[1]SNO RTF daily report1'!H446</f>
        <v>0</v>
      </c>
      <c r="I446">
        <f>'[1]SNO RTF daily report1'!I446</f>
        <v>0</v>
      </c>
    </row>
    <row r="447" spans="1:9" x14ac:dyDescent="0.25">
      <c r="A447">
        <f>'[1]SNO RTF daily report1'!A447</f>
        <v>0</v>
      </c>
      <c r="B447">
        <f>'[1]SNO RTF daily report1'!B447</f>
        <v>0</v>
      </c>
      <c r="C447">
        <f>'[1]SNO RTF daily report1'!C447</f>
        <v>0</v>
      </c>
      <c r="D447">
        <f>'[1]SNO RTF daily report1'!D447</f>
        <v>0</v>
      </c>
      <c r="E447">
        <f>'[1]SNO RTF daily report1'!E447</f>
        <v>0</v>
      </c>
      <c r="F447">
        <f>'[1]SNO RTF daily report1'!F447</f>
        <v>0</v>
      </c>
      <c r="G447">
        <f>'[1]SNO RTF daily report1'!G447</f>
        <v>0</v>
      </c>
      <c r="H447">
        <f>'[1]SNO RTF daily report1'!H447</f>
        <v>0</v>
      </c>
      <c r="I447">
        <f>'[1]SNO RTF daily report1'!I447</f>
        <v>0</v>
      </c>
    </row>
    <row r="448" spans="1:9" x14ac:dyDescent="0.25">
      <c r="A448">
        <f>'[1]SNO RTF daily report1'!A448</f>
        <v>0</v>
      </c>
      <c r="B448">
        <f>'[1]SNO RTF daily report1'!B448</f>
        <v>0</v>
      </c>
      <c r="C448">
        <f>'[1]SNO RTF daily report1'!C448</f>
        <v>0</v>
      </c>
      <c r="D448">
        <f>'[1]SNO RTF daily report1'!D448</f>
        <v>0</v>
      </c>
      <c r="E448">
        <f>'[1]SNO RTF daily report1'!E448</f>
        <v>0</v>
      </c>
      <c r="F448">
        <f>'[1]SNO RTF daily report1'!F448</f>
        <v>0</v>
      </c>
      <c r="G448">
        <f>'[1]SNO RTF daily report1'!G448</f>
        <v>0</v>
      </c>
      <c r="H448">
        <f>'[1]SNO RTF daily report1'!H448</f>
        <v>0</v>
      </c>
      <c r="I448">
        <f>'[1]SNO RTF daily report1'!I448</f>
        <v>0</v>
      </c>
    </row>
    <row r="449" spans="1:9" x14ac:dyDescent="0.25">
      <c r="A449">
        <f>'[1]SNO RTF daily report1'!A449</f>
        <v>0</v>
      </c>
      <c r="B449">
        <f>'[1]SNO RTF daily report1'!B449</f>
        <v>0</v>
      </c>
      <c r="C449">
        <f>'[1]SNO RTF daily report1'!C449</f>
        <v>0</v>
      </c>
      <c r="D449">
        <f>'[1]SNO RTF daily report1'!D449</f>
        <v>0</v>
      </c>
      <c r="E449">
        <f>'[1]SNO RTF daily report1'!E449</f>
        <v>0</v>
      </c>
      <c r="F449">
        <f>'[1]SNO RTF daily report1'!F449</f>
        <v>0</v>
      </c>
      <c r="G449">
        <f>'[1]SNO RTF daily report1'!G449</f>
        <v>0</v>
      </c>
      <c r="H449">
        <f>'[1]SNO RTF daily report1'!H449</f>
        <v>0</v>
      </c>
      <c r="I449">
        <f>'[1]SNO RTF daily report1'!I449</f>
        <v>0</v>
      </c>
    </row>
    <row r="450" spans="1:9" x14ac:dyDescent="0.25">
      <c r="A450">
        <f>'[1]SNO RTF daily report1'!A450</f>
        <v>0</v>
      </c>
      <c r="B450">
        <f>'[1]SNO RTF daily report1'!B450</f>
        <v>0</v>
      </c>
      <c r="C450">
        <f>'[1]SNO RTF daily report1'!C450</f>
        <v>0</v>
      </c>
      <c r="D450">
        <f>'[1]SNO RTF daily report1'!D450</f>
        <v>0</v>
      </c>
      <c r="E450">
        <f>'[1]SNO RTF daily report1'!E450</f>
        <v>0</v>
      </c>
      <c r="F450">
        <f>'[1]SNO RTF daily report1'!F450</f>
        <v>0</v>
      </c>
      <c r="G450">
        <f>'[1]SNO RTF daily report1'!G450</f>
        <v>0</v>
      </c>
      <c r="H450">
        <f>'[1]SNO RTF daily report1'!H450</f>
        <v>0</v>
      </c>
      <c r="I450">
        <f>'[1]SNO RTF daily report1'!I450</f>
        <v>0</v>
      </c>
    </row>
    <row r="451" spans="1:9" x14ac:dyDescent="0.25">
      <c r="A451">
        <f>'[1]SNO RTF daily report1'!A451</f>
        <v>0</v>
      </c>
      <c r="B451">
        <f>'[1]SNO RTF daily report1'!B451</f>
        <v>0</v>
      </c>
      <c r="C451">
        <f>'[1]SNO RTF daily report1'!C451</f>
        <v>0</v>
      </c>
      <c r="D451">
        <f>'[1]SNO RTF daily report1'!D451</f>
        <v>0</v>
      </c>
      <c r="E451">
        <f>'[1]SNO RTF daily report1'!E451</f>
        <v>0</v>
      </c>
      <c r="F451">
        <f>'[1]SNO RTF daily report1'!F451</f>
        <v>0</v>
      </c>
      <c r="G451">
        <f>'[1]SNO RTF daily report1'!G451</f>
        <v>0</v>
      </c>
      <c r="H451">
        <f>'[1]SNO RTF daily report1'!H451</f>
        <v>0</v>
      </c>
      <c r="I451">
        <f>'[1]SNO RTF daily report1'!I451</f>
        <v>0</v>
      </c>
    </row>
    <row r="452" spans="1:9" x14ac:dyDescent="0.25">
      <c r="A452">
        <f>'[1]SNO RTF daily report1'!A452</f>
        <v>0</v>
      </c>
      <c r="B452">
        <f>'[1]SNO RTF daily report1'!B452</f>
        <v>0</v>
      </c>
      <c r="C452">
        <f>'[1]SNO RTF daily report1'!C452</f>
        <v>0</v>
      </c>
      <c r="D452">
        <f>'[1]SNO RTF daily report1'!D452</f>
        <v>0</v>
      </c>
      <c r="E452">
        <f>'[1]SNO RTF daily report1'!E452</f>
        <v>0</v>
      </c>
      <c r="F452">
        <f>'[1]SNO RTF daily report1'!F452</f>
        <v>0</v>
      </c>
      <c r="G452">
        <f>'[1]SNO RTF daily report1'!G452</f>
        <v>0</v>
      </c>
      <c r="H452">
        <f>'[1]SNO RTF daily report1'!H452</f>
        <v>0</v>
      </c>
      <c r="I452">
        <f>'[1]SNO RTF daily report1'!I452</f>
        <v>0</v>
      </c>
    </row>
    <row r="453" spans="1:9" x14ac:dyDescent="0.25">
      <c r="A453">
        <f>'[1]SNO RTF daily report1'!A453</f>
        <v>0</v>
      </c>
      <c r="B453">
        <f>'[1]SNO RTF daily report1'!B453</f>
        <v>0</v>
      </c>
      <c r="C453">
        <f>'[1]SNO RTF daily report1'!C453</f>
        <v>0</v>
      </c>
      <c r="D453">
        <f>'[1]SNO RTF daily report1'!D453</f>
        <v>0</v>
      </c>
      <c r="E453">
        <f>'[1]SNO RTF daily report1'!E453</f>
        <v>0</v>
      </c>
      <c r="F453">
        <f>'[1]SNO RTF daily report1'!F453</f>
        <v>0</v>
      </c>
      <c r="G453">
        <f>'[1]SNO RTF daily report1'!G453</f>
        <v>0</v>
      </c>
      <c r="H453">
        <f>'[1]SNO RTF daily report1'!H453</f>
        <v>0</v>
      </c>
      <c r="I453">
        <f>'[1]SNO RTF daily report1'!I453</f>
        <v>0</v>
      </c>
    </row>
    <row r="454" spans="1:9" x14ac:dyDescent="0.25">
      <c r="A454">
        <f>'[1]SNO RTF daily report1'!A454</f>
        <v>0</v>
      </c>
      <c r="B454">
        <f>'[1]SNO RTF daily report1'!B454</f>
        <v>0</v>
      </c>
      <c r="C454">
        <f>'[1]SNO RTF daily report1'!C454</f>
        <v>0</v>
      </c>
      <c r="D454">
        <f>'[1]SNO RTF daily report1'!D454</f>
        <v>0</v>
      </c>
      <c r="E454">
        <f>'[1]SNO RTF daily report1'!E454</f>
        <v>0</v>
      </c>
      <c r="F454">
        <f>'[1]SNO RTF daily report1'!F454</f>
        <v>0</v>
      </c>
      <c r="G454">
        <f>'[1]SNO RTF daily report1'!G454</f>
        <v>0</v>
      </c>
      <c r="H454">
        <f>'[1]SNO RTF daily report1'!H454</f>
        <v>0</v>
      </c>
      <c r="I454">
        <f>'[1]SNO RTF daily report1'!I454</f>
        <v>0</v>
      </c>
    </row>
    <row r="455" spans="1:9" x14ac:dyDescent="0.25">
      <c r="A455">
        <f>'[1]SNO RTF daily report1'!A455</f>
        <v>0</v>
      </c>
      <c r="B455">
        <f>'[1]SNO RTF daily report1'!B455</f>
        <v>0</v>
      </c>
      <c r="C455">
        <f>'[1]SNO RTF daily report1'!C455</f>
        <v>0</v>
      </c>
      <c r="D455">
        <f>'[1]SNO RTF daily report1'!D455</f>
        <v>0</v>
      </c>
      <c r="E455">
        <f>'[1]SNO RTF daily report1'!E455</f>
        <v>0</v>
      </c>
      <c r="F455">
        <f>'[1]SNO RTF daily report1'!F455</f>
        <v>0</v>
      </c>
      <c r="G455">
        <f>'[1]SNO RTF daily report1'!G455</f>
        <v>0</v>
      </c>
      <c r="H455">
        <f>'[1]SNO RTF daily report1'!H455</f>
        <v>0</v>
      </c>
      <c r="I455">
        <f>'[1]SNO RTF daily report1'!I455</f>
        <v>0</v>
      </c>
    </row>
    <row r="456" spans="1:9" x14ac:dyDescent="0.25">
      <c r="A456">
        <f>'[1]SNO RTF daily report1'!A456</f>
        <v>0</v>
      </c>
      <c r="B456">
        <f>'[1]SNO RTF daily report1'!B456</f>
        <v>0</v>
      </c>
      <c r="C456">
        <f>'[1]SNO RTF daily report1'!C456</f>
        <v>0</v>
      </c>
      <c r="D456">
        <f>'[1]SNO RTF daily report1'!D456</f>
        <v>0</v>
      </c>
      <c r="E456">
        <f>'[1]SNO RTF daily report1'!E456</f>
        <v>0</v>
      </c>
      <c r="F456">
        <f>'[1]SNO RTF daily report1'!F456</f>
        <v>0</v>
      </c>
      <c r="G456">
        <f>'[1]SNO RTF daily report1'!G456</f>
        <v>0</v>
      </c>
      <c r="H456">
        <f>'[1]SNO RTF daily report1'!H456</f>
        <v>0</v>
      </c>
      <c r="I456">
        <f>'[1]SNO RTF daily report1'!I456</f>
        <v>0</v>
      </c>
    </row>
    <row r="457" spans="1:9" x14ac:dyDescent="0.25">
      <c r="A457">
        <f>'[1]SNO RTF daily report1'!A457</f>
        <v>0</v>
      </c>
      <c r="B457">
        <f>'[1]SNO RTF daily report1'!B457</f>
        <v>0</v>
      </c>
      <c r="C457">
        <f>'[1]SNO RTF daily report1'!C457</f>
        <v>0</v>
      </c>
      <c r="D457">
        <f>'[1]SNO RTF daily report1'!D457</f>
        <v>0</v>
      </c>
      <c r="E457">
        <f>'[1]SNO RTF daily report1'!E457</f>
        <v>0</v>
      </c>
      <c r="F457">
        <f>'[1]SNO RTF daily report1'!F457</f>
        <v>0</v>
      </c>
      <c r="G457">
        <f>'[1]SNO RTF daily report1'!G457</f>
        <v>0</v>
      </c>
      <c r="H457">
        <f>'[1]SNO RTF daily report1'!H457</f>
        <v>0</v>
      </c>
      <c r="I457">
        <f>'[1]SNO RTF daily report1'!I457</f>
        <v>0</v>
      </c>
    </row>
    <row r="458" spans="1:9" x14ac:dyDescent="0.25">
      <c r="A458">
        <f>'[1]SNO RTF daily report1'!A458</f>
        <v>0</v>
      </c>
      <c r="B458">
        <f>'[1]SNO RTF daily report1'!B458</f>
        <v>0</v>
      </c>
      <c r="C458">
        <f>'[1]SNO RTF daily report1'!C458</f>
        <v>0</v>
      </c>
      <c r="D458">
        <f>'[1]SNO RTF daily report1'!D458</f>
        <v>0</v>
      </c>
      <c r="E458">
        <f>'[1]SNO RTF daily report1'!E458</f>
        <v>0</v>
      </c>
      <c r="F458">
        <f>'[1]SNO RTF daily report1'!F458</f>
        <v>0</v>
      </c>
      <c r="G458">
        <f>'[1]SNO RTF daily report1'!G458</f>
        <v>0</v>
      </c>
      <c r="H458">
        <f>'[1]SNO RTF daily report1'!H458</f>
        <v>0</v>
      </c>
      <c r="I458">
        <f>'[1]SNO RTF daily report1'!I458</f>
        <v>0</v>
      </c>
    </row>
    <row r="459" spans="1:9" x14ac:dyDescent="0.25">
      <c r="A459">
        <f>'[1]SNO RTF daily report1'!A459</f>
        <v>0</v>
      </c>
      <c r="B459">
        <f>'[1]SNO RTF daily report1'!B459</f>
        <v>0</v>
      </c>
      <c r="C459">
        <f>'[1]SNO RTF daily report1'!C459</f>
        <v>0</v>
      </c>
      <c r="D459">
        <f>'[1]SNO RTF daily report1'!D459</f>
        <v>0</v>
      </c>
      <c r="E459">
        <f>'[1]SNO RTF daily report1'!E459</f>
        <v>0</v>
      </c>
      <c r="F459">
        <f>'[1]SNO RTF daily report1'!F459</f>
        <v>0</v>
      </c>
      <c r="G459">
        <f>'[1]SNO RTF daily report1'!G459</f>
        <v>0</v>
      </c>
      <c r="H459">
        <f>'[1]SNO RTF daily report1'!H459</f>
        <v>0</v>
      </c>
      <c r="I459">
        <f>'[1]SNO RTF daily report1'!I459</f>
        <v>0</v>
      </c>
    </row>
    <row r="460" spans="1:9" x14ac:dyDescent="0.25">
      <c r="A460">
        <f>'[1]SNO RTF daily report1'!A460</f>
        <v>0</v>
      </c>
      <c r="B460">
        <f>'[1]SNO RTF daily report1'!B460</f>
        <v>0</v>
      </c>
      <c r="C460">
        <f>'[1]SNO RTF daily report1'!C460</f>
        <v>0</v>
      </c>
      <c r="D460">
        <f>'[1]SNO RTF daily report1'!D460</f>
        <v>0</v>
      </c>
      <c r="E460">
        <f>'[1]SNO RTF daily report1'!E460</f>
        <v>0</v>
      </c>
      <c r="F460">
        <f>'[1]SNO RTF daily report1'!F460</f>
        <v>0</v>
      </c>
      <c r="G460">
        <f>'[1]SNO RTF daily report1'!G460</f>
        <v>0</v>
      </c>
      <c r="H460">
        <f>'[1]SNO RTF daily report1'!H460</f>
        <v>0</v>
      </c>
      <c r="I460">
        <f>'[1]SNO RTF daily report1'!I460</f>
        <v>0</v>
      </c>
    </row>
    <row r="461" spans="1:9" x14ac:dyDescent="0.25">
      <c r="A461">
        <f>'[1]SNO RTF daily report1'!A461</f>
        <v>0</v>
      </c>
      <c r="B461">
        <f>'[1]SNO RTF daily report1'!B461</f>
        <v>0</v>
      </c>
      <c r="C461">
        <f>'[1]SNO RTF daily report1'!C461</f>
        <v>0</v>
      </c>
      <c r="D461">
        <f>'[1]SNO RTF daily report1'!D461</f>
        <v>0</v>
      </c>
      <c r="E461">
        <f>'[1]SNO RTF daily report1'!E461</f>
        <v>0</v>
      </c>
      <c r="F461">
        <f>'[1]SNO RTF daily report1'!F461</f>
        <v>0</v>
      </c>
      <c r="G461">
        <f>'[1]SNO RTF daily report1'!G461</f>
        <v>0</v>
      </c>
      <c r="H461">
        <f>'[1]SNO RTF daily report1'!H461</f>
        <v>0</v>
      </c>
      <c r="I461">
        <f>'[1]SNO RTF daily report1'!I461</f>
        <v>0</v>
      </c>
    </row>
    <row r="462" spans="1:9" x14ac:dyDescent="0.25">
      <c r="A462">
        <f>'[1]SNO RTF daily report1'!A462</f>
        <v>0</v>
      </c>
      <c r="B462">
        <f>'[1]SNO RTF daily report1'!B462</f>
        <v>0</v>
      </c>
      <c r="C462">
        <f>'[1]SNO RTF daily report1'!C462</f>
        <v>0</v>
      </c>
      <c r="D462">
        <f>'[1]SNO RTF daily report1'!D462</f>
        <v>0</v>
      </c>
      <c r="E462">
        <f>'[1]SNO RTF daily report1'!E462</f>
        <v>0</v>
      </c>
      <c r="F462">
        <f>'[1]SNO RTF daily report1'!F462</f>
        <v>0</v>
      </c>
      <c r="G462">
        <f>'[1]SNO RTF daily report1'!G462</f>
        <v>0</v>
      </c>
      <c r="H462">
        <f>'[1]SNO RTF daily report1'!H462</f>
        <v>0</v>
      </c>
      <c r="I462">
        <f>'[1]SNO RTF daily report1'!I462</f>
        <v>0</v>
      </c>
    </row>
    <row r="463" spans="1:9" x14ac:dyDescent="0.25">
      <c r="A463">
        <f>'[1]SNO RTF daily report1'!A463</f>
        <v>0</v>
      </c>
      <c r="B463">
        <f>'[1]SNO RTF daily report1'!B463</f>
        <v>0</v>
      </c>
      <c r="C463">
        <f>'[1]SNO RTF daily report1'!C463</f>
        <v>0</v>
      </c>
      <c r="D463">
        <f>'[1]SNO RTF daily report1'!D463</f>
        <v>0</v>
      </c>
      <c r="E463">
        <f>'[1]SNO RTF daily report1'!E463</f>
        <v>0</v>
      </c>
      <c r="F463">
        <f>'[1]SNO RTF daily report1'!F463</f>
        <v>0</v>
      </c>
      <c r="G463">
        <f>'[1]SNO RTF daily report1'!G463</f>
        <v>0</v>
      </c>
      <c r="H463">
        <f>'[1]SNO RTF daily report1'!H463</f>
        <v>0</v>
      </c>
      <c r="I463">
        <f>'[1]SNO RTF daily report1'!I463</f>
        <v>0</v>
      </c>
    </row>
    <row r="464" spans="1:9" x14ac:dyDescent="0.25">
      <c r="A464">
        <f>'[1]SNO RTF daily report1'!A464</f>
        <v>0</v>
      </c>
      <c r="B464">
        <f>'[1]SNO RTF daily report1'!B464</f>
        <v>0</v>
      </c>
      <c r="C464">
        <f>'[1]SNO RTF daily report1'!C464</f>
        <v>0</v>
      </c>
      <c r="D464">
        <f>'[1]SNO RTF daily report1'!D464</f>
        <v>0</v>
      </c>
      <c r="E464">
        <f>'[1]SNO RTF daily report1'!E464</f>
        <v>0</v>
      </c>
      <c r="F464">
        <f>'[1]SNO RTF daily report1'!F464</f>
        <v>0</v>
      </c>
      <c r="G464">
        <f>'[1]SNO RTF daily report1'!G464</f>
        <v>0</v>
      </c>
      <c r="H464">
        <f>'[1]SNO RTF daily report1'!H464</f>
        <v>0</v>
      </c>
      <c r="I464">
        <f>'[1]SNO RTF daily report1'!I464</f>
        <v>0</v>
      </c>
    </row>
    <row r="465" spans="1:9" x14ac:dyDescent="0.25">
      <c r="A465">
        <f>'[1]SNO RTF daily report1'!A465</f>
        <v>0</v>
      </c>
      <c r="B465">
        <f>'[1]SNO RTF daily report1'!B465</f>
        <v>0</v>
      </c>
      <c r="C465">
        <f>'[1]SNO RTF daily report1'!C465</f>
        <v>0</v>
      </c>
      <c r="D465">
        <f>'[1]SNO RTF daily report1'!D465</f>
        <v>0</v>
      </c>
      <c r="E465">
        <f>'[1]SNO RTF daily report1'!E465</f>
        <v>0</v>
      </c>
      <c r="F465">
        <f>'[1]SNO RTF daily report1'!F465</f>
        <v>0</v>
      </c>
      <c r="G465">
        <f>'[1]SNO RTF daily report1'!G465</f>
        <v>0</v>
      </c>
      <c r="H465">
        <f>'[1]SNO RTF daily report1'!H465</f>
        <v>0</v>
      </c>
      <c r="I465">
        <f>'[1]SNO RTF daily report1'!I465</f>
        <v>0</v>
      </c>
    </row>
    <row r="466" spans="1:9" x14ac:dyDescent="0.25">
      <c r="A466">
        <f>'[1]SNO RTF daily report1'!A466</f>
        <v>0</v>
      </c>
      <c r="B466">
        <f>'[1]SNO RTF daily report1'!B466</f>
        <v>0</v>
      </c>
      <c r="C466">
        <f>'[1]SNO RTF daily report1'!C466</f>
        <v>0</v>
      </c>
      <c r="D466">
        <f>'[1]SNO RTF daily report1'!D466</f>
        <v>0</v>
      </c>
      <c r="E466">
        <f>'[1]SNO RTF daily report1'!E466</f>
        <v>0</v>
      </c>
      <c r="F466">
        <f>'[1]SNO RTF daily report1'!F466</f>
        <v>0</v>
      </c>
      <c r="G466">
        <f>'[1]SNO RTF daily report1'!G466</f>
        <v>0</v>
      </c>
      <c r="H466">
        <f>'[1]SNO RTF daily report1'!H466</f>
        <v>0</v>
      </c>
      <c r="I466">
        <f>'[1]SNO RTF daily report1'!I466</f>
        <v>0</v>
      </c>
    </row>
    <row r="467" spans="1:9" x14ac:dyDescent="0.25">
      <c r="A467">
        <f>'[1]SNO RTF daily report1'!A467</f>
        <v>0</v>
      </c>
      <c r="B467">
        <f>'[1]SNO RTF daily report1'!B467</f>
        <v>0</v>
      </c>
      <c r="C467">
        <f>'[1]SNO RTF daily report1'!C467</f>
        <v>0</v>
      </c>
      <c r="D467">
        <f>'[1]SNO RTF daily report1'!D467</f>
        <v>0</v>
      </c>
      <c r="E467">
        <f>'[1]SNO RTF daily report1'!E467</f>
        <v>0</v>
      </c>
      <c r="F467">
        <f>'[1]SNO RTF daily report1'!F467</f>
        <v>0</v>
      </c>
      <c r="G467">
        <f>'[1]SNO RTF daily report1'!G467</f>
        <v>0</v>
      </c>
      <c r="H467">
        <f>'[1]SNO RTF daily report1'!H467</f>
        <v>0</v>
      </c>
      <c r="I467">
        <f>'[1]SNO RTF daily report1'!I467</f>
        <v>0</v>
      </c>
    </row>
    <row r="468" spans="1:9" x14ac:dyDescent="0.25">
      <c r="A468">
        <f>'[1]SNO RTF daily report1'!A468</f>
        <v>0</v>
      </c>
      <c r="B468">
        <f>'[1]SNO RTF daily report1'!B468</f>
        <v>0</v>
      </c>
      <c r="C468">
        <f>'[1]SNO RTF daily report1'!C468</f>
        <v>0</v>
      </c>
      <c r="D468">
        <f>'[1]SNO RTF daily report1'!D468</f>
        <v>0</v>
      </c>
      <c r="E468">
        <f>'[1]SNO RTF daily report1'!E468</f>
        <v>0</v>
      </c>
      <c r="F468">
        <f>'[1]SNO RTF daily report1'!F468</f>
        <v>0</v>
      </c>
      <c r="G468">
        <f>'[1]SNO RTF daily report1'!G468</f>
        <v>0</v>
      </c>
      <c r="H468">
        <f>'[1]SNO RTF daily report1'!H468</f>
        <v>0</v>
      </c>
      <c r="I468">
        <f>'[1]SNO RTF daily report1'!I468</f>
        <v>0</v>
      </c>
    </row>
    <row r="469" spans="1:9" x14ac:dyDescent="0.25">
      <c r="A469">
        <f>'[1]SNO RTF daily report1'!A469</f>
        <v>0</v>
      </c>
      <c r="B469">
        <f>'[1]SNO RTF daily report1'!B469</f>
        <v>0</v>
      </c>
      <c r="C469">
        <f>'[1]SNO RTF daily report1'!C469</f>
        <v>0</v>
      </c>
      <c r="D469">
        <f>'[1]SNO RTF daily report1'!D469</f>
        <v>0</v>
      </c>
      <c r="E469">
        <f>'[1]SNO RTF daily report1'!E469</f>
        <v>0</v>
      </c>
      <c r="F469">
        <f>'[1]SNO RTF daily report1'!F469</f>
        <v>0</v>
      </c>
      <c r="G469">
        <f>'[1]SNO RTF daily report1'!G469</f>
        <v>0</v>
      </c>
      <c r="H469">
        <f>'[1]SNO RTF daily report1'!H469</f>
        <v>0</v>
      </c>
      <c r="I469">
        <f>'[1]SNO RTF daily report1'!I469</f>
        <v>0</v>
      </c>
    </row>
    <row r="470" spans="1:9" x14ac:dyDescent="0.25">
      <c r="A470">
        <f>'[1]SNO RTF daily report1'!A470</f>
        <v>0</v>
      </c>
      <c r="B470">
        <f>'[1]SNO RTF daily report1'!B470</f>
        <v>0</v>
      </c>
      <c r="C470">
        <f>'[1]SNO RTF daily report1'!C470</f>
        <v>0</v>
      </c>
      <c r="D470">
        <f>'[1]SNO RTF daily report1'!D470</f>
        <v>0</v>
      </c>
      <c r="E470">
        <f>'[1]SNO RTF daily report1'!E470</f>
        <v>0</v>
      </c>
      <c r="F470">
        <f>'[1]SNO RTF daily report1'!F470</f>
        <v>0</v>
      </c>
      <c r="G470">
        <f>'[1]SNO RTF daily report1'!G470</f>
        <v>0</v>
      </c>
      <c r="H470">
        <f>'[1]SNO RTF daily report1'!H470</f>
        <v>0</v>
      </c>
      <c r="I470">
        <f>'[1]SNO RTF daily report1'!I470</f>
        <v>0</v>
      </c>
    </row>
    <row r="471" spans="1:9" x14ac:dyDescent="0.25">
      <c r="A471">
        <f>'[1]SNO RTF daily report1'!A471</f>
        <v>0</v>
      </c>
      <c r="B471">
        <f>'[1]SNO RTF daily report1'!B471</f>
        <v>0</v>
      </c>
      <c r="C471">
        <f>'[1]SNO RTF daily report1'!C471</f>
        <v>0</v>
      </c>
      <c r="D471">
        <f>'[1]SNO RTF daily report1'!D471</f>
        <v>0</v>
      </c>
      <c r="E471">
        <f>'[1]SNO RTF daily report1'!E471</f>
        <v>0</v>
      </c>
      <c r="F471">
        <f>'[1]SNO RTF daily report1'!F471</f>
        <v>0</v>
      </c>
      <c r="G471">
        <f>'[1]SNO RTF daily report1'!G471</f>
        <v>0</v>
      </c>
      <c r="H471">
        <f>'[1]SNO RTF daily report1'!H471</f>
        <v>0</v>
      </c>
      <c r="I471">
        <f>'[1]SNO RTF daily report1'!I471</f>
        <v>0</v>
      </c>
    </row>
    <row r="472" spans="1:9" x14ac:dyDescent="0.25">
      <c r="A472">
        <f>'[1]SNO RTF daily report1'!A472</f>
        <v>0</v>
      </c>
      <c r="B472">
        <f>'[1]SNO RTF daily report1'!B472</f>
        <v>0</v>
      </c>
      <c r="C472">
        <f>'[1]SNO RTF daily report1'!C472</f>
        <v>0</v>
      </c>
      <c r="D472">
        <f>'[1]SNO RTF daily report1'!D472</f>
        <v>0</v>
      </c>
      <c r="E472">
        <f>'[1]SNO RTF daily report1'!E472</f>
        <v>0</v>
      </c>
      <c r="F472">
        <f>'[1]SNO RTF daily report1'!F472</f>
        <v>0</v>
      </c>
      <c r="G472">
        <f>'[1]SNO RTF daily report1'!G472</f>
        <v>0</v>
      </c>
      <c r="H472">
        <f>'[1]SNO RTF daily report1'!H472</f>
        <v>0</v>
      </c>
      <c r="I472">
        <f>'[1]SNO RTF daily report1'!I472</f>
        <v>0</v>
      </c>
    </row>
    <row r="473" spans="1:9" x14ac:dyDescent="0.25">
      <c r="A473">
        <f>'[1]SNO RTF daily report1'!A473</f>
        <v>0</v>
      </c>
      <c r="B473">
        <f>'[1]SNO RTF daily report1'!B473</f>
        <v>0</v>
      </c>
      <c r="C473">
        <f>'[1]SNO RTF daily report1'!C473</f>
        <v>0</v>
      </c>
      <c r="D473">
        <f>'[1]SNO RTF daily report1'!D473</f>
        <v>0</v>
      </c>
      <c r="E473">
        <f>'[1]SNO RTF daily report1'!E473</f>
        <v>0</v>
      </c>
      <c r="F473">
        <f>'[1]SNO RTF daily report1'!F473</f>
        <v>0</v>
      </c>
      <c r="G473">
        <f>'[1]SNO RTF daily report1'!G473</f>
        <v>0</v>
      </c>
      <c r="H473">
        <f>'[1]SNO RTF daily report1'!H473</f>
        <v>0</v>
      </c>
      <c r="I473">
        <f>'[1]SNO RTF daily report1'!I473</f>
        <v>0</v>
      </c>
    </row>
    <row r="474" spans="1:9" x14ac:dyDescent="0.25">
      <c r="A474">
        <f>'[1]SNO RTF daily report1'!A474</f>
        <v>0</v>
      </c>
      <c r="B474">
        <f>'[1]SNO RTF daily report1'!B474</f>
        <v>0</v>
      </c>
      <c r="C474">
        <f>'[1]SNO RTF daily report1'!C474</f>
        <v>0</v>
      </c>
      <c r="D474">
        <f>'[1]SNO RTF daily report1'!D474</f>
        <v>0</v>
      </c>
      <c r="E474">
        <f>'[1]SNO RTF daily report1'!E474</f>
        <v>0</v>
      </c>
      <c r="F474">
        <f>'[1]SNO RTF daily report1'!F474</f>
        <v>0</v>
      </c>
      <c r="G474">
        <f>'[1]SNO RTF daily report1'!G474</f>
        <v>0</v>
      </c>
      <c r="H474">
        <f>'[1]SNO RTF daily report1'!H474</f>
        <v>0</v>
      </c>
      <c r="I474">
        <f>'[1]SNO RTF daily report1'!I474</f>
        <v>0</v>
      </c>
    </row>
    <row r="475" spans="1:9" x14ac:dyDescent="0.25">
      <c r="A475">
        <f>'[1]SNO RTF daily report1'!A475</f>
        <v>0</v>
      </c>
      <c r="B475">
        <f>'[1]SNO RTF daily report1'!B475</f>
        <v>0</v>
      </c>
      <c r="C475">
        <f>'[1]SNO RTF daily report1'!C475</f>
        <v>0</v>
      </c>
      <c r="D475">
        <f>'[1]SNO RTF daily report1'!D475</f>
        <v>0</v>
      </c>
      <c r="E475">
        <f>'[1]SNO RTF daily report1'!E475</f>
        <v>0</v>
      </c>
      <c r="F475">
        <f>'[1]SNO RTF daily report1'!F475</f>
        <v>0</v>
      </c>
      <c r="G475">
        <f>'[1]SNO RTF daily report1'!G475</f>
        <v>0</v>
      </c>
      <c r="H475">
        <f>'[1]SNO RTF daily report1'!H475</f>
        <v>0</v>
      </c>
      <c r="I475">
        <f>'[1]SNO RTF daily report1'!I475</f>
        <v>0</v>
      </c>
    </row>
    <row r="476" spans="1:9" x14ac:dyDescent="0.25">
      <c r="A476">
        <f>'[1]SNO RTF daily report1'!A476</f>
        <v>0</v>
      </c>
      <c r="B476">
        <f>'[1]SNO RTF daily report1'!B476</f>
        <v>0</v>
      </c>
      <c r="C476">
        <f>'[1]SNO RTF daily report1'!C476</f>
        <v>0</v>
      </c>
      <c r="D476">
        <f>'[1]SNO RTF daily report1'!D476</f>
        <v>0</v>
      </c>
      <c r="E476">
        <f>'[1]SNO RTF daily report1'!E476</f>
        <v>0</v>
      </c>
      <c r="F476">
        <f>'[1]SNO RTF daily report1'!F476</f>
        <v>0</v>
      </c>
      <c r="G476">
        <f>'[1]SNO RTF daily report1'!G476</f>
        <v>0</v>
      </c>
      <c r="H476">
        <f>'[1]SNO RTF daily report1'!H476</f>
        <v>0</v>
      </c>
      <c r="I476">
        <f>'[1]SNO RTF daily report1'!I476</f>
        <v>0</v>
      </c>
    </row>
    <row r="477" spans="1:9" x14ac:dyDescent="0.25">
      <c r="A477">
        <f>'[1]SNO RTF daily report1'!A477</f>
        <v>0</v>
      </c>
      <c r="B477">
        <f>'[1]SNO RTF daily report1'!B477</f>
        <v>0</v>
      </c>
      <c r="C477">
        <f>'[1]SNO RTF daily report1'!C477</f>
        <v>0</v>
      </c>
      <c r="D477">
        <f>'[1]SNO RTF daily report1'!D477</f>
        <v>0</v>
      </c>
      <c r="E477">
        <f>'[1]SNO RTF daily report1'!E477</f>
        <v>0</v>
      </c>
      <c r="F477">
        <f>'[1]SNO RTF daily report1'!F477</f>
        <v>0</v>
      </c>
      <c r="G477">
        <f>'[1]SNO RTF daily report1'!G477</f>
        <v>0</v>
      </c>
      <c r="H477">
        <f>'[1]SNO RTF daily report1'!H477</f>
        <v>0</v>
      </c>
      <c r="I477">
        <f>'[1]SNO RTF daily report1'!I477</f>
        <v>0</v>
      </c>
    </row>
    <row r="478" spans="1:9" x14ac:dyDescent="0.25">
      <c r="A478">
        <f>'[1]SNO RTF daily report1'!A478</f>
        <v>0</v>
      </c>
      <c r="B478">
        <f>'[1]SNO RTF daily report1'!B478</f>
        <v>0</v>
      </c>
      <c r="C478">
        <f>'[1]SNO RTF daily report1'!C478</f>
        <v>0</v>
      </c>
      <c r="D478">
        <f>'[1]SNO RTF daily report1'!D478</f>
        <v>0</v>
      </c>
      <c r="E478">
        <f>'[1]SNO RTF daily report1'!E478</f>
        <v>0</v>
      </c>
      <c r="F478">
        <f>'[1]SNO RTF daily report1'!F478</f>
        <v>0</v>
      </c>
      <c r="G478">
        <f>'[1]SNO RTF daily report1'!G478</f>
        <v>0</v>
      </c>
      <c r="H478">
        <f>'[1]SNO RTF daily report1'!H478</f>
        <v>0</v>
      </c>
      <c r="I478">
        <f>'[1]SNO RTF daily report1'!I478</f>
        <v>0</v>
      </c>
    </row>
    <row r="479" spans="1:9" x14ac:dyDescent="0.25">
      <c r="A479">
        <f>'[1]SNO RTF daily report1'!A479</f>
        <v>0</v>
      </c>
      <c r="B479">
        <f>'[1]SNO RTF daily report1'!B479</f>
        <v>0</v>
      </c>
      <c r="C479">
        <f>'[1]SNO RTF daily report1'!C479</f>
        <v>0</v>
      </c>
      <c r="D479">
        <f>'[1]SNO RTF daily report1'!D479</f>
        <v>0</v>
      </c>
      <c r="E479">
        <f>'[1]SNO RTF daily report1'!E479</f>
        <v>0</v>
      </c>
      <c r="F479">
        <f>'[1]SNO RTF daily report1'!F479</f>
        <v>0</v>
      </c>
      <c r="G479">
        <f>'[1]SNO RTF daily report1'!G479</f>
        <v>0</v>
      </c>
      <c r="H479">
        <f>'[1]SNO RTF daily report1'!H479</f>
        <v>0</v>
      </c>
      <c r="I479">
        <f>'[1]SNO RTF daily report1'!I479</f>
        <v>0</v>
      </c>
    </row>
    <row r="480" spans="1:9" x14ac:dyDescent="0.25">
      <c r="A480">
        <f>'[1]SNO RTF daily report1'!A480</f>
        <v>0</v>
      </c>
      <c r="B480">
        <f>'[1]SNO RTF daily report1'!B480</f>
        <v>0</v>
      </c>
      <c r="C480">
        <f>'[1]SNO RTF daily report1'!C480</f>
        <v>0</v>
      </c>
      <c r="D480">
        <f>'[1]SNO RTF daily report1'!D480</f>
        <v>0</v>
      </c>
      <c r="E480">
        <f>'[1]SNO RTF daily report1'!E480</f>
        <v>0</v>
      </c>
      <c r="F480">
        <f>'[1]SNO RTF daily report1'!F480</f>
        <v>0</v>
      </c>
      <c r="G480">
        <f>'[1]SNO RTF daily report1'!G480</f>
        <v>0</v>
      </c>
      <c r="H480">
        <f>'[1]SNO RTF daily report1'!H480</f>
        <v>0</v>
      </c>
      <c r="I480">
        <f>'[1]SNO RTF daily report1'!I480</f>
        <v>0</v>
      </c>
    </row>
    <row r="481" spans="1:9" x14ac:dyDescent="0.25">
      <c r="A481">
        <f>'[1]SNO RTF daily report1'!A481</f>
        <v>0</v>
      </c>
      <c r="B481">
        <f>'[1]SNO RTF daily report1'!B481</f>
        <v>0</v>
      </c>
      <c r="C481">
        <f>'[1]SNO RTF daily report1'!C481</f>
        <v>0</v>
      </c>
      <c r="D481">
        <f>'[1]SNO RTF daily report1'!D481</f>
        <v>0</v>
      </c>
      <c r="E481">
        <f>'[1]SNO RTF daily report1'!E481</f>
        <v>0</v>
      </c>
      <c r="F481">
        <f>'[1]SNO RTF daily report1'!F481</f>
        <v>0</v>
      </c>
      <c r="G481">
        <f>'[1]SNO RTF daily report1'!G481</f>
        <v>0</v>
      </c>
      <c r="H481">
        <f>'[1]SNO RTF daily report1'!H481</f>
        <v>0</v>
      </c>
      <c r="I481">
        <f>'[1]SNO RTF daily report1'!I481</f>
        <v>0</v>
      </c>
    </row>
    <row r="482" spans="1:9" x14ac:dyDescent="0.25">
      <c r="A482">
        <f>'[1]SNO RTF daily report1'!A482</f>
        <v>0</v>
      </c>
      <c r="B482">
        <f>'[1]SNO RTF daily report1'!B482</f>
        <v>0</v>
      </c>
      <c r="C482">
        <f>'[1]SNO RTF daily report1'!C482</f>
        <v>0</v>
      </c>
      <c r="D482">
        <f>'[1]SNO RTF daily report1'!D482</f>
        <v>0</v>
      </c>
      <c r="E482">
        <f>'[1]SNO RTF daily report1'!E482</f>
        <v>0</v>
      </c>
      <c r="F482">
        <f>'[1]SNO RTF daily report1'!F482</f>
        <v>0</v>
      </c>
      <c r="G482">
        <f>'[1]SNO RTF daily report1'!G482</f>
        <v>0</v>
      </c>
      <c r="H482">
        <f>'[1]SNO RTF daily report1'!H482</f>
        <v>0</v>
      </c>
      <c r="I482">
        <f>'[1]SNO RTF daily report1'!I482</f>
        <v>0</v>
      </c>
    </row>
    <row r="483" spans="1:9" x14ac:dyDescent="0.25">
      <c r="A483">
        <f>'[1]SNO RTF daily report1'!A483</f>
        <v>0</v>
      </c>
      <c r="B483">
        <f>'[1]SNO RTF daily report1'!B483</f>
        <v>0</v>
      </c>
      <c r="C483">
        <f>'[1]SNO RTF daily report1'!C483</f>
        <v>0</v>
      </c>
      <c r="D483">
        <f>'[1]SNO RTF daily report1'!D483</f>
        <v>0</v>
      </c>
      <c r="E483">
        <f>'[1]SNO RTF daily report1'!E483</f>
        <v>0</v>
      </c>
      <c r="F483">
        <f>'[1]SNO RTF daily report1'!F483</f>
        <v>0</v>
      </c>
      <c r="G483">
        <f>'[1]SNO RTF daily report1'!G483</f>
        <v>0</v>
      </c>
      <c r="H483">
        <f>'[1]SNO RTF daily report1'!H483</f>
        <v>0</v>
      </c>
      <c r="I483">
        <f>'[1]SNO RTF daily report1'!I483</f>
        <v>0</v>
      </c>
    </row>
    <row r="484" spans="1:9" x14ac:dyDescent="0.25">
      <c r="A484">
        <f>'[1]SNO RTF daily report1'!A484</f>
        <v>0</v>
      </c>
      <c r="B484">
        <f>'[1]SNO RTF daily report1'!B484</f>
        <v>0</v>
      </c>
      <c r="C484">
        <f>'[1]SNO RTF daily report1'!C484</f>
        <v>0</v>
      </c>
      <c r="D484">
        <f>'[1]SNO RTF daily report1'!D484</f>
        <v>0</v>
      </c>
      <c r="E484">
        <f>'[1]SNO RTF daily report1'!E484</f>
        <v>0</v>
      </c>
      <c r="F484">
        <f>'[1]SNO RTF daily report1'!F484</f>
        <v>0</v>
      </c>
      <c r="G484">
        <f>'[1]SNO RTF daily report1'!G484</f>
        <v>0</v>
      </c>
      <c r="H484">
        <f>'[1]SNO RTF daily report1'!H484</f>
        <v>0</v>
      </c>
      <c r="I484">
        <f>'[1]SNO RTF daily report1'!I484</f>
        <v>0</v>
      </c>
    </row>
    <row r="485" spans="1:9" x14ac:dyDescent="0.25">
      <c r="A485">
        <f>'[1]SNO RTF daily report1'!A485</f>
        <v>0</v>
      </c>
      <c r="B485">
        <f>'[1]SNO RTF daily report1'!B485</f>
        <v>0</v>
      </c>
      <c r="C485">
        <f>'[1]SNO RTF daily report1'!C485</f>
        <v>0</v>
      </c>
      <c r="D485">
        <f>'[1]SNO RTF daily report1'!D485</f>
        <v>0</v>
      </c>
      <c r="E485">
        <f>'[1]SNO RTF daily report1'!E485</f>
        <v>0</v>
      </c>
      <c r="F485">
        <f>'[1]SNO RTF daily report1'!F485</f>
        <v>0</v>
      </c>
      <c r="G485">
        <f>'[1]SNO RTF daily report1'!G485</f>
        <v>0</v>
      </c>
      <c r="H485">
        <f>'[1]SNO RTF daily report1'!H485</f>
        <v>0</v>
      </c>
      <c r="I485">
        <f>'[1]SNO RTF daily report1'!I485</f>
        <v>0</v>
      </c>
    </row>
    <row r="486" spans="1:9" x14ac:dyDescent="0.25">
      <c r="A486">
        <f>'[1]SNO RTF daily report1'!A486</f>
        <v>0</v>
      </c>
      <c r="B486">
        <f>'[1]SNO RTF daily report1'!B486</f>
        <v>0</v>
      </c>
      <c r="C486">
        <f>'[1]SNO RTF daily report1'!C486</f>
        <v>0</v>
      </c>
      <c r="D486">
        <f>'[1]SNO RTF daily report1'!D486</f>
        <v>0</v>
      </c>
      <c r="E486">
        <f>'[1]SNO RTF daily report1'!E486</f>
        <v>0</v>
      </c>
      <c r="F486">
        <f>'[1]SNO RTF daily report1'!F486</f>
        <v>0</v>
      </c>
      <c r="G486">
        <f>'[1]SNO RTF daily report1'!G486</f>
        <v>0</v>
      </c>
      <c r="H486">
        <f>'[1]SNO RTF daily report1'!H486</f>
        <v>0</v>
      </c>
      <c r="I486">
        <f>'[1]SNO RTF daily report1'!I486</f>
        <v>0</v>
      </c>
    </row>
    <row r="487" spans="1:9" x14ac:dyDescent="0.25">
      <c r="A487">
        <f>'[1]SNO RTF daily report1'!A487</f>
        <v>0</v>
      </c>
      <c r="B487">
        <f>'[1]SNO RTF daily report1'!B487</f>
        <v>0</v>
      </c>
      <c r="C487">
        <f>'[1]SNO RTF daily report1'!C487</f>
        <v>0</v>
      </c>
      <c r="D487">
        <f>'[1]SNO RTF daily report1'!D487</f>
        <v>0</v>
      </c>
      <c r="E487">
        <f>'[1]SNO RTF daily report1'!E487</f>
        <v>0</v>
      </c>
      <c r="F487">
        <f>'[1]SNO RTF daily report1'!F487</f>
        <v>0</v>
      </c>
      <c r="G487">
        <f>'[1]SNO RTF daily report1'!G487</f>
        <v>0</v>
      </c>
      <c r="H487">
        <f>'[1]SNO RTF daily report1'!H487</f>
        <v>0</v>
      </c>
      <c r="I487">
        <f>'[1]SNO RTF daily report1'!I487</f>
        <v>0</v>
      </c>
    </row>
    <row r="488" spans="1:9" x14ac:dyDescent="0.25">
      <c r="A488">
        <f>'[1]SNO RTF daily report1'!A488</f>
        <v>0</v>
      </c>
      <c r="B488">
        <f>'[1]SNO RTF daily report1'!B488</f>
        <v>0</v>
      </c>
      <c r="C488">
        <f>'[1]SNO RTF daily report1'!C488</f>
        <v>0</v>
      </c>
      <c r="D488">
        <f>'[1]SNO RTF daily report1'!D488</f>
        <v>0</v>
      </c>
      <c r="E488">
        <f>'[1]SNO RTF daily report1'!E488</f>
        <v>0</v>
      </c>
      <c r="F488">
        <f>'[1]SNO RTF daily report1'!F488</f>
        <v>0</v>
      </c>
      <c r="G488">
        <f>'[1]SNO RTF daily report1'!G488</f>
        <v>0</v>
      </c>
      <c r="H488">
        <f>'[1]SNO RTF daily report1'!H488</f>
        <v>0</v>
      </c>
      <c r="I488">
        <f>'[1]SNO RTF daily report1'!I488</f>
        <v>0</v>
      </c>
    </row>
    <row r="489" spans="1:9" x14ac:dyDescent="0.25">
      <c r="A489">
        <f>'[1]SNO RTF daily report1'!A489</f>
        <v>0</v>
      </c>
      <c r="B489">
        <f>'[1]SNO RTF daily report1'!B489</f>
        <v>0</v>
      </c>
      <c r="C489">
        <f>'[1]SNO RTF daily report1'!C489</f>
        <v>0</v>
      </c>
      <c r="D489">
        <f>'[1]SNO RTF daily report1'!D489</f>
        <v>0</v>
      </c>
      <c r="E489">
        <f>'[1]SNO RTF daily report1'!E489</f>
        <v>0</v>
      </c>
      <c r="F489">
        <f>'[1]SNO RTF daily report1'!F489</f>
        <v>0</v>
      </c>
      <c r="G489">
        <f>'[1]SNO RTF daily report1'!G489</f>
        <v>0</v>
      </c>
      <c r="H489">
        <f>'[1]SNO RTF daily report1'!H489</f>
        <v>0</v>
      </c>
      <c r="I489">
        <f>'[1]SNO RTF daily report1'!I489</f>
        <v>0</v>
      </c>
    </row>
    <row r="490" spans="1:9" x14ac:dyDescent="0.25">
      <c r="A490">
        <f>'[1]SNO RTF daily report1'!A490</f>
        <v>0</v>
      </c>
      <c r="B490">
        <f>'[1]SNO RTF daily report1'!B490</f>
        <v>0</v>
      </c>
      <c r="C490">
        <f>'[1]SNO RTF daily report1'!C490</f>
        <v>0</v>
      </c>
      <c r="D490">
        <f>'[1]SNO RTF daily report1'!D490</f>
        <v>0</v>
      </c>
      <c r="E490">
        <f>'[1]SNO RTF daily report1'!E490</f>
        <v>0</v>
      </c>
      <c r="F490">
        <f>'[1]SNO RTF daily report1'!F490</f>
        <v>0</v>
      </c>
      <c r="G490">
        <f>'[1]SNO RTF daily report1'!G490</f>
        <v>0</v>
      </c>
      <c r="H490">
        <f>'[1]SNO RTF daily report1'!H490</f>
        <v>0</v>
      </c>
      <c r="I490">
        <f>'[1]SNO RTF daily report1'!I490</f>
        <v>0</v>
      </c>
    </row>
    <row r="491" spans="1:9" x14ac:dyDescent="0.25">
      <c r="A491">
        <f>'[1]SNO RTF daily report1'!A491</f>
        <v>0</v>
      </c>
      <c r="B491">
        <f>'[1]SNO RTF daily report1'!B491</f>
        <v>0</v>
      </c>
      <c r="C491">
        <f>'[1]SNO RTF daily report1'!C491</f>
        <v>0</v>
      </c>
      <c r="D491">
        <f>'[1]SNO RTF daily report1'!D491</f>
        <v>0</v>
      </c>
      <c r="E491">
        <f>'[1]SNO RTF daily report1'!E491</f>
        <v>0</v>
      </c>
      <c r="F491">
        <f>'[1]SNO RTF daily report1'!F491</f>
        <v>0</v>
      </c>
      <c r="G491">
        <f>'[1]SNO RTF daily report1'!G491</f>
        <v>0</v>
      </c>
      <c r="H491">
        <f>'[1]SNO RTF daily report1'!H491</f>
        <v>0</v>
      </c>
      <c r="I491">
        <f>'[1]SNO RTF daily report1'!I491</f>
        <v>0</v>
      </c>
    </row>
    <row r="492" spans="1:9" x14ac:dyDescent="0.25">
      <c r="A492">
        <f>'[1]SNO RTF daily report1'!A492</f>
        <v>0</v>
      </c>
      <c r="B492">
        <f>'[1]SNO RTF daily report1'!B492</f>
        <v>0</v>
      </c>
      <c r="C492">
        <f>'[1]SNO RTF daily report1'!C492</f>
        <v>0</v>
      </c>
      <c r="D492">
        <f>'[1]SNO RTF daily report1'!D492</f>
        <v>0</v>
      </c>
      <c r="E492">
        <f>'[1]SNO RTF daily report1'!E492</f>
        <v>0</v>
      </c>
      <c r="F492">
        <f>'[1]SNO RTF daily report1'!F492</f>
        <v>0</v>
      </c>
      <c r="G492">
        <f>'[1]SNO RTF daily report1'!G492</f>
        <v>0</v>
      </c>
      <c r="H492">
        <f>'[1]SNO RTF daily report1'!H492</f>
        <v>0</v>
      </c>
      <c r="I492">
        <f>'[1]SNO RTF daily report1'!I492</f>
        <v>0</v>
      </c>
    </row>
    <row r="493" spans="1:9" x14ac:dyDescent="0.25">
      <c r="A493">
        <f>'[1]SNO RTF daily report1'!A493</f>
        <v>0</v>
      </c>
      <c r="B493">
        <f>'[1]SNO RTF daily report1'!B493</f>
        <v>0</v>
      </c>
      <c r="C493">
        <f>'[1]SNO RTF daily report1'!C493</f>
        <v>0</v>
      </c>
      <c r="D493">
        <f>'[1]SNO RTF daily report1'!D493</f>
        <v>0</v>
      </c>
      <c r="E493">
        <f>'[1]SNO RTF daily report1'!E493</f>
        <v>0</v>
      </c>
      <c r="F493">
        <f>'[1]SNO RTF daily report1'!F493</f>
        <v>0</v>
      </c>
      <c r="G493">
        <f>'[1]SNO RTF daily report1'!G493</f>
        <v>0</v>
      </c>
      <c r="H493">
        <f>'[1]SNO RTF daily report1'!H493</f>
        <v>0</v>
      </c>
      <c r="I493">
        <f>'[1]SNO RTF daily report1'!I493</f>
        <v>0</v>
      </c>
    </row>
    <row r="494" spans="1:9" x14ac:dyDescent="0.25">
      <c r="A494">
        <f>'[1]SNO RTF daily report1'!A494</f>
        <v>0</v>
      </c>
      <c r="B494">
        <f>'[1]SNO RTF daily report1'!B494</f>
        <v>0</v>
      </c>
      <c r="C494">
        <f>'[1]SNO RTF daily report1'!C494</f>
        <v>0</v>
      </c>
      <c r="D494">
        <f>'[1]SNO RTF daily report1'!D494</f>
        <v>0</v>
      </c>
      <c r="E494">
        <f>'[1]SNO RTF daily report1'!E494</f>
        <v>0</v>
      </c>
      <c r="F494">
        <f>'[1]SNO RTF daily report1'!F494</f>
        <v>0</v>
      </c>
      <c r="G494">
        <f>'[1]SNO RTF daily report1'!G494</f>
        <v>0</v>
      </c>
      <c r="H494">
        <f>'[1]SNO RTF daily report1'!H494</f>
        <v>0</v>
      </c>
      <c r="I494">
        <f>'[1]SNO RTF daily report1'!I494</f>
        <v>0</v>
      </c>
    </row>
    <row r="495" spans="1:9" x14ac:dyDescent="0.25">
      <c r="A495">
        <f>'[1]SNO RTF daily report1'!A495</f>
        <v>0</v>
      </c>
      <c r="B495">
        <f>'[1]SNO RTF daily report1'!B495</f>
        <v>0</v>
      </c>
      <c r="C495">
        <f>'[1]SNO RTF daily report1'!C495</f>
        <v>0</v>
      </c>
      <c r="D495">
        <f>'[1]SNO RTF daily report1'!D495</f>
        <v>0</v>
      </c>
      <c r="E495">
        <f>'[1]SNO RTF daily report1'!E495</f>
        <v>0</v>
      </c>
      <c r="F495">
        <f>'[1]SNO RTF daily report1'!F495</f>
        <v>0</v>
      </c>
      <c r="G495">
        <f>'[1]SNO RTF daily report1'!G495</f>
        <v>0</v>
      </c>
      <c r="H495">
        <f>'[1]SNO RTF daily report1'!H495</f>
        <v>0</v>
      </c>
      <c r="I495">
        <f>'[1]SNO RTF daily report1'!I495</f>
        <v>0</v>
      </c>
    </row>
    <row r="496" spans="1:9" x14ac:dyDescent="0.25">
      <c r="A496">
        <f>'[1]SNO RTF daily report1'!A496</f>
        <v>0</v>
      </c>
      <c r="B496">
        <f>'[1]SNO RTF daily report1'!B496</f>
        <v>0</v>
      </c>
      <c r="C496">
        <f>'[1]SNO RTF daily report1'!C496</f>
        <v>0</v>
      </c>
      <c r="D496">
        <f>'[1]SNO RTF daily report1'!D496</f>
        <v>0</v>
      </c>
      <c r="E496">
        <f>'[1]SNO RTF daily report1'!E496</f>
        <v>0</v>
      </c>
      <c r="F496">
        <f>'[1]SNO RTF daily report1'!F496</f>
        <v>0</v>
      </c>
      <c r="G496">
        <f>'[1]SNO RTF daily report1'!G496</f>
        <v>0</v>
      </c>
      <c r="H496">
        <f>'[1]SNO RTF daily report1'!H496</f>
        <v>0</v>
      </c>
      <c r="I496">
        <f>'[1]SNO RTF daily report1'!I496</f>
        <v>0</v>
      </c>
    </row>
    <row r="497" spans="1:9" x14ac:dyDescent="0.25">
      <c r="A497">
        <f>'[1]SNO RTF daily report1'!A497</f>
        <v>0</v>
      </c>
      <c r="B497">
        <f>'[1]SNO RTF daily report1'!B497</f>
        <v>0</v>
      </c>
      <c r="C497">
        <f>'[1]SNO RTF daily report1'!C497</f>
        <v>0</v>
      </c>
      <c r="D497">
        <f>'[1]SNO RTF daily report1'!D497</f>
        <v>0</v>
      </c>
      <c r="E497">
        <f>'[1]SNO RTF daily report1'!E497</f>
        <v>0</v>
      </c>
      <c r="F497">
        <f>'[1]SNO RTF daily report1'!F497</f>
        <v>0</v>
      </c>
      <c r="G497">
        <f>'[1]SNO RTF daily report1'!G497</f>
        <v>0</v>
      </c>
      <c r="H497">
        <f>'[1]SNO RTF daily report1'!H497</f>
        <v>0</v>
      </c>
      <c r="I497">
        <f>'[1]SNO RTF daily report1'!I497</f>
        <v>0</v>
      </c>
    </row>
    <row r="498" spans="1:9" x14ac:dyDescent="0.25">
      <c r="A498">
        <f>'[1]SNO RTF daily report1'!A498</f>
        <v>0</v>
      </c>
      <c r="B498">
        <f>'[1]SNO RTF daily report1'!B498</f>
        <v>0</v>
      </c>
      <c r="C498">
        <f>'[1]SNO RTF daily report1'!C498</f>
        <v>0</v>
      </c>
      <c r="D498">
        <f>'[1]SNO RTF daily report1'!D498</f>
        <v>0</v>
      </c>
      <c r="E498">
        <f>'[1]SNO RTF daily report1'!E498</f>
        <v>0</v>
      </c>
      <c r="F498">
        <f>'[1]SNO RTF daily report1'!F498</f>
        <v>0</v>
      </c>
      <c r="G498">
        <f>'[1]SNO RTF daily report1'!G498</f>
        <v>0</v>
      </c>
      <c r="H498">
        <f>'[1]SNO RTF daily report1'!H498</f>
        <v>0</v>
      </c>
      <c r="I498">
        <f>'[1]SNO RTF daily report1'!I498</f>
        <v>0</v>
      </c>
    </row>
    <row r="499" spans="1:9" x14ac:dyDescent="0.25">
      <c r="A499">
        <f>'[1]SNO RTF daily report1'!A499</f>
        <v>0</v>
      </c>
      <c r="B499">
        <f>'[1]SNO RTF daily report1'!B499</f>
        <v>0</v>
      </c>
      <c r="C499">
        <f>'[1]SNO RTF daily report1'!C499</f>
        <v>0</v>
      </c>
      <c r="D499">
        <f>'[1]SNO RTF daily report1'!D499</f>
        <v>0</v>
      </c>
      <c r="E499">
        <f>'[1]SNO RTF daily report1'!E499</f>
        <v>0</v>
      </c>
      <c r="F499">
        <f>'[1]SNO RTF daily report1'!F499</f>
        <v>0</v>
      </c>
      <c r="G499">
        <f>'[1]SNO RTF daily report1'!G499</f>
        <v>0</v>
      </c>
      <c r="H499">
        <f>'[1]SNO RTF daily report1'!H499</f>
        <v>0</v>
      </c>
      <c r="I499">
        <f>'[1]SNO RTF daily report1'!I499</f>
        <v>0</v>
      </c>
    </row>
    <row r="500" spans="1:9" x14ac:dyDescent="0.25">
      <c r="A500">
        <f>'[1]SNO RTF daily report1'!A500</f>
        <v>0</v>
      </c>
      <c r="B500">
        <f>'[1]SNO RTF daily report1'!B500</f>
        <v>0</v>
      </c>
      <c r="C500">
        <f>'[1]SNO RTF daily report1'!C500</f>
        <v>0</v>
      </c>
      <c r="D500">
        <f>'[1]SNO RTF daily report1'!D500</f>
        <v>0</v>
      </c>
      <c r="E500">
        <f>'[1]SNO RTF daily report1'!E500</f>
        <v>0</v>
      </c>
      <c r="F500">
        <f>'[1]SNO RTF daily report1'!F500</f>
        <v>0</v>
      </c>
      <c r="G500">
        <f>'[1]SNO RTF daily report1'!G500</f>
        <v>0</v>
      </c>
      <c r="H500">
        <f>'[1]SNO RTF daily report1'!H500</f>
        <v>0</v>
      </c>
      <c r="I500">
        <f>'[1]SNO RTF daily report1'!I500</f>
        <v>0</v>
      </c>
    </row>
    <row r="501" spans="1:9" x14ac:dyDescent="0.25">
      <c r="A501">
        <f>'[1]SNO RTF daily report1'!A501</f>
        <v>0</v>
      </c>
      <c r="B501">
        <f>'[1]SNO RTF daily report1'!B501</f>
        <v>0</v>
      </c>
      <c r="C501">
        <f>'[1]SNO RTF daily report1'!C501</f>
        <v>0</v>
      </c>
      <c r="D501">
        <f>'[1]SNO RTF daily report1'!D501</f>
        <v>0</v>
      </c>
      <c r="E501">
        <f>'[1]SNO RTF daily report1'!E501</f>
        <v>0</v>
      </c>
      <c r="F501">
        <f>'[1]SNO RTF daily report1'!F501</f>
        <v>0</v>
      </c>
      <c r="G501">
        <f>'[1]SNO RTF daily report1'!G501</f>
        <v>0</v>
      </c>
      <c r="H501">
        <f>'[1]SNO RTF daily report1'!H501</f>
        <v>0</v>
      </c>
      <c r="I501">
        <f>'[1]SNO RTF daily report1'!I501</f>
        <v>0</v>
      </c>
    </row>
    <row r="502" spans="1:9" x14ac:dyDescent="0.25">
      <c r="A502">
        <f>'[1]SNO RTF daily report1'!A502</f>
        <v>0</v>
      </c>
      <c r="B502">
        <f>'[1]SNO RTF daily report1'!B502</f>
        <v>0</v>
      </c>
      <c r="C502">
        <f>'[1]SNO RTF daily report1'!C502</f>
        <v>0</v>
      </c>
      <c r="D502">
        <f>'[1]SNO RTF daily report1'!D502</f>
        <v>0</v>
      </c>
      <c r="E502">
        <f>'[1]SNO RTF daily report1'!E502</f>
        <v>0</v>
      </c>
      <c r="F502">
        <f>'[1]SNO RTF daily report1'!F502</f>
        <v>0</v>
      </c>
      <c r="G502">
        <f>'[1]SNO RTF daily report1'!G502</f>
        <v>0</v>
      </c>
      <c r="H502">
        <f>'[1]SNO RTF daily report1'!H502</f>
        <v>0</v>
      </c>
      <c r="I502">
        <f>'[1]SNO RTF daily report1'!I502</f>
        <v>0</v>
      </c>
    </row>
    <row r="503" spans="1:9" x14ac:dyDescent="0.25">
      <c r="A503">
        <f>'[1]SNO RTF daily report1'!A503</f>
        <v>0</v>
      </c>
      <c r="B503">
        <f>'[1]SNO RTF daily report1'!B503</f>
        <v>0</v>
      </c>
      <c r="C503">
        <f>'[1]SNO RTF daily report1'!C503</f>
        <v>0</v>
      </c>
      <c r="D503">
        <f>'[1]SNO RTF daily report1'!D503</f>
        <v>0</v>
      </c>
      <c r="E503">
        <f>'[1]SNO RTF daily report1'!E503</f>
        <v>0</v>
      </c>
      <c r="F503">
        <f>'[1]SNO RTF daily report1'!F503</f>
        <v>0</v>
      </c>
      <c r="G503">
        <f>'[1]SNO RTF daily report1'!G503</f>
        <v>0</v>
      </c>
      <c r="H503">
        <f>'[1]SNO RTF daily report1'!H503</f>
        <v>0</v>
      </c>
      <c r="I503">
        <f>'[1]SNO RTF daily report1'!I503</f>
        <v>0</v>
      </c>
    </row>
    <row r="504" spans="1:9" x14ac:dyDescent="0.25">
      <c r="A504">
        <f>'[1]SNO RTF daily report1'!A504</f>
        <v>0</v>
      </c>
      <c r="B504">
        <f>'[1]SNO RTF daily report1'!B504</f>
        <v>0</v>
      </c>
      <c r="C504">
        <f>'[1]SNO RTF daily report1'!C504</f>
        <v>0</v>
      </c>
      <c r="D504">
        <f>'[1]SNO RTF daily report1'!D504</f>
        <v>0</v>
      </c>
      <c r="E504">
        <f>'[1]SNO RTF daily report1'!E504</f>
        <v>0</v>
      </c>
      <c r="F504">
        <f>'[1]SNO RTF daily report1'!F504</f>
        <v>0</v>
      </c>
      <c r="G504">
        <f>'[1]SNO RTF daily report1'!G504</f>
        <v>0</v>
      </c>
      <c r="H504">
        <f>'[1]SNO RTF daily report1'!H504</f>
        <v>0</v>
      </c>
      <c r="I504">
        <f>'[1]SNO RTF daily report1'!I504</f>
        <v>0</v>
      </c>
    </row>
    <row r="505" spans="1:9" x14ac:dyDescent="0.25">
      <c r="A505">
        <f>'[1]SNO RTF daily report1'!A505</f>
        <v>0</v>
      </c>
      <c r="B505">
        <f>'[1]SNO RTF daily report1'!B505</f>
        <v>0</v>
      </c>
      <c r="C505">
        <f>'[1]SNO RTF daily report1'!C505</f>
        <v>0</v>
      </c>
      <c r="D505">
        <f>'[1]SNO RTF daily report1'!D505</f>
        <v>0</v>
      </c>
      <c r="E505">
        <f>'[1]SNO RTF daily report1'!E505</f>
        <v>0</v>
      </c>
      <c r="F505">
        <f>'[1]SNO RTF daily report1'!F505</f>
        <v>0</v>
      </c>
      <c r="G505">
        <f>'[1]SNO RTF daily report1'!G505</f>
        <v>0</v>
      </c>
      <c r="H505">
        <f>'[1]SNO RTF daily report1'!H505</f>
        <v>0</v>
      </c>
      <c r="I505">
        <f>'[1]SNO RTF daily report1'!I505</f>
        <v>0</v>
      </c>
    </row>
    <row r="506" spans="1:9" x14ac:dyDescent="0.25">
      <c r="A506">
        <f>'[1]SNO RTF daily report1'!A506</f>
        <v>0</v>
      </c>
      <c r="B506">
        <f>'[1]SNO RTF daily report1'!B506</f>
        <v>0</v>
      </c>
      <c r="C506">
        <f>'[1]SNO RTF daily report1'!C506</f>
        <v>0</v>
      </c>
      <c r="D506">
        <f>'[1]SNO RTF daily report1'!D506</f>
        <v>0</v>
      </c>
      <c r="E506">
        <f>'[1]SNO RTF daily report1'!E506</f>
        <v>0</v>
      </c>
      <c r="F506">
        <f>'[1]SNO RTF daily report1'!F506</f>
        <v>0</v>
      </c>
      <c r="G506">
        <f>'[1]SNO RTF daily report1'!G506</f>
        <v>0</v>
      </c>
      <c r="H506">
        <f>'[1]SNO RTF daily report1'!H506</f>
        <v>0</v>
      </c>
      <c r="I506">
        <f>'[1]SNO RTF daily report1'!I506</f>
        <v>0</v>
      </c>
    </row>
    <row r="507" spans="1:9" x14ac:dyDescent="0.25">
      <c r="A507">
        <f>'[1]SNO RTF daily report1'!A507</f>
        <v>0</v>
      </c>
      <c r="B507">
        <f>'[1]SNO RTF daily report1'!B507</f>
        <v>0</v>
      </c>
      <c r="C507">
        <f>'[1]SNO RTF daily report1'!C507</f>
        <v>0</v>
      </c>
      <c r="D507">
        <f>'[1]SNO RTF daily report1'!D507</f>
        <v>0</v>
      </c>
      <c r="E507">
        <f>'[1]SNO RTF daily report1'!E507</f>
        <v>0</v>
      </c>
      <c r="F507">
        <f>'[1]SNO RTF daily report1'!F507</f>
        <v>0</v>
      </c>
      <c r="G507">
        <f>'[1]SNO RTF daily report1'!G507</f>
        <v>0</v>
      </c>
      <c r="H507">
        <f>'[1]SNO RTF daily report1'!H507</f>
        <v>0</v>
      </c>
      <c r="I507">
        <f>'[1]SNO RTF daily report1'!I507</f>
        <v>0</v>
      </c>
    </row>
    <row r="508" spans="1:9" x14ac:dyDescent="0.25">
      <c r="A508">
        <f>'[1]SNO RTF daily report1'!A508</f>
        <v>0</v>
      </c>
      <c r="B508">
        <f>'[1]SNO RTF daily report1'!B508</f>
        <v>0</v>
      </c>
      <c r="C508">
        <f>'[1]SNO RTF daily report1'!C508</f>
        <v>0</v>
      </c>
      <c r="D508">
        <f>'[1]SNO RTF daily report1'!D508</f>
        <v>0</v>
      </c>
      <c r="E508">
        <f>'[1]SNO RTF daily report1'!E508</f>
        <v>0</v>
      </c>
      <c r="F508">
        <f>'[1]SNO RTF daily report1'!F508</f>
        <v>0</v>
      </c>
      <c r="G508">
        <f>'[1]SNO RTF daily report1'!G508</f>
        <v>0</v>
      </c>
      <c r="H508">
        <f>'[1]SNO RTF daily report1'!H508</f>
        <v>0</v>
      </c>
      <c r="I508">
        <f>'[1]SNO RTF daily report1'!I508</f>
        <v>0</v>
      </c>
    </row>
    <row r="509" spans="1:9" x14ac:dyDescent="0.25">
      <c r="A509">
        <f>'[1]SNO RTF daily report1'!A509</f>
        <v>0</v>
      </c>
      <c r="B509">
        <f>'[1]SNO RTF daily report1'!B509</f>
        <v>0</v>
      </c>
      <c r="C509">
        <f>'[1]SNO RTF daily report1'!C509</f>
        <v>0</v>
      </c>
      <c r="D509">
        <f>'[1]SNO RTF daily report1'!D509</f>
        <v>0</v>
      </c>
      <c r="E509">
        <f>'[1]SNO RTF daily report1'!E509</f>
        <v>0</v>
      </c>
      <c r="F509">
        <f>'[1]SNO RTF daily report1'!F509</f>
        <v>0</v>
      </c>
      <c r="G509">
        <f>'[1]SNO RTF daily report1'!G509</f>
        <v>0</v>
      </c>
      <c r="H509">
        <f>'[1]SNO RTF daily report1'!H509</f>
        <v>0</v>
      </c>
      <c r="I509">
        <f>'[1]SNO RTF daily report1'!I509</f>
        <v>0</v>
      </c>
    </row>
    <row r="510" spans="1:9" x14ac:dyDescent="0.25">
      <c r="A510">
        <f>'[1]SNO RTF daily report1'!A510</f>
        <v>0</v>
      </c>
      <c r="B510">
        <f>'[1]SNO RTF daily report1'!B510</f>
        <v>0</v>
      </c>
      <c r="C510">
        <f>'[1]SNO RTF daily report1'!C510</f>
        <v>0</v>
      </c>
      <c r="D510">
        <f>'[1]SNO RTF daily report1'!D510</f>
        <v>0</v>
      </c>
      <c r="E510">
        <f>'[1]SNO RTF daily report1'!E510</f>
        <v>0</v>
      </c>
      <c r="F510">
        <f>'[1]SNO RTF daily report1'!F510</f>
        <v>0</v>
      </c>
      <c r="G510">
        <f>'[1]SNO RTF daily report1'!G510</f>
        <v>0</v>
      </c>
      <c r="H510">
        <f>'[1]SNO RTF daily report1'!H510</f>
        <v>0</v>
      </c>
      <c r="I510">
        <f>'[1]SNO RTF daily report1'!I510</f>
        <v>0</v>
      </c>
    </row>
    <row r="511" spans="1:9" x14ac:dyDescent="0.25">
      <c r="A511">
        <f>'[1]SNO RTF daily report1'!A511</f>
        <v>0</v>
      </c>
      <c r="B511">
        <f>'[1]SNO RTF daily report1'!B511</f>
        <v>0</v>
      </c>
      <c r="C511">
        <f>'[1]SNO RTF daily report1'!C511</f>
        <v>0</v>
      </c>
      <c r="D511">
        <f>'[1]SNO RTF daily report1'!D511</f>
        <v>0</v>
      </c>
      <c r="E511">
        <f>'[1]SNO RTF daily report1'!E511</f>
        <v>0</v>
      </c>
      <c r="F511">
        <f>'[1]SNO RTF daily report1'!F511</f>
        <v>0</v>
      </c>
      <c r="G511">
        <f>'[1]SNO RTF daily report1'!G511</f>
        <v>0</v>
      </c>
      <c r="H511">
        <f>'[1]SNO RTF daily report1'!H511</f>
        <v>0</v>
      </c>
      <c r="I511">
        <f>'[1]SNO RTF daily report1'!I511</f>
        <v>0</v>
      </c>
    </row>
    <row r="512" spans="1:9" x14ac:dyDescent="0.25">
      <c r="A512">
        <f>'[1]SNO RTF daily report1'!A512</f>
        <v>0</v>
      </c>
      <c r="B512">
        <f>'[1]SNO RTF daily report1'!B512</f>
        <v>0</v>
      </c>
      <c r="C512">
        <f>'[1]SNO RTF daily report1'!C512</f>
        <v>0</v>
      </c>
      <c r="D512">
        <f>'[1]SNO RTF daily report1'!D512</f>
        <v>0</v>
      </c>
      <c r="E512">
        <f>'[1]SNO RTF daily report1'!E512</f>
        <v>0</v>
      </c>
      <c r="F512">
        <f>'[1]SNO RTF daily report1'!F512</f>
        <v>0</v>
      </c>
      <c r="G512">
        <f>'[1]SNO RTF daily report1'!G512</f>
        <v>0</v>
      </c>
      <c r="H512">
        <f>'[1]SNO RTF daily report1'!H512</f>
        <v>0</v>
      </c>
      <c r="I512">
        <f>'[1]SNO RTF daily report1'!I512</f>
        <v>0</v>
      </c>
    </row>
    <row r="513" spans="1:9" x14ac:dyDescent="0.25">
      <c r="A513">
        <f>'[1]SNO RTF daily report1'!A513</f>
        <v>0</v>
      </c>
      <c r="B513">
        <f>'[1]SNO RTF daily report1'!B513</f>
        <v>0</v>
      </c>
      <c r="C513">
        <f>'[1]SNO RTF daily report1'!C513</f>
        <v>0</v>
      </c>
      <c r="D513">
        <f>'[1]SNO RTF daily report1'!D513</f>
        <v>0</v>
      </c>
      <c r="E513">
        <f>'[1]SNO RTF daily report1'!E513</f>
        <v>0</v>
      </c>
      <c r="F513">
        <f>'[1]SNO RTF daily report1'!F513</f>
        <v>0</v>
      </c>
      <c r="G513">
        <f>'[1]SNO RTF daily report1'!G513</f>
        <v>0</v>
      </c>
      <c r="H513">
        <f>'[1]SNO RTF daily report1'!H513</f>
        <v>0</v>
      </c>
      <c r="I513">
        <f>'[1]SNO RTF daily report1'!I513</f>
        <v>0</v>
      </c>
    </row>
    <row r="514" spans="1:9" x14ac:dyDescent="0.25">
      <c r="A514">
        <f>'[1]SNO RTF daily report1'!A514</f>
        <v>0</v>
      </c>
      <c r="B514">
        <f>'[1]SNO RTF daily report1'!B514</f>
        <v>0</v>
      </c>
      <c r="C514">
        <f>'[1]SNO RTF daily report1'!C514</f>
        <v>0</v>
      </c>
      <c r="D514">
        <f>'[1]SNO RTF daily report1'!D514</f>
        <v>0</v>
      </c>
      <c r="E514">
        <f>'[1]SNO RTF daily report1'!E514</f>
        <v>0</v>
      </c>
      <c r="F514">
        <f>'[1]SNO RTF daily report1'!F514</f>
        <v>0</v>
      </c>
      <c r="G514">
        <f>'[1]SNO RTF daily report1'!G514</f>
        <v>0</v>
      </c>
      <c r="H514">
        <f>'[1]SNO RTF daily report1'!H514</f>
        <v>0</v>
      </c>
      <c r="I514">
        <f>'[1]SNO RTF daily report1'!I514</f>
        <v>0</v>
      </c>
    </row>
    <row r="515" spans="1:9" x14ac:dyDescent="0.25">
      <c r="A515">
        <f>'[1]SNO RTF daily report1'!A515</f>
        <v>0</v>
      </c>
      <c r="B515">
        <f>'[1]SNO RTF daily report1'!B515</f>
        <v>0</v>
      </c>
      <c r="C515">
        <f>'[1]SNO RTF daily report1'!C515</f>
        <v>0</v>
      </c>
      <c r="D515">
        <f>'[1]SNO RTF daily report1'!D515</f>
        <v>0</v>
      </c>
      <c r="E515">
        <f>'[1]SNO RTF daily report1'!E515</f>
        <v>0</v>
      </c>
      <c r="F515">
        <f>'[1]SNO RTF daily report1'!F515</f>
        <v>0</v>
      </c>
      <c r="G515">
        <f>'[1]SNO RTF daily report1'!G515</f>
        <v>0</v>
      </c>
      <c r="H515">
        <f>'[1]SNO RTF daily report1'!H515</f>
        <v>0</v>
      </c>
      <c r="I515">
        <f>'[1]SNO RTF daily report1'!I515</f>
        <v>0</v>
      </c>
    </row>
    <row r="516" spans="1:9" x14ac:dyDescent="0.25">
      <c r="A516">
        <f>'[1]SNO RTF daily report1'!A516</f>
        <v>0</v>
      </c>
      <c r="B516">
        <f>'[1]SNO RTF daily report1'!B516</f>
        <v>0</v>
      </c>
      <c r="C516">
        <f>'[1]SNO RTF daily report1'!C516</f>
        <v>0</v>
      </c>
      <c r="D516">
        <f>'[1]SNO RTF daily report1'!D516</f>
        <v>0</v>
      </c>
      <c r="E516">
        <f>'[1]SNO RTF daily report1'!E516</f>
        <v>0</v>
      </c>
      <c r="F516">
        <f>'[1]SNO RTF daily report1'!F516</f>
        <v>0</v>
      </c>
      <c r="G516">
        <f>'[1]SNO RTF daily report1'!G516</f>
        <v>0</v>
      </c>
      <c r="H516">
        <f>'[1]SNO RTF daily report1'!H516</f>
        <v>0</v>
      </c>
      <c r="I516">
        <f>'[1]SNO RTF daily report1'!I516</f>
        <v>0</v>
      </c>
    </row>
    <row r="517" spans="1:9" x14ac:dyDescent="0.25">
      <c r="A517">
        <f>'[1]SNO RTF daily report1'!A517</f>
        <v>0</v>
      </c>
      <c r="B517">
        <f>'[1]SNO RTF daily report1'!B517</f>
        <v>0</v>
      </c>
      <c r="C517">
        <f>'[1]SNO RTF daily report1'!C517</f>
        <v>0</v>
      </c>
      <c r="D517">
        <f>'[1]SNO RTF daily report1'!D517</f>
        <v>0</v>
      </c>
      <c r="E517">
        <f>'[1]SNO RTF daily report1'!E517</f>
        <v>0</v>
      </c>
      <c r="F517">
        <f>'[1]SNO RTF daily report1'!F517</f>
        <v>0</v>
      </c>
      <c r="G517">
        <f>'[1]SNO RTF daily report1'!G517</f>
        <v>0</v>
      </c>
      <c r="H517">
        <f>'[1]SNO RTF daily report1'!H517</f>
        <v>0</v>
      </c>
      <c r="I517">
        <f>'[1]SNO RTF daily report1'!I517</f>
        <v>0</v>
      </c>
    </row>
    <row r="518" spans="1:9" x14ac:dyDescent="0.25">
      <c r="A518">
        <f>'[1]SNO RTF daily report1'!A518</f>
        <v>0</v>
      </c>
      <c r="B518">
        <f>'[1]SNO RTF daily report1'!B518</f>
        <v>0</v>
      </c>
      <c r="C518">
        <f>'[1]SNO RTF daily report1'!C518</f>
        <v>0</v>
      </c>
      <c r="D518">
        <f>'[1]SNO RTF daily report1'!D518</f>
        <v>0</v>
      </c>
      <c r="E518">
        <f>'[1]SNO RTF daily report1'!E518</f>
        <v>0</v>
      </c>
      <c r="F518">
        <f>'[1]SNO RTF daily report1'!F518</f>
        <v>0</v>
      </c>
      <c r="G518">
        <f>'[1]SNO RTF daily report1'!G518</f>
        <v>0</v>
      </c>
      <c r="H518">
        <f>'[1]SNO RTF daily report1'!H518</f>
        <v>0</v>
      </c>
      <c r="I518">
        <f>'[1]SNO RTF daily report1'!I518</f>
        <v>0</v>
      </c>
    </row>
    <row r="519" spans="1:9" x14ac:dyDescent="0.25">
      <c r="A519">
        <f>'[1]SNO RTF daily report1'!A519</f>
        <v>0</v>
      </c>
      <c r="B519">
        <f>'[1]SNO RTF daily report1'!B519</f>
        <v>0</v>
      </c>
      <c r="C519">
        <f>'[1]SNO RTF daily report1'!C519</f>
        <v>0</v>
      </c>
      <c r="D519">
        <f>'[1]SNO RTF daily report1'!D519</f>
        <v>0</v>
      </c>
      <c r="E519">
        <f>'[1]SNO RTF daily report1'!E519</f>
        <v>0</v>
      </c>
      <c r="F519">
        <f>'[1]SNO RTF daily report1'!F519</f>
        <v>0</v>
      </c>
      <c r="G519">
        <f>'[1]SNO RTF daily report1'!G519</f>
        <v>0</v>
      </c>
      <c r="H519">
        <f>'[1]SNO RTF daily report1'!H519</f>
        <v>0</v>
      </c>
      <c r="I519">
        <f>'[1]SNO RTF daily report1'!I519</f>
        <v>0</v>
      </c>
    </row>
    <row r="520" spans="1:9" x14ac:dyDescent="0.25">
      <c r="A520">
        <f>'[1]SNO RTF daily report1'!A520</f>
        <v>0</v>
      </c>
      <c r="B520">
        <f>'[1]SNO RTF daily report1'!B520</f>
        <v>0</v>
      </c>
      <c r="C520">
        <f>'[1]SNO RTF daily report1'!C520</f>
        <v>0</v>
      </c>
      <c r="D520">
        <f>'[1]SNO RTF daily report1'!D520</f>
        <v>0</v>
      </c>
      <c r="E520">
        <f>'[1]SNO RTF daily report1'!E520</f>
        <v>0</v>
      </c>
      <c r="F520">
        <f>'[1]SNO RTF daily report1'!F520</f>
        <v>0</v>
      </c>
      <c r="G520">
        <f>'[1]SNO RTF daily report1'!G520</f>
        <v>0</v>
      </c>
      <c r="H520">
        <f>'[1]SNO RTF daily report1'!H520</f>
        <v>0</v>
      </c>
      <c r="I520">
        <f>'[1]SNO RTF daily report1'!I520</f>
        <v>0</v>
      </c>
    </row>
    <row r="521" spans="1:9" x14ac:dyDescent="0.25">
      <c r="A521">
        <f>'[1]SNO RTF daily report1'!A521</f>
        <v>0</v>
      </c>
      <c r="B521">
        <f>'[1]SNO RTF daily report1'!B521</f>
        <v>0</v>
      </c>
      <c r="C521">
        <f>'[1]SNO RTF daily report1'!C521</f>
        <v>0</v>
      </c>
      <c r="D521">
        <f>'[1]SNO RTF daily report1'!D521</f>
        <v>0</v>
      </c>
      <c r="E521">
        <f>'[1]SNO RTF daily report1'!E521</f>
        <v>0</v>
      </c>
      <c r="F521">
        <f>'[1]SNO RTF daily report1'!F521</f>
        <v>0</v>
      </c>
      <c r="G521">
        <f>'[1]SNO RTF daily report1'!G521</f>
        <v>0</v>
      </c>
      <c r="H521">
        <f>'[1]SNO RTF daily report1'!H521</f>
        <v>0</v>
      </c>
      <c r="I521">
        <f>'[1]SNO RTF daily report1'!I521</f>
        <v>0</v>
      </c>
    </row>
    <row r="522" spans="1:9" x14ac:dyDescent="0.25">
      <c r="A522">
        <f>'[1]SNO RTF daily report1'!A522</f>
        <v>0</v>
      </c>
      <c r="B522">
        <f>'[1]SNO RTF daily report1'!B522</f>
        <v>0</v>
      </c>
      <c r="C522">
        <f>'[1]SNO RTF daily report1'!C522</f>
        <v>0</v>
      </c>
      <c r="D522">
        <f>'[1]SNO RTF daily report1'!D522</f>
        <v>0</v>
      </c>
      <c r="E522">
        <f>'[1]SNO RTF daily report1'!E522</f>
        <v>0</v>
      </c>
      <c r="F522">
        <f>'[1]SNO RTF daily report1'!F522</f>
        <v>0</v>
      </c>
      <c r="G522">
        <f>'[1]SNO RTF daily report1'!G522</f>
        <v>0</v>
      </c>
      <c r="H522">
        <f>'[1]SNO RTF daily report1'!H522</f>
        <v>0</v>
      </c>
      <c r="I522">
        <f>'[1]SNO RTF daily report1'!I522</f>
        <v>0</v>
      </c>
    </row>
    <row r="523" spans="1:9" x14ac:dyDescent="0.25">
      <c r="A523">
        <f>'[1]SNO RTF daily report1'!A523</f>
        <v>0</v>
      </c>
      <c r="B523">
        <f>'[1]SNO RTF daily report1'!B523</f>
        <v>0</v>
      </c>
      <c r="C523">
        <f>'[1]SNO RTF daily report1'!C523</f>
        <v>0</v>
      </c>
      <c r="D523">
        <f>'[1]SNO RTF daily report1'!D523</f>
        <v>0</v>
      </c>
      <c r="E523">
        <f>'[1]SNO RTF daily report1'!E523</f>
        <v>0</v>
      </c>
      <c r="F523">
        <f>'[1]SNO RTF daily report1'!F523</f>
        <v>0</v>
      </c>
      <c r="G523">
        <f>'[1]SNO RTF daily report1'!G523</f>
        <v>0</v>
      </c>
      <c r="H523">
        <f>'[1]SNO RTF daily report1'!H523</f>
        <v>0</v>
      </c>
      <c r="I523">
        <f>'[1]SNO RTF daily report1'!I523</f>
        <v>0</v>
      </c>
    </row>
    <row r="524" spans="1:9" x14ac:dyDescent="0.25">
      <c r="A524">
        <f>'[1]SNO RTF daily report1'!A524</f>
        <v>0</v>
      </c>
      <c r="B524">
        <f>'[1]SNO RTF daily report1'!B524</f>
        <v>0</v>
      </c>
      <c r="C524">
        <f>'[1]SNO RTF daily report1'!C524</f>
        <v>0</v>
      </c>
      <c r="D524">
        <f>'[1]SNO RTF daily report1'!D524</f>
        <v>0</v>
      </c>
      <c r="E524">
        <f>'[1]SNO RTF daily report1'!E524</f>
        <v>0</v>
      </c>
      <c r="F524">
        <f>'[1]SNO RTF daily report1'!F524</f>
        <v>0</v>
      </c>
      <c r="G524">
        <f>'[1]SNO RTF daily report1'!G524</f>
        <v>0</v>
      </c>
      <c r="H524">
        <f>'[1]SNO RTF daily report1'!H524</f>
        <v>0</v>
      </c>
      <c r="I524">
        <f>'[1]SNO RTF daily report1'!I524</f>
        <v>0</v>
      </c>
    </row>
    <row r="525" spans="1:9" x14ac:dyDescent="0.25">
      <c r="A525">
        <f>'[1]SNO RTF daily report1'!A525</f>
        <v>0</v>
      </c>
      <c r="B525">
        <f>'[1]SNO RTF daily report1'!B525</f>
        <v>0</v>
      </c>
      <c r="C525">
        <f>'[1]SNO RTF daily report1'!C525</f>
        <v>0</v>
      </c>
      <c r="D525">
        <f>'[1]SNO RTF daily report1'!D525</f>
        <v>0</v>
      </c>
      <c r="E525">
        <f>'[1]SNO RTF daily report1'!E525</f>
        <v>0</v>
      </c>
      <c r="F525">
        <f>'[1]SNO RTF daily report1'!F525</f>
        <v>0</v>
      </c>
      <c r="G525">
        <f>'[1]SNO RTF daily report1'!G525</f>
        <v>0</v>
      </c>
      <c r="H525">
        <f>'[1]SNO RTF daily report1'!H525</f>
        <v>0</v>
      </c>
      <c r="I525">
        <f>'[1]SNO RTF daily report1'!I525</f>
        <v>0</v>
      </c>
    </row>
    <row r="526" spans="1:9" x14ac:dyDescent="0.25">
      <c r="A526">
        <f>'[1]SNO RTF daily report1'!A526</f>
        <v>0</v>
      </c>
      <c r="B526">
        <f>'[1]SNO RTF daily report1'!B526</f>
        <v>0</v>
      </c>
      <c r="C526">
        <f>'[1]SNO RTF daily report1'!C526</f>
        <v>0</v>
      </c>
      <c r="D526">
        <f>'[1]SNO RTF daily report1'!D526</f>
        <v>0</v>
      </c>
      <c r="E526">
        <f>'[1]SNO RTF daily report1'!E526</f>
        <v>0</v>
      </c>
      <c r="F526">
        <f>'[1]SNO RTF daily report1'!F526</f>
        <v>0</v>
      </c>
      <c r="G526">
        <f>'[1]SNO RTF daily report1'!G526</f>
        <v>0</v>
      </c>
      <c r="H526">
        <f>'[1]SNO RTF daily report1'!H526</f>
        <v>0</v>
      </c>
      <c r="I526">
        <f>'[1]SNO RTF daily report1'!I526</f>
        <v>0</v>
      </c>
    </row>
    <row r="527" spans="1:9" x14ac:dyDescent="0.25">
      <c r="A527">
        <f>'[1]SNO RTF daily report1'!A527</f>
        <v>0</v>
      </c>
      <c r="B527">
        <f>'[1]SNO RTF daily report1'!B527</f>
        <v>0</v>
      </c>
      <c r="C527">
        <f>'[1]SNO RTF daily report1'!C527</f>
        <v>0</v>
      </c>
      <c r="D527">
        <f>'[1]SNO RTF daily report1'!D527</f>
        <v>0</v>
      </c>
      <c r="E527">
        <f>'[1]SNO RTF daily report1'!E527</f>
        <v>0</v>
      </c>
      <c r="F527">
        <f>'[1]SNO RTF daily report1'!F527</f>
        <v>0</v>
      </c>
      <c r="G527">
        <f>'[1]SNO RTF daily report1'!G527</f>
        <v>0</v>
      </c>
      <c r="H527">
        <f>'[1]SNO RTF daily report1'!H527</f>
        <v>0</v>
      </c>
      <c r="I527">
        <f>'[1]SNO RTF daily report1'!I527</f>
        <v>0</v>
      </c>
    </row>
    <row r="528" spans="1:9" x14ac:dyDescent="0.25">
      <c r="A528">
        <f>'[1]SNO RTF daily report1'!A528</f>
        <v>0</v>
      </c>
      <c r="B528">
        <f>'[1]SNO RTF daily report1'!B528</f>
        <v>0</v>
      </c>
      <c r="C528">
        <f>'[1]SNO RTF daily report1'!C528</f>
        <v>0</v>
      </c>
      <c r="D528">
        <f>'[1]SNO RTF daily report1'!D528</f>
        <v>0</v>
      </c>
      <c r="E528">
        <f>'[1]SNO RTF daily report1'!E528</f>
        <v>0</v>
      </c>
      <c r="F528">
        <f>'[1]SNO RTF daily report1'!F528</f>
        <v>0</v>
      </c>
      <c r="G528">
        <f>'[1]SNO RTF daily report1'!G528</f>
        <v>0</v>
      </c>
      <c r="H528">
        <f>'[1]SNO RTF daily report1'!H528</f>
        <v>0</v>
      </c>
      <c r="I528">
        <f>'[1]SNO RTF daily report1'!I528</f>
        <v>0</v>
      </c>
    </row>
    <row r="529" spans="1:9" x14ac:dyDescent="0.25">
      <c r="A529">
        <f>'[1]SNO RTF daily report1'!A529</f>
        <v>0</v>
      </c>
      <c r="B529">
        <f>'[1]SNO RTF daily report1'!B529</f>
        <v>0</v>
      </c>
      <c r="C529">
        <f>'[1]SNO RTF daily report1'!C529</f>
        <v>0</v>
      </c>
      <c r="D529">
        <f>'[1]SNO RTF daily report1'!D529</f>
        <v>0</v>
      </c>
      <c r="E529">
        <f>'[1]SNO RTF daily report1'!E529</f>
        <v>0</v>
      </c>
      <c r="F529">
        <f>'[1]SNO RTF daily report1'!F529</f>
        <v>0</v>
      </c>
      <c r="G529">
        <f>'[1]SNO RTF daily report1'!G529</f>
        <v>0</v>
      </c>
      <c r="H529">
        <f>'[1]SNO RTF daily report1'!H529</f>
        <v>0</v>
      </c>
      <c r="I529">
        <f>'[1]SNO RTF daily report1'!I529</f>
        <v>0</v>
      </c>
    </row>
    <row r="530" spans="1:9" x14ac:dyDescent="0.25">
      <c r="A530">
        <f>'[1]SNO RTF daily report1'!A530</f>
        <v>0</v>
      </c>
      <c r="B530">
        <f>'[1]SNO RTF daily report1'!B530</f>
        <v>0</v>
      </c>
      <c r="C530">
        <f>'[1]SNO RTF daily report1'!C530</f>
        <v>0</v>
      </c>
      <c r="D530">
        <f>'[1]SNO RTF daily report1'!D530</f>
        <v>0</v>
      </c>
      <c r="E530">
        <f>'[1]SNO RTF daily report1'!E530</f>
        <v>0</v>
      </c>
      <c r="F530">
        <f>'[1]SNO RTF daily report1'!F530</f>
        <v>0</v>
      </c>
      <c r="G530">
        <f>'[1]SNO RTF daily report1'!G530</f>
        <v>0</v>
      </c>
      <c r="H530">
        <f>'[1]SNO RTF daily report1'!H530</f>
        <v>0</v>
      </c>
      <c r="I530">
        <f>'[1]SNO RTF daily report1'!I530</f>
        <v>0</v>
      </c>
    </row>
    <row r="531" spans="1:9" x14ac:dyDescent="0.25">
      <c r="A531">
        <f>'[1]SNO RTF daily report1'!A531</f>
        <v>0</v>
      </c>
      <c r="B531">
        <f>'[1]SNO RTF daily report1'!B531</f>
        <v>0</v>
      </c>
      <c r="C531">
        <f>'[1]SNO RTF daily report1'!C531</f>
        <v>0</v>
      </c>
      <c r="D531">
        <f>'[1]SNO RTF daily report1'!D531</f>
        <v>0</v>
      </c>
      <c r="E531">
        <f>'[1]SNO RTF daily report1'!E531</f>
        <v>0</v>
      </c>
      <c r="F531">
        <f>'[1]SNO RTF daily report1'!F531</f>
        <v>0</v>
      </c>
      <c r="G531">
        <f>'[1]SNO RTF daily report1'!G531</f>
        <v>0</v>
      </c>
      <c r="H531">
        <f>'[1]SNO RTF daily report1'!H531</f>
        <v>0</v>
      </c>
      <c r="I531">
        <f>'[1]SNO RTF daily report1'!I531</f>
        <v>0</v>
      </c>
    </row>
    <row r="532" spans="1:9" x14ac:dyDescent="0.25">
      <c r="A532">
        <f>'[1]SNO RTF daily report1'!A532</f>
        <v>0</v>
      </c>
      <c r="B532">
        <f>'[1]SNO RTF daily report1'!B532</f>
        <v>0</v>
      </c>
      <c r="C532">
        <f>'[1]SNO RTF daily report1'!C532</f>
        <v>0</v>
      </c>
      <c r="D532">
        <f>'[1]SNO RTF daily report1'!D532</f>
        <v>0</v>
      </c>
      <c r="E532">
        <f>'[1]SNO RTF daily report1'!E532</f>
        <v>0</v>
      </c>
      <c r="F532">
        <f>'[1]SNO RTF daily report1'!F532</f>
        <v>0</v>
      </c>
      <c r="G532">
        <f>'[1]SNO RTF daily report1'!G532</f>
        <v>0</v>
      </c>
      <c r="H532">
        <f>'[1]SNO RTF daily report1'!H532</f>
        <v>0</v>
      </c>
      <c r="I532">
        <f>'[1]SNO RTF daily report1'!I532</f>
        <v>0</v>
      </c>
    </row>
    <row r="533" spans="1:9" x14ac:dyDescent="0.25">
      <c r="A533">
        <f>'[1]SNO RTF daily report1'!A533</f>
        <v>0</v>
      </c>
      <c r="B533">
        <f>'[1]SNO RTF daily report1'!B533</f>
        <v>0</v>
      </c>
      <c r="C533">
        <f>'[1]SNO RTF daily report1'!C533</f>
        <v>0</v>
      </c>
      <c r="D533">
        <f>'[1]SNO RTF daily report1'!D533</f>
        <v>0</v>
      </c>
      <c r="E533">
        <f>'[1]SNO RTF daily report1'!E533</f>
        <v>0</v>
      </c>
      <c r="F533">
        <f>'[1]SNO RTF daily report1'!F533</f>
        <v>0</v>
      </c>
      <c r="G533">
        <f>'[1]SNO RTF daily report1'!G533</f>
        <v>0</v>
      </c>
      <c r="H533">
        <f>'[1]SNO RTF daily report1'!H533</f>
        <v>0</v>
      </c>
      <c r="I533">
        <f>'[1]SNO RTF daily report1'!I533</f>
        <v>0</v>
      </c>
    </row>
    <row r="534" spans="1:9" x14ac:dyDescent="0.25">
      <c r="A534">
        <f>'[1]SNO RTF daily report1'!A534</f>
        <v>0</v>
      </c>
      <c r="B534">
        <f>'[1]SNO RTF daily report1'!B534</f>
        <v>0</v>
      </c>
      <c r="C534">
        <f>'[1]SNO RTF daily report1'!C534</f>
        <v>0</v>
      </c>
      <c r="D534">
        <f>'[1]SNO RTF daily report1'!D534</f>
        <v>0</v>
      </c>
      <c r="E534">
        <f>'[1]SNO RTF daily report1'!E534</f>
        <v>0</v>
      </c>
      <c r="F534">
        <f>'[1]SNO RTF daily report1'!F534</f>
        <v>0</v>
      </c>
      <c r="G534">
        <f>'[1]SNO RTF daily report1'!G534</f>
        <v>0</v>
      </c>
      <c r="H534">
        <f>'[1]SNO RTF daily report1'!H534</f>
        <v>0</v>
      </c>
      <c r="I534">
        <f>'[1]SNO RTF daily report1'!I534</f>
        <v>0</v>
      </c>
    </row>
    <row r="535" spans="1:9" x14ac:dyDescent="0.25">
      <c r="A535">
        <f>'[1]SNO RTF daily report1'!A535</f>
        <v>0</v>
      </c>
      <c r="B535">
        <f>'[1]SNO RTF daily report1'!B535</f>
        <v>0</v>
      </c>
      <c r="C535">
        <f>'[1]SNO RTF daily report1'!C535</f>
        <v>0</v>
      </c>
      <c r="D535">
        <f>'[1]SNO RTF daily report1'!D535</f>
        <v>0</v>
      </c>
      <c r="E535">
        <f>'[1]SNO RTF daily report1'!E535</f>
        <v>0</v>
      </c>
      <c r="F535">
        <f>'[1]SNO RTF daily report1'!F535</f>
        <v>0</v>
      </c>
      <c r="G535">
        <f>'[1]SNO RTF daily report1'!G535</f>
        <v>0</v>
      </c>
      <c r="H535">
        <f>'[1]SNO RTF daily report1'!H535</f>
        <v>0</v>
      </c>
      <c r="I535">
        <f>'[1]SNO RTF daily report1'!I535</f>
        <v>0</v>
      </c>
    </row>
    <row r="536" spans="1:9" x14ac:dyDescent="0.25">
      <c r="A536">
        <f>'[1]SNO RTF daily report1'!A536</f>
        <v>0</v>
      </c>
      <c r="B536">
        <f>'[1]SNO RTF daily report1'!B536</f>
        <v>0</v>
      </c>
      <c r="C536">
        <f>'[1]SNO RTF daily report1'!C536</f>
        <v>0</v>
      </c>
      <c r="D536">
        <f>'[1]SNO RTF daily report1'!D536</f>
        <v>0</v>
      </c>
      <c r="E536">
        <f>'[1]SNO RTF daily report1'!E536</f>
        <v>0</v>
      </c>
      <c r="F536">
        <f>'[1]SNO RTF daily report1'!F536</f>
        <v>0</v>
      </c>
      <c r="G536">
        <f>'[1]SNO RTF daily report1'!G536</f>
        <v>0</v>
      </c>
      <c r="H536">
        <f>'[1]SNO RTF daily report1'!H536</f>
        <v>0</v>
      </c>
      <c r="I536">
        <f>'[1]SNO RTF daily report1'!I536</f>
        <v>0</v>
      </c>
    </row>
    <row r="537" spans="1:9" x14ac:dyDescent="0.25">
      <c r="A537">
        <f>'[1]SNO RTF daily report1'!A537</f>
        <v>0</v>
      </c>
      <c r="B537">
        <f>'[1]SNO RTF daily report1'!B537</f>
        <v>0</v>
      </c>
      <c r="C537">
        <f>'[1]SNO RTF daily report1'!C537</f>
        <v>0</v>
      </c>
      <c r="D537">
        <f>'[1]SNO RTF daily report1'!D537</f>
        <v>0</v>
      </c>
      <c r="E537">
        <f>'[1]SNO RTF daily report1'!E537</f>
        <v>0</v>
      </c>
      <c r="F537">
        <f>'[1]SNO RTF daily report1'!F537</f>
        <v>0</v>
      </c>
      <c r="G537">
        <f>'[1]SNO RTF daily report1'!G537</f>
        <v>0</v>
      </c>
      <c r="H537">
        <f>'[1]SNO RTF daily report1'!H537</f>
        <v>0</v>
      </c>
      <c r="I537">
        <f>'[1]SNO RTF daily report1'!I537</f>
        <v>0</v>
      </c>
    </row>
    <row r="538" spans="1:9" x14ac:dyDescent="0.25">
      <c r="A538">
        <f>'[1]SNO RTF daily report1'!A538</f>
        <v>0</v>
      </c>
      <c r="B538">
        <f>'[1]SNO RTF daily report1'!B538</f>
        <v>0</v>
      </c>
      <c r="C538">
        <f>'[1]SNO RTF daily report1'!C538</f>
        <v>0</v>
      </c>
      <c r="D538">
        <f>'[1]SNO RTF daily report1'!D538</f>
        <v>0</v>
      </c>
      <c r="E538">
        <f>'[1]SNO RTF daily report1'!E538</f>
        <v>0</v>
      </c>
      <c r="F538">
        <f>'[1]SNO RTF daily report1'!F538</f>
        <v>0</v>
      </c>
      <c r="G538">
        <f>'[1]SNO RTF daily report1'!G538</f>
        <v>0</v>
      </c>
      <c r="H538">
        <f>'[1]SNO RTF daily report1'!H538</f>
        <v>0</v>
      </c>
      <c r="I538">
        <f>'[1]SNO RTF daily report1'!I538</f>
        <v>0</v>
      </c>
    </row>
    <row r="539" spans="1:9" x14ac:dyDescent="0.25">
      <c r="A539">
        <f>'[1]SNO RTF daily report1'!A539</f>
        <v>0</v>
      </c>
      <c r="B539">
        <f>'[1]SNO RTF daily report1'!B539</f>
        <v>0</v>
      </c>
      <c r="C539">
        <f>'[1]SNO RTF daily report1'!C539</f>
        <v>0</v>
      </c>
      <c r="D539">
        <f>'[1]SNO RTF daily report1'!D539</f>
        <v>0</v>
      </c>
      <c r="E539">
        <f>'[1]SNO RTF daily report1'!E539</f>
        <v>0</v>
      </c>
      <c r="F539">
        <f>'[1]SNO RTF daily report1'!F539</f>
        <v>0</v>
      </c>
      <c r="G539">
        <f>'[1]SNO RTF daily report1'!G539</f>
        <v>0</v>
      </c>
      <c r="H539">
        <f>'[1]SNO RTF daily report1'!H539</f>
        <v>0</v>
      </c>
      <c r="I539">
        <f>'[1]SNO RTF daily report1'!I539</f>
        <v>0</v>
      </c>
    </row>
    <row r="540" spans="1:9" x14ac:dyDescent="0.25">
      <c r="A540">
        <f>'[1]SNO RTF daily report1'!A540</f>
        <v>0</v>
      </c>
      <c r="B540">
        <f>'[1]SNO RTF daily report1'!B540</f>
        <v>0</v>
      </c>
      <c r="C540">
        <f>'[1]SNO RTF daily report1'!C540</f>
        <v>0</v>
      </c>
      <c r="D540">
        <f>'[1]SNO RTF daily report1'!D540</f>
        <v>0</v>
      </c>
      <c r="E540">
        <f>'[1]SNO RTF daily report1'!E540</f>
        <v>0</v>
      </c>
      <c r="F540">
        <f>'[1]SNO RTF daily report1'!F540</f>
        <v>0</v>
      </c>
      <c r="G540">
        <f>'[1]SNO RTF daily report1'!G540</f>
        <v>0</v>
      </c>
      <c r="H540">
        <f>'[1]SNO RTF daily report1'!H540</f>
        <v>0</v>
      </c>
      <c r="I540">
        <f>'[1]SNO RTF daily report1'!I540</f>
        <v>0</v>
      </c>
    </row>
    <row r="541" spans="1:9" x14ac:dyDescent="0.25">
      <c r="A541">
        <f>'[1]SNO RTF daily report1'!A541</f>
        <v>0</v>
      </c>
      <c r="B541">
        <f>'[1]SNO RTF daily report1'!B541</f>
        <v>0</v>
      </c>
      <c r="C541">
        <f>'[1]SNO RTF daily report1'!C541</f>
        <v>0</v>
      </c>
      <c r="D541">
        <f>'[1]SNO RTF daily report1'!D541</f>
        <v>0</v>
      </c>
      <c r="E541">
        <f>'[1]SNO RTF daily report1'!E541</f>
        <v>0</v>
      </c>
      <c r="F541">
        <f>'[1]SNO RTF daily report1'!F541</f>
        <v>0</v>
      </c>
      <c r="G541">
        <f>'[1]SNO RTF daily report1'!G541</f>
        <v>0</v>
      </c>
      <c r="H541">
        <f>'[1]SNO RTF daily report1'!H541</f>
        <v>0</v>
      </c>
      <c r="I541">
        <f>'[1]SNO RTF daily report1'!I541</f>
        <v>0</v>
      </c>
    </row>
    <row r="542" spans="1:9" x14ac:dyDescent="0.25">
      <c r="A542">
        <f>'[1]SNO RTF daily report1'!A542</f>
        <v>0</v>
      </c>
      <c r="B542">
        <f>'[1]SNO RTF daily report1'!B542</f>
        <v>0</v>
      </c>
      <c r="C542">
        <f>'[1]SNO RTF daily report1'!C542</f>
        <v>0</v>
      </c>
      <c r="D542">
        <f>'[1]SNO RTF daily report1'!D542</f>
        <v>0</v>
      </c>
      <c r="E542">
        <f>'[1]SNO RTF daily report1'!E542</f>
        <v>0</v>
      </c>
      <c r="F542">
        <f>'[1]SNO RTF daily report1'!F542</f>
        <v>0</v>
      </c>
      <c r="G542">
        <f>'[1]SNO RTF daily report1'!G542</f>
        <v>0</v>
      </c>
      <c r="H542">
        <f>'[1]SNO RTF daily report1'!H542</f>
        <v>0</v>
      </c>
      <c r="I542">
        <f>'[1]SNO RTF daily report1'!I542</f>
        <v>0</v>
      </c>
    </row>
    <row r="543" spans="1:9" x14ac:dyDescent="0.25">
      <c r="A543">
        <f>'[1]SNO RTF daily report1'!A543</f>
        <v>0</v>
      </c>
      <c r="B543">
        <f>'[1]SNO RTF daily report1'!B543</f>
        <v>0</v>
      </c>
      <c r="C543">
        <f>'[1]SNO RTF daily report1'!C543</f>
        <v>0</v>
      </c>
      <c r="D543">
        <f>'[1]SNO RTF daily report1'!D543</f>
        <v>0</v>
      </c>
      <c r="E543">
        <f>'[1]SNO RTF daily report1'!E543</f>
        <v>0</v>
      </c>
      <c r="F543">
        <f>'[1]SNO RTF daily report1'!F543</f>
        <v>0</v>
      </c>
      <c r="G543">
        <f>'[1]SNO RTF daily report1'!G543</f>
        <v>0</v>
      </c>
      <c r="H543">
        <f>'[1]SNO RTF daily report1'!H543</f>
        <v>0</v>
      </c>
      <c r="I543">
        <f>'[1]SNO RTF daily report1'!I543</f>
        <v>0</v>
      </c>
    </row>
    <row r="544" spans="1:9" x14ac:dyDescent="0.25">
      <c r="A544">
        <f>'[1]SNO RTF daily report1'!A544</f>
        <v>0</v>
      </c>
      <c r="B544">
        <f>'[1]SNO RTF daily report1'!B544</f>
        <v>0</v>
      </c>
      <c r="C544">
        <f>'[1]SNO RTF daily report1'!C544</f>
        <v>0</v>
      </c>
      <c r="D544">
        <f>'[1]SNO RTF daily report1'!D544</f>
        <v>0</v>
      </c>
      <c r="E544">
        <f>'[1]SNO RTF daily report1'!E544</f>
        <v>0</v>
      </c>
      <c r="F544">
        <f>'[1]SNO RTF daily report1'!F544</f>
        <v>0</v>
      </c>
      <c r="G544">
        <f>'[1]SNO RTF daily report1'!G544</f>
        <v>0</v>
      </c>
      <c r="H544">
        <f>'[1]SNO RTF daily report1'!H544</f>
        <v>0</v>
      </c>
      <c r="I544">
        <f>'[1]SNO RTF daily report1'!I544</f>
        <v>0</v>
      </c>
    </row>
    <row r="545" spans="1:9" x14ac:dyDescent="0.25">
      <c r="A545">
        <f>'[1]SNO RTF daily report1'!A545</f>
        <v>0</v>
      </c>
      <c r="B545">
        <f>'[1]SNO RTF daily report1'!B545</f>
        <v>0</v>
      </c>
      <c r="C545">
        <f>'[1]SNO RTF daily report1'!C545</f>
        <v>0</v>
      </c>
      <c r="D545">
        <f>'[1]SNO RTF daily report1'!D545</f>
        <v>0</v>
      </c>
      <c r="E545">
        <f>'[1]SNO RTF daily report1'!E545</f>
        <v>0</v>
      </c>
      <c r="F545">
        <f>'[1]SNO RTF daily report1'!F545</f>
        <v>0</v>
      </c>
      <c r="G545">
        <f>'[1]SNO RTF daily report1'!G545</f>
        <v>0</v>
      </c>
      <c r="H545">
        <f>'[1]SNO RTF daily report1'!H545</f>
        <v>0</v>
      </c>
      <c r="I545">
        <f>'[1]SNO RTF daily report1'!I545</f>
        <v>0</v>
      </c>
    </row>
    <row r="546" spans="1:9" x14ac:dyDescent="0.25">
      <c r="A546">
        <f>'[1]SNO RTF daily report1'!A546</f>
        <v>0</v>
      </c>
      <c r="B546">
        <f>'[1]SNO RTF daily report1'!B546</f>
        <v>0</v>
      </c>
      <c r="C546">
        <f>'[1]SNO RTF daily report1'!C546</f>
        <v>0</v>
      </c>
      <c r="D546">
        <f>'[1]SNO RTF daily report1'!D546</f>
        <v>0</v>
      </c>
      <c r="E546">
        <f>'[1]SNO RTF daily report1'!E546</f>
        <v>0</v>
      </c>
      <c r="F546">
        <f>'[1]SNO RTF daily report1'!F546</f>
        <v>0</v>
      </c>
      <c r="G546">
        <f>'[1]SNO RTF daily report1'!G546</f>
        <v>0</v>
      </c>
      <c r="H546">
        <f>'[1]SNO RTF daily report1'!H546</f>
        <v>0</v>
      </c>
      <c r="I546">
        <f>'[1]SNO RTF daily report1'!I546</f>
        <v>0</v>
      </c>
    </row>
    <row r="547" spans="1:9" x14ac:dyDescent="0.25">
      <c r="A547">
        <f>'[1]SNO RTF daily report1'!A547</f>
        <v>0</v>
      </c>
      <c r="B547">
        <f>'[1]SNO RTF daily report1'!B547</f>
        <v>0</v>
      </c>
      <c r="C547">
        <f>'[1]SNO RTF daily report1'!C547</f>
        <v>0</v>
      </c>
      <c r="D547">
        <f>'[1]SNO RTF daily report1'!D547</f>
        <v>0</v>
      </c>
      <c r="E547">
        <f>'[1]SNO RTF daily report1'!E547</f>
        <v>0</v>
      </c>
      <c r="F547">
        <f>'[1]SNO RTF daily report1'!F547</f>
        <v>0</v>
      </c>
      <c r="G547">
        <f>'[1]SNO RTF daily report1'!G547</f>
        <v>0</v>
      </c>
      <c r="H547">
        <f>'[1]SNO RTF daily report1'!H547</f>
        <v>0</v>
      </c>
      <c r="I547">
        <f>'[1]SNO RTF daily report1'!I547</f>
        <v>0</v>
      </c>
    </row>
    <row r="548" spans="1:9" x14ac:dyDescent="0.25">
      <c r="A548">
        <f>'[1]SNO RTF daily report1'!A548</f>
        <v>0</v>
      </c>
      <c r="B548">
        <f>'[1]SNO RTF daily report1'!B548</f>
        <v>0</v>
      </c>
      <c r="C548">
        <f>'[1]SNO RTF daily report1'!C548</f>
        <v>0</v>
      </c>
      <c r="D548">
        <f>'[1]SNO RTF daily report1'!D548</f>
        <v>0</v>
      </c>
      <c r="E548">
        <f>'[1]SNO RTF daily report1'!E548</f>
        <v>0</v>
      </c>
      <c r="F548">
        <f>'[1]SNO RTF daily report1'!F548</f>
        <v>0</v>
      </c>
      <c r="G548">
        <f>'[1]SNO RTF daily report1'!G548</f>
        <v>0</v>
      </c>
      <c r="H548">
        <f>'[1]SNO RTF daily report1'!H548</f>
        <v>0</v>
      </c>
      <c r="I548">
        <f>'[1]SNO RTF daily report1'!I548</f>
        <v>0</v>
      </c>
    </row>
    <row r="549" spans="1:9" x14ac:dyDescent="0.25">
      <c r="A549">
        <f>'[1]SNO RTF daily report1'!A549</f>
        <v>0</v>
      </c>
      <c r="B549">
        <f>'[1]SNO RTF daily report1'!B549</f>
        <v>0</v>
      </c>
      <c r="C549">
        <f>'[1]SNO RTF daily report1'!C549</f>
        <v>0</v>
      </c>
      <c r="D549">
        <f>'[1]SNO RTF daily report1'!D549</f>
        <v>0</v>
      </c>
      <c r="E549">
        <f>'[1]SNO RTF daily report1'!E549</f>
        <v>0</v>
      </c>
      <c r="F549">
        <f>'[1]SNO RTF daily report1'!F549</f>
        <v>0</v>
      </c>
      <c r="G549">
        <f>'[1]SNO RTF daily report1'!G549</f>
        <v>0</v>
      </c>
      <c r="H549">
        <f>'[1]SNO RTF daily report1'!H549</f>
        <v>0</v>
      </c>
      <c r="I549">
        <f>'[1]SNO RTF daily report1'!I549</f>
        <v>0</v>
      </c>
    </row>
    <row r="550" spans="1:9" x14ac:dyDescent="0.25">
      <c r="A550">
        <f>'[1]SNO RTF daily report1'!A550</f>
        <v>0</v>
      </c>
      <c r="B550">
        <f>'[1]SNO RTF daily report1'!B550</f>
        <v>0</v>
      </c>
      <c r="C550">
        <f>'[1]SNO RTF daily report1'!C550</f>
        <v>0</v>
      </c>
      <c r="D550">
        <f>'[1]SNO RTF daily report1'!D550</f>
        <v>0</v>
      </c>
      <c r="E550">
        <f>'[1]SNO RTF daily report1'!E550</f>
        <v>0</v>
      </c>
      <c r="F550">
        <f>'[1]SNO RTF daily report1'!F550</f>
        <v>0</v>
      </c>
      <c r="G550">
        <f>'[1]SNO RTF daily report1'!G550</f>
        <v>0</v>
      </c>
      <c r="H550">
        <f>'[1]SNO RTF daily report1'!H550</f>
        <v>0</v>
      </c>
      <c r="I550">
        <f>'[1]SNO RTF daily report1'!I550</f>
        <v>0</v>
      </c>
    </row>
    <row r="551" spans="1:9" x14ac:dyDescent="0.25">
      <c r="A551">
        <f>'[1]SNO RTF daily report1'!A551</f>
        <v>0</v>
      </c>
      <c r="B551">
        <f>'[1]SNO RTF daily report1'!B551</f>
        <v>0</v>
      </c>
      <c r="C551">
        <f>'[1]SNO RTF daily report1'!C551</f>
        <v>0</v>
      </c>
      <c r="D551">
        <f>'[1]SNO RTF daily report1'!D551</f>
        <v>0</v>
      </c>
      <c r="E551">
        <f>'[1]SNO RTF daily report1'!E551</f>
        <v>0</v>
      </c>
      <c r="F551">
        <f>'[1]SNO RTF daily report1'!F551</f>
        <v>0</v>
      </c>
      <c r="G551">
        <f>'[1]SNO RTF daily report1'!G551</f>
        <v>0</v>
      </c>
      <c r="H551">
        <f>'[1]SNO RTF daily report1'!H551</f>
        <v>0</v>
      </c>
      <c r="I551">
        <f>'[1]SNO RTF daily report1'!I551</f>
        <v>0</v>
      </c>
    </row>
    <row r="552" spans="1:9" x14ac:dyDescent="0.25">
      <c r="A552">
        <f>'[1]SNO RTF daily report1'!A552</f>
        <v>0</v>
      </c>
      <c r="B552">
        <f>'[1]SNO RTF daily report1'!B552</f>
        <v>0</v>
      </c>
      <c r="C552">
        <f>'[1]SNO RTF daily report1'!C552</f>
        <v>0</v>
      </c>
      <c r="D552">
        <f>'[1]SNO RTF daily report1'!D552</f>
        <v>0</v>
      </c>
      <c r="E552">
        <f>'[1]SNO RTF daily report1'!E552</f>
        <v>0</v>
      </c>
      <c r="F552">
        <f>'[1]SNO RTF daily report1'!F552</f>
        <v>0</v>
      </c>
      <c r="G552">
        <f>'[1]SNO RTF daily report1'!G552</f>
        <v>0</v>
      </c>
      <c r="H552">
        <f>'[1]SNO RTF daily report1'!H552</f>
        <v>0</v>
      </c>
      <c r="I552">
        <f>'[1]SNO RTF daily report1'!I552</f>
        <v>0</v>
      </c>
    </row>
    <row r="553" spans="1:9" x14ac:dyDescent="0.25">
      <c r="A553">
        <f>'[1]SNO RTF daily report1'!A553</f>
        <v>0</v>
      </c>
      <c r="B553">
        <f>'[1]SNO RTF daily report1'!B553</f>
        <v>0</v>
      </c>
      <c r="C553">
        <f>'[1]SNO RTF daily report1'!C553</f>
        <v>0</v>
      </c>
      <c r="D553">
        <f>'[1]SNO RTF daily report1'!D553</f>
        <v>0</v>
      </c>
      <c r="E553">
        <f>'[1]SNO RTF daily report1'!E553</f>
        <v>0</v>
      </c>
      <c r="F553">
        <f>'[1]SNO RTF daily report1'!F553</f>
        <v>0</v>
      </c>
      <c r="G553">
        <f>'[1]SNO RTF daily report1'!G553</f>
        <v>0</v>
      </c>
      <c r="H553">
        <f>'[1]SNO RTF daily report1'!H553</f>
        <v>0</v>
      </c>
      <c r="I553">
        <f>'[1]SNO RTF daily report1'!I553</f>
        <v>0</v>
      </c>
    </row>
    <row r="554" spans="1:9" x14ac:dyDescent="0.25">
      <c r="A554">
        <f>'[1]SNO RTF daily report1'!A554</f>
        <v>0</v>
      </c>
      <c r="B554">
        <f>'[1]SNO RTF daily report1'!B554</f>
        <v>0</v>
      </c>
      <c r="C554">
        <f>'[1]SNO RTF daily report1'!C554</f>
        <v>0</v>
      </c>
      <c r="D554">
        <f>'[1]SNO RTF daily report1'!D554</f>
        <v>0</v>
      </c>
      <c r="E554">
        <f>'[1]SNO RTF daily report1'!E554</f>
        <v>0</v>
      </c>
      <c r="F554">
        <f>'[1]SNO RTF daily report1'!F554</f>
        <v>0</v>
      </c>
      <c r="G554">
        <f>'[1]SNO RTF daily report1'!G554</f>
        <v>0</v>
      </c>
      <c r="H554">
        <f>'[1]SNO RTF daily report1'!H554</f>
        <v>0</v>
      </c>
      <c r="I554">
        <f>'[1]SNO RTF daily report1'!I554</f>
        <v>0</v>
      </c>
    </row>
    <row r="555" spans="1:9" x14ac:dyDescent="0.25">
      <c r="A555">
        <f>'[1]SNO RTF daily report1'!A555</f>
        <v>0</v>
      </c>
      <c r="B555">
        <f>'[1]SNO RTF daily report1'!B555</f>
        <v>0</v>
      </c>
      <c r="C555">
        <f>'[1]SNO RTF daily report1'!C555</f>
        <v>0</v>
      </c>
      <c r="D555">
        <f>'[1]SNO RTF daily report1'!D555</f>
        <v>0</v>
      </c>
      <c r="E555">
        <f>'[1]SNO RTF daily report1'!E555</f>
        <v>0</v>
      </c>
      <c r="F555">
        <f>'[1]SNO RTF daily report1'!F555</f>
        <v>0</v>
      </c>
      <c r="G555">
        <f>'[1]SNO RTF daily report1'!G555</f>
        <v>0</v>
      </c>
      <c r="H555">
        <f>'[1]SNO RTF daily report1'!H555</f>
        <v>0</v>
      </c>
      <c r="I555">
        <f>'[1]SNO RTF daily report1'!I555</f>
        <v>0</v>
      </c>
    </row>
    <row r="556" spans="1:9" x14ac:dyDescent="0.25">
      <c r="A556">
        <f>'[1]SNO RTF daily report1'!A556</f>
        <v>0</v>
      </c>
      <c r="B556">
        <f>'[1]SNO RTF daily report1'!B556</f>
        <v>0</v>
      </c>
      <c r="C556">
        <f>'[1]SNO RTF daily report1'!C556</f>
        <v>0</v>
      </c>
      <c r="D556">
        <f>'[1]SNO RTF daily report1'!D556</f>
        <v>0</v>
      </c>
      <c r="E556">
        <f>'[1]SNO RTF daily report1'!E556</f>
        <v>0</v>
      </c>
      <c r="F556">
        <f>'[1]SNO RTF daily report1'!F556</f>
        <v>0</v>
      </c>
      <c r="G556">
        <f>'[1]SNO RTF daily report1'!G556</f>
        <v>0</v>
      </c>
      <c r="H556">
        <f>'[1]SNO RTF daily report1'!H556</f>
        <v>0</v>
      </c>
      <c r="I556">
        <f>'[1]SNO RTF daily report1'!I556</f>
        <v>0</v>
      </c>
    </row>
    <row r="557" spans="1:9" x14ac:dyDescent="0.25">
      <c r="A557">
        <f>'[1]SNO RTF daily report1'!A557</f>
        <v>0</v>
      </c>
      <c r="B557">
        <f>'[1]SNO RTF daily report1'!B557</f>
        <v>0</v>
      </c>
      <c r="C557">
        <f>'[1]SNO RTF daily report1'!C557</f>
        <v>0</v>
      </c>
      <c r="D557">
        <f>'[1]SNO RTF daily report1'!D557</f>
        <v>0</v>
      </c>
      <c r="E557">
        <f>'[1]SNO RTF daily report1'!E557</f>
        <v>0</v>
      </c>
      <c r="F557">
        <f>'[1]SNO RTF daily report1'!F557</f>
        <v>0</v>
      </c>
      <c r="G557">
        <f>'[1]SNO RTF daily report1'!G557</f>
        <v>0</v>
      </c>
      <c r="H557">
        <f>'[1]SNO RTF daily report1'!H557</f>
        <v>0</v>
      </c>
      <c r="I557">
        <f>'[1]SNO RTF daily report1'!I557</f>
        <v>0</v>
      </c>
    </row>
    <row r="558" spans="1:9" x14ac:dyDescent="0.25">
      <c r="A558">
        <f>'[1]SNO RTF daily report1'!A558</f>
        <v>0</v>
      </c>
      <c r="B558">
        <f>'[1]SNO RTF daily report1'!B558</f>
        <v>0</v>
      </c>
      <c r="C558">
        <f>'[1]SNO RTF daily report1'!C558</f>
        <v>0</v>
      </c>
      <c r="D558">
        <f>'[1]SNO RTF daily report1'!D558</f>
        <v>0</v>
      </c>
      <c r="E558">
        <f>'[1]SNO RTF daily report1'!E558</f>
        <v>0</v>
      </c>
      <c r="F558">
        <f>'[1]SNO RTF daily report1'!F558</f>
        <v>0</v>
      </c>
      <c r="G558">
        <f>'[1]SNO RTF daily report1'!G558</f>
        <v>0</v>
      </c>
      <c r="H558">
        <f>'[1]SNO RTF daily report1'!H558</f>
        <v>0</v>
      </c>
      <c r="I558">
        <f>'[1]SNO RTF daily report1'!I558</f>
        <v>0</v>
      </c>
    </row>
    <row r="559" spans="1:9" x14ac:dyDescent="0.25">
      <c r="A559">
        <f>'[1]SNO RTF daily report1'!A559</f>
        <v>0</v>
      </c>
      <c r="B559">
        <f>'[1]SNO RTF daily report1'!B559</f>
        <v>0</v>
      </c>
      <c r="C559">
        <f>'[1]SNO RTF daily report1'!C559</f>
        <v>0</v>
      </c>
      <c r="D559">
        <f>'[1]SNO RTF daily report1'!D559</f>
        <v>0</v>
      </c>
      <c r="E559">
        <f>'[1]SNO RTF daily report1'!E559</f>
        <v>0</v>
      </c>
      <c r="F559">
        <f>'[1]SNO RTF daily report1'!F559</f>
        <v>0</v>
      </c>
      <c r="G559">
        <f>'[1]SNO RTF daily report1'!G559</f>
        <v>0</v>
      </c>
      <c r="H559">
        <f>'[1]SNO RTF daily report1'!H559</f>
        <v>0</v>
      </c>
      <c r="I559">
        <f>'[1]SNO RTF daily report1'!I559</f>
        <v>0</v>
      </c>
    </row>
    <row r="560" spans="1:9" x14ac:dyDescent="0.25">
      <c r="A560">
        <f>'[1]SNO RTF daily report1'!A560</f>
        <v>0</v>
      </c>
      <c r="B560">
        <f>'[1]SNO RTF daily report1'!B560</f>
        <v>0</v>
      </c>
      <c r="C560">
        <f>'[1]SNO RTF daily report1'!C560</f>
        <v>0</v>
      </c>
      <c r="D560">
        <f>'[1]SNO RTF daily report1'!D560</f>
        <v>0</v>
      </c>
      <c r="E560">
        <f>'[1]SNO RTF daily report1'!E560</f>
        <v>0</v>
      </c>
      <c r="F560">
        <f>'[1]SNO RTF daily report1'!F560</f>
        <v>0</v>
      </c>
      <c r="G560">
        <f>'[1]SNO RTF daily report1'!G560</f>
        <v>0</v>
      </c>
      <c r="H560">
        <f>'[1]SNO RTF daily report1'!H560</f>
        <v>0</v>
      </c>
      <c r="I560">
        <f>'[1]SNO RTF daily report1'!I560</f>
        <v>0</v>
      </c>
    </row>
    <row r="561" spans="1:9" x14ac:dyDescent="0.25">
      <c r="A561">
        <f>'[1]SNO RTF daily report1'!A561</f>
        <v>0</v>
      </c>
      <c r="B561">
        <f>'[1]SNO RTF daily report1'!B561</f>
        <v>0</v>
      </c>
      <c r="C561">
        <f>'[1]SNO RTF daily report1'!C561</f>
        <v>0</v>
      </c>
      <c r="D561">
        <f>'[1]SNO RTF daily report1'!D561</f>
        <v>0</v>
      </c>
      <c r="E561">
        <f>'[1]SNO RTF daily report1'!E561</f>
        <v>0</v>
      </c>
      <c r="F561">
        <f>'[1]SNO RTF daily report1'!F561</f>
        <v>0</v>
      </c>
      <c r="G561">
        <f>'[1]SNO RTF daily report1'!G561</f>
        <v>0</v>
      </c>
      <c r="H561">
        <f>'[1]SNO RTF daily report1'!H561</f>
        <v>0</v>
      </c>
      <c r="I561">
        <f>'[1]SNO RTF daily report1'!I561</f>
        <v>0</v>
      </c>
    </row>
    <row r="562" spans="1:9" x14ac:dyDescent="0.25">
      <c r="A562">
        <f>'[1]SNO RTF daily report1'!A562</f>
        <v>0</v>
      </c>
      <c r="B562">
        <f>'[1]SNO RTF daily report1'!B562</f>
        <v>0</v>
      </c>
      <c r="C562">
        <f>'[1]SNO RTF daily report1'!C562</f>
        <v>0</v>
      </c>
      <c r="D562">
        <f>'[1]SNO RTF daily report1'!D562</f>
        <v>0</v>
      </c>
      <c r="E562">
        <f>'[1]SNO RTF daily report1'!E562</f>
        <v>0</v>
      </c>
      <c r="F562">
        <f>'[1]SNO RTF daily report1'!F562</f>
        <v>0</v>
      </c>
      <c r="G562">
        <f>'[1]SNO RTF daily report1'!G562</f>
        <v>0</v>
      </c>
      <c r="H562">
        <f>'[1]SNO RTF daily report1'!H562</f>
        <v>0</v>
      </c>
      <c r="I562">
        <f>'[1]SNO RTF daily report1'!I562</f>
        <v>0</v>
      </c>
    </row>
    <row r="563" spans="1:9" x14ac:dyDescent="0.25">
      <c r="A563">
        <f>'[1]SNO RTF daily report1'!A563</f>
        <v>0</v>
      </c>
      <c r="B563">
        <f>'[1]SNO RTF daily report1'!B563</f>
        <v>0</v>
      </c>
      <c r="C563">
        <f>'[1]SNO RTF daily report1'!C563</f>
        <v>0</v>
      </c>
      <c r="D563">
        <f>'[1]SNO RTF daily report1'!D563</f>
        <v>0</v>
      </c>
      <c r="E563">
        <f>'[1]SNO RTF daily report1'!E563</f>
        <v>0</v>
      </c>
      <c r="F563">
        <f>'[1]SNO RTF daily report1'!F563</f>
        <v>0</v>
      </c>
      <c r="G563">
        <f>'[1]SNO RTF daily report1'!G563</f>
        <v>0</v>
      </c>
      <c r="H563">
        <f>'[1]SNO RTF daily report1'!H563</f>
        <v>0</v>
      </c>
      <c r="I563">
        <f>'[1]SNO RTF daily report1'!I563</f>
        <v>0</v>
      </c>
    </row>
    <row r="564" spans="1:9" x14ac:dyDescent="0.25">
      <c r="A564">
        <f>'[1]SNO RTF daily report1'!A564</f>
        <v>0</v>
      </c>
      <c r="B564">
        <f>'[1]SNO RTF daily report1'!B564</f>
        <v>0</v>
      </c>
      <c r="C564">
        <f>'[1]SNO RTF daily report1'!C564</f>
        <v>0</v>
      </c>
      <c r="D564">
        <f>'[1]SNO RTF daily report1'!D564</f>
        <v>0</v>
      </c>
      <c r="E564">
        <f>'[1]SNO RTF daily report1'!E564</f>
        <v>0</v>
      </c>
      <c r="F564">
        <f>'[1]SNO RTF daily report1'!F564</f>
        <v>0</v>
      </c>
      <c r="G564">
        <f>'[1]SNO RTF daily report1'!G564</f>
        <v>0</v>
      </c>
      <c r="H564">
        <f>'[1]SNO RTF daily report1'!H564</f>
        <v>0</v>
      </c>
      <c r="I564">
        <f>'[1]SNO RTF daily report1'!I564</f>
        <v>0</v>
      </c>
    </row>
    <row r="565" spans="1:9" x14ac:dyDescent="0.25">
      <c r="A565">
        <f>'[1]SNO RTF daily report1'!A565</f>
        <v>0</v>
      </c>
      <c r="B565">
        <f>'[1]SNO RTF daily report1'!B565</f>
        <v>0</v>
      </c>
      <c r="C565">
        <f>'[1]SNO RTF daily report1'!C565</f>
        <v>0</v>
      </c>
      <c r="D565">
        <f>'[1]SNO RTF daily report1'!D565</f>
        <v>0</v>
      </c>
      <c r="E565">
        <f>'[1]SNO RTF daily report1'!E565</f>
        <v>0</v>
      </c>
      <c r="F565">
        <f>'[1]SNO RTF daily report1'!F565</f>
        <v>0</v>
      </c>
      <c r="G565">
        <f>'[1]SNO RTF daily report1'!G565</f>
        <v>0</v>
      </c>
      <c r="H565">
        <f>'[1]SNO RTF daily report1'!H565</f>
        <v>0</v>
      </c>
      <c r="I565">
        <f>'[1]SNO RTF daily report1'!I565</f>
        <v>0</v>
      </c>
    </row>
    <row r="566" spans="1:9" x14ac:dyDescent="0.25">
      <c r="A566">
        <f>'[1]SNO RTF daily report1'!A566</f>
        <v>0</v>
      </c>
      <c r="B566">
        <f>'[1]SNO RTF daily report1'!B566</f>
        <v>0</v>
      </c>
      <c r="C566">
        <f>'[1]SNO RTF daily report1'!C566</f>
        <v>0</v>
      </c>
      <c r="D566">
        <f>'[1]SNO RTF daily report1'!D566</f>
        <v>0</v>
      </c>
      <c r="E566">
        <f>'[1]SNO RTF daily report1'!E566</f>
        <v>0</v>
      </c>
      <c r="F566">
        <f>'[1]SNO RTF daily report1'!F566</f>
        <v>0</v>
      </c>
      <c r="G566">
        <f>'[1]SNO RTF daily report1'!G566</f>
        <v>0</v>
      </c>
      <c r="H566">
        <f>'[1]SNO RTF daily report1'!H566</f>
        <v>0</v>
      </c>
      <c r="I566">
        <f>'[1]SNO RTF daily report1'!I566</f>
        <v>0</v>
      </c>
    </row>
    <row r="567" spans="1:9" x14ac:dyDescent="0.25">
      <c r="A567">
        <f>'[1]SNO RTF daily report1'!A567</f>
        <v>0</v>
      </c>
      <c r="B567">
        <f>'[1]SNO RTF daily report1'!B567</f>
        <v>0</v>
      </c>
      <c r="C567">
        <f>'[1]SNO RTF daily report1'!C567</f>
        <v>0</v>
      </c>
      <c r="D567">
        <f>'[1]SNO RTF daily report1'!D567</f>
        <v>0</v>
      </c>
      <c r="E567">
        <f>'[1]SNO RTF daily report1'!E567</f>
        <v>0</v>
      </c>
      <c r="F567">
        <f>'[1]SNO RTF daily report1'!F567</f>
        <v>0</v>
      </c>
      <c r="G567">
        <f>'[1]SNO RTF daily report1'!G567</f>
        <v>0</v>
      </c>
      <c r="H567">
        <f>'[1]SNO RTF daily report1'!H567</f>
        <v>0</v>
      </c>
      <c r="I567">
        <f>'[1]SNO RTF daily report1'!I567</f>
        <v>0</v>
      </c>
    </row>
    <row r="568" spans="1:9" x14ac:dyDescent="0.25">
      <c r="A568">
        <f>'[1]SNO RTF daily report1'!A568</f>
        <v>0</v>
      </c>
      <c r="B568">
        <f>'[1]SNO RTF daily report1'!B568</f>
        <v>0</v>
      </c>
      <c r="C568">
        <f>'[1]SNO RTF daily report1'!C568</f>
        <v>0</v>
      </c>
      <c r="D568">
        <f>'[1]SNO RTF daily report1'!D568</f>
        <v>0</v>
      </c>
      <c r="E568">
        <f>'[1]SNO RTF daily report1'!E568</f>
        <v>0</v>
      </c>
      <c r="F568">
        <f>'[1]SNO RTF daily report1'!F568</f>
        <v>0</v>
      </c>
      <c r="G568">
        <f>'[1]SNO RTF daily report1'!G568</f>
        <v>0</v>
      </c>
      <c r="H568">
        <f>'[1]SNO RTF daily report1'!H568</f>
        <v>0</v>
      </c>
      <c r="I568">
        <f>'[1]SNO RTF daily report1'!I568</f>
        <v>0</v>
      </c>
    </row>
    <row r="569" spans="1:9" x14ac:dyDescent="0.25">
      <c r="A569">
        <f>'[1]SNO RTF daily report1'!A569</f>
        <v>0</v>
      </c>
      <c r="B569">
        <f>'[1]SNO RTF daily report1'!B569</f>
        <v>0</v>
      </c>
      <c r="C569">
        <f>'[1]SNO RTF daily report1'!C569</f>
        <v>0</v>
      </c>
      <c r="D569">
        <f>'[1]SNO RTF daily report1'!D569</f>
        <v>0</v>
      </c>
      <c r="E569">
        <f>'[1]SNO RTF daily report1'!E569</f>
        <v>0</v>
      </c>
      <c r="F569">
        <f>'[1]SNO RTF daily report1'!F569</f>
        <v>0</v>
      </c>
      <c r="G569">
        <f>'[1]SNO RTF daily report1'!G569</f>
        <v>0</v>
      </c>
      <c r="H569">
        <f>'[1]SNO RTF daily report1'!H569</f>
        <v>0</v>
      </c>
      <c r="I569">
        <f>'[1]SNO RTF daily report1'!I569</f>
        <v>0</v>
      </c>
    </row>
    <row r="570" spans="1:9" x14ac:dyDescent="0.25">
      <c r="A570">
        <f>'[1]SNO RTF daily report1'!A570</f>
        <v>0</v>
      </c>
      <c r="B570">
        <f>'[1]SNO RTF daily report1'!B570</f>
        <v>0</v>
      </c>
      <c r="C570">
        <f>'[1]SNO RTF daily report1'!C570</f>
        <v>0</v>
      </c>
      <c r="D570">
        <f>'[1]SNO RTF daily report1'!D570</f>
        <v>0</v>
      </c>
      <c r="E570">
        <f>'[1]SNO RTF daily report1'!E570</f>
        <v>0</v>
      </c>
      <c r="F570">
        <f>'[1]SNO RTF daily report1'!F570</f>
        <v>0</v>
      </c>
      <c r="G570">
        <f>'[1]SNO RTF daily report1'!G570</f>
        <v>0</v>
      </c>
      <c r="H570">
        <f>'[1]SNO RTF daily report1'!H570</f>
        <v>0</v>
      </c>
      <c r="I570">
        <f>'[1]SNO RTF daily report1'!I570</f>
        <v>0</v>
      </c>
    </row>
    <row r="571" spans="1:9" x14ac:dyDescent="0.25">
      <c r="A571">
        <f>'[1]SNO RTF daily report1'!A571</f>
        <v>0</v>
      </c>
      <c r="B571">
        <f>'[1]SNO RTF daily report1'!B571</f>
        <v>0</v>
      </c>
      <c r="C571">
        <f>'[1]SNO RTF daily report1'!C571</f>
        <v>0</v>
      </c>
      <c r="D571">
        <f>'[1]SNO RTF daily report1'!D571</f>
        <v>0</v>
      </c>
      <c r="E571">
        <f>'[1]SNO RTF daily report1'!E571</f>
        <v>0</v>
      </c>
      <c r="F571">
        <f>'[1]SNO RTF daily report1'!F571</f>
        <v>0</v>
      </c>
      <c r="G571">
        <f>'[1]SNO RTF daily report1'!G571</f>
        <v>0</v>
      </c>
      <c r="H571">
        <f>'[1]SNO RTF daily report1'!H571</f>
        <v>0</v>
      </c>
      <c r="I571">
        <f>'[1]SNO RTF daily report1'!I571</f>
        <v>0</v>
      </c>
    </row>
    <row r="572" spans="1:9" x14ac:dyDescent="0.25">
      <c r="A572">
        <f>'[1]SNO RTF daily report1'!A572</f>
        <v>0</v>
      </c>
      <c r="B572">
        <f>'[1]SNO RTF daily report1'!B572</f>
        <v>0</v>
      </c>
      <c r="C572">
        <f>'[1]SNO RTF daily report1'!C572</f>
        <v>0</v>
      </c>
      <c r="D572">
        <f>'[1]SNO RTF daily report1'!D572</f>
        <v>0</v>
      </c>
      <c r="E572">
        <f>'[1]SNO RTF daily report1'!E572</f>
        <v>0</v>
      </c>
      <c r="F572">
        <f>'[1]SNO RTF daily report1'!F572</f>
        <v>0</v>
      </c>
      <c r="G572">
        <f>'[1]SNO RTF daily report1'!G572</f>
        <v>0</v>
      </c>
      <c r="H572">
        <f>'[1]SNO RTF daily report1'!H572</f>
        <v>0</v>
      </c>
      <c r="I572">
        <f>'[1]SNO RTF daily report1'!I572</f>
        <v>0</v>
      </c>
    </row>
    <row r="573" spans="1:9" x14ac:dyDescent="0.25">
      <c r="A573">
        <f>'[1]SNO RTF daily report1'!A573</f>
        <v>0</v>
      </c>
      <c r="B573">
        <f>'[1]SNO RTF daily report1'!B573</f>
        <v>0</v>
      </c>
      <c r="C573">
        <f>'[1]SNO RTF daily report1'!C573</f>
        <v>0</v>
      </c>
      <c r="D573">
        <f>'[1]SNO RTF daily report1'!D573</f>
        <v>0</v>
      </c>
      <c r="E573">
        <f>'[1]SNO RTF daily report1'!E573</f>
        <v>0</v>
      </c>
      <c r="F573">
        <f>'[1]SNO RTF daily report1'!F573</f>
        <v>0</v>
      </c>
      <c r="G573">
        <f>'[1]SNO RTF daily report1'!G573</f>
        <v>0</v>
      </c>
      <c r="H573">
        <f>'[1]SNO RTF daily report1'!H573</f>
        <v>0</v>
      </c>
      <c r="I573">
        <f>'[1]SNO RTF daily report1'!I573</f>
        <v>0</v>
      </c>
    </row>
    <row r="574" spans="1:9" x14ac:dyDescent="0.25">
      <c r="A574">
        <f>'[1]SNO RTF daily report1'!A574</f>
        <v>0</v>
      </c>
      <c r="B574">
        <f>'[1]SNO RTF daily report1'!B574</f>
        <v>0</v>
      </c>
      <c r="C574">
        <f>'[1]SNO RTF daily report1'!C574</f>
        <v>0</v>
      </c>
      <c r="D574">
        <f>'[1]SNO RTF daily report1'!D574</f>
        <v>0</v>
      </c>
      <c r="E574">
        <f>'[1]SNO RTF daily report1'!E574</f>
        <v>0</v>
      </c>
      <c r="F574">
        <f>'[1]SNO RTF daily report1'!F574</f>
        <v>0</v>
      </c>
      <c r="G574">
        <f>'[1]SNO RTF daily report1'!G574</f>
        <v>0</v>
      </c>
      <c r="H574">
        <f>'[1]SNO RTF daily report1'!H574</f>
        <v>0</v>
      </c>
      <c r="I574">
        <f>'[1]SNO RTF daily report1'!I574</f>
        <v>0</v>
      </c>
    </row>
    <row r="575" spans="1:9" x14ac:dyDescent="0.25">
      <c r="A575">
        <f>'[1]SNO RTF daily report1'!A575</f>
        <v>0</v>
      </c>
      <c r="B575">
        <f>'[1]SNO RTF daily report1'!B575</f>
        <v>0</v>
      </c>
      <c r="C575">
        <f>'[1]SNO RTF daily report1'!C575</f>
        <v>0</v>
      </c>
      <c r="D575">
        <f>'[1]SNO RTF daily report1'!D575</f>
        <v>0</v>
      </c>
      <c r="E575">
        <f>'[1]SNO RTF daily report1'!E575</f>
        <v>0</v>
      </c>
      <c r="F575">
        <f>'[1]SNO RTF daily report1'!F575</f>
        <v>0</v>
      </c>
      <c r="G575">
        <f>'[1]SNO RTF daily report1'!G575</f>
        <v>0</v>
      </c>
      <c r="H575">
        <f>'[1]SNO RTF daily report1'!H575</f>
        <v>0</v>
      </c>
      <c r="I575">
        <f>'[1]SNO RTF daily report1'!I575</f>
        <v>0</v>
      </c>
    </row>
    <row r="576" spans="1:9" x14ac:dyDescent="0.25">
      <c r="A576">
        <f>'[1]SNO RTF daily report1'!A576</f>
        <v>0</v>
      </c>
      <c r="B576">
        <f>'[1]SNO RTF daily report1'!B576</f>
        <v>0</v>
      </c>
      <c r="C576">
        <f>'[1]SNO RTF daily report1'!C576</f>
        <v>0</v>
      </c>
      <c r="D576">
        <f>'[1]SNO RTF daily report1'!D576</f>
        <v>0</v>
      </c>
      <c r="E576">
        <f>'[1]SNO RTF daily report1'!E576</f>
        <v>0</v>
      </c>
      <c r="F576">
        <f>'[1]SNO RTF daily report1'!F576</f>
        <v>0</v>
      </c>
      <c r="G576">
        <f>'[1]SNO RTF daily report1'!G576</f>
        <v>0</v>
      </c>
      <c r="H576">
        <f>'[1]SNO RTF daily report1'!H576</f>
        <v>0</v>
      </c>
      <c r="I576">
        <f>'[1]SNO RTF daily report1'!I576</f>
        <v>0</v>
      </c>
    </row>
    <row r="577" spans="1:9" x14ac:dyDescent="0.25">
      <c r="A577">
        <f>'[1]SNO RTF daily report1'!A577</f>
        <v>0</v>
      </c>
      <c r="B577">
        <f>'[1]SNO RTF daily report1'!B577</f>
        <v>0</v>
      </c>
      <c r="C577">
        <f>'[1]SNO RTF daily report1'!C577</f>
        <v>0</v>
      </c>
      <c r="D577">
        <f>'[1]SNO RTF daily report1'!D577</f>
        <v>0</v>
      </c>
      <c r="E577">
        <f>'[1]SNO RTF daily report1'!E577</f>
        <v>0</v>
      </c>
      <c r="F577">
        <f>'[1]SNO RTF daily report1'!F577</f>
        <v>0</v>
      </c>
      <c r="G577">
        <f>'[1]SNO RTF daily report1'!G577</f>
        <v>0</v>
      </c>
      <c r="H577">
        <f>'[1]SNO RTF daily report1'!H577</f>
        <v>0</v>
      </c>
      <c r="I577">
        <f>'[1]SNO RTF daily report1'!I577</f>
        <v>0</v>
      </c>
    </row>
    <row r="578" spans="1:9" x14ac:dyDescent="0.25">
      <c r="A578">
        <f>'[1]SNO RTF daily report1'!A578</f>
        <v>0</v>
      </c>
      <c r="B578">
        <f>'[1]SNO RTF daily report1'!B578</f>
        <v>0</v>
      </c>
      <c r="C578">
        <f>'[1]SNO RTF daily report1'!C578</f>
        <v>0</v>
      </c>
      <c r="D578">
        <f>'[1]SNO RTF daily report1'!D578</f>
        <v>0</v>
      </c>
      <c r="E578">
        <f>'[1]SNO RTF daily report1'!E578</f>
        <v>0</v>
      </c>
      <c r="F578">
        <f>'[1]SNO RTF daily report1'!F578</f>
        <v>0</v>
      </c>
      <c r="G578">
        <f>'[1]SNO RTF daily report1'!G578</f>
        <v>0</v>
      </c>
      <c r="H578">
        <f>'[1]SNO RTF daily report1'!H578</f>
        <v>0</v>
      </c>
      <c r="I578">
        <f>'[1]SNO RTF daily report1'!I578</f>
        <v>0</v>
      </c>
    </row>
    <row r="579" spans="1:9" x14ac:dyDescent="0.25">
      <c r="A579">
        <f>'[1]SNO RTF daily report1'!A579</f>
        <v>0</v>
      </c>
      <c r="B579">
        <f>'[1]SNO RTF daily report1'!B579</f>
        <v>0</v>
      </c>
      <c r="C579">
        <f>'[1]SNO RTF daily report1'!C579</f>
        <v>0</v>
      </c>
      <c r="D579">
        <f>'[1]SNO RTF daily report1'!D579</f>
        <v>0</v>
      </c>
      <c r="E579">
        <f>'[1]SNO RTF daily report1'!E579</f>
        <v>0</v>
      </c>
      <c r="F579">
        <f>'[1]SNO RTF daily report1'!F579</f>
        <v>0</v>
      </c>
      <c r="G579">
        <f>'[1]SNO RTF daily report1'!G579</f>
        <v>0</v>
      </c>
      <c r="H579">
        <f>'[1]SNO RTF daily report1'!H579</f>
        <v>0</v>
      </c>
      <c r="I579">
        <f>'[1]SNO RTF daily report1'!I579</f>
        <v>0</v>
      </c>
    </row>
    <row r="580" spans="1:9" x14ac:dyDescent="0.25">
      <c r="A580">
        <f>'[1]SNO RTF daily report1'!A580</f>
        <v>0</v>
      </c>
      <c r="B580">
        <f>'[1]SNO RTF daily report1'!B580</f>
        <v>0</v>
      </c>
      <c r="C580">
        <f>'[1]SNO RTF daily report1'!C580</f>
        <v>0</v>
      </c>
      <c r="D580">
        <f>'[1]SNO RTF daily report1'!D580</f>
        <v>0</v>
      </c>
      <c r="E580">
        <f>'[1]SNO RTF daily report1'!E580</f>
        <v>0</v>
      </c>
      <c r="F580">
        <f>'[1]SNO RTF daily report1'!F580</f>
        <v>0</v>
      </c>
      <c r="G580">
        <f>'[1]SNO RTF daily report1'!G580</f>
        <v>0</v>
      </c>
      <c r="H580">
        <f>'[1]SNO RTF daily report1'!H580</f>
        <v>0</v>
      </c>
      <c r="I580">
        <f>'[1]SNO RTF daily report1'!I580</f>
        <v>0</v>
      </c>
    </row>
    <row r="581" spans="1:9" x14ac:dyDescent="0.25">
      <c r="A581">
        <f>'[1]SNO RTF daily report1'!A581</f>
        <v>0</v>
      </c>
      <c r="B581">
        <f>'[1]SNO RTF daily report1'!B581</f>
        <v>0</v>
      </c>
      <c r="C581">
        <f>'[1]SNO RTF daily report1'!C581</f>
        <v>0</v>
      </c>
      <c r="D581">
        <f>'[1]SNO RTF daily report1'!D581</f>
        <v>0</v>
      </c>
      <c r="E581">
        <f>'[1]SNO RTF daily report1'!E581</f>
        <v>0</v>
      </c>
      <c r="F581">
        <f>'[1]SNO RTF daily report1'!F581</f>
        <v>0</v>
      </c>
      <c r="G581">
        <f>'[1]SNO RTF daily report1'!G581</f>
        <v>0</v>
      </c>
      <c r="H581">
        <f>'[1]SNO RTF daily report1'!H581</f>
        <v>0</v>
      </c>
      <c r="I581">
        <f>'[1]SNO RTF daily report1'!I581</f>
        <v>0</v>
      </c>
    </row>
    <row r="582" spans="1:9" x14ac:dyDescent="0.25">
      <c r="A582">
        <f>'[1]SNO RTF daily report1'!A582</f>
        <v>0</v>
      </c>
      <c r="B582">
        <f>'[1]SNO RTF daily report1'!B582</f>
        <v>0</v>
      </c>
      <c r="C582">
        <f>'[1]SNO RTF daily report1'!C582</f>
        <v>0</v>
      </c>
      <c r="D582">
        <f>'[1]SNO RTF daily report1'!D582</f>
        <v>0</v>
      </c>
      <c r="E582">
        <f>'[1]SNO RTF daily report1'!E582</f>
        <v>0</v>
      </c>
      <c r="F582">
        <f>'[1]SNO RTF daily report1'!F582</f>
        <v>0</v>
      </c>
      <c r="G582">
        <f>'[1]SNO RTF daily report1'!G582</f>
        <v>0</v>
      </c>
      <c r="H582">
        <f>'[1]SNO RTF daily report1'!H582</f>
        <v>0</v>
      </c>
      <c r="I582">
        <f>'[1]SNO RTF daily report1'!I582</f>
        <v>0</v>
      </c>
    </row>
    <row r="583" spans="1:9" x14ac:dyDescent="0.25">
      <c r="A583">
        <f>'[1]SNO RTF daily report1'!A583</f>
        <v>0</v>
      </c>
      <c r="B583">
        <f>'[1]SNO RTF daily report1'!B583</f>
        <v>0</v>
      </c>
      <c r="C583">
        <f>'[1]SNO RTF daily report1'!C583</f>
        <v>0</v>
      </c>
      <c r="D583">
        <f>'[1]SNO RTF daily report1'!D583</f>
        <v>0</v>
      </c>
      <c r="E583">
        <f>'[1]SNO RTF daily report1'!E583</f>
        <v>0</v>
      </c>
      <c r="F583">
        <f>'[1]SNO RTF daily report1'!F583</f>
        <v>0</v>
      </c>
      <c r="G583">
        <f>'[1]SNO RTF daily report1'!G583</f>
        <v>0</v>
      </c>
      <c r="H583">
        <f>'[1]SNO RTF daily report1'!H583</f>
        <v>0</v>
      </c>
      <c r="I583">
        <f>'[1]SNO RTF daily report1'!I583</f>
        <v>0</v>
      </c>
    </row>
    <row r="584" spans="1:9" x14ac:dyDescent="0.25">
      <c r="A584">
        <f>'[1]SNO RTF daily report1'!A584</f>
        <v>0</v>
      </c>
      <c r="B584">
        <f>'[1]SNO RTF daily report1'!B584</f>
        <v>0</v>
      </c>
      <c r="C584">
        <f>'[1]SNO RTF daily report1'!C584</f>
        <v>0</v>
      </c>
      <c r="D584">
        <f>'[1]SNO RTF daily report1'!D584</f>
        <v>0</v>
      </c>
      <c r="E584">
        <f>'[1]SNO RTF daily report1'!E584</f>
        <v>0</v>
      </c>
      <c r="F584">
        <f>'[1]SNO RTF daily report1'!F584</f>
        <v>0</v>
      </c>
      <c r="G584">
        <f>'[1]SNO RTF daily report1'!G584</f>
        <v>0</v>
      </c>
      <c r="H584">
        <f>'[1]SNO RTF daily report1'!H584</f>
        <v>0</v>
      </c>
      <c r="I584">
        <f>'[1]SNO RTF daily report1'!I584</f>
        <v>0</v>
      </c>
    </row>
    <row r="585" spans="1:9" x14ac:dyDescent="0.25">
      <c r="A585">
        <f>'[1]SNO RTF daily report1'!A585</f>
        <v>0</v>
      </c>
      <c r="B585">
        <f>'[1]SNO RTF daily report1'!B585</f>
        <v>0</v>
      </c>
      <c r="C585">
        <f>'[1]SNO RTF daily report1'!C585</f>
        <v>0</v>
      </c>
      <c r="D585">
        <f>'[1]SNO RTF daily report1'!D585</f>
        <v>0</v>
      </c>
      <c r="E585">
        <f>'[1]SNO RTF daily report1'!E585</f>
        <v>0</v>
      </c>
      <c r="F585">
        <f>'[1]SNO RTF daily report1'!F585</f>
        <v>0</v>
      </c>
      <c r="G585">
        <f>'[1]SNO RTF daily report1'!G585</f>
        <v>0</v>
      </c>
      <c r="H585">
        <f>'[1]SNO RTF daily report1'!H585</f>
        <v>0</v>
      </c>
      <c r="I585">
        <f>'[1]SNO RTF daily report1'!I585</f>
        <v>0</v>
      </c>
    </row>
    <row r="586" spans="1:9" x14ac:dyDescent="0.25">
      <c r="A586">
        <f>'[1]SNO RTF daily report1'!A586</f>
        <v>0</v>
      </c>
      <c r="B586">
        <f>'[1]SNO RTF daily report1'!B586</f>
        <v>0</v>
      </c>
      <c r="C586">
        <f>'[1]SNO RTF daily report1'!C586</f>
        <v>0</v>
      </c>
      <c r="D586">
        <f>'[1]SNO RTF daily report1'!D586</f>
        <v>0</v>
      </c>
      <c r="E586">
        <f>'[1]SNO RTF daily report1'!E586</f>
        <v>0</v>
      </c>
      <c r="F586">
        <f>'[1]SNO RTF daily report1'!F586</f>
        <v>0</v>
      </c>
      <c r="G586">
        <f>'[1]SNO RTF daily report1'!G586</f>
        <v>0</v>
      </c>
      <c r="H586">
        <f>'[1]SNO RTF daily report1'!H586</f>
        <v>0</v>
      </c>
      <c r="I586">
        <f>'[1]SNO RTF daily report1'!I586</f>
        <v>0</v>
      </c>
    </row>
    <row r="587" spans="1:9" x14ac:dyDescent="0.25">
      <c r="A587">
        <f>'[1]SNO RTF daily report1'!A587</f>
        <v>0</v>
      </c>
      <c r="B587">
        <f>'[1]SNO RTF daily report1'!B587</f>
        <v>0</v>
      </c>
      <c r="C587">
        <f>'[1]SNO RTF daily report1'!C587</f>
        <v>0</v>
      </c>
      <c r="D587">
        <f>'[1]SNO RTF daily report1'!D587</f>
        <v>0</v>
      </c>
      <c r="E587">
        <f>'[1]SNO RTF daily report1'!E587</f>
        <v>0</v>
      </c>
      <c r="F587">
        <f>'[1]SNO RTF daily report1'!F587</f>
        <v>0</v>
      </c>
      <c r="G587">
        <f>'[1]SNO RTF daily report1'!G587</f>
        <v>0</v>
      </c>
      <c r="H587">
        <f>'[1]SNO RTF daily report1'!H587</f>
        <v>0</v>
      </c>
      <c r="I587">
        <f>'[1]SNO RTF daily report1'!I587</f>
        <v>0</v>
      </c>
    </row>
    <row r="588" spans="1:9" x14ac:dyDescent="0.25">
      <c r="A588">
        <f>'[1]SNO RTF daily report1'!A588</f>
        <v>0</v>
      </c>
      <c r="B588">
        <f>'[1]SNO RTF daily report1'!B588</f>
        <v>0</v>
      </c>
      <c r="C588">
        <f>'[1]SNO RTF daily report1'!C588</f>
        <v>0</v>
      </c>
      <c r="D588">
        <f>'[1]SNO RTF daily report1'!D588</f>
        <v>0</v>
      </c>
      <c r="E588">
        <f>'[1]SNO RTF daily report1'!E588</f>
        <v>0</v>
      </c>
      <c r="F588">
        <f>'[1]SNO RTF daily report1'!F588</f>
        <v>0</v>
      </c>
      <c r="G588">
        <f>'[1]SNO RTF daily report1'!G588</f>
        <v>0</v>
      </c>
      <c r="H588">
        <f>'[1]SNO RTF daily report1'!H588</f>
        <v>0</v>
      </c>
      <c r="I588">
        <f>'[1]SNO RTF daily report1'!I588</f>
        <v>0</v>
      </c>
    </row>
    <row r="589" spans="1:9" x14ac:dyDescent="0.25">
      <c r="A589">
        <f>'[1]SNO RTF daily report1'!A589</f>
        <v>0</v>
      </c>
      <c r="B589">
        <f>'[1]SNO RTF daily report1'!B589</f>
        <v>0</v>
      </c>
      <c r="C589">
        <f>'[1]SNO RTF daily report1'!C589</f>
        <v>0</v>
      </c>
      <c r="D589">
        <f>'[1]SNO RTF daily report1'!D589</f>
        <v>0</v>
      </c>
      <c r="E589">
        <f>'[1]SNO RTF daily report1'!E589</f>
        <v>0</v>
      </c>
      <c r="F589">
        <f>'[1]SNO RTF daily report1'!F589</f>
        <v>0</v>
      </c>
      <c r="G589">
        <f>'[1]SNO RTF daily report1'!G589</f>
        <v>0</v>
      </c>
      <c r="H589">
        <f>'[1]SNO RTF daily report1'!H589</f>
        <v>0</v>
      </c>
      <c r="I589">
        <f>'[1]SNO RTF daily report1'!I589</f>
        <v>0</v>
      </c>
    </row>
    <row r="590" spans="1:9" x14ac:dyDescent="0.25">
      <c r="A590">
        <f>'[1]SNO RTF daily report1'!A590</f>
        <v>0</v>
      </c>
      <c r="B590">
        <f>'[1]SNO RTF daily report1'!B590</f>
        <v>0</v>
      </c>
      <c r="C590">
        <f>'[1]SNO RTF daily report1'!C590</f>
        <v>0</v>
      </c>
      <c r="D590">
        <f>'[1]SNO RTF daily report1'!D590</f>
        <v>0</v>
      </c>
      <c r="E590">
        <f>'[1]SNO RTF daily report1'!E590</f>
        <v>0</v>
      </c>
      <c r="F590">
        <f>'[1]SNO RTF daily report1'!F590</f>
        <v>0</v>
      </c>
      <c r="G590">
        <f>'[1]SNO RTF daily report1'!G590</f>
        <v>0</v>
      </c>
      <c r="H590">
        <f>'[1]SNO RTF daily report1'!H590</f>
        <v>0</v>
      </c>
      <c r="I590">
        <f>'[1]SNO RTF daily report1'!I590</f>
        <v>0</v>
      </c>
    </row>
    <row r="591" spans="1:9" x14ac:dyDescent="0.25">
      <c r="A591">
        <f>'[1]SNO RTF daily report1'!A591</f>
        <v>0</v>
      </c>
      <c r="B591">
        <f>'[1]SNO RTF daily report1'!B591</f>
        <v>0</v>
      </c>
      <c r="C591">
        <f>'[1]SNO RTF daily report1'!C591</f>
        <v>0</v>
      </c>
      <c r="D591">
        <f>'[1]SNO RTF daily report1'!D591</f>
        <v>0</v>
      </c>
      <c r="E591">
        <f>'[1]SNO RTF daily report1'!E591</f>
        <v>0</v>
      </c>
      <c r="F591">
        <f>'[1]SNO RTF daily report1'!F591</f>
        <v>0</v>
      </c>
      <c r="G591">
        <f>'[1]SNO RTF daily report1'!G591</f>
        <v>0</v>
      </c>
      <c r="H591">
        <f>'[1]SNO RTF daily report1'!H591</f>
        <v>0</v>
      </c>
      <c r="I591">
        <f>'[1]SNO RTF daily report1'!I591</f>
        <v>0</v>
      </c>
    </row>
    <row r="592" spans="1:9" x14ac:dyDescent="0.25">
      <c r="A592">
        <f>'[1]SNO RTF daily report1'!A592</f>
        <v>0</v>
      </c>
      <c r="B592">
        <f>'[1]SNO RTF daily report1'!B592</f>
        <v>0</v>
      </c>
      <c r="C592">
        <f>'[1]SNO RTF daily report1'!C592</f>
        <v>0</v>
      </c>
      <c r="D592">
        <f>'[1]SNO RTF daily report1'!D592</f>
        <v>0</v>
      </c>
      <c r="E592">
        <f>'[1]SNO RTF daily report1'!E592</f>
        <v>0</v>
      </c>
      <c r="F592">
        <f>'[1]SNO RTF daily report1'!F592</f>
        <v>0</v>
      </c>
      <c r="G592">
        <f>'[1]SNO RTF daily report1'!G592</f>
        <v>0</v>
      </c>
      <c r="H592">
        <f>'[1]SNO RTF daily report1'!H592</f>
        <v>0</v>
      </c>
      <c r="I592">
        <f>'[1]SNO RTF daily report1'!I592</f>
        <v>0</v>
      </c>
    </row>
    <row r="593" spans="1:9" x14ac:dyDescent="0.25">
      <c r="A593">
        <f>'[1]SNO RTF daily report1'!A593</f>
        <v>0</v>
      </c>
      <c r="B593">
        <f>'[1]SNO RTF daily report1'!B593</f>
        <v>0</v>
      </c>
      <c r="C593">
        <f>'[1]SNO RTF daily report1'!C593</f>
        <v>0</v>
      </c>
      <c r="D593">
        <f>'[1]SNO RTF daily report1'!D593</f>
        <v>0</v>
      </c>
      <c r="E593">
        <f>'[1]SNO RTF daily report1'!E593</f>
        <v>0</v>
      </c>
      <c r="F593">
        <f>'[1]SNO RTF daily report1'!F593</f>
        <v>0</v>
      </c>
      <c r="G593">
        <f>'[1]SNO RTF daily report1'!G593</f>
        <v>0</v>
      </c>
      <c r="H593">
        <f>'[1]SNO RTF daily report1'!H593</f>
        <v>0</v>
      </c>
      <c r="I593">
        <f>'[1]SNO RTF daily report1'!I593</f>
        <v>0</v>
      </c>
    </row>
    <row r="594" spans="1:9" x14ac:dyDescent="0.25">
      <c r="A594">
        <f>'[1]SNO RTF daily report1'!A594</f>
        <v>0</v>
      </c>
      <c r="B594">
        <f>'[1]SNO RTF daily report1'!B594</f>
        <v>0</v>
      </c>
      <c r="C594">
        <f>'[1]SNO RTF daily report1'!C594</f>
        <v>0</v>
      </c>
      <c r="D594">
        <f>'[1]SNO RTF daily report1'!D594</f>
        <v>0</v>
      </c>
      <c r="E594">
        <f>'[1]SNO RTF daily report1'!E594</f>
        <v>0</v>
      </c>
      <c r="F594">
        <f>'[1]SNO RTF daily report1'!F594</f>
        <v>0</v>
      </c>
      <c r="G594">
        <f>'[1]SNO RTF daily report1'!G594</f>
        <v>0</v>
      </c>
      <c r="H594">
        <f>'[1]SNO RTF daily report1'!H594</f>
        <v>0</v>
      </c>
      <c r="I594">
        <f>'[1]SNO RTF daily report1'!I594</f>
        <v>0</v>
      </c>
    </row>
    <row r="595" spans="1:9" x14ac:dyDescent="0.25">
      <c r="A595">
        <f>'[1]SNO RTF daily report1'!A595</f>
        <v>0</v>
      </c>
      <c r="B595">
        <f>'[1]SNO RTF daily report1'!B595</f>
        <v>0</v>
      </c>
      <c r="C595">
        <f>'[1]SNO RTF daily report1'!C595</f>
        <v>0</v>
      </c>
      <c r="D595">
        <f>'[1]SNO RTF daily report1'!D595</f>
        <v>0</v>
      </c>
      <c r="E595">
        <f>'[1]SNO RTF daily report1'!E595</f>
        <v>0</v>
      </c>
      <c r="F595">
        <f>'[1]SNO RTF daily report1'!F595</f>
        <v>0</v>
      </c>
      <c r="G595">
        <f>'[1]SNO RTF daily report1'!G595</f>
        <v>0</v>
      </c>
      <c r="H595">
        <f>'[1]SNO RTF daily report1'!H595</f>
        <v>0</v>
      </c>
      <c r="I595">
        <f>'[1]SNO RTF daily report1'!I595</f>
        <v>0</v>
      </c>
    </row>
    <row r="596" spans="1:9" x14ac:dyDescent="0.25">
      <c r="A596">
        <f>'[1]SNO RTF daily report1'!A596</f>
        <v>0</v>
      </c>
      <c r="B596">
        <f>'[1]SNO RTF daily report1'!B596</f>
        <v>0</v>
      </c>
      <c r="C596">
        <f>'[1]SNO RTF daily report1'!C596</f>
        <v>0</v>
      </c>
      <c r="D596">
        <f>'[1]SNO RTF daily report1'!D596</f>
        <v>0</v>
      </c>
      <c r="E596">
        <f>'[1]SNO RTF daily report1'!E596</f>
        <v>0</v>
      </c>
      <c r="F596">
        <f>'[1]SNO RTF daily report1'!F596</f>
        <v>0</v>
      </c>
      <c r="G596">
        <f>'[1]SNO RTF daily report1'!G596</f>
        <v>0</v>
      </c>
      <c r="H596">
        <f>'[1]SNO RTF daily report1'!H596</f>
        <v>0</v>
      </c>
      <c r="I596">
        <f>'[1]SNO RTF daily report1'!I596</f>
        <v>0</v>
      </c>
    </row>
    <row r="597" spans="1:9" x14ac:dyDescent="0.25">
      <c r="A597">
        <f>'[1]SNO RTF daily report1'!A597</f>
        <v>0</v>
      </c>
      <c r="B597">
        <f>'[1]SNO RTF daily report1'!B597</f>
        <v>0</v>
      </c>
      <c r="C597">
        <f>'[1]SNO RTF daily report1'!C597</f>
        <v>0</v>
      </c>
      <c r="D597">
        <f>'[1]SNO RTF daily report1'!D597</f>
        <v>0</v>
      </c>
      <c r="E597">
        <f>'[1]SNO RTF daily report1'!E597</f>
        <v>0</v>
      </c>
      <c r="F597">
        <f>'[1]SNO RTF daily report1'!F597</f>
        <v>0</v>
      </c>
      <c r="G597">
        <f>'[1]SNO RTF daily report1'!G597</f>
        <v>0</v>
      </c>
      <c r="H597">
        <f>'[1]SNO RTF daily report1'!H597</f>
        <v>0</v>
      </c>
      <c r="I597">
        <f>'[1]SNO RTF daily report1'!I597</f>
        <v>0</v>
      </c>
    </row>
    <row r="598" spans="1:9" x14ac:dyDescent="0.25">
      <c r="A598">
        <f>'[1]SNO RTF daily report1'!A598</f>
        <v>0</v>
      </c>
      <c r="B598">
        <f>'[1]SNO RTF daily report1'!B598</f>
        <v>0</v>
      </c>
      <c r="C598">
        <f>'[1]SNO RTF daily report1'!C598</f>
        <v>0</v>
      </c>
      <c r="D598">
        <f>'[1]SNO RTF daily report1'!D598</f>
        <v>0</v>
      </c>
      <c r="E598">
        <f>'[1]SNO RTF daily report1'!E598</f>
        <v>0</v>
      </c>
      <c r="F598">
        <f>'[1]SNO RTF daily report1'!F598</f>
        <v>0</v>
      </c>
      <c r="G598">
        <f>'[1]SNO RTF daily report1'!G598</f>
        <v>0</v>
      </c>
      <c r="H598">
        <f>'[1]SNO RTF daily report1'!H598</f>
        <v>0</v>
      </c>
      <c r="I598">
        <f>'[1]SNO RTF daily report1'!I598</f>
        <v>0</v>
      </c>
    </row>
    <row r="599" spans="1:9" x14ac:dyDescent="0.25">
      <c r="A599">
        <f>'[1]SNO RTF daily report1'!A599</f>
        <v>0</v>
      </c>
      <c r="B599">
        <f>'[1]SNO RTF daily report1'!B599</f>
        <v>0</v>
      </c>
      <c r="C599">
        <f>'[1]SNO RTF daily report1'!C599</f>
        <v>0</v>
      </c>
      <c r="D599">
        <f>'[1]SNO RTF daily report1'!D599</f>
        <v>0</v>
      </c>
      <c r="E599">
        <f>'[1]SNO RTF daily report1'!E599</f>
        <v>0</v>
      </c>
      <c r="F599">
        <f>'[1]SNO RTF daily report1'!F599</f>
        <v>0</v>
      </c>
      <c r="G599">
        <f>'[1]SNO RTF daily report1'!G599</f>
        <v>0</v>
      </c>
      <c r="H599">
        <f>'[1]SNO RTF daily report1'!H599</f>
        <v>0</v>
      </c>
      <c r="I599">
        <f>'[1]SNO RTF daily report1'!I599</f>
        <v>0</v>
      </c>
    </row>
    <row r="600" spans="1:9" x14ac:dyDescent="0.25">
      <c r="A600">
        <f>'[1]SNO RTF daily report1'!A600</f>
        <v>0</v>
      </c>
      <c r="B600">
        <f>'[1]SNO RTF daily report1'!B600</f>
        <v>0</v>
      </c>
      <c r="C600">
        <f>'[1]SNO RTF daily report1'!C600</f>
        <v>0</v>
      </c>
      <c r="D600">
        <f>'[1]SNO RTF daily report1'!D600</f>
        <v>0</v>
      </c>
      <c r="E600">
        <f>'[1]SNO RTF daily report1'!E600</f>
        <v>0</v>
      </c>
      <c r="F600">
        <f>'[1]SNO RTF daily report1'!F600</f>
        <v>0</v>
      </c>
      <c r="G600">
        <f>'[1]SNO RTF daily report1'!G600</f>
        <v>0</v>
      </c>
      <c r="H600">
        <f>'[1]SNO RTF daily report1'!H600</f>
        <v>0</v>
      </c>
      <c r="I600">
        <f>'[1]SNO RTF daily report1'!I600</f>
        <v>0</v>
      </c>
    </row>
    <row r="601" spans="1:9" x14ac:dyDescent="0.25">
      <c r="A601">
        <f>'[1]SNO RTF daily report1'!A601</f>
        <v>0</v>
      </c>
      <c r="B601">
        <f>'[1]SNO RTF daily report1'!B601</f>
        <v>0</v>
      </c>
      <c r="C601">
        <f>'[1]SNO RTF daily report1'!C601</f>
        <v>0</v>
      </c>
      <c r="D601">
        <f>'[1]SNO RTF daily report1'!D601</f>
        <v>0</v>
      </c>
      <c r="E601">
        <f>'[1]SNO RTF daily report1'!E601</f>
        <v>0</v>
      </c>
      <c r="F601">
        <f>'[1]SNO RTF daily report1'!F601</f>
        <v>0</v>
      </c>
      <c r="G601">
        <f>'[1]SNO RTF daily report1'!G601</f>
        <v>0</v>
      </c>
      <c r="H601">
        <f>'[1]SNO RTF daily report1'!H601</f>
        <v>0</v>
      </c>
      <c r="I601">
        <f>'[1]SNO RTF daily report1'!I601</f>
        <v>0</v>
      </c>
    </row>
    <row r="602" spans="1:9" x14ac:dyDescent="0.25">
      <c r="A602">
        <f>'[1]SNO RTF daily report1'!A602</f>
        <v>0</v>
      </c>
      <c r="B602">
        <f>'[1]SNO RTF daily report1'!B602</f>
        <v>0</v>
      </c>
      <c r="C602">
        <f>'[1]SNO RTF daily report1'!C602</f>
        <v>0</v>
      </c>
      <c r="D602">
        <f>'[1]SNO RTF daily report1'!D602</f>
        <v>0</v>
      </c>
      <c r="E602">
        <f>'[1]SNO RTF daily report1'!E602</f>
        <v>0</v>
      </c>
      <c r="F602">
        <f>'[1]SNO RTF daily report1'!F602</f>
        <v>0</v>
      </c>
      <c r="G602">
        <f>'[1]SNO RTF daily report1'!G602</f>
        <v>0</v>
      </c>
      <c r="H602">
        <f>'[1]SNO RTF daily report1'!H602</f>
        <v>0</v>
      </c>
      <c r="I602">
        <f>'[1]SNO RTF daily report1'!I602</f>
        <v>0</v>
      </c>
    </row>
    <row r="603" spans="1:9" x14ac:dyDescent="0.25">
      <c r="A603">
        <f>'[1]SNO RTF daily report1'!A603</f>
        <v>0</v>
      </c>
      <c r="B603">
        <f>'[1]SNO RTF daily report1'!B603</f>
        <v>0</v>
      </c>
      <c r="C603">
        <f>'[1]SNO RTF daily report1'!C603</f>
        <v>0</v>
      </c>
      <c r="D603">
        <f>'[1]SNO RTF daily report1'!D603</f>
        <v>0</v>
      </c>
      <c r="E603">
        <f>'[1]SNO RTF daily report1'!E603</f>
        <v>0</v>
      </c>
      <c r="F603">
        <f>'[1]SNO RTF daily report1'!F603</f>
        <v>0</v>
      </c>
      <c r="G603">
        <f>'[1]SNO RTF daily report1'!G603</f>
        <v>0</v>
      </c>
      <c r="H603">
        <f>'[1]SNO RTF daily report1'!H603</f>
        <v>0</v>
      </c>
      <c r="I603">
        <f>'[1]SNO RTF daily report1'!I603</f>
        <v>0</v>
      </c>
    </row>
    <row r="604" spans="1:9" x14ac:dyDescent="0.25">
      <c r="A604">
        <f>'[1]SNO RTF daily report1'!A604</f>
        <v>0</v>
      </c>
      <c r="B604">
        <f>'[1]SNO RTF daily report1'!B604</f>
        <v>0</v>
      </c>
      <c r="C604">
        <f>'[1]SNO RTF daily report1'!C604</f>
        <v>0</v>
      </c>
      <c r="D604">
        <f>'[1]SNO RTF daily report1'!D604</f>
        <v>0</v>
      </c>
      <c r="E604">
        <f>'[1]SNO RTF daily report1'!E604</f>
        <v>0</v>
      </c>
      <c r="F604">
        <f>'[1]SNO RTF daily report1'!F604</f>
        <v>0</v>
      </c>
      <c r="G604">
        <f>'[1]SNO RTF daily report1'!G604</f>
        <v>0</v>
      </c>
      <c r="H604">
        <f>'[1]SNO RTF daily report1'!H604</f>
        <v>0</v>
      </c>
      <c r="I604">
        <f>'[1]SNO RTF daily report1'!I604</f>
        <v>0</v>
      </c>
    </row>
    <row r="605" spans="1:9" x14ac:dyDescent="0.25">
      <c r="A605">
        <f>'[1]SNO RTF daily report1'!A605</f>
        <v>0</v>
      </c>
      <c r="B605">
        <f>'[1]SNO RTF daily report1'!B605</f>
        <v>0</v>
      </c>
      <c r="C605">
        <f>'[1]SNO RTF daily report1'!C605</f>
        <v>0</v>
      </c>
      <c r="D605">
        <f>'[1]SNO RTF daily report1'!D605</f>
        <v>0</v>
      </c>
      <c r="E605">
        <f>'[1]SNO RTF daily report1'!E605</f>
        <v>0</v>
      </c>
      <c r="F605">
        <f>'[1]SNO RTF daily report1'!F605</f>
        <v>0</v>
      </c>
      <c r="G605">
        <f>'[1]SNO RTF daily report1'!G605</f>
        <v>0</v>
      </c>
      <c r="H605">
        <f>'[1]SNO RTF daily report1'!H605</f>
        <v>0</v>
      </c>
      <c r="I605">
        <f>'[1]SNO RTF daily report1'!I605</f>
        <v>0</v>
      </c>
    </row>
    <row r="606" spans="1:9" x14ac:dyDescent="0.25">
      <c r="A606">
        <f>'[1]SNO RTF daily report1'!A606</f>
        <v>0</v>
      </c>
      <c r="B606">
        <f>'[1]SNO RTF daily report1'!B606</f>
        <v>0</v>
      </c>
      <c r="C606">
        <f>'[1]SNO RTF daily report1'!C606</f>
        <v>0</v>
      </c>
      <c r="D606">
        <f>'[1]SNO RTF daily report1'!D606</f>
        <v>0</v>
      </c>
      <c r="E606">
        <f>'[1]SNO RTF daily report1'!E606</f>
        <v>0</v>
      </c>
      <c r="F606">
        <f>'[1]SNO RTF daily report1'!F606</f>
        <v>0</v>
      </c>
      <c r="G606">
        <f>'[1]SNO RTF daily report1'!G606</f>
        <v>0</v>
      </c>
      <c r="H606">
        <f>'[1]SNO RTF daily report1'!H606</f>
        <v>0</v>
      </c>
      <c r="I606">
        <f>'[1]SNO RTF daily report1'!I606</f>
        <v>0</v>
      </c>
    </row>
    <row r="607" spans="1:9" x14ac:dyDescent="0.25">
      <c r="A607">
        <f>'[1]SNO RTF daily report1'!A607</f>
        <v>0</v>
      </c>
      <c r="B607">
        <f>'[1]SNO RTF daily report1'!B607</f>
        <v>0</v>
      </c>
      <c r="C607">
        <f>'[1]SNO RTF daily report1'!C607</f>
        <v>0</v>
      </c>
      <c r="D607">
        <f>'[1]SNO RTF daily report1'!D607</f>
        <v>0</v>
      </c>
      <c r="E607">
        <f>'[1]SNO RTF daily report1'!E607</f>
        <v>0</v>
      </c>
      <c r="F607">
        <f>'[1]SNO RTF daily report1'!F607</f>
        <v>0</v>
      </c>
      <c r="G607">
        <f>'[1]SNO RTF daily report1'!G607</f>
        <v>0</v>
      </c>
      <c r="H607">
        <f>'[1]SNO RTF daily report1'!H607</f>
        <v>0</v>
      </c>
      <c r="I607">
        <f>'[1]SNO RTF daily report1'!I607</f>
        <v>0</v>
      </c>
    </row>
    <row r="608" spans="1:9" x14ac:dyDescent="0.25">
      <c r="A608">
        <f>'[1]SNO RTF daily report1'!A608</f>
        <v>0</v>
      </c>
      <c r="B608">
        <f>'[1]SNO RTF daily report1'!B608</f>
        <v>0</v>
      </c>
      <c r="C608">
        <f>'[1]SNO RTF daily report1'!C608</f>
        <v>0</v>
      </c>
      <c r="D608">
        <f>'[1]SNO RTF daily report1'!D608</f>
        <v>0</v>
      </c>
      <c r="E608">
        <f>'[1]SNO RTF daily report1'!E608</f>
        <v>0</v>
      </c>
      <c r="F608">
        <f>'[1]SNO RTF daily report1'!F608</f>
        <v>0</v>
      </c>
      <c r="G608">
        <f>'[1]SNO RTF daily report1'!G608</f>
        <v>0</v>
      </c>
      <c r="H608">
        <f>'[1]SNO RTF daily report1'!H608</f>
        <v>0</v>
      </c>
      <c r="I608">
        <f>'[1]SNO RTF daily report1'!I608</f>
        <v>0</v>
      </c>
    </row>
    <row r="609" spans="1:9" x14ac:dyDescent="0.25">
      <c r="A609">
        <f>'[1]SNO RTF daily report1'!A609</f>
        <v>0</v>
      </c>
      <c r="B609">
        <f>'[1]SNO RTF daily report1'!B609</f>
        <v>0</v>
      </c>
      <c r="C609">
        <f>'[1]SNO RTF daily report1'!C609</f>
        <v>0</v>
      </c>
      <c r="D609">
        <f>'[1]SNO RTF daily report1'!D609</f>
        <v>0</v>
      </c>
      <c r="E609">
        <f>'[1]SNO RTF daily report1'!E609</f>
        <v>0</v>
      </c>
      <c r="F609">
        <f>'[1]SNO RTF daily report1'!F609</f>
        <v>0</v>
      </c>
      <c r="G609">
        <f>'[1]SNO RTF daily report1'!G609</f>
        <v>0</v>
      </c>
      <c r="H609">
        <f>'[1]SNO RTF daily report1'!H609</f>
        <v>0</v>
      </c>
      <c r="I609">
        <f>'[1]SNO RTF daily report1'!I609</f>
        <v>0</v>
      </c>
    </row>
    <row r="610" spans="1:9" x14ac:dyDescent="0.25">
      <c r="A610">
        <f>'[1]SNO RTF daily report1'!A610</f>
        <v>0</v>
      </c>
      <c r="B610">
        <f>'[1]SNO RTF daily report1'!B610</f>
        <v>0</v>
      </c>
      <c r="C610">
        <f>'[1]SNO RTF daily report1'!C610</f>
        <v>0</v>
      </c>
      <c r="D610">
        <f>'[1]SNO RTF daily report1'!D610</f>
        <v>0</v>
      </c>
      <c r="E610">
        <f>'[1]SNO RTF daily report1'!E610</f>
        <v>0</v>
      </c>
      <c r="F610">
        <f>'[1]SNO RTF daily report1'!F610</f>
        <v>0</v>
      </c>
      <c r="G610">
        <f>'[1]SNO RTF daily report1'!G610</f>
        <v>0</v>
      </c>
      <c r="H610">
        <f>'[1]SNO RTF daily report1'!H610</f>
        <v>0</v>
      </c>
      <c r="I610">
        <f>'[1]SNO RTF daily report1'!I610</f>
        <v>0</v>
      </c>
    </row>
    <row r="611" spans="1:9" x14ac:dyDescent="0.25">
      <c r="A611">
        <f>'[1]SNO RTF daily report1'!A611</f>
        <v>0</v>
      </c>
      <c r="B611">
        <f>'[1]SNO RTF daily report1'!B611</f>
        <v>0</v>
      </c>
      <c r="C611">
        <f>'[1]SNO RTF daily report1'!C611</f>
        <v>0</v>
      </c>
      <c r="D611">
        <f>'[1]SNO RTF daily report1'!D611</f>
        <v>0</v>
      </c>
      <c r="E611">
        <f>'[1]SNO RTF daily report1'!E611</f>
        <v>0</v>
      </c>
      <c r="F611">
        <f>'[1]SNO RTF daily report1'!F611</f>
        <v>0</v>
      </c>
      <c r="G611">
        <f>'[1]SNO RTF daily report1'!G611</f>
        <v>0</v>
      </c>
      <c r="H611">
        <f>'[1]SNO RTF daily report1'!H611</f>
        <v>0</v>
      </c>
      <c r="I611">
        <f>'[1]SNO RTF daily report1'!I611</f>
        <v>0</v>
      </c>
    </row>
    <row r="612" spans="1:9" x14ac:dyDescent="0.25">
      <c r="A612">
        <f>'[1]SNO RTF daily report1'!A612</f>
        <v>0</v>
      </c>
      <c r="B612">
        <f>'[1]SNO RTF daily report1'!B612</f>
        <v>0</v>
      </c>
      <c r="C612">
        <f>'[1]SNO RTF daily report1'!C612</f>
        <v>0</v>
      </c>
      <c r="D612">
        <f>'[1]SNO RTF daily report1'!D612</f>
        <v>0</v>
      </c>
      <c r="E612">
        <f>'[1]SNO RTF daily report1'!E612</f>
        <v>0</v>
      </c>
      <c r="F612">
        <f>'[1]SNO RTF daily report1'!F612</f>
        <v>0</v>
      </c>
      <c r="G612">
        <f>'[1]SNO RTF daily report1'!G612</f>
        <v>0</v>
      </c>
      <c r="H612">
        <f>'[1]SNO RTF daily report1'!H612</f>
        <v>0</v>
      </c>
      <c r="I612">
        <f>'[1]SNO RTF daily report1'!I612</f>
        <v>0</v>
      </c>
    </row>
    <row r="613" spans="1:9" x14ac:dyDescent="0.25">
      <c r="A613">
        <f>'[1]SNO RTF daily report1'!A613</f>
        <v>0</v>
      </c>
      <c r="B613">
        <f>'[1]SNO RTF daily report1'!B613</f>
        <v>0</v>
      </c>
      <c r="C613">
        <f>'[1]SNO RTF daily report1'!C613</f>
        <v>0</v>
      </c>
      <c r="D613">
        <f>'[1]SNO RTF daily report1'!D613</f>
        <v>0</v>
      </c>
      <c r="E613">
        <f>'[1]SNO RTF daily report1'!E613</f>
        <v>0</v>
      </c>
      <c r="F613">
        <f>'[1]SNO RTF daily report1'!F613</f>
        <v>0</v>
      </c>
      <c r="G613">
        <f>'[1]SNO RTF daily report1'!G613</f>
        <v>0</v>
      </c>
      <c r="H613">
        <f>'[1]SNO RTF daily report1'!H613</f>
        <v>0</v>
      </c>
      <c r="I613">
        <f>'[1]SNO RTF daily report1'!I613</f>
        <v>0</v>
      </c>
    </row>
    <row r="614" spans="1:9" x14ac:dyDescent="0.25">
      <c r="A614">
        <f>'[1]SNO RTF daily report1'!A614</f>
        <v>0</v>
      </c>
      <c r="B614">
        <f>'[1]SNO RTF daily report1'!B614</f>
        <v>0</v>
      </c>
      <c r="C614">
        <f>'[1]SNO RTF daily report1'!C614</f>
        <v>0</v>
      </c>
      <c r="D614">
        <f>'[1]SNO RTF daily report1'!D614</f>
        <v>0</v>
      </c>
      <c r="E614">
        <f>'[1]SNO RTF daily report1'!E614</f>
        <v>0</v>
      </c>
      <c r="F614">
        <f>'[1]SNO RTF daily report1'!F614</f>
        <v>0</v>
      </c>
      <c r="G614">
        <f>'[1]SNO RTF daily report1'!G614</f>
        <v>0</v>
      </c>
      <c r="H614">
        <f>'[1]SNO RTF daily report1'!H614</f>
        <v>0</v>
      </c>
      <c r="I614">
        <f>'[1]SNO RTF daily report1'!I614</f>
        <v>0</v>
      </c>
    </row>
    <row r="615" spans="1:9" x14ac:dyDescent="0.25">
      <c r="A615">
        <f>'[1]SNO RTF daily report1'!A615</f>
        <v>0</v>
      </c>
      <c r="B615">
        <f>'[1]SNO RTF daily report1'!B615</f>
        <v>0</v>
      </c>
      <c r="C615">
        <f>'[1]SNO RTF daily report1'!C615</f>
        <v>0</v>
      </c>
      <c r="D615">
        <f>'[1]SNO RTF daily report1'!D615</f>
        <v>0</v>
      </c>
      <c r="E615">
        <f>'[1]SNO RTF daily report1'!E615</f>
        <v>0</v>
      </c>
      <c r="F615">
        <f>'[1]SNO RTF daily report1'!F615</f>
        <v>0</v>
      </c>
      <c r="G615">
        <f>'[1]SNO RTF daily report1'!G615</f>
        <v>0</v>
      </c>
      <c r="H615">
        <f>'[1]SNO RTF daily report1'!H615</f>
        <v>0</v>
      </c>
      <c r="I615">
        <f>'[1]SNO RTF daily report1'!I615</f>
        <v>0</v>
      </c>
    </row>
    <row r="616" spans="1:9" x14ac:dyDescent="0.25">
      <c r="A616">
        <f>'[1]SNO RTF daily report1'!A616</f>
        <v>0</v>
      </c>
      <c r="B616">
        <f>'[1]SNO RTF daily report1'!B616</f>
        <v>0</v>
      </c>
      <c r="C616">
        <f>'[1]SNO RTF daily report1'!C616</f>
        <v>0</v>
      </c>
      <c r="D616">
        <f>'[1]SNO RTF daily report1'!D616</f>
        <v>0</v>
      </c>
      <c r="E616">
        <f>'[1]SNO RTF daily report1'!E616</f>
        <v>0</v>
      </c>
      <c r="F616">
        <f>'[1]SNO RTF daily report1'!F616</f>
        <v>0</v>
      </c>
      <c r="G616">
        <f>'[1]SNO RTF daily report1'!G616</f>
        <v>0</v>
      </c>
      <c r="H616">
        <f>'[1]SNO RTF daily report1'!H616</f>
        <v>0</v>
      </c>
      <c r="I616">
        <f>'[1]SNO RTF daily report1'!I616</f>
        <v>0</v>
      </c>
    </row>
    <row r="617" spans="1:9" x14ac:dyDescent="0.25">
      <c r="A617">
        <f>'[1]SNO RTF daily report1'!A617</f>
        <v>0</v>
      </c>
      <c r="B617">
        <f>'[1]SNO RTF daily report1'!B617</f>
        <v>0</v>
      </c>
      <c r="C617">
        <f>'[1]SNO RTF daily report1'!C617</f>
        <v>0</v>
      </c>
      <c r="D617">
        <f>'[1]SNO RTF daily report1'!D617</f>
        <v>0</v>
      </c>
      <c r="E617">
        <f>'[1]SNO RTF daily report1'!E617</f>
        <v>0</v>
      </c>
      <c r="F617">
        <f>'[1]SNO RTF daily report1'!F617</f>
        <v>0</v>
      </c>
      <c r="G617">
        <f>'[1]SNO RTF daily report1'!G617</f>
        <v>0</v>
      </c>
      <c r="H617">
        <f>'[1]SNO RTF daily report1'!H617</f>
        <v>0</v>
      </c>
      <c r="I617">
        <f>'[1]SNO RTF daily report1'!I617</f>
        <v>0</v>
      </c>
    </row>
    <row r="618" spans="1:9" x14ac:dyDescent="0.25">
      <c r="A618">
        <f>'[1]SNO RTF daily report1'!A618</f>
        <v>0</v>
      </c>
      <c r="B618">
        <f>'[1]SNO RTF daily report1'!B618</f>
        <v>0</v>
      </c>
      <c r="C618">
        <f>'[1]SNO RTF daily report1'!C618</f>
        <v>0</v>
      </c>
      <c r="D618">
        <f>'[1]SNO RTF daily report1'!D618</f>
        <v>0</v>
      </c>
      <c r="E618">
        <f>'[1]SNO RTF daily report1'!E618</f>
        <v>0</v>
      </c>
      <c r="F618">
        <f>'[1]SNO RTF daily report1'!F618</f>
        <v>0</v>
      </c>
      <c r="G618">
        <f>'[1]SNO RTF daily report1'!G618</f>
        <v>0</v>
      </c>
      <c r="H618">
        <f>'[1]SNO RTF daily report1'!H618</f>
        <v>0</v>
      </c>
      <c r="I618">
        <f>'[1]SNO RTF daily report1'!I618</f>
        <v>0</v>
      </c>
    </row>
    <row r="619" spans="1:9" x14ac:dyDescent="0.25">
      <c r="A619">
        <f>'[1]SNO RTF daily report1'!A619</f>
        <v>0</v>
      </c>
      <c r="B619">
        <f>'[1]SNO RTF daily report1'!B619</f>
        <v>0</v>
      </c>
      <c r="C619">
        <f>'[1]SNO RTF daily report1'!C619</f>
        <v>0</v>
      </c>
      <c r="D619">
        <f>'[1]SNO RTF daily report1'!D619</f>
        <v>0</v>
      </c>
      <c r="E619">
        <f>'[1]SNO RTF daily report1'!E619</f>
        <v>0</v>
      </c>
      <c r="F619">
        <f>'[1]SNO RTF daily report1'!F619</f>
        <v>0</v>
      </c>
      <c r="G619">
        <f>'[1]SNO RTF daily report1'!G619</f>
        <v>0</v>
      </c>
      <c r="H619">
        <f>'[1]SNO RTF daily report1'!H619</f>
        <v>0</v>
      </c>
      <c r="I619">
        <f>'[1]SNO RTF daily report1'!I619</f>
        <v>0</v>
      </c>
    </row>
    <row r="620" spans="1:9" x14ac:dyDescent="0.25">
      <c r="A620">
        <f>'[1]SNO RTF daily report1'!A620</f>
        <v>0</v>
      </c>
      <c r="B620">
        <f>'[1]SNO RTF daily report1'!B620</f>
        <v>0</v>
      </c>
      <c r="C620">
        <f>'[1]SNO RTF daily report1'!C620</f>
        <v>0</v>
      </c>
      <c r="D620">
        <f>'[1]SNO RTF daily report1'!D620</f>
        <v>0</v>
      </c>
      <c r="E620">
        <f>'[1]SNO RTF daily report1'!E620</f>
        <v>0</v>
      </c>
      <c r="F620">
        <f>'[1]SNO RTF daily report1'!F620</f>
        <v>0</v>
      </c>
      <c r="G620">
        <f>'[1]SNO RTF daily report1'!G620</f>
        <v>0</v>
      </c>
      <c r="H620">
        <f>'[1]SNO RTF daily report1'!H620</f>
        <v>0</v>
      </c>
      <c r="I620">
        <f>'[1]SNO RTF daily report1'!I620</f>
        <v>0</v>
      </c>
    </row>
    <row r="621" spans="1:9" x14ac:dyDescent="0.25">
      <c r="A621">
        <f>'[1]SNO RTF daily report1'!A621</f>
        <v>0</v>
      </c>
      <c r="B621">
        <f>'[1]SNO RTF daily report1'!B621</f>
        <v>0</v>
      </c>
      <c r="C621">
        <f>'[1]SNO RTF daily report1'!C621</f>
        <v>0</v>
      </c>
      <c r="D621">
        <f>'[1]SNO RTF daily report1'!D621</f>
        <v>0</v>
      </c>
      <c r="E621">
        <f>'[1]SNO RTF daily report1'!E621</f>
        <v>0</v>
      </c>
      <c r="F621">
        <f>'[1]SNO RTF daily report1'!F621</f>
        <v>0</v>
      </c>
      <c r="G621">
        <f>'[1]SNO RTF daily report1'!G621</f>
        <v>0</v>
      </c>
      <c r="H621">
        <f>'[1]SNO RTF daily report1'!H621</f>
        <v>0</v>
      </c>
      <c r="I621">
        <f>'[1]SNO RTF daily report1'!I621</f>
        <v>0</v>
      </c>
    </row>
    <row r="622" spans="1:9" x14ac:dyDescent="0.25">
      <c r="A622">
        <f>'[1]SNO RTF daily report1'!A622</f>
        <v>0</v>
      </c>
      <c r="B622">
        <f>'[1]SNO RTF daily report1'!B622</f>
        <v>0</v>
      </c>
      <c r="C622">
        <f>'[1]SNO RTF daily report1'!C622</f>
        <v>0</v>
      </c>
      <c r="D622">
        <f>'[1]SNO RTF daily report1'!D622</f>
        <v>0</v>
      </c>
      <c r="E622">
        <f>'[1]SNO RTF daily report1'!E622</f>
        <v>0</v>
      </c>
      <c r="F622">
        <f>'[1]SNO RTF daily report1'!F622</f>
        <v>0</v>
      </c>
      <c r="G622">
        <f>'[1]SNO RTF daily report1'!G622</f>
        <v>0</v>
      </c>
      <c r="H622">
        <f>'[1]SNO RTF daily report1'!H622</f>
        <v>0</v>
      </c>
      <c r="I622">
        <f>'[1]SNO RTF daily report1'!I622</f>
        <v>0</v>
      </c>
    </row>
    <row r="623" spans="1:9" x14ac:dyDescent="0.25">
      <c r="A623">
        <f>'[1]SNO RTF daily report1'!A623</f>
        <v>0</v>
      </c>
      <c r="B623">
        <f>'[1]SNO RTF daily report1'!B623</f>
        <v>0</v>
      </c>
      <c r="C623">
        <f>'[1]SNO RTF daily report1'!C623</f>
        <v>0</v>
      </c>
      <c r="D623">
        <f>'[1]SNO RTF daily report1'!D623</f>
        <v>0</v>
      </c>
      <c r="E623">
        <f>'[1]SNO RTF daily report1'!E623</f>
        <v>0</v>
      </c>
      <c r="F623">
        <f>'[1]SNO RTF daily report1'!F623</f>
        <v>0</v>
      </c>
      <c r="G623">
        <f>'[1]SNO RTF daily report1'!G623</f>
        <v>0</v>
      </c>
      <c r="H623">
        <f>'[1]SNO RTF daily report1'!H623</f>
        <v>0</v>
      </c>
      <c r="I623">
        <f>'[1]SNO RTF daily report1'!I623</f>
        <v>0</v>
      </c>
    </row>
    <row r="624" spans="1:9" x14ac:dyDescent="0.25">
      <c r="A624">
        <f>'[1]SNO RTF daily report1'!A624</f>
        <v>0</v>
      </c>
      <c r="B624">
        <f>'[1]SNO RTF daily report1'!B624</f>
        <v>0</v>
      </c>
      <c r="C624">
        <f>'[1]SNO RTF daily report1'!C624</f>
        <v>0</v>
      </c>
      <c r="D624">
        <f>'[1]SNO RTF daily report1'!D624</f>
        <v>0</v>
      </c>
      <c r="E624">
        <f>'[1]SNO RTF daily report1'!E624</f>
        <v>0</v>
      </c>
      <c r="F624">
        <f>'[1]SNO RTF daily report1'!F624</f>
        <v>0</v>
      </c>
      <c r="G624">
        <f>'[1]SNO RTF daily report1'!G624</f>
        <v>0</v>
      </c>
      <c r="H624">
        <f>'[1]SNO RTF daily report1'!H624</f>
        <v>0</v>
      </c>
      <c r="I624">
        <f>'[1]SNO RTF daily report1'!I624</f>
        <v>0</v>
      </c>
    </row>
    <row r="625" spans="1:9" x14ac:dyDescent="0.25">
      <c r="A625">
        <f>'[1]SNO RTF daily report1'!A625</f>
        <v>0</v>
      </c>
      <c r="B625">
        <f>'[1]SNO RTF daily report1'!B625</f>
        <v>0</v>
      </c>
      <c r="C625">
        <f>'[1]SNO RTF daily report1'!C625</f>
        <v>0</v>
      </c>
      <c r="D625">
        <f>'[1]SNO RTF daily report1'!D625</f>
        <v>0</v>
      </c>
      <c r="E625">
        <f>'[1]SNO RTF daily report1'!E625</f>
        <v>0</v>
      </c>
      <c r="F625">
        <f>'[1]SNO RTF daily report1'!F625</f>
        <v>0</v>
      </c>
      <c r="G625">
        <f>'[1]SNO RTF daily report1'!G625</f>
        <v>0</v>
      </c>
      <c r="H625">
        <f>'[1]SNO RTF daily report1'!H625</f>
        <v>0</v>
      </c>
      <c r="I625">
        <f>'[1]SNO RTF daily report1'!I625</f>
        <v>0</v>
      </c>
    </row>
    <row r="626" spans="1:9" x14ac:dyDescent="0.25">
      <c r="A626">
        <f>'[1]SNO RTF daily report1'!A626</f>
        <v>0</v>
      </c>
      <c r="B626">
        <f>'[1]SNO RTF daily report1'!B626</f>
        <v>0</v>
      </c>
      <c r="C626">
        <f>'[1]SNO RTF daily report1'!C626</f>
        <v>0</v>
      </c>
      <c r="D626">
        <f>'[1]SNO RTF daily report1'!D626</f>
        <v>0</v>
      </c>
      <c r="E626">
        <f>'[1]SNO RTF daily report1'!E626</f>
        <v>0</v>
      </c>
      <c r="F626">
        <f>'[1]SNO RTF daily report1'!F626</f>
        <v>0</v>
      </c>
      <c r="G626">
        <f>'[1]SNO RTF daily report1'!G626</f>
        <v>0</v>
      </c>
      <c r="H626">
        <f>'[1]SNO RTF daily report1'!H626</f>
        <v>0</v>
      </c>
      <c r="I626">
        <f>'[1]SNO RTF daily report1'!I626</f>
        <v>0</v>
      </c>
    </row>
    <row r="627" spans="1:9" x14ac:dyDescent="0.25">
      <c r="A627">
        <f>'[1]SNO RTF daily report1'!A627</f>
        <v>0</v>
      </c>
      <c r="B627">
        <f>'[1]SNO RTF daily report1'!B627</f>
        <v>0</v>
      </c>
      <c r="C627">
        <f>'[1]SNO RTF daily report1'!C627</f>
        <v>0</v>
      </c>
      <c r="D627">
        <f>'[1]SNO RTF daily report1'!D627</f>
        <v>0</v>
      </c>
      <c r="E627">
        <f>'[1]SNO RTF daily report1'!E627</f>
        <v>0</v>
      </c>
      <c r="F627">
        <f>'[1]SNO RTF daily report1'!F627</f>
        <v>0</v>
      </c>
      <c r="G627">
        <f>'[1]SNO RTF daily report1'!G627</f>
        <v>0</v>
      </c>
      <c r="H627">
        <f>'[1]SNO RTF daily report1'!H627</f>
        <v>0</v>
      </c>
      <c r="I627">
        <f>'[1]SNO RTF daily report1'!I627</f>
        <v>0</v>
      </c>
    </row>
    <row r="628" spans="1:9" x14ac:dyDescent="0.25">
      <c r="A628">
        <f>'[1]SNO RTF daily report1'!A628</f>
        <v>0</v>
      </c>
      <c r="B628">
        <f>'[1]SNO RTF daily report1'!B628</f>
        <v>0</v>
      </c>
      <c r="C628">
        <f>'[1]SNO RTF daily report1'!C628</f>
        <v>0</v>
      </c>
      <c r="D628">
        <f>'[1]SNO RTF daily report1'!D628</f>
        <v>0</v>
      </c>
      <c r="E628">
        <f>'[1]SNO RTF daily report1'!E628</f>
        <v>0</v>
      </c>
      <c r="F628">
        <f>'[1]SNO RTF daily report1'!F628</f>
        <v>0</v>
      </c>
      <c r="G628">
        <f>'[1]SNO RTF daily report1'!G628</f>
        <v>0</v>
      </c>
      <c r="H628">
        <f>'[1]SNO RTF daily report1'!H628</f>
        <v>0</v>
      </c>
      <c r="I628">
        <f>'[1]SNO RTF daily report1'!I628</f>
        <v>0</v>
      </c>
    </row>
    <row r="629" spans="1:9" x14ac:dyDescent="0.25">
      <c r="A629">
        <f>'[1]SNO RTF daily report1'!A629</f>
        <v>0</v>
      </c>
      <c r="B629">
        <f>'[1]SNO RTF daily report1'!B629</f>
        <v>0</v>
      </c>
      <c r="C629">
        <f>'[1]SNO RTF daily report1'!C629</f>
        <v>0</v>
      </c>
      <c r="D629">
        <f>'[1]SNO RTF daily report1'!D629</f>
        <v>0</v>
      </c>
      <c r="E629">
        <f>'[1]SNO RTF daily report1'!E629</f>
        <v>0</v>
      </c>
      <c r="F629">
        <f>'[1]SNO RTF daily report1'!F629</f>
        <v>0</v>
      </c>
      <c r="G629">
        <f>'[1]SNO RTF daily report1'!G629</f>
        <v>0</v>
      </c>
      <c r="H629">
        <f>'[1]SNO RTF daily report1'!H629</f>
        <v>0</v>
      </c>
      <c r="I629">
        <f>'[1]SNO RTF daily report1'!I629</f>
        <v>0</v>
      </c>
    </row>
    <row r="630" spans="1:9" x14ac:dyDescent="0.25">
      <c r="A630">
        <f>'[1]SNO RTF daily report1'!A630</f>
        <v>0</v>
      </c>
      <c r="B630">
        <f>'[1]SNO RTF daily report1'!B630</f>
        <v>0</v>
      </c>
      <c r="C630">
        <f>'[1]SNO RTF daily report1'!C630</f>
        <v>0</v>
      </c>
      <c r="D630">
        <f>'[1]SNO RTF daily report1'!D630</f>
        <v>0</v>
      </c>
      <c r="E630">
        <f>'[1]SNO RTF daily report1'!E630</f>
        <v>0</v>
      </c>
      <c r="F630">
        <f>'[1]SNO RTF daily report1'!F630</f>
        <v>0</v>
      </c>
      <c r="G630">
        <f>'[1]SNO RTF daily report1'!G630</f>
        <v>0</v>
      </c>
      <c r="H630">
        <f>'[1]SNO RTF daily report1'!H630</f>
        <v>0</v>
      </c>
      <c r="I630">
        <f>'[1]SNO RTF daily report1'!I630</f>
        <v>0</v>
      </c>
    </row>
    <row r="631" spans="1:9" x14ac:dyDescent="0.25">
      <c r="A631">
        <f>'[1]SNO RTF daily report1'!A631</f>
        <v>0</v>
      </c>
      <c r="B631">
        <f>'[1]SNO RTF daily report1'!B631</f>
        <v>0</v>
      </c>
      <c r="C631">
        <f>'[1]SNO RTF daily report1'!C631</f>
        <v>0</v>
      </c>
      <c r="D631">
        <f>'[1]SNO RTF daily report1'!D631</f>
        <v>0</v>
      </c>
      <c r="E631">
        <f>'[1]SNO RTF daily report1'!E631</f>
        <v>0</v>
      </c>
      <c r="F631">
        <f>'[1]SNO RTF daily report1'!F631</f>
        <v>0</v>
      </c>
      <c r="G631">
        <f>'[1]SNO RTF daily report1'!G631</f>
        <v>0</v>
      </c>
      <c r="H631">
        <f>'[1]SNO RTF daily report1'!H631</f>
        <v>0</v>
      </c>
      <c r="I631">
        <f>'[1]SNO RTF daily report1'!I631</f>
        <v>0</v>
      </c>
    </row>
    <row r="632" spans="1:9" x14ac:dyDescent="0.25">
      <c r="A632">
        <f>'[1]SNO RTF daily report1'!A632</f>
        <v>0</v>
      </c>
      <c r="B632">
        <f>'[1]SNO RTF daily report1'!B632</f>
        <v>0</v>
      </c>
      <c r="C632">
        <f>'[1]SNO RTF daily report1'!C632</f>
        <v>0</v>
      </c>
      <c r="D632">
        <f>'[1]SNO RTF daily report1'!D632</f>
        <v>0</v>
      </c>
      <c r="E632">
        <f>'[1]SNO RTF daily report1'!E632</f>
        <v>0</v>
      </c>
      <c r="F632">
        <f>'[1]SNO RTF daily report1'!F632</f>
        <v>0</v>
      </c>
      <c r="G632">
        <f>'[1]SNO RTF daily report1'!G632</f>
        <v>0</v>
      </c>
      <c r="H632">
        <f>'[1]SNO RTF daily report1'!H632</f>
        <v>0</v>
      </c>
      <c r="I632">
        <f>'[1]SNO RTF daily report1'!I632</f>
        <v>0</v>
      </c>
    </row>
    <row r="633" spans="1:9" x14ac:dyDescent="0.25">
      <c r="A633">
        <f>'[1]SNO RTF daily report1'!A633</f>
        <v>0</v>
      </c>
      <c r="B633">
        <f>'[1]SNO RTF daily report1'!B633</f>
        <v>0</v>
      </c>
      <c r="C633">
        <f>'[1]SNO RTF daily report1'!C633</f>
        <v>0</v>
      </c>
      <c r="D633">
        <f>'[1]SNO RTF daily report1'!D633</f>
        <v>0</v>
      </c>
      <c r="E633">
        <f>'[1]SNO RTF daily report1'!E633</f>
        <v>0</v>
      </c>
      <c r="F633">
        <f>'[1]SNO RTF daily report1'!F633</f>
        <v>0</v>
      </c>
      <c r="G633">
        <f>'[1]SNO RTF daily report1'!G633</f>
        <v>0</v>
      </c>
      <c r="H633">
        <f>'[1]SNO RTF daily report1'!H633</f>
        <v>0</v>
      </c>
      <c r="I633">
        <f>'[1]SNO RTF daily report1'!I633</f>
        <v>0</v>
      </c>
    </row>
    <row r="634" spans="1:9" x14ac:dyDescent="0.25">
      <c r="A634">
        <f>'[1]SNO RTF daily report1'!A634</f>
        <v>0</v>
      </c>
      <c r="B634">
        <f>'[1]SNO RTF daily report1'!B634</f>
        <v>0</v>
      </c>
      <c r="C634">
        <f>'[1]SNO RTF daily report1'!C634</f>
        <v>0</v>
      </c>
      <c r="D634">
        <f>'[1]SNO RTF daily report1'!D634</f>
        <v>0</v>
      </c>
      <c r="E634">
        <f>'[1]SNO RTF daily report1'!E634</f>
        <v>0</v>
      </c>
      <c r="F634">
        <f>'[1]SNO RTF daily report1'!F634</f>
        <v>0</v>
      </c>
      <c r="G634">
        <f>'[1]SNO RTF daily report1'!G634</f>
        <v>0</v>
      </c>
      <c r="H634">
        <f>'[1]SNO RTF daily report1'!H634</f>
        <v>0</v>
      </c>
      <c r="I634">
        <f>'[1]SNO RTF daily report1'!I634</f>
        <v>0</v>
      </c>
    </row>
    <row r="635" spans="1:9" x14ac:dyDescent="0.25">
      <c r="A635">
        <f>'[1]SNO RTF daily report1'!A635</f>
        <v>0</v>
      </c>
      <c r="B635">
        <f>'[1]SNO RTF daily report1'!B635</f>
        <v>0</v>
      </c>
      <c r="C635">
        <f>'[1]SNO RTF daily report1'!C635</f>
        <v>0</v>
      </c>
      <c r="D635">
        <f>'[1]SNO RTF daily report1'!D635</f>
        <v>0</v>
      </c>
      <c r="E635">
        <f>'[1]SNO RTF daily report1'!E635</f>
        <v>0</v>
      </c>
      <c r="F635">
        <f>'[1]SNO RTF daily report1'!F635</f>
        <v>0</v>
      </c>
      <c r="G635">
        <f>'[1]SNO RTF daily report1'!G635</f>
        <v>0</v>
      </c>
      <c r="H635">
        <f>'[1]SNO RTF daily report1'!H635</f>
        <v>0</v>
      </c>
      <c r="I635">
        <f>'[1]SNO RTF daily report1'!I635</f>
        <v>0</v>
      </c>
    </row>
    <row r="636" spans="1:9" x14ac:dyDescent="0.25">
      <c r="A636">
        <f>'[1]SNO RTF daily report1'!A636</f>
        <v>0</v>
      </c>
      <c r="B636">
        <f>'[1]SNO RTF daily report1'!B636</f>
        <v>0</v>
      </c>
      <c r="C636">
        <f>'[1]SNO RTF daily report1'!C636</f>
        <v>0</v>
      </c>
      <c r="D636">
        <f>'[1]SNO RTF daily report1'!D636</f>
        <v>0</v>
      </c>
      <c r="E636">
        <f>'[1]SNO RTF daily report1'!E636</f>
        <v>0</v>
      </c>
      <c r="F636">
        <f>'[1]SNO RTF daily report1'!F636</f>
        <v>0</v>
      </c>
      <c r="G636">
        <f>'[1]SNO RTF daily report1'!G636</f>
        <v>0</v>
      </c>
      <c r="H636">
        <f>'[1]SNO RTF daily report1'!H636</f>
        <v>0</v>
      </c>
      <c r="I636">
        <f>'[1]SNO RTF daily report1'!I636</f>
        <v>0</v>
      </c>
    </row>
    <row r="637" spans="1:9" x14ac:dyDescent="0.25">
      <c r="A637">
        <f>'[1]SNO RTF daily report1'!A637</f>
        <v>0</v>
      </c>
      <c r="B637">
        <f>'[1]SNO RTF daily report1'!B637</f>
        <v>0</v>
      </c>
      <c r="C637">
        <f>'[1]SNO RTF daily report1'!C637</f>
        <v>0</v>
      </c>
      <c r="D637">
        <f>'[1]SNO RTF daily report1'!D637</f>
        <v>0</v>
      </c>
      <c r="E637">
        <f>'[1]SNO RTF daily report1'!E637</f>
        <v>0</v>
      </c>
      <c r="F637">
        <f>'[1]SNO RTF daily report1'!F637</f>
        <v>0</v>
      </c>
      <c r="G637">
        <f>'[1]SNO RTF daily report1'!G637</f>
        <v>0</v>
      </c>
      <c r="H637">
        <f>'[1]SNO RTF daily report1'!H637</f>
        <v>0</v>
      </c>
      <c r="I637">
        <f>'[1]SNO RTF daily report1'!I637</f>
        <v>0</v>
      </c>
    </row>
    <row r="638" spans="1:9" x14ac:dyDescent="0.25">
      <c r="A638">
        <f>'[1]SNO RTF daily report1'!A638</f>
        <v>0</v>
      </c>
      <c r="B638">
        <f>'[1]SNO RTF daily report1'!B638</f>
        <v>0</v>
      </c>
      <c r="C638">
        <f>'[1]SNO RTF daily report1'!C638</f>
        <v>0</v>
      </c>
      <c r="D638">
        <f>'[1]SNO RTF daily report1'!D638</f>
        <v>0</v>
      </c>
      <c r="E638">
        <f>'[1]SNO RTF daily report1'!E638</f>
        <v>0</v>
      </c>
      <c r="F638">
        <f>'[1]SNO RTF daily report1'!F638</f>
        <v>0</v>
      </c>
      <c r="G638">
        <f>'[1]SNO RTF daily report1'!G638</f>
        <v>0</v>
      </c>
      <c r="H638">
        <f>'[1]SNO RTF daily report1'!H638</f>
        <v>0</v>
      </c>
      <c r="I638">
        <f>'[1]SNO RTF daily report1'!I638</f>
        <v>0</v>
      </c>
    </row>
    <row r="639" spans="1:9" x14ac:dyDescent="0.25">
      <c r="A639">
        <f>'[1]SNO RTF daily report1'!A639</f>
        <v>0</v>
      </c>
      <c r="B639">
        <f>'[1]SNO RTF daily report1'!B639</f>
        <v>0</v>
      </c>
      <c r="C639">
        <f>'[1]SNO RTF daily report1'!C639</f>
        <v>0</v>
      </c>
      <c r="D639">
        <f>'[1]SNO RTF daily report1'!D639</f>
        <v>0</v>
      </c>
      <c r="E639">
        <f>'[1]SNO RTF daily report1'!E639</f>
        <v>0</v>
      </c>
      <c r="F639">
        <f>'[1]SNO RTF daily report1'!F639</f>
        <v>0</v>
      </c>
      <c r="G639">
        <f>'[1]SNO RTF daily report1'!G639</f>
        <v>0</v>
      </c>
      <c r="H639">
        <f>'[1]SNO RTF daily report1'!H639</f>
        <v>0</v>
      </c>
      <c r="I639">
        <f>'[1]SNO RTF daily report1'!I639</f>
        <v>0</v>
      </c>
    </row>
    <row r="640" spans="1:9" x14ac:dyDescent="0.25">
      <c r="A640">
        <f>'[1]SNO RTF daily report1'!A640</f>
        <v>0</v>
      </c>
      <c r="B640">
        <f>'[1]SNO RTF daily report1'!B640</f>
        <v>0</v>
      </c>
      <c r="C640">
        <f>'[1]SNO RTF daily report1'!C640</f>
        <v>0</v>
      </c>
      <c r="D640">
        <f>'[1]SNO RTF daily report1'!D640</f>
        <v>0</v>
      </c>
      <c r="E640">
        <f>'[1]SNO RTF daily report1'!E640</f>
        <v>0</v>
      </c>
      <c r="F640">
        <f>'[1]SNO RTF daily report1'!F640</f>
        <v>0</v>
      </c>
      <c r="G640">
        <f>'[1]SNO RTF daily report1'!G640</f>
        <v>0</v>
      </c>
      <c r="H640">
        <f>'[1]SNO RTF daily report1'!H640</f>
        <v>0</v>
      </c>
      <c r="I640">
        <f>'[1]SNO RTF daily report1'!I640</f>
        <v>0</v>
      </c>
    </row>
    <row r="641" spans="1:9" x14ac:dyDescent="0.25">
      <c r="A641">
        <f>'[1]SNO RTF daily report1'!A641</f>
        <v>0</v>
      </c>
      <c r="B641">
        <f>'[1]SNO RTF daily report1'!B641</f>
        <v>0</v>
      </c>
      <c r="C641">
        <f>'[1]SNO RTF daily report1'!C641</f>
        <v>0</v>
      </c>
      <c r="D641">
        <f>'[1]SNO RTF daily report1'!D641</f>
        <v>0</v>
      </c>
      <c r="E641">
        <f>'[1]SNO RTF daily report1'!E641</f>
        <v>0</v>
      </c>
      <c r="F641">
        <f>'[1]SNO RTF daily report1'!F641</f>
        <v>0</v>
      </c>
      <c r="G641">
        <f>'[1]SNO RTF daily report1'!G641</f>
        <v>0</v>
      </c>
      <c r="H641">
        <f>'[1]SNO RTF daily report1'!H641</f>
        <v>0</v>
      </c>
      <c r="I641">
        <f>'[1]SNO RTF daily report1'!I641</f>
        <v>0</v>
      </c>
    </row>
    <row r="642" spans="1:9" x14ac:dyDescent="0.25">
      <c r="A642">
        <f>'[1]SNO RTF daily report1'!A642</f>
        <v>0</v>
      </c>
      <c r="B642">
        <f>'[1]SNO RTF daily report1'!B642</f>
        <v>0</v>
      </c>
      <c r="C642">
        <f>'[1]SNO RTF daily report1'!C642</f>
        <v>0</v>
      </c>
      <c r="D642">
        <f>'[1]SNO RTF daily report1'!D642</f>
        <v>0</v>
      </c>
      <c r="E642">
        <f>'[1]SNO RTF daily report1'!E642</f>
        <v>0</v>
      </c>
      <c r="F642">
        <f>'[1]SNO RTF daily report1'!F642</f>
        <v>0</v>
      </c>
      <c r="G642">
        <f>'[1]SNO RTF daily report1'!G642</f>
        <v>0</v>
      </c>
      <c r="H642">
        <f>'[1]SNO RTF daily report1'!H642</f>
        <v>0</v>
      </c>
      <c r="I642">
        <f>'[1]SNO RTF daily report1'!I642</f>
        <v>0</v>
      </c>
    </row>
    <row r="643" spans="1:9" x14ac:dyDescent="0.25">
      <c r="A643">
        <f>'[1]SNO RTF daily report1'!A643</f>
        <v>0</v>
      </c>
      <c r="B643">
        <f>'[1]SNO RTF daily report1'!B643</f>
        <v>0</v>
      </c>
      <c r="C643">
        <f>'[1]SNO RTF daily report1'!C643</f>
        <v>0</v>
      </c>
      <c r="D643">
        <f>'[1]SNO RTF daily report1'!D643</f>
        <v>0</v>
      </c>
      <c r="E643">
        <f>'[1]SNO RTF daily report1'!E643</f>
        <v>0</v>
      </c>
      <c r="F643">
        <f>'[1]SNO RTF daily report1'!F643</f>
        <v>0</v>
      </c>
      <c r="G643">
        <f>'[1]SNO RTF daily report1'!G643</f>
        <v>0</v>
      </c>
      <c r="H643">
        <f>'[1]SNO RTF daily report1'!H643</f>
        <v>0</v>
      </c>
      <c r="I643">
        <f>'[1]SNO RTF daily report1'!I643</f>
        <v>0</v>
      </c>
    </row>
    <row r="644" spans="1:9" x14ac:dyDescent="0.25">
      <c r="A644">
        <f>'[1]SNO RTF daily report1'!A644</f>
        <v>0</v>
      </c>
      <c r="B644">
        <f>'[1]SNO RTF daily report1'!B644</f>
        <v>0</v>
      </c>
      <c r="C644">
        <f>'[1]SNO RTF daily report1'!C644</f>
        <v>0</v>
      </c>
      <c r="D644">
        <f>'[1]SNO RTF daily report1'!D644</f>
        <v>0</v>
      </c>
      <c r="E644">
        <f>'[1]SNO RTF daily report1'!E644</f>
        <v>0</v>
      </c>
      <c r="F644">
        <f>'[1]SNO RTF daily report1'!F644</f>
        <v>0</v>
      </c>
      <c r="G644">
        <f>'[1]SNO RTF daily report1'!G644</f>
        <v>0</v>
      </c>
      <c r="H644">
        <f>'[1]SNO RTF daily report1'!H644</f>
        <v>0</v>
      </c>
      <c r="I644">
        <f>'[1]SNO RTF daily report1'!I644</f>
        <v>0</v>
      </c>
    </row>
    <row r="645" spans="1:9" x14ac:dyDescent="0.25">
      <c r="A645">
        <f>'[1]SNO RTF daily report1'!A645</f>
        <v>0</v>
      </c>
      <c r="B645">
        <f>'[1]SNO RTF daily report1'!B645</f>
        <v>0</v>
      </c>
      <c r="C645">
        <f>'[1]SNO RTF daily report1'!C645</f>
        <v>0</v>
      </c>
      <c r="D645">
        <f>'[1]SNO RTF daily report1'!D645</f>
        <v>0</v>
      </c>
      <c r="E645">
        <f>'[1]SNO RTF daily report1'!E645</f>
        <v>0</v>
      </c>
      <c r="F645">
        <f>'[1]SNO RTF daily report1'!F645</f>
        <v>0</v>
      </c>
      <c r="G645">
        <f>'[1]SNO RTF daily report1'!G645</f>
        <v>0</v>
      </c>
      <c r="H645">
        <f>'[1]SNO RTF daily report1'!H645</f>
        <v>0</v>
      </c>
      <c r="I645">
        <f>'[1]SNO RTF daily report1'!I645</f>
        <v>0</v>
      </c>
    </row>
    <row r="646" spans="1:9" x14ac:dyDescent="0.25">
      <c r="A646">
        <f>'[1]SNO RTF daily report1'!A646</f>
        <v>0</v>
      </c>
      <c r="B646">
        <f>'[1]SNO RTF daily report1'!B646</f>
        <v>0</v>
      </c>
      <c r="C646">
        <f>'[1]SNO RTF daily report1'!C646</f>
        <v>0</v>
      </c>
      <c r="D646">
        <f>'[1]SNO RTF daily report1'!D646</f>
        <v>0</v>
      </c>
      <c r="E646">
        <f>'[1]SNO RTF daily report1'!E646</f>
        <v>0</v>
      </c>
      <c r="F646">
        <f>'[1]SNO RTF daily report1'!F646</f>
        <v>0</v>
      </c>
      <c r="G646">
        <f>'[1]SNO RTF daily report1'!G646</f>
        <v>0</v>
      </c>
      <c r="H646">
        <f>'[1]SNO RTF daily report1'!H646</f>
        <v>0</v>
      </c>
      <c r="I646">
        <f>'[1]SNO RTF daily report1'!I646</f>
        <v>0</v>
      </c>
    </row>
    <row r="647" spans="1:9" x14ac:dyDescent="0.25">
      <c r="A647">
        <f>'[1]SNO RTF daily report1'!A647</f>
        <v>0</v>
      </c>
      <c r="B647">
        <f>'[1]SNO RTF daily report1'!B647</f>
        <v>0</v>
      </c>
      <c r="C647">
        <f>'[1]SNO RTF daily report1'!C647</f>
        <v>0</v>
      </c>
      <c r="D647">
        <f>'[1]SNO RTF daily report1'!D647</f>
        <v>0</v>
      </c>
      <c r="E647">
        <f>'[1]SNO RTF daily report1'!E647</f>
        <v>0</v>
      </c>
      <c r="F647">
        <f>'[1]SNO RTF daily report1'!F647</f>
        <v>0</v>
      </c>
      <c r="G647">
        <f>'[1]SNO RTF daily report1'!G647</f>
        <v>0</v>
      </c>
      <c r="H647">
        <f>'[1]SNO RTF daily report1'!H647</f>
        <v>0</v>
      </c>
      <c r="I647">
        <f>'[1]SNO RTF daily report1'!I647</f>
        <v>0</v>
      </c>
    </row>
    <row r="648" spans="1:9" x14ac:dyDescent="0.25">
      <c r="A648">
        <f>'[1]SNO RTF daily report1'!A648</f>
        <v>0</v>
      </c>
      <c r="B648">
        <f>'[1]SNO RTF daily report1'!B648</f>
        <v>0</v>
      </c>
      <c r="C648">
        <f>'[1]SNO RTF daily report1'!C648</f>
        <v>0</v>
      </c>
      <c r="D648">
        <f>'[1]SNO RTF daily report1'!D648</f>
        <v>0</v>
      </c>
      <c r="E648">
        <f>'[1]SNO RTF daily report1'!E648</f>
        <v>0</v>
      </c>
      <c r="F648">
        <f>'[1]SNO RTF daily report1'!F648</f>
        <v>0</v>
      </c>
      <c r="G648">
        <f>'[1]SNO RTF daily report1'!G648</f>
        <v>0</v>
      </c>
      <c r="H648">
        <f>'[1]SNO RTF daily report1'!H648</f>
        <v>0</v>
      </c>
      <c r="I648">
        <f>'[1]SNO RTF daily report1'!I648</f>
        <v>0</v>
      </c>
    </row>
    <row r="649" spans="1:9" x14ac:dyDescent="0.25">
      <c r="A649">
        <f>'[1]SNO RTF daily report1'!A649</f>
        <v>0</v>
      </c>
      <c r="B649">
        <f>'[1]SNO RTF daily report1'!B649</f>
        <v>0</v>
      </c>
      <c r="C649">
        <f>'[1]SNO RTF daily report1'!C649</f>
        <v>0</v>
      </c>
      <c r="D649">
        <f>'[1]SNO RTF daily report1'!D649</f>
        <v>0</v>
      </c>
      <c r="E649">
        <f>'[1]SNO RTF daily report1'!E649</f>
        <v>0</v>
      </c>
      <c r="F649">
        <f>'[1]SNO RTF daily report1'!F649</f>
        <v>0</v>
      </c>
      <c r="G649">
        <f>'[1]SNO RTF daily report1'!G649</f>
        <v>0</v>
      </c>
      <c r="H649">
        <f>'[1]SNO RTF daily report1'!H649</f>
        <v>0</v>
      </c>
      <c r="I649">
        <f>'[1]SNO RTF daily report1'!I649</f>
        <v>0</v>
      </c>
    </row>
    <row r="650" spans="1:9" x14ac:dyDescent="0.25">
      <c r="A650">
        <f>'[1]SNO RTF daily report1'!A650</f>
        <v>0</v>
      </c>
      <c r="B650">
        <f>'[1]SNO RTF daily report1'!B650</f>
        <v>0</v>
      </c>
      <c r="C650">
        <f>'[1]SNO RTF daily report1'!C650</f>
        <v>0</v>
      </c>
      <c r="D650">
        <f>'[1]SNO RTF daily report1'!D650</f>
        <v>0</v>
      </c>
      <c r="E650">
        <f>'[1]SNO RTF daily report1'!E650</f>
        <v>0</v>
      </c>
      <c r="F650">
        <f>'[1]SNO RTF daily report1'!F650</f>
        <v>0</v>
      </c>
      <c r="G650">
        <f>'[1]SNO RTF daily report1'!G650</f>
        <v>0</v>
      </c>
      <c r="H650">
        <f>'[1]SNO RTF daily report1'!H650</f>
        <v>0</v>
      </c>
      <c r="I650">
        <f>'[1]SNO RTF daily report1'!I650</f>
        <v>0</v>
      </c>
    </row>
    <row r="651" spans="1:9" x14ac:dyDescent="0.25">
      <c r="A651">
        <f>'[1]SNO RTF daily report1'!A651</f>
        <v>0</v>
      </c>
      <c r="B651">
        <f>'[1]SNO RTF daily report1'!B651</f>
        <v>0</v>
      </c>
      <c r="C651">
        <f>'[1]SNO RTF daily report1'!C651</f>
        <v>0</v>
      </c>
      <c r="D651">
        <f>'[1]SNO RTF daily report1'!D651</f>
        <v>0</v>
      </c>
      <c r="E651">
        <f>'[1]SNO RTF daily report1'!E651</f>
        <v>0</v>
      </c>
      <c r="F651">
        <f>'[1]SNO RTF daily report1'!F651</f>
        <v>0</v>
      </c>
      <c r="G651">
        <f>'[1]SNO RTF daily report1'!G651</f>
        <v>0</v>
      </c>
      <c r="H651">
        <f>'[1]SNO RTF daily report1'!H651</f>
        <v>0</v>
      </c>
      <c r="I651">
        <f>'[1]SNO RTF daily report1'!I651</f>
        <v>0</v>
      </c>
    </row>
    <row r="652" spans="1:9" x14ac:dyDescent="0.25">
      <c r="A652">
        <f>'[1]SNO RTF daily report1'!A652</f>
        <v>0</v>
      </c>
      <c r="B652">
        <f>'[1]SNO RTF daily report1'!B652</f>
        <v>0</v>
      </c>
      <c r="C652">
        <f>'[1]SNO RTF daily report1'!C652</f>
        <v>0</v>
      </c>
      <c r="D652">
        <f>'[1]SNO RTF daily report1'!D652</f>
        <v>0</v>
      </c>
      <c r="E652">
        <f>'[1]SNO RTF daily report1'!E652</f>
        <v>0</v>
      </c>
      <c r="F652">
        <f>'[1]SNO RTF daily report1'!F652</f>
        <v>0</v>
      </c>
      <c r="G652">
        <f>'[1]SNO RTF daily report1'!G652</f>
        <v>0</v>
      </c>
      <c r="H652">
        <f>'[1]SNO RTF daily report1'!H652</f>
        <v>0</v>
      </c>
      <c r="I652">
        <f>'[1]SNO RTF daily report1'!I652</f>
        <v>0</v>
      </c>
    </row>
    <row r="653" spans="1:9" x14ac:dyDescent="0.25">
      <c r="A653">
        <f>'[1]SNO RTF daily report1'!A653</f>
        <v>0</v>
      </c>
      <c r="B653">
        <f>'[1]SNO RTF daily report1'!B653</f>
        <v>0</v>
      </c>
      <c r="C653">
        <f>'[1]SNO RTF daily report1'!C653</f>
        <v>0</v>
      </c>
      <c r="D653">
        <f>'[1]SNO RTF daily report1'!D653</f>
        <v>0</v>
      </c>
      <c r="E653">
        <f>'[1]SNO RTF daily report1'!E653</f>
        <v>0</v>
      </c>
      <c r="F653">
        <f>'[1]SNO RTF daily report1'!F653</f>
        <v>0</v>
      </c>
      <c r="G653">
        <f>'[1]SNO RTF daily report1'!G653</f>
        <v>0</v>
      </c>
      <c r="H653">
        <f>'[1]SNO RTF daily report1'!H653</f>
        <v>0</v>
      </c>
      <c r="I653">
        <f>'[1]SNO RTF daily report1'!I653</f>
        <v>0</v>
      </c>
    </row>
    <row r="654" spans="1:9" x14ac:dyDescent="0.25">
      <c r="A654">
        <f>'[1]SNO RTF daily report1'!A654</f>
        <v>0</v>
      </c>
      <c r="B654">
        <f>'[1]SNO RTF daily report1'!B654</f>
        <v>0</v>
      </c>
      <c r="C654">
        <f>'[1]SNO RTF daily report1'!C654</f>
        <v>0</v>
      </c>
      <c r="D654">
        <f>'[1]SNO RTF daily report1'!D654</f>
        <v>0</v>
      </c>
      <c r="E654">
        <f>'[1]SNO RTF daily report1'!E654</f>
        <v>0</v>
      </c>
      <c r="F654">
        <f>'[1]SNO RTF daily report1'!F654</f>
        <v>0</v>
      </c>
      <c r="G654">
        <f>'[1]SNO RTF daily report1'!G654</f>
        <v>0</v>
      </c>
      <c r="H654">
        <f>'[1]SNO RTF daily report1'!H654</f>
        <v>0</v>
      </c>
      <c r="I654">
        <f>'[1]SNO RTF daily report1'!I654</f>
        <v>0</v>
      </c>
    </row>
    <row r="655" spans="1:9" x14ac:dyDescent="0.25">
      <c r="A655">
        <f>'[1]SNO RTF daily report1'!A655</f>
        <v>0</v>
      </c>
      <c r="B655">
        <f>'[1]SNO RTF daily report1'!B655</f>
        <v>0</v>
      </c>
      <c r="C655">
        <f>'[1]SNO RTF daily report1'!C655</f>
        <v>0</v>
      </c>
      <c r="D655">
        <f>'[1]SNO RTF daily report1'!D655</f>
        <v>0</v>
      </c>
      <c r="E655">
        <f>'[1]SNO RTF daily report1'!E655</f>
        <v>0</v>
      </c>
      <c r="F655">
        <f>'[1]SNO RTF daily report1'!F655</f>
        <v>0</v>
      </c>
      <c r="G655">
        <f>'[1]SNO RTF daily report1'!G655</f>
        <v>0</v>
      </c>
      <c r="H655">
        <f>'[1]SNO RTF daily report1'!H655</f>
        <v>0</v>
      </c>
      <c r="I655">
        <f>'[1]SNO RTF daily report1'!I655</f>
        <v>0</v>
      </c>
    </row>
    <row r="656" spans="1:9" x14ac:dyDescent="0.25">
      <c r="A656">
        <f>'[1]SNO RTF daily report1'!A656</f>
        <v>0</v>
      </c>
      <c r="B656">
        <f>'[1]SNO RTF daily report1'!B656</f>
        <v>0</v>
      </c>
      <c r="C656">
        <f>'[1]SNO RTF daily report1'!C656</f>
        <v>0</v>
      </c>
      <c r="D656">
        <f>'[1]SNO RTF daily report1'!D656</f>
        <v>0</v>
      </c>
      <c r="E656">
        <f>'[1]SNO RTF daily report1'!E656</f>
        <v>0</v>
      </c>
      <c r="F656">
        <f>'[1]SNO RTF daily report1'!F656</f>
        <v>0</v>
      </c>
      <c r="G656">
        <f>'[1]SNO RTF daily report1'!G656</f>
        <v>0</v>
      </c>
      <c r="H656">
        <f>'[1]SNO RTF daily report1'!H656</f>
        <v>0</v>
      </c>
      <c r="I656">
        <f>'[1]SNO RTF daily report1'!I656</f>
        <v>0</v>
      </c>
    </row>
    <row r="657" spans="1:9" x14ac:dyDescent="0.25">
      <c r="A657">
        <f>'[1]SNO RTF daily report1'!A657</f>
        <v>0</v>
      </c>
      <c r="B657">
        <f>'[1]SNO RTF daily report1'!B657</f>
        <v>0</v>
      </c>
      <c r="C657">
        <f>'[1]SNO RTF daily report1'!C657</f>
        <v>0</v>
      </c>
      <c r="D657">
        <f>'[1]SNO RTF daily report1'!D657</f>
        <v>0</v>
      </c>
      <c r="E657">
        <f>'[1]SNO RTF daily report1'!E657</f>
        <v>0</v>
      </c>
      <c r="F657">
        <f>'[1]SNO RTF daily report1'!F657</f>
        <v>0</v>
      </c>
      <c r="G657">
        <f>'[1]SNO RTF daily report1'!G657</f>
        <v>0</v>
      </c>
      <c r="H657">
        <f>'[1]SNO RTF daily report1'!H657</f>
        <v>0</v>
      </c>
      <c r="I657">
        <f>'[1]SNO RTF daily report1'!I657</f>
        <v>0</v>
      </c>
    </row>
    <row r="658" spans="1:9" x14ac:dyDescent="0.25">
      <c r="A658">
        <f>'[1]SNO RTF daily report1'!A658</f>
        <v>0</v>
      </c>
      <c r="B658">
        <f>'[1]SNO RTF daily report1'!B658</f>
        <v>0</v>
      </c>
      <c r="C658">
        <f>'[1]SNO RTF daily report1'!C658</f>
        <v>0</v>
      </c>
      <c r="D658">
        <f>'[1]SNO RTF daily report1'!D658</f>
        <v>0</v>
      </c>
      <c r="E658">
        <f>'[1]SNO RTF daily report1'!E658</f>
        <v>0</v>
      </c>
      <c r="F658">
        <f>'[1]SNO RTF daily report1'!F658</f>
        <v>0</v>
      </c>
      <c r="G658">
        <f>'[1]SNO RTF daily report1'!G658</f>
        <v>0</v>
      </c>
      <c r="H658">
        <f>'[1]SNO RTF daily report1'!H658</f>
        <v>0</v>
      </c>
      <c r="I658">
        <f>'[1]SNO RTF daily report1'!I658</f>
        <v>0</v>
      </c>
    </row>
    <row r="659" spans="1:9" x14ac:dyDescent="0.25">
      <c r="A659">
        <f>'[1]SNO RTF daily report1'!A659</f>
        <v>0</v>
      </c>
      <c r="B659">
        <f>'[1]SNO RTF daily report1'!B659</f>
        <v>0</v>
      </c>
      <c r="C659">
        <f>'[1]SNO RTF daily report1'!C659</f>
        <v>0</v>
      </c>
      <c r="D659">
        <f>'[1]SNO RTF daily report1'!D659</f>
        <v>0</v>
      </c>
      <c r="E659">
        <f>'[1]SNO RTF daily report1'!E659</f>
        <v>0</v>
      </c>
      <c r="F659">
        <f>'[1]SNO RTF daily report1'!F659</f>
        <v>0</v>
      </c>
      <c r="G659">
        <f>'[1]SNO RTF daily report1'!G659</f>
        <v>0</v>
      </c>
      <c r="H659">
        <f>'[1]SNO RTF daily report1'!H659</f>
        <v>0</v>
      </c>
      <c r="I659">
        <f>'[1]SNO RTF daily report1'!I659</f>
        <v>0</v>
      </c>
    </row>
    <row r="660" spans="1:9" x14ac:dyDescent="0.25">
      <c r="A660">
        <f>'[1]SNO RTF daily report1'!A660</f>
        <v>0</v>
      </c>
      <c r="B660">
        <f>'[1]SNO RTF daily report1'!B660</f>
        <v>0</v>
      </c>
      <c r="C660">
        <f>'[1]SNO RTF daily report1'!C660</f>
        <v>0</v>
      </c>
      <c r="D660">
        <f>'[1]SNO RTF daily report1'!D660</f>
        <v>0</v>
      </c>
      <c r="E660">
        <f>'[1]SNO RTF daily report1'!E660</f>
        <v>0</v>
      </c>
      <c r="F660">
        <f>'[1]SNO RTF daily report1'!F660</f>
        <v>0</v>
      </c>
      <c r="G660">
        <f>'[1]SNO RTF daily report1'!G660</f>
        <v>0</v>
      </c>
      <c r="H660">
        <f>'[1]SNO RTF daily report1'!H660</f>
        <v>0</v>
      </c>
      <c r="I660">
        <f>'[1]SNO RTF daily report1'!I660</f>
        <v>0</v>
      </c>
    </row>
    <row r="661" spans="1:9" x14ac:dyDescent="0.25">
      <c r="A661">
        <f>'[1]SNO RTF daily report1'!A661</f>
        <v>0</v>
      </c>
      <c r="B661">
        <f>'[1]SNO RTF daily report1'!B661</f>
        <v>0</v>
      </c>
      <c r="C661">
        <f>'[1]SNO RTF daily report1'!C661</f>
        <v>0</v>
      </c>
      <c r="D661">
        <f>'[1]SNO RTF daily report1'!D661</f>
        <v>0</v>
      </c>
      <c r="E661">
        <f>'[1]SNO RTF daily report1'!E661</f>
        <v>0</v>
      </c>
      <c r="F661">
        <f>'[1]SNO RTF daily report1'!F661</f>
        <v>0</v>
      </c>
      <c r="G661">
        <f>'[1]SNO RTF daily report1'!G661</f>
        <v>0</v>
      </c>
      <c r="H661">
        <f>'[1]SNO RTF daily report1'!H661</f>
        <v>0</v>
      </c>
      <c r="I661">
        <f>'[1]SNO RTF daily report1'!I661</f>
        <v>0</v>
      </c>
    </row>
    <row r="662" spans="1:9" x14ac:dyDescent="0.25">
      <c r="A662">
        <f>'[1]SNO RTF daily report1'!A662</f>
        <v>0</v>
      </c>
      <c r="B662">
        <f>'[1]SNO RTF daily report1'!B662</f>
        <v>0</v>
      </c>
      <c r="C662">
        <f>'[1]SNO RTF daily report1'!C662</f>
        <v>0</v>
      </c>
      <c r="D662">
        <f>'[1]SNO RTF daily report1'!D662</f>
        <v>0</v>
      </c>
      <c r="E662">
        <f>'[1]SNO RTF daily report1'!E662</f>
        <v>0</v>
      </c>
      <c r="F662">
        <f>'[1]SNO RTF daily report1'!F662</f>
        <v>0</v>
      </c>
      <c r="G662">
        <f>'[1]SNO RTF daily report1'!G662</f>
        <v>0</v>
      </c>
      <c r="H662">
        <f>'[1]SNO RTF daily report1'!H662</f>
        <v>0</v>
      </c>
      <c r="I662">
        <f>'[1]SNO RTF daily report1'!I662</f>
        <v>0</v>
      </c>
    </row>
    <row r="663" spans="1:9" x14ac:dyDescent="0.25">
      <c r="A663">
        <f>'[1]SNO RTF daily report1'!A663</f>
        <v>0</v>
      </c>
      <c r="B663">
        <f>'[1]SNO RTF daily report1'!B663</f>
        <v>0</v>
      </c>
      <c r="C663">
        <f>'[1]SNO RTF daily report1'!C663</f>
        <v>0</v>
      </c>
      <c r="D663">
        <f>'[1]SNO RTF daily report1'!D663</f>
        <v>0</v>
      </c>
      <c r="E663">
        <f>'[1]SNO RTF daily report1'!E663</f>
        <v>0</v>
      </c>
      <c r="F663">
        <f>'[1]SNO RTF daily report1'!F663</f>
        <v>0</v>
      </c>
      <c r="G663">
        <f>'[1]SNO RTF daily report1'!G663</f>
        <v>0</v>
      </c>
      <c r="H663">
        <f>'[1]SNO RTF daily report1'!H663</f>
        <v>0</v>
      </c>
      <c r="I663">
        <f>'[1]SNO RTF daily report1'!I663</f>
        <v>0</v>
      </c>
    </row>
    <row r="664" spans="1:9" x14ac:dyDescent="0.25">
      <c r="A664">
        <f>'[1]SNO RTF daily report1'!A664</f>
        <v>0</v>
      </c>
      <c r="B664">
        <f>'[1]SNO RTF daily report1'!B664</f>
        <v>0</v>
      </c>
      <c r="C664">
        <f>'[1]SNO RTF daily report1'!C664</f>
        <v>0</v>
      </c>
      <c r="D664">
        <f>'[1]SNO RTF daily report1'!D664</f>
        <v>0</v>
      </c>
      <c r="E664">
        <f>'[1]SNO RTF daily report1'!E664</f>
        <v>0</v>
      </c>
      <c r="F664">
        <f>'[1]SNO RTF daily report1'!F664</f>
        <v>0</v>
      </c>
      <c r="G664">
        <f>'[1]SNO RTF daily report1'!G664</f>
        <v>0</v>
      </c>
      <c r="H664">
        <f>'[1]SNO RTF daily report1'!H664</f>
        <v>0</v>
      </c>
      <c r="I664">
        <f>'[1]SNO RTF daily report1'!I664</f>
        <v>0</v>
      </c>
    </row>
    <row r="665" spans="1:9" x14ac:dyDescent="0.25">
      <c r="A665">
        <f>'[1]SNO RTF daily report1'!A665</f>
        <v>0</v>
      </c>
      <c r="B665">
        <f>'[1]SNO RTF daily report1'!B665</f>
        <v>0</v>
      </c>
      <c r="C665">
        <f>'[1]SNO RTF daily report1'!C665</f>
        <v>0</v>
      </c>
      <c r="D665">
        <f>'[1]SNO RTF daily report1'!D665</f>
        <v>0</v>
      </c>
      <c r="E665">
        <f>'[1]SNO RTF daily report1'!E665</f>
        <v>0</v>
      </c>
      <c r="F665">
        <f>'[1]SNO RTF daily report1'!F665</f>
        <v>0</v>
      </c>
      <c r="G665">
        <f>'[1]SNO RTF daily report1'!G665</f>
        <v>0</v>
      </c>
      <c r="H665">
        <f>'[1]SNO RTF daily report1'!H665</f>
        <v>0</v>
      </c>
      <c r="I665">
        <f>'[1]SNO RTF daily report1'!I665</f>
        <v>0</v>
      </c>
    </row>
    <row r="666" spans="1:9" x14ac:dyDescent="0.25">
      <c r="A666">
        <f>'[1]SNO RTF daily report1'!A666</f>
        <v>0</v>
      </c>
      <c r="B666">
        <f>'[1]SNO RTF daily report1'!B666</f>
        <v>0</v>
      </c>
      <c r="C666">
        <f>'[1]SNO RTF daily report1'!C666</f>
        <v>0</v>
      </c>
      <c r="D666">
        <f>'[1]SNO RTF daily report1'!D666</f>
        <v>0</v>
      </c>
      <c r="E666">
        <f>'[1]SNO RTF daily report1'!E666</f>
        <v>0</v>
      </c>
      <c r="F666">
        <f>'[1]SNO RTF daily report1'!F666</f>
        <v>0</v>
      </c>
      <c r="G666">
        <f>'[1]SNO RTF daily report1'!G666</f>
        <v>0</v>
      </c>
      <c r="H666">
        <f>'[1]SNO RTF daily report1'!H666</f>
        <v>0</v>
      </c>
      <c r="I666">
        <f>'[1]SNO RTF daily report1'!I666</f>
        <v>0</v>
      </c>
    </row>
    <row r="667" spans="1:9" x14ac:dyDescent="0.25">
      <c r="A667">
        <f>'[1]SNO RTF daily report1'!A667</f>
        <v>0</v>
      </c>
      <c r="B667">
        <f>'[1]SNO RTF daily report1'!B667</f>
        <v>0</v>
      </c>
      <c r="C667">
        <f>'[1]SNO RTF daily report1'!C667</f>
        <v>0</v>
      </c>
      <c r="D667">
        <f>'[1]SNO RTF daily report1'!D667</f>
        <v>0</v>
      </c>
      <c r="E667">
        <f>'[1]SNO RTF daily report1'!E667</f>
        <v>0</v>
      </c>
      <c r="F667">
        <f>'[1]SNO RTF daily report1'!F667</f>
        <v>0</v>
      </c>
      <c r="G667">
        <f>'[1]SNO RTF daily report1'!G667</f>
        <v>0</v>
      </c>
      <c r="H667">
        <f>'[1]SNO RTF daily report1'!H667</f>
        <v>0</v>
      </c>
      <c r="I667">
        <f>'[1]SNO RTF daily report1'!I667</f>
        <v>0</v>
      </c>
    </row>
    <row r="668" spans="1:9" x14ac:dyDescent="0.25">
      <c r="A668">
        <f>'[1]SNO RTF daily report1'!A668</f>
        <v>0</v>
      </c>
      <c r="B668">
        <f>'[1]SNO RTF daily report1'!B668</f>
        <v>0</v>
      </c>
      <c r="C668">
        <f>'[1]SNO RTF daily report1'!C668</f>
        <v>0</v>
      </c>
      <c r="D668">
        <f>'[1]SNO RTF daily report1'!D668</f>
        <v>0</v>
      </c>
      <c r="E668">
        <f>'[1]SNO RTF daily report1'!E668</f>
        <v>0</v>
      </c>
      <c r="F668">
        <f>'[1]SNO RTF daily report1'!F668</f>
        <v>0</v>
      </c>
      <c r="G668">
        <f>'[1]SNO RTF daily report1'!G668</f>
        <v>0</v>
      </c>
      <c r="H668">
        <f>'[1]SNO RTF daily report1'!H668</f>
        <v>0</v>
      </c>
      <c r="I668">
        <f>'[1]SNO RTF daily report1'!I668</f>
        <v>0</v>
      </c>
    </row>
    <row r="669" spans="1:9" x14ac:dyDescent="0.25">
      <c r="A669">
        <f>'[1]SNO RTF daily report1'!A669</f>
        <v>0</v>
      </c>
      <c r="B669">
        <f>'[1]SNO RTF daily report1'!B669</f>
        <v>0</v>
      </c>
      <c r="C669">
        <f>'[1]SNO RTF daily report1'!C669</f>
        <v>0</v>
      </c>
      <c r="D669">
        <f>'[1]SNO RTF daily report1'!D669</f>
        <v>0</v>
      </c>
      <c r="E669">
        <f>'[1]SNO RTF daily report1'!E669</f>
        <v>0</v>
      </c>
      <c r="F669">
        <f>'[1]SNO RTF daily report1'!F669</f>
        <v>0</v>
      </c>
      <c r="G669">
        <f>'[1]SNO RTF daily report1'!G669</f>
        <v>0</v>
      </c>
      <c r="H669">
        <f>'[1]SNO RTF daily report1'!H669</f>
        <v>0</v>
      </c>
      <c r="I669">
        <f>'[1]SNO RTF daily report1'!I669</f>
        <v>0</v>
      </c>
    </row>
    <row r="670" spans="1:9" x14ac:dyDescent="0.25">
      <c r="A670">
        <f>'[1]SNO RTF daily report1'!A670</f>
        <v>0</v>
      </c>
      <c r="B670">
        <f>'[1]SNO RTF daily report1'!B670</f>
        <v>0</v>
      </c>
      <c r="C670">
        <f>'[1]SNO RTF daily report1'!C670</f>
        <v>0</v>
      </c>
      <c r="D670">
        <f>'[1]SNO RTF daily report1'!D670</f>
        <v>0</v>
      </c>
      <c r="E670">
        <f>'[1]SNO RTF daily report1'!E670</f>
        <v>0</v>
      </c>
      <c r="F670">
        <f>'[1]SNO RTF daily report1'!F670</f>
        <v>0</v>
      </c>
      <c r="G670">
        <f>'[1]SNO RTF daily report1'!G670</f>
        <v>0</v>
      </c>
      <c r="H670">
        <f>'[1]SNO RTF daily report1'!H670</f>
        <v>0</v>
      </c>
      <c r="I670">
        <f>'[1]SNO RTF daily report1'!I670</f>
        <v>0</v>
      </c>
    </row>
    <row r="671" spans="1:9" x14ac:dyDescent="0.25">
      <c r="A671">
        <f>'[1]SNO RTF daily report1'!A671</f>
        <v>0</v>
      </c>
      <c r="B671">
        <f>'[1]SNO RTF daily report1'!B671</f>
        <v>0</v>
      </c>
      <c r="C671">
        <f>'[1]SNO RTF daily report1'!C671</f>
        <v>0</v>
      </c>
      <c r="D671">
        <f>'[1]SNO RTF daily report1'!D671</f>
        <v>0</v>
      </c>
      <c r="E671">
        <f>'[1]SNO RTF daily report1'!E671</f>
        <v>0</v>
      </c>
      <c r="F671">
        <f>'[1]SNO RTF daily report1'!F671</f>
        <v>0</v>
      </c>
      <c r="G671">
        <f>'[1]SNO RTF daily report1'!G671</f>
        <v>0</v>
      </c>
      <c r="H671">
        <f>'[1]SNO RTF daily report1'!H671</f>
        <v>0</v>
      </c>
      <c r="I671">
        <f>'[1]SNO RTF daily report1'!I671</f>
        <v>0</v>
      </c>
    </row>
    <row r="672" spans="1:9" x14ac:dyDescent="0.25">
      <c r="A672">
        <f>'[1]SNO RTF daily report1'!A672</f>
        <v>0</v>
      </c>
      <c r="B672">
        <f>'[1]SNO RTF daily report1'!B672</f>
        <v>0</v>
      </c>
      <c r="C672">
        <f>'[1]SNO RTF daily report1'!C672</f>
        <v>0</v>
      </c>
      <c r="D672">
        <f>'[1]SNO RTF daily report1'!D672</f>
        <v>0</v>
      </c>
      <c r="E672">
        <f>'[1]SNO RTF daily report1'!E672</f>
        <v>0</v>
      </c>
      <c r="F672">
        <f>'[1]SNO RTF daily report1'!F672</f>
        <v>0</v>
      </c>
      <c r="G672">
        <f>'[1]SNO RTF daily report1'!G672</f>
        <v>0</v>
      </c>
      <c r="H672">
        <f>'[1]SNO RTF daily report1'!H672</f>
        <v>0</v>
      </c>
      <c r="I672">
        <f>'[1]SNO RTF daily report1'!I672</f>
        <v>0</v>
      </c>
    </row>
    <row r="673" spans="1:9" x14ac:dyDescent="0.25">
      <c r="A673">
        <f>'[1]SNO RTF daily report1'!A673</f>
        <v>0</v>
      </c>
      <c r="B673">
        <f>'[1]SNO RTF daily report1'!B673</f>
        <v>0</v>
      </c>
      <c r="C673">
        <f>'[1]SNO RTF daily report1'!C673</f>
        <v>0</v>
      </c>
      <c r="D673">
        <f>'[1]SNO RTF daily report1'!D673</f>
        <v>0</v>
      </c>
      <c r="E673">
        <f>'[1]SNO RTF daily report1'!E673</f>
        <v>0</v>
      </c>
      <c r="F673">
        <f>'[1]SNO RTF daily report1'!F673</f>
        <v>0</v>
      </c>
      <c r="G673">
        <f>'[1]SNO RTF daily report1'!G673</f>
        <v>0</v>
      </c>
      <c r="H673">
        <f>'[1]SNO RTF daily report1'!H673</f>
        <v>0</v>
      </c>
      <c r="I673">
        <f>'[1]SNO RTF daily report1'!I673</f>
        <v>0</v>
      </c>
    </row>
    <row r="674" spans="1:9" x14ac:dyDescent="0.25">
      <c r="A674">
        <f>'[1]SNO RTF daily report1'!A674</f>
        <v>0</v>
      </c>
      <c r="B674">
        <f>'[1]SNO RTF daily report1'!B674</f>
        <v>0</v>
      </c>
      <c r="C674">
        <f>'[1]SNO RTF daily report1'!C674</f>
        <v>0</v>
      </c>
      <c r="D674">
        <f>'[1]SNO RTF daily report1'!D674</f>
        <v>0</v>
      </c>
      <c r="E674">
        <f>'[1]SNO RTF daily report1'!E674</f>
        <v>0</v>
      </c>
      <c r="F674">
        <f>'[1]SNO RTF daily report1'!F674</f>
        <v>0</v>
      </c>
      <c r="G674">
        <f>'[1]SNO RTF daily report1'!G674</f>
        <v>0</v>
      </c>
      <c r="H674">
        <f>'[1]SNO RTF daily report1'!H674</f>
        <v>0</v>
      </c>
      <c r="I674">
        <f>'[1]SNO RTF daily report1'!I674</f>
        <v>0</v>
      </c>
    </row>
    <row r="675" spans="1:9" x14ac:dyDescent="0.25">
      <c r="A675">
        <f>'[1]SNO RTF daily report1'!A675</f>
        <v>0</v>
      </c>
      <c r="B675">
        <f>'[1]SNO RTF daily report1'!B675</f>
        <v>0</v>
      </c>
      <c r="C675">
        <f>'[1]SNO RTF daily report1'!C675</f>
        <v>0</v>
      </c>
      <c r="D675">
        <f>'[1]SNO RTF daily report1'!D675</f>
        <v>0</v>
      </c>
      <c r="E675">
        <f>'[1]SNO RTF daily report1'!E675</f>
        <v>0</v>
      </c>
      <c r="F675">
        <f>'[1]SNO RTF daily report1'!F675</f>
        <v>0</v>
      </c>
      <c r="G675">
        <f>'[1]SNO RTF daily report1'!G675</f>
        <v>0</v>
      </c>
      <c r="H675">
        <f>'[1]SNO RTF daily report1'!H675</f>
        <v>0</v>
      </c>
      <c r="I675">
        <f>'[1]SNO RTF daily report1'!I675</f>
        <v>0</v>
      </c>
    </row>
    <row r="676" spans="1:9" x14ac:dyDescent="0.25">
      <c r="A676">
        <f>'[1]SNO RTF daily report1'!A676</f>
        <v>0</v>
      </c>
      <c r="B676">
        <f>'[1]SNO RTF daily report1'!B676</f>
        <v>0</v>
      </c>
      <c r="C676">
        <f>'[1]SNO RTF daily report1'!C676</f>
        <v>0</v>
      </c>
      <c r="D676">
        <f>'[1]SNO RTF daily report1'!D676</f>
        <v>0</v>
      </c>
      <c r="E676">
        <f>'[1]SNO RTF daily report1'!E676</f>
        <v>0</v>
      </c>
      <c r="F676">
        <f>'[1]SNO RTF daily report1'!F676</f>
        <v>0</v>
      </c>
      <c r="G676">
        <f>'[1]SNO RTF daily report1'!G676</f>
        <v>0</v>
      </c>
      <c r="H676">
        <f>'[1]SNO RTF daily report1'!H676</f>
        <v>0</v>
      </c>
      <c r="I676">
        <f>'[1]SNO RTF daily report1'!I676</f>
        <v>0</v>
      </c>
    </row>
    <row r="677" spans="1:9" x14ac:dyDescent="0.25">
      <c r="A677">
        <f>'[1]SNO RTF daily report1'!A677</f>
        <v>0</v>
      </c>
      <c r="B677">
        <f>'[1]SNO RTF daily report1'!B677</f>
        <v>0</v>
      </c>
      <c r="C677">
        <f>'[1]SNO RTF daily report1'!C677</f>
        <v>0</v>
      </c>
      <c r="D677">
        <f>'[1]SNO RTF daily report1'!D677</f>
        <v>0</v>
      </c>
      <c r="E677">
        <f>'[1]SNO RTF daily report1'!E677</f>
        <v>0</v>
      </c>
      <c r="F677">
        <f>'[1]SNO RTF daily report1'!F677</f>
        <v>0</v>
      </c>
      <c r="G677">
        <f>'[1]SNO RTF daily report1'!G677</f>
        <v>0</v>
      </c>
      <c r="H677">
        <f>'[1]SNO RTF daily report1'!H677</f>
        <v>0</v>
      </c>
      <c r="I677">
        <f>'[1]SNO RTF daily report1'!I677</f>
        <v>0</v>
      </c>
    </row>
    <row r="678" spans="1:9" x14ac:dyDescent="0.25">
      <c r="A678">
        <f>'[1]SNO RTF daily report1'!A678</f>
        <v>0</v>
      </c>
      <c r="B678">
        <f>'[1]SNO RTF daily report1'!B678</f>
        <v>0</v>
      </c>
      <c r="C678">
        <f>'[1]SNO RTF daily report1'!C678</f>
        <v>0</v>
      </c>
      <c r="D678">
        <f>'[1]SNO RTF daily report1'!D678</f>
        <v>0</v>
      </c>
      <c r="E678">
        <f>'[1]SNO RTF daily report1'!E678</f>
        <v>0</v>
      </c>
      <c r="F678">
        <f>'[1]SNO RTF daily report1'!F678</f>
        <v>0</v>
      </c>
      <c r="G678">
        <f>'[1]SNO RTF daily report1'!G678</f>
        <v>0</v>
      </c>
      <c r="H678">
        <f>'[1]SNO RTF daily report1'!H678</f>
        <v>0</v>
      </c>
      <c r="I678">
        <f>'[1]SNO RTF daily report1'!I678</f>
        <v>0</v>
      </c>
    </row>
    <row r="679" spans="1:9" x14ac:dyDescent="0.25">
      <c r="A679">
        <f>'[1]SNO RTF daily report1'!A679</f>
        <v>0</v>
      </c>
      <c r="B679">
        <f>'[1]SNO RTF daily report1'!B679</f>
        <v>0</v>
      </c>
      <c r="C679">
        <f>'[1]SNO RTF daily report1'!C679</f>
        <v>0</v>
      </c>
      <c r="D679">
        <f>'[1]SNO RTF daily report1'!D679</f>
        <v>0</v>
      </c>
      <c r="E679">
        <f>'[1]SNO RTF daily report1'!E679</f>
        <v>0</v>
      </c>
      <c r="F679">
        <f>'[1]SNO RTF daily report1'!F679</f>
        <v>0</v>
      </c>
      <c r="G679">
        <f>'[1]SNO RTF daily report1'!G679</f>
        <v>0</v>
      </c>
      <c r="H679">
        <f>'[1]SNO RTF daily report1'!H679</f>
        <v>0</v>
      </c>
      <c r="I679">
        <f>'[1]SNO RTF daily report1'!I679</f>
        <v>0</v>
      </c>
    </row>
    <row r="680" spans="1:9" x14ac:dyDescent="0.25">
      <c r="A680">
        <f>'[1]SNO RTF daily report1'!A680</f>
        <v>0</v>
      </c>
      <c r="B680">
        <f>'[1]SNO RTF daily report1'!B680</f>
        <v>0</v>
      </c>
      <c r="C680">
        <f>'[1]SNO RTF daily report1'!C680</f>
        <v>0</v>
      </c>
      <c r="D680">
        <f>'[1]SNO RTF daily report1'!D680</f>
        <v>0</v>
      </c>
      <c r="E680">
        <f>'[1]SNO RTF daily report1'!E680</f>
        <v>0</v>
      </c>
      <c r="F680">
        <f>'[1]SNO RTF daily report1'!F680</f>
        <v>0</v>
      </c>
      <c r="G680">
        <f>'[1]SNO RTF daily report1'!G680</f>
        <v>0</v>
      </c>
      <c r="H680">
        <f>'[1]SNO RTF daily report1'!H680</f>
        <v>0</v>
      </c>
      <c r="I680">
        <f>'[1]SNO RTF daily report1'!I680</f>
        <v>0</v>
      </c>
    </row>
    <row r="681" spans="1:9" x14ac:dyDescent="0.25">
      <c r="A681">
        <f>'[1]SNO RTF daily report1'!A681</f>
        <v>0</v>
      </c>
      <c r="B681">
        <f>'[1]SNO RTF daily report1'!B681</f>
        <v>0</v>
      </c>
      <c r="C681">
        <f>'[1]SNO RTF daily report1'!C681</f>
        <v>0</v>
      </c>
      <c r="D681">
        <f>'[1]SNO RTF daily report1'!D681</f>
        <v>0</v>
      </c>
      <c r="E681">
        <f>'[1]SNO RTF daily report1'!E681</f>
        <v>0</v>
      </c>
      <c r="F681">
        <f>'[1]SNO RTF daily report1'!F681</f>
        <v>0</v>
      </c>
      <c r="G681">
        <f>'[1]SNO RTF daily report1'!G681</f>
        <v>0</v>
      </c>
      <c r="H681">
        <f>'[1]SNO RTF daily report1'!H681</f>
        <v>0</v>
      </c>
      <c r="I681">
        <f>'[1]SNO RTF daily report1'!I681</f>
        <v>0</v>
      </c>
    </row>
    <row r="682" spans="1:9" x14ac:dyDescent="0.25">
      <c r="A682">
        <f>'[1]SNO RTF daily report1'!A682</f>
        <v>0</v>
      </c>
      <c r="B682">
        <f>'[1]SNO RTF daily report1'!B682</f>
        <v>0</v>
      </c>
      <c r="C682">
        <f>'[1]SNO RTF daily report1'!C682</f>
        <v>0</v>
      </c>
      <c r="D682">
        <f>'[1]SNO RTF daily report1'!D682</f>
        <v>0</v>
      </c>
      <c r="E682">
        <f>'[1]SNO RTF daily report1'!E682</f>
        <v>0</v>
      </c>
      <c r="F682">
        <f>'[1]SNO RTF daily report1'!F682</f>
        <v>0</v>
      </c>
      <c r="G682">
        <f>'[1]SNO RTF daily report1'!G682</f>
        <v>0</v>
      </c>
      <c r="H682">
        <f>'[1]SNO RTF daily report1'!H682</f>
        <v>0</v>
      </c>
      <c r="I682">
        <f>'[1]SNO RTF daily report1'!I682</f>
        <v>0</v>
      </c>
    </row>
    <row r="683" spans="1:9" x14ac:dyDescent="0.25">
      <c r="A683">
        <f>'[1]SNO RTF daily report1'!A683</f>
        <v>0</v>
      </c>
      <c r="B683">
        <f>'[1]SNO RTF daily report1'!B683</f>
        <v>0</v>
      </c>
      <c r="C683">
        <f>'[1]SNO RTF daily report1'!C683</f>
        <v>0</v>
      </c>
      <c r="D683">
        <f>'[1]SNO RTF daily report1'!D683</f>
        <v>0</v>
      </c>
      <c r="E683">
        <f>'[1]SNO RTF daily report1'!E683</f>
        <v>0</v>
      </c>
      <c r="F683">
        <f>'[1]SNO RTF daily report1'!F683</f>
        <v>0</v>
      </c>
      <c r="G683">
        <f>'[1]SNO RTF daily report1'!G683</f>
        <v>0</v>
      </c>
      <c r="H683">
        <f>'[1]SNO RTF daily report1'!H683</f>
        <v>0</v>
      </c>
      <c r="I683">
        <f>'[1]SNO RTF daily report1'!I683</f>
        <v>0</v>
      </c>
    </row>
    <row r="684" spans="1:9" x14ac:dyDescent="0.25">
      <c r="A684">
        <f>'[1]SNO RTF daily report1'!A684</f>
        <v>0</v>
      </c>
      <c r="B684">
        <f>'[1]SNO RTF daily report1'!B684</f>
        <v>0</v>
      </c>
      <c r="C684">
        <f>'[1]SNO RTF daily report1'!C684</f>
        <v>0</v>
      </c>
      <c r="D684">
        <f>'[1]SNO RTF daily report1'!D684</f>
        <v>0</v>
      </c>
      <c r="E684">
        <f>'[1]SNO RTF daily report1'!E684</f>
        <v>0</v>
      </c>
      <c r="F684">
        <f>'[1]SNO RTF daily report1'!F684</f>
        <v>0</v>
      </c>
      <c r="G684">
        <f>'[1]SNO RTF daily report1'!G684</f>
        <v>0</v>
      </c>
      <c r="H684">
        <f>'[1]SNO RTF daily report1'!H684</f>
        <v>0</v>
      </c>
      <c r="I684">
        <f>'[1]SNO RTF daily report1'!I684</f>
        <v>0</v>
      </c>
    </row>
    <row r="685" spans="1:9" x14ac:dyDescent="0.25">
      <c r="A685">
        <f>'[1]SNO RTF daily report1'!A685</f>
        <v>0</v>
      </c>
      <c r="B685">
        <f>'[1]SNO RTF daily report1'!B685</f>
        <v>0</v>
      </c>
      <c r="C685">
        <f>'[1]SNO RTF daily report1'!C685</f>
        <v>0</v>
      </c>
      <c r="D685">
        <f>'[1]SNO RTF daily report1'!D685</f>
        <v>0</v>
      </c>
      <c r="E685">
        <f>'[1]SNO RTF daily report1'!E685</f>
        <v>0</v>
      </c>
      <c r="F685">
        <f>'[1]SNO RTF daily report1'!F685</f>
        <v>0</v>
      </c>
      <c r="G685">
        <f>'[1]SNO RTF daily report1'!G685</f>
        <v>0</v>
      </c>
      <c r="H685">
        <f>'[1]SNO RTF daily report1'!H685</f>
        <v>0</v>
      </c>
      <c r="I685">
        <f>'[1]SNO RTF daily report1'!I685</f>
        <v>0</v>
      </c>
    </row>
    <row r="686" spans="1:9" x14ac:dyDescent="0.25">
      <c r="A686">
        <f>'[1]SNO RTF daily report1'!A686</f>
        <v>0</v>
      </c>
      <c r="B686">
        <f>'[1]SNO RTF daily report1'!B686</f>
        <v>0</v>
      </c>
      <c r="C686">
        <f>'[1]SNO RTF daily report1'!C686</f>
        <v>0</v>
      </c>
      <c r="D686">
        <f>'[1]SNO RTF daily report1'!D686</f>
        <v>0</v>
      </c>
      <c r="E686">
        <f>'[1]SNO RTF daily report1'!E686</f>
        <v>0</v>
      </c>
      <c r="F686">
        <f>'[1]SNO RTF daily report1'!F686</f>
        <v>0</v>
      </c>
      <c r="G686">
        <f>'[1]SNO RTF daily report1'!G686</f>
        <v>0</v>
      </c>
      <c r="H686">
        <f>'[1]SNO RTF daily report1'!H686</f>
        <v>0</v>
      </c>
      <c r="I686">
        <f>'[1]SNO RTF daily report1'!I686</f>
        <v>0</v>
      </c>
    </row>
    <row r="687" spans="1:9" x14ac:dyDescent="0.25">
      <c r="A687">
        <f>'[1]SNO RTF daily report1'!A687</f>
        <v>0</v>
      </c>
      <c r="B687">
        <f>'[1]SNO RTF daily report1'!B687</f>
        <v>0</v>
      </c>
      <c r="C687">
        <f>'[1]SNO RTF daily report1'!C687</f>
        <v>0</v>
      </c>
      <c r="D687">
        <f>'[1]SNO RTF daily report1'!D687</f>
        <v>0</v>
      </c>
      <c r="E687">
        <f>'[1]SNO RTF daily report1'!E687</f>
        <v>0</v>
      </c>
      <c r="F687">
        <f>'[1]SNO RTF daily report1'!F687</f>
        <v>0</v>
      </c>
      <c r="G687">
        <f>'[1]SNO RTF daily report1'!G687</f>
        <v>0</v>
      </c>
      <c r="H687">
        <f>'[1]SNO RTF daily report1'!H687</f>
        <v>0</v>
      </c>
      <c r="I687">
        <f>'[1]SNO RTF daily report1'!I687</f>
        <v>0</v>
      </c>
    </row>
    <row r="688" spans="1:9" x14ac:dyDescent="0.25">
      <c r="A688">
        <f>'[1]SNO RTF daily report1'!A688</f>
        <v>0</v>
      </c>
      <c r="B688">
        <f>'[1]SNO RTF daily report1'!B688</f>
        <v>0</v>
      </c>
      <c r="C688">
        <f>'[1]SNO RTF daily report1'!C688</f>
        <v>0</v>
      </c>
      <c r="D688">
        <f>'[1]SNO RTF daily report1'!D688</f>
        <v>0</v>
      </c>
      <c r="E688">
        <f>'[1]SNO RTF daily report1'!E688</f>
        <v>0</v>
      </c>
      <c r="F688">
        <f>'[1]SNO RTF daily report1'!F688</f>
        <v>0</v>
      </c>
      <c r="G688">
        <f>'[1]SNO RTF daily report1'!G688</f>
        <v>0</v>
      </c>
      <c r="H688">
        <f>'[1]SNO RTF daily report1'!H688</f>
        <v>0</v>
      </c>
      <c r="I688">
        <f>'[1]SNO RTF daily report1'!I688</f>
        <v>0</v>
      </c>
    </row>
    <row r="689" spans="1:9" x14ac:dyDescent="0.25">
      <c r="A689">
        <f>'[1]SNO RTF daily report1'!A689</f>
        <v>0</v>
      </c>
      <c r="B689">
        <f>'[1]SNO RTF daily report1'!B689</f>
        <v>0</v>
      </c>
      <c r="C689">
        <f>'[1]SNO RTF daily report1'!C689</f>
        <v>0</v>
      </c>
      <c r="D689">
        <f>'[1]SNO RTF daily report1'!D689</f>
        <v>0</v>
      </c>
      <c r="E689">
        <f>'[1]SNO RTF daily report1'!E689</f>
        <v>0</v>
      </c>
      <c r="F689">
        <f>'[1]SNO RTF daily report1'!F689</f>
        <v>0</v>
      </c>
      <c r="G689">
        <f>'[1]SNO RTF daily report1'!G689</f>
        <v>0</v>
      </c>
      <c r="H689">
        <f>'[1]SNO RTF daily report1'!H689</f>
        <v>0</v>
      </c>
      <c r="I689">
        <f>'[1]SNO RTF daily report1'!I689</f>
        <v>0</v>
      </c>
    </row>
    <row r="690" spans="1:9" x14ac:dyDescent="0.25">
      <c r="A690">
        <f>'[1]SNO RTF daily report1'!A690</f>
        <v>0</v>
      </c>
      <c r="B690">
        <f>'[1]SNO RTF daily report1'!B690</f>
        <v>0</v>
      </c>
      <c r="C690">
        <f>'[1]SNO RTF daily report1'!C690</f>
        <v>0</v>
      </c>
      <c r="D690">
        <f>'[1]SNO RTF daily report1'!D690</f>
        <v>0</v>
      </c>
      <c r="E690">
        <f>'[1]SNO RTF daily report1'!E690</f>
        <v>0</v>
      </c>
      <c r="F690">
        <f>'[1]SNO RTF daily report1'!F690</f>
        <v>0</v>
      </c>
      <c r="G690">
        <f>'[1]SNO RTF daily report1'!G690</f>
        <v>0</v>
      </c>
      <c r="H690">
        <f>'[1]SNO RTF daily report1'!H690</f>
        <v>0</v>
      </c>
      <c r="I690">
        <f>'[1]SNO RTF daily report1'!I690</f>
        <v>0</v>
      </c>
    </row>
    <row r="691" spans="1:9" x14ac:dyDescent="0.25">
      <c r="A691">
        <f>'[1]SNO RTF daily report1'!A691</f>
        <v>0</v>
      </c>
      <c r="B691">
        <f>'[1]SNO RTF daily report1'!B691</f>
        <v>0</v>
      </c>
      <c r="C691">
        <f>'[1]SNO RTF daily report1'!C691</f>
        <v>0</v>
      </c>
      <c r="D691">
        <f>'[1]SNO RTF daily report1'!D691</f>
        <v>0</v>
      </c>
      <c r="E691">
        <f>'[1]SNO RTF daily report1'!E691</f>
        <v>0</v>
      </c>
      <c r="F691">
        <f>'[1]SNO RTF daily report1'!F691</f>
        <v>0</v>
      </c>
      <c r="G691">
        <f>'[1]SNO RTF daily report1'!G691</f>
        <v>0</v>
      </c>
      <c r="H691">
        <f>'[1]SNO RTF daily report1'!H691</f>
        <v>0</v>
      </c>
      <c r="I691">
        <f>'[1]SNO RTF daily report1'!I691</f>
        <v>0</v>
      </c>
    </row>
    <row r="692" spans="1:9" x14ac:dyDescent="0.25">
      <c r="A692">
        <f>'[1]SNO RTF daily report1'!A692</f>
        <v>0</v>
      </c>
      <c r="B692">
        <f>'[1]SNO RTF daily report1'!B692</f>
        <v>0</v>
      </c>
      <c r="C692">
        <f>'[1]SNO RTF daily report1'!C692</f>
        <v>0</v>
      </c>
      <c r="D692">
        <f>'[1]SNO RTF daily report1'!D692</f>
        <v>0</v>
      </c>
      <c r="E692">
        <f>'[1]SNO RTF daily report1'!E692</f>
        <v>0</v>
      </c>
      <c r="F692">
        <f>'[1]SNO RTF daily report1'!F692</f>
        <v>0</v>
      </c>
      <c r="G692">
        <f>'[1]SNO RTF daily report1'!G692</f>
        <v>0</v>
      </c>
      <c r="H692">
        <f>'[1]SNO RTF daily report1'!H692</f>
        <v>0</v>
      </c>
      <c r="I692">
        <f>'[1]SNO RTF daily report1'!I692</f>
        <v>0</v>
      </c>
    </row>
    <row r="693" spans="1:9" x14ac:dyDescent="0.25">
      <c r="A693">
        <f>'[1]SNO RTF daily report1'!A693</f>
        <v>0</v>
      </c>
      <c r="B693">
        <f>'[1]SNO RTF daily report1'!B693</f>
        <v>0</v>
      </c>
      <c r="C693">
        <f>'[1]SNO RTF daily report1'!C693</f>
        <v>0</v>
      </c>
      <c r="D693">
        <f>'[1]SNO RTF daily report1'!D693</f>
        <v>0</v>
      </c>
      <c r="E693">
        <f>'[1]SNO RTF daily report1'!E693</f>
        <v>0</v>
      </c>
      <c r="F693">
        <f>'[1]SNO RTF daily report1'!F693</f>
        <v>0</v>
      </c>
      <c r="G693">
        <f>'[1]SNO RTF daily report1'!G693</f>
        <v>0</v>
      </c>
      <c r="H693">
        <f>'[1]SNO RTF daily report1'!H693</f>
        <v>0</v>
      </c>
      <c r="I693">
        <f>'[1]SNO RTF daily report1'!I693</f>
        <v>0</v>
      </c>
    </row>
    <row r="694" spans="1:9" x14ac:dyDescent="0.25">
      <c r="A694">
        <f>'[1]SNO RTF daily report1'!A694</f>
        <v>0</v>
      </c>
      <c r="B694">
        <f>'[1]SNO RTF daily report1'!B694</f>
        <v>0</v>
      </c>
      <c r="C694">
        <f>'[1]SNO RTF daily report1'!C694</f>
        <v>0</v>
      </c>
      <c r="D694">
        <f>'[1]SNO RTF daily report1'!D694</f>
        <v>0</v>
      </c>
      <c r="E694">
        <f>'[1]SNO RTF daily report1'!E694</f>
        <v>0</v>
      </c>
      <c r="F694">
        <f>'[1]SNO RTF daily report1'!F694</f>
        <v>0</v>
      </c>
      <c r="G694">
        <f>'[1]SNO RTF daily report1'!G694</f>
        <v>0</v>
      </c>
      <c r="H694">
        <f>'[1]SNO RTF daily report1'!H694</f>
        <v>0</v>
      </c>
      <c r="I694">
        <f>'[1]SNO RTF daily report1'!I694</f>
        <v>0</v>
      </c>
    </row>
    <row r="695" spans="1:9" x14ac:dyDescent="0.25">
      <c r="A695">
        <f>'[1]SNO RTF daily report1'!A695</f>
        <v>0</v>
      </c>
      <c r="B695">
        <f>'[1]SNO RTF daily report1'!B695</f>
        <v>0</v>
      </c>
      <c r="C695">
        <f>'[1]SNO RTF daily report1'!C695</f>
        <v>0</v>
      </c>
      <c r="D695">
        <f>'[1]SNO RTF daily report1'!D695</f>
        <v>0</v>
      </c>
      <c r="E695">
        <f>'[1]SNO RTF daily report1'!E695</f>
        <v>0</v>
      </c>
      <c r="F695">
        <f>'[1]SNO RTF daily report1'!F695</f>
        <v>0</v>
      </c>
      <c r="G695">
        <f>'[1]SNO RTF daily report1'!G695</f>
        <v>0</v>
      </c>
      <c r="H695">
        <f>'[1]SNO RTF daily report1'!H695</f>
        <v>0</v>
      </c>
      <c r="I695">
        <f>'[1]SNO RTF daily report1'!I695</f>
        <v>0</v>
      </c>
    </row>
    <row r="696" spans="1:9" x14ac:dyDescent="0.25">
      <c r="A696">
        <f>'[1]SNO RTF daily report1'!A696</f>
        <v>0</v>
      </c>
      <c r="B696">
        <f>'[1]SNO RTF daily report1'!B696</f>
        <v>0</v>
      </c>
      <c r="C696">
        <f>'[1]SNO RTF daily report1'!C696</f>
        <v>0</v>
      </c>
      <c r="D696">
        <f>'[1]SNO RTF daily report1'!D696</f>
        <v>0</v>
      </c>
      <c r="E696">
        <f>'[1]SNO RTF daily report1'!E696</f>
        <v>0</v>
      </c>
      <c r="F696">
        <f>'[1]SNO RTF daily report1'!F696</f>
        <v>0</v>
      </c>
      <c r="G696">
        <f>'[1]SNO RTF daily report1'!G696</f>
        <v>0</v>
      </c>
      <c r="H696">
        <f>'[1]SNO RTF daily report1'!H696</f>
        <v>0</v>
      </c>
      <c r="I696">
        <f>'[1]SNO RTF daily report1'!I696</f>
        <v>0</v>
      </c>
    </row>
    <row r="697" spans="1:9" x14ac:dyDescent="0.25">
      <c r="A697">
        <f>'[1]SNO RTF daily report1'!A697</f>
        <v>0</v>
      </c>
      <c r="B697">
        <f>'[1]SNO RTF daily report1'!B697</f>
        <v>0</v>
      </c>
      <c r="C697">
        <f>'[1]SNO RTF daily report1'!C697</f>
        <v>0</v>
      </c>
      <c r="D697">
        <f>'[1]SNO RTF daily report1'!D697</f>
        <v>0</v>
      </c>
      <c r="E697">
        <f>'[1]SNO RTF daily report1'!E697</f>
        <v>0</v>
      </c>
      <c r="F697">
        <f>'[1]SNO RTF daily report1'!F697</f>
        <v>0</v>
      </c>
      <c r="G697">
        <f>'[1]SNO RTF daily report1'!G697</f>
        <v>0</v>
      </c>
      <c r="H697">
        <f>'[1]SNO RTF daily report1'!H697</f>
        <v>0</v>
      </c>
      <c r="I697">
        <f>'[1]SNO RTF daily report1'!I697</f>
        <v>0</v>
      </c>
    </row>
    <row r="698" spans="1:9" x14ac:dyDescent="0.25">
      <c r="A698">
        <f>'[1]SNO RTF daily report1'!A698</f>
        <v>0</v>
      </c>
      <c r="B698">
        <f>'[1]SNO RTF daily report1'!B698</f>
        <v>0</v>
      </c>
      <c r="C698">
        <f>'[1]SNO RTF daily report1'!C698</f>
        <v>0</v>
      </c>
      <c r="D698">
        <f>'[1]SNO RTF daily report1'!D698</f>
        <v>0</v>
      </c>
      <c r="E698">
        <f>'[1]SNO RTF daily report1'!E698</f>
        <v>0</v>
      </c>
      <c r="F698">
        <f>'[1]SNO RTF daily report1'!F698</f>
        <v>0</v>
      </c>
      <c r="G698">
        <f>'[1]SNO RTF daily report1'!G698</f>
        <v>0</v>
      </c>
      <c r="H698">
        <f>'[1]SNO RTF daily report1'!H698</f>
        <v>0</v>
      </c>
      <c r="I698">
        <f>'[1]SNO RTF daily report1'!I698</f>
        <v>0</v>
      </c>
    </row>
    <row r="699" spans="1:9" x14ac:dyDescent="0.25">
      <c r="A699">
        <f>'[1]SNO RTF daily report1'!A699</f>
        <v>0</v>
      </c>
      <c r="B699">
        <f>'[1]SNO RTF daily report1'!B699</f>
        <v>0</v>
      </c>
      <c r="C699">
        <f>'[1]SNO RTF daily report1'!C699</f>
        <v>0</v>
      </c>
      <c r="D699">
        <f>'[1]SNO RTF daily report1'!D699</f>
        <v>0</v>
      </c>
      <c r="E699">
        <f>'[1]SNO RTF daily report1'!E699</f>
        <v>0</v>
      </c>
      <c r="F699">
        <f>'[1]SNO RTF daily report1'!F699</f>
        <v>0</v>
      </c>
      <c r="G699">
        <f>'[1]SNO RTF daily report1'!G699</f>
        <v>0</v>
      </c>
      <c r="H699">
        <f>'[1]SNO RTF daily report1'!H699</f>
        <v>0</v>
      </c>
      <c r="I699">
        <f>'[1]SNO RTF daily report1'!I699</f>
        <v>0</v>
      </c>
    </row>
    <row r="700" spans="1:9" x14ac:dyDescent="0.25">
      <c r="A700">
        <f>'[1]SNO RTF daily report1'!A700</f>
        <v>0</v>
      </c>
      <c r="B700">
        <f>'[1]SNO RTF daily report1'!B700</f>
        <v>0</v>
      </c>
      <c r="C700">
        <f>'[1]SNO RTF daily report1'!C700</f>
        <v>0</v>
      </c>
      <c r="D700">
        <f>'[1]SNO RTF daily report1'!D700</f>
        <v>0</v>
      </c>
      <c r="E700">
        <f>'[1]SNO RTF daily report1'!E700</f>
        <v>0</v>
      </c>
      <c r="F700">
        <f>'[1]SNO RTF daily report1'!F700</f>
        <v>0</v>
      </c>
      <c r="G700">
        <f>'[1]SNO RTF daily report1'!G700</f>
        <v>0</v>
      </c>
      <c r="H700">
        <f>'[1]SNO RTF daily report1'!H700</f>
        <v>0</v>
      </c>
      <c r="I700">
        <f>'[1]SNO RTF daily report1'!I700</f>
        <v>0</v>
      </c>
    </row>
    <row r="701" spans="1:9" x14ac:dyDescent="0.25">
      <c r="A701">
        <f>'[1]SNO RTF daily report1'!A701</f>
        <v>0</v>
      </c>
      <c r="B701">
        <f>'[1]SNO RTF daily report1'!B701</f>
        <v>0</v>
      </c>
      <c r="C701">
        <f>'[1]SNO RTF daily report1'!C701</f>
        <v>0</v>
      </c>
      <c r="D701">
        <f>'[1]SNO RTF daily report1'!D701</f>
        <v>0</v>
      </c>
      <c r="E701">
        <f>'[1]SNO RTF daily report1'!E701</f>
        <v>0</v>
      </c>
      <c r="F701">
        <f>'[1]SNO RTF daily report1'!F701</f>
        <v>0</v>
      </c>
      <c r="G701">
        <f>'[1]SNO RTF daily report1'!G701</f>
        <v>0</v>
      </c>
      <c r="H701">
        <f>'[1]SNO RTF daily report1'!H701</f>
        <v>0</v>
      </c>
      <c r="I701">
        <f>'[1]SNO RTF daily report1'!I701</f>
        <v>0</v>
      </c>
    </row>
    <row r="702" spans="1:9" x14ac:dyDescent="0.25">
      <c r="A702">
        <f>'[1]SNO RTF daily report1'!A702</f>
        <v>0</v>
      </c>
      <c r="B702">
        <f>'[1]SNO RTF daily report1'!B702</f>
        <v>0</v>
      </c>
      <c r="C702">
        <f>'[1]SNO RTF daily report1'!C702</f>
        <v>0</v>
      </c>
      <c r="D702">
        <f>'[1]SNO RTF daily report1'!D702</f>
        <v>0</v>
      </c>
      <c r="E702">
        <f>'[1]SNO RTF daily report1'!E702</f>
        <v>0</v>
      </c>
      <c r="F702">
        <f>'[1]SNO RTF daily report1'!F702</f>
        <v>0</v>
      </c>
      <c r="G702">
        <f>'[1]SNO RTF daily report1'!G702</f>
        <v>0</v>
      </c>
      <c r="H702">
        <f>'[1]SNO RTF daily report1'!H702</f>
        <v>0</v>
      </c>
      <c r="I702">
        <f>'[1]SNO RTF daily report1'!I702</f>
        <v>0</v>
      </c>
    </row>
    <row r="703" spans="1:9" x14ac:dyDescent="0.25">
      <c r="A703">
        <f>'[1]SNO RTF daily report1'!A703</f>
        <v>0</v>
      </c>
      <c r="B703">
        <f>'[1]SNO RTF daily report1'!B703</f>
        <v>0</v>
      </c>
      <c r="C703">
        <f>'[1]SNO RTF daily report1'!C703</f>
        <v>0</v>
      </c>
      <c r="D703">
        <f>'[1]SNO RTF daily report1'!D703</f>
        <v>0</v>
      </c>
      <c r="E703">
        <f>'[1]SNO RTF daily report1'!E703</f>
        <v>0</v>
      </c>
      <c r="F703">
        <f>'[1]SNO RTF daily report1'!F703</f>
        <v>0</v>
      </c>
      <c r="G703">
        <f>'[1]SNO RTF daily report1'!G703</f>
        <v>0</v>
      </c>
      <c r="H703">
        <f>'[1]SNO RTF daily report1'!H703</f>
        <v>0</v>
      </c>
      <c r="I703">
        <f>'[1]SNO RTF daily report1'!I703</f>
        <v>0</v>
      </c>
    </row>
    <row r="704" spans="1:9" x14ac:dyDescent="0.25">
      <c r="A704">
        <f>'[1]SNO RTF daily report1'!A704</f>
        <v>0</v>
      </c>
      <c r="B704">
        <f>'[1]SNO RTF daily report1'!B704</f>
        <v>0</v>
      </c>
      <c r="C704">
        <f>'[1]SNO RTF daily report1'!C704</f>
        <v>0</v>
      </c>
      <c r="D704">
        <f>'[1]SNO RTF daily report1'!D704</f>
        <v>0</v>
      </c>
      <c r="E704">
        <f>'[1]SNO RTF daily report1'!E704</f>
        <v>0</v>
      </c>
      <c r="F704">
        <f>'[1]SNO RTF daily report1'!F704</f>
        <v>0</v>
      </c>
      <c r="G704">
        <f>'[1]SNO RTF daily report1'!G704</f>
        <v>0</v>
      </c>
      <c r="H704">
        <f>'[1]SNO RTF daily report1'!H704</f>
        <v>0</v>
      </c>
      <c r="I704">
        <f>'[1]SNO RTF daily report1'!I704</f>
        <v>0</v>
      </c>
    </row>
    <row r="705" spans="1:9" x14ac:dyDescent="0.25">
      <c r="A705">
        <f>'[1]SNO RTF daily report1'!A705</f>
        <v>0</v>
      </c>
      <c r="B705">
        <f>'[1]SNO RTF daily report1'!B705</f>
        <v>0</v>
      </c>
      <c r="C705">
        <f>'[1]SNO RTF daily report1'!C705</f>
        <v>0</v>
      </c>
      <c r="D705">
        <f>'[1]SNO RTF daily report1'!D705</f>
        <v>0</v>
      </c>
      <c r="E705">
        <f>'[1]SNO RTF daily report1'!E705</f>
        <v>0</v>
      </c>
      <c r="F705">
        <f>'[1]SNO RTF daily report1'!F705</f>
        <v>0</v>
      </c>
      <c r="G705">
        <f>'[1]SNO RTF daily report1'!G705</f>
        <v>0</v>
      </c>
      <c r="H705">
        <f>'[1]SNO RTF daily report1'!H705</f>
        <v>0</v>
      </c>
      <c r="I705">
        <f>'[1]SNO RTF daily report1'!I705</f>
        <v>0</v>
      </c>
    </row>
    <row r="706" spans="1:9" x14ac:dyDescent="0.25">
      <c r="A706">
        <f>'[1]SNO RTF daily report1'!A706</f>
        <v>0</v>
      </c>
      <c r="B706">
        <f>'[1]SNO RTF daily report1'!B706</f>
        <v>0</v>
      </c>
      <c r="C706">
        <f>'[1]SNO RTF daily report1'!C706</f>
        <v>0</v>
      </c>
      <c r="D706">
        <f>'[1]SNO RTF daily report1'!D706</f>
        <v>0</v>
      </c>
      <c r="E706">
        <f>'[1]SNO RTF daily report1'!E706</f>
        <v>0</v>
      </c>
      <c r="F706">
        <f>'[1]SNO RTF daily report1'!F706</f>
        <v>0</v>
      </c>
      <c r="G706">
        <f>'[1]SNO RTF daily report1'!G706</f>
        <v>0</v>
      </c>
      <c r="H706">
        <f>'[1]SNO RTF daily report1'!H706</f>
        <v>0</v>
      </c>
      <c r="I706">
        <f>'[1]SNO RTF daily report1'!I706</f>
        <v>0</v>
      </c>
    </row>
    <row r="707" spans="1:9" x14ac:dyDescent="0.25">
      <c r="A707">
        <f>'[1]SNO RTF daily report1'!A707</f>
        <v>0</v>
      </c>
      <c r="B707">
        <f>'[1]SNO RTF daily report1'!B707</f>
        <v>0</v>
      </c>
      <c r="C707">
        <f>'[1]SNO RTF daily report1'!C707</f>
        <v>0</v>
      </c>
      <c r="D707">
        <f>'[1]SNO RTF daily report1'!D707</f>
        <v>0</v>
      </c>
      <c r="E707">
        <f>'[1]SNO RTF daily report1'!E707</f>
        <v>0</v>
      </c>
      <c r="F707">
        <f>'[1]SNO RTF daily report1'!F707</f>
        <v>0</v>
      </c>
      <c r="G707">
        <f>'[1]SNO RTF daily report1'!G707</f>
        <v>0</v>
      </c>
      <c r="H707">
        <f>'[1]SNO RTF daily report1'!H707</f>
        <v>0</v>
      </c>
      <c r="I707">
        <f>'[1]SNO RTF daily report1'!I707</f>
        <v>0</v>
      </c>
    </row>
    <row r="708" spans="1:9" x14ac:dyDescent="0.25">
      <c r="A708">
        <f>'[1]SNO RTF daily report1'!A708</f>
        <v>0</v>
      </c>
      <c r="B708">
        <f>'[1]SNO RTF daily report1'!B708</f>
        <v>0</v>
      </c>
      <c r="C708">
        <f>'[1]SNO RTF daily report1'!C708</f>
        <v>0</v>
      </c>
      <c r="D708">
        <f>'[1]SNO RTF daily report1'!D708</f>
        <v>0</v>
      </c>
      <c r="E708">
        <f>'[1]SNO RTF daily report1'!E708</f>
        <v>0</v>
      </c>
      <c r="F708">
        <f>'[1]SNO RTF daily report1'!F708</f>
        <v>0</v>
      </c>
      <c r="G708">
        <f>'[1]SNO RTF daily report1'!G708</f>
        <v>0</v>
      </c>
      <c r="H708">
        <f>'[1]SNO RTF daily report1'!H708</f>
        <v>0</v>
      </c>
      <c r="I708">
        <f>'[1]SNO RTF daily report1'!I708</f>
        <v>0</v>
      </c>
    </row>
    <row r="709" spans="1:9" x14ac:dyDescent="0.25">
      <c r="A709">
        <f>'[1]SNO RTF daily report1'!A709</f>
        <v>0</v>
      </c>
      <c r="B709">
        <f>'[1]SNO RTF daily report1'!B709</f>
        <v>0</v>
      </c>
      <c r="C709">
        <f>'[1]SNO RTF daily report1'!C709</f>
        <v>0</v>
      </c>
      <c r="D709">
        <f>'[1]SNO RTF daily report1'!D709</f>
        <v>0</v>
      </c>
      <c r="E709">
        <f>'[1]SNO RTF daily report1'!E709</f>
        <v>0</v>
      </c>
      <c r="F709">
        <f>'[1]SNO RTF daily report1'!F709</f>
        <v>0</v>
      </c>
      <c r="G709">
        <f>'[1]SNO RTF daily report1'!G709</f>
        <v>0</v>
      </c>
      <c r="H709">
        <f>'[1]SNO RTF daily report1'!H709</f>
        <v>0</v>
      </c>
      <c r="I709">
        <f>'[1]SNO RTF daily report1'!I709</f>
        <v>0</v>
      </c>
    </row>
    <row r="710" spans="1:9" x14ac:dyDescent="0.25">
      <c r="A710">
        <f>'[1]SNO RTF daily report1'!A710</f>
        <v>0</v>
      </c>
      <c r="B710">
        <f>'[1]SNO RTF daily report1'!B710</f>
        <v>0</v>
      </c>
      <c r="C710">
        <f>'[1]SNO RTF daily report1'!C710</f>
        <v>0</v>
      </c>
      <c r="D710">
        <f>'[1]SNO RTF daily report1'!D710</f>
        <v>0</v>
      </c>
      <c r="E710">
        <f>'[1]SNO RTF daily report1'!E710</f>
        <v>0</v>
      </c>
      <c r="F710">
        <f>'[1]SNO RTF daily report1'!F710</f>
        <v>0</v>
      </c>
      <c r="G710">
        <f>'[1]SNO RTF daily report1'!G710</f>
        <v>0</v>
      </c>
      <c r="H710">
        <f>'[1]SNO RTF daily report1'!H710</f>
        <v>0</v>
      </c>
      <c r="I710">
        <f>'[1]SNO RTF daily report1'!I710</f>
        <v>0</v>
      </c>
    </row>
    <row r="711" spans="1:9" x14ac:dyDescent="0.25">
      <c r="A711">
        <f>'[1]SNO RTF daily report1'!A711</f>
        <v>0</v>
      </c>
      <c r="B711">
        <f>'[1]SNO RTF daily report1'!B711</f>
        <v>0</v>
      </c>
      <c r="C711">
        <f>'[1]SNO RTF daily report1'!C711</f>
        <v>0</v>
      </c>
      <c r="D711">
        <f>'[1]SNO RTF daily report1'!D711</f>
        <v>0</v>
      </c>
      <c r="E711">
        <f>'[1]SNO RTF daily report1'!E711</f>
        <v>0</v>
      </c>
      <c r="F711">
        <f>'[1]SNO RTF daily report1'!F711</f>
        <v>0</v>
      </c>
      <c r="G711">
        <f>'[1]SNO RTF daily report1'!G711</f>
        <v>0</v>
      </c>
      <c r="H711">
        <f>'[1]SNO RTF daily report1'!H711</f>
        <v>0</v>
      </c>
      <c r="I711">
        <f>'[1]SNO RTF daily report1'!I711</f>
        <v>0</v>
      </c>
    </row>
    <row r="712" spans="1:9" x14ac:dyDescent="0.25">
      <c r="A712">
        <f>'[1]SNO RTF daily report1'!A712</f>
        <v>0</v>
      </c>
      <c r="B712">
        <f>'[1]SNO RTF daily report1'!B712</f>
        <v>0</v>
      </c>
      <c r="C712">
        <f>'[1]SNO RTF daily report1'!C712</f>
        <v>0</v>
      </c>
      <c r="D712">
        <f>'[1]SNO RTF daily report1'!D712</f>
        <v>0</v>
      </c>
      <c r="E712">
        <f>'[1]SNO RTF daily report1'!E712</f>
        <v>0</v>
      </c>
      <c r="F712">
        <f>'[1]SNO RTF daily report1'!F712</f>
        <v>0</v>
      </c>
      <c r="G712">
        <f>'[1]SNO RTF daily report1'!G712</f>
        <v>0</v>
      </c>
      <c r="H712">
        <f>'[1]SNO RTF daily report1'!H712</f>
        <v>0</v>
      </c>
      <c r="I712">
        <f>'[1]SNO RTF daily report1'!I712</f>
        <v>0</v>
      </c>
    </row>
    <row r="713" spans="1:9" x14ac:dyDescent="0.25">
      <c r="A713">
        <f>'[1]SNO RTF daily report1'!A713</f>
        <v>0</v>
      </c>
      <c r="B713">
        <f>'[1]SNO RTF daily report1'!B713</f>
        <v>0</v>
      </c>
      <c r="C713">
        <f>'[1]SNO RTF daily report1'!C713</f>
        <v>0</v>
      </c>
      <c r="D713">
        <f>'[1]SNO RTF daily report1'!D713</f>
        <v>0</v>
      </c>
      <c r="E713">
        <f>'[1]SNO RTF daily report1'!E713</f>
        <v>0</v>
      </c>
      <c r="F713">
        <f>'[1]SNO RTF daily report1'!F713</f>
        <v>0</v>
      </c>
      <c r="G713">
        <f>'[1]SNO RTF daily report1'!G713</f>
        <v>0</v>
      </c>
      <c r="H713">
        <f>'[1]SNO RTF daily report1'!H713</f>
        <v>0</v>
      </c>
      <c r="I713">
        <f>'[1]SNO RTF daily report1'!I713</f>
        <v>0</v>
      </c>
    </row>
    <row r="714" spans="1:9" x14ac:dyDescent="0.25">
      <c r="A714">
        <f>'[1]SNO RTF daily report1'!A714</f>
        <v>0</v>
      </c>
      <c r="B714">
        <f>'[1]SNO RTF daily report1'!B714</f>
        <v>0</v>
      </c>
      <c r="C714">
        <f>'[1]SNO RTF daily report1'!C714</f>
        <v>0</v>
      </c>
      <c r="D714">
        <f>'[1]SNO RTF daily report1'!D714</f>
        <v>0</v>
      </c>
      <c r="E714">
        <f>'[1]SNO RTF daily report1'!E714</f>
        <v>0</v>
      </c>
      <c r="F714">
        <f>'[1]SNO RTF daily report1'!F714</f>
        <v>0</v>
      </c>
      <c r="G714">
        <f>'[1]SNO RTF daily report1'!G714</f>
        <v>0</v>
      </c>
      <c r="H714">
        <f>'[1]SNO RTF daily report1'!H714</f>
        <v>0</v>
      </c>
      <c r="I714">
        <f>'[1]SNO RTF daily report1'!I714</f>
        <v>0</v>
      </c>
    </row>
    <row r="715" spans="1:9" x14ac:dyDescent="0.25">
      <c r="A715">
        <f>'[1]SNO RTF daily report1'!A715</f>
        <v>0</v>
      </c>
      <c r="B715">
        <f>'[1]SNO RTF daily report1'!B715</f>
        <v>0</v>
      </c>
      <c r="C715">
        <f>'[1]SNO RTF daily report1'!C715</f>
        <v>0</v>
      </c>
      <c r="D715">
        <f>'[1]SNO RTF daily report1'!D715</f>
        <v>0</v>
      </c>
      <c r="E715">
        <f>'[1]SNO RTF daily report1'!E715</f>
        <v>0</v>
      </c>
      <c r="F715">
        <f>'[1]SNO RTF daily report1'!F715</f>
        <v>0</v>
      </c>
      <c r="G715">
        <f>'[1]SNO RTF daily report1'!G715</f>
        <v>0</v>
      </c>
      <c r="H715">
        <f>'[1]SNO RTF daily report1'!H715</f>
        <v>0</v>
      </c>
      <c r="I715">
        <f>'[1]SNO RTF daily report1'!I715</f>
        <v>0</v>
      </c>
    </row>
    <row r="716" spans="1:9" x14ac:dyDescent="0.25">
      <c r="A716">
        <f>'[1]SNO RTF daily report1'!A716</f>
        <v>0</v>
      </c>
      <c r="B716">
        <f>'[1]SNO RTF daily report1'!B716</f>
        <v>0</v>
      </c>
      <c r="C716">
        <f>'[1]SNO RTF daily report1'!C716</f>
        <v>0</v>
      </c>
      <c r="D716">
        <f>'[1]SNO RTF daily report1'!D716</f>
        <v>0</v>
      </c>
      <c r="E716">
        <f>'[1]SNO RTF daily report1'!E716</f>
        <v>0</v>
      </c>
      <c r="F716">
        <f>'[1]SNO RTF daily report1'!F716</f>
        <v>0</v>
      </c>
      <c r="G716">
        <f>'[1]SNO RTF daily report1'!G716</f>
        <v>0</v>
      </c>
      <c r="H716">
        <f>'[1]SNO RTF daily report1'!H716</f>
        <v>0</v>
      </c>
      <c r="I716">
        <f>'[1]SNO RTF daily report1'!I716</f>
        <v>0</v>
      </c>
    </row>
    <row r="717" spans="1:9" x14ac:dyDescent="0.25">
      <c r="A717">
        <f>'[1]SNO RTF daily report1'!A717</f>
        <v>0</v>
      </c>
      <c r="B717">
        <f>'[1]SNO RTF daily report1'!B717</f>
        <v>0</v>
      </c>
      <c r="C717">
        <f>'[1]SNO RTF daily report1'!C717</f>
        <v>0</v>
      </c>
      <c r="D717">
        <f>'[1]SNO RTF daily report1'!D717</f>
        <v>0</v>
      </c>
      <c r="E717">
        <f>'[1]SNO RTF daily report1'!E717</f>
        <v>0</v>
      </c>
      <c r="F717">
        <f>'[1]SNO RTF daily report1'!F717</f>
        <v>0</v>
      </c>
      <c r="G717">
        <f>'[1]SNO RTF daily report1'!G717</f>
        <v>0</v>
      </c>
      <c r="H717">
        <f>'[1]SNO RTF daily report1'!H717</f>
        <v>0</v>
      </c>
      <c r="I717">
        <f>'[1]SNO RTF daily report1'!I717</f>
        <v>0</v>
      </c>
    </row>
    <row r="718" spans="1:9" x14ac:dyDescent="0.25">
      <c r="A718">
        <f>'[1]SNO RTF daily report1'!A718</f>
        <v>0</v>
      </c>
      <c r="B718">
        <f>'[1]SNO RTF daily report1'!B718</f>
        <v>0</v>
      </c>
      <c r="C718">
        <f>'[1]SNO RTF daily report1'!C718</f>
        <v>0</v>
      </c>
      <c r="D718">
        <f>'[1]SNO RTF daily report1'!D718</f>
        <v>0</v>
      </c>
      <c r="E718">
        <f>'[1]SNO RTF daily report1'!E718</f>
        <v>0</v>
      </c>
      <c r="F718">
        <f>'[1]SNO RTF daily report1'!F718</f>
        <v>0</v>
      </c>
      <c r="G718">
        <f>'[1]SNO RTF daily report1'!G718</f>
        <v>0</v>
      </c>
      <c r="H718">
        <f>'[1]SNO RTF daily report1'!H718</f>
        <v>0</v>
      </c>
      <c r="I718">
        <f>'[1]SNO RTF daily report1'!I718</f>
        <v>0</v>
      </c>
    </row>
    <row r="719" spans="1:9" x14ac:dyDescent="0.25">
      <c r="A719">
        <f>'[1]SNO RTF daily report1'!A719</f>
        <v>0</v>
      </c>
      <c r="B719">
        <f>'[1]SNO RTF daily report1'!B719</f>
        <v>0</v>
      </c>
      <c r="C719">
        <f>'[1]SNO RTF daily report1'!C719</f>
        <v>0</v>
      </c>
      <c r="D719">
        <f>'[1]SNO RTF daily report1'!D719</f>
        <v>0</v>
      </c>
      <c r="E719">
        <f>'[1]SNO RTF daily report1'!E719</f>
        <v>0</v>
      </c>
      <c r="F719">
        <f>'[1]SNO RTF daily report1'!F719</f>
        <v>0</v>
      </c>
      <c r="G719">
        <f>'[1]SNO RTF daily report1'!G719</f>
        <v>0</v>
      </c>
      <c r="H719">
        <f>'[1]SNO RTF daily report1'!H719</f>
        <v>0</v>
      </c>
      <c r="I719">
        <f>'[1]SNO RTF daily report1'!I719</f>
        <v>0</v>
      </c>
    </row>
    <row r="720" spans="1:9" x14ac:dyDescent="0.25">
      <c r="A720">
        <f>'[1]SNO RTF daily report1'!A720</f>
        <v>0</v>
      </c>
      <c r="B720">
        <f>'[1]SNO RTF daily report1'!B720</f>
        <v>0</v>
      </c>
      <c r="C720">
        <f>'[1]SNO RTF daily report1'!C720</f>
        <v>0</v>
      </c>
      <c r="D720">
        <f>'[1]SNO RTF daily report1'!D720</f>
        <v>0</v>
      </c>
      <c r="E720">
        <f>'[1]SNO RTF daily report1'!E720</f>
        <v>0</v>
      </c>
      <c r="F720">
        <f>'[1]SNO RTF daily report1'!F720</f>
        <v>0</v>
      </c>
      <c r="G720">
        <f>'[1]SNO RTF daily report1'!G720</f>
        <v>0</v>
      </c>
      <c r="H720">
        <f>'[1]SNO RTF daily report1'!H720</f>
        <v>0</v>
      </c>
      <c r="I720">
        <f>'[1]SNO RTF daily report1'!I720</f>
        <v>0</v>
      </c>
    </row>
    <row r="721" spans="1:9" x14ac:dyDescent="0.25">
      <c r="A721">
        <f>'[1]SNO RTF daily report1'!A721</f>
        <v>0</v>
      </c>
      <c r="B721">
        <f>'[1]SNO RTF daily report1'!B721</f>
        <v>0</v>
      </c>
      <c r="C721">
        <f>'[1]SNO RTF daily report1'!C721</f>
        <v>0</v>
      </c>
      <c r="D721">
        <f>'[1]SNO RTF daily report1'!D721</f>
        <v>0</v>
      </c>
      <c r="E721">
        <f>'[1]SNO RTF daily report1'!E721</f>
        <v>0</v>
      </c>
      <c r="F721">
        <f>'[1]SNO RTF daily report1'!F721</f>
        <v>0</v>
      </c>
      <c r="G721">
        <f>'[1]SNO RTF daily report1'!G721</f>
        <v>0</v>
      </c>
      <c r="H721">
        <f>'[1]SNO RTF daily report1'!H721</f>
        <v>0</v>
      </c>
      <c r="I721">
        <f>'[1]SNO RTF daily report1'!I721</f>
        <v>0</v>
      </c>
    </row>
    <row r="722" spans="1:9" x14ac:dyDescent="0.25">
      <c r="A722">
        <f>'[1]SNO RTF daily report1'!A722</f>
        <v>0</v>
      </c>
      <c r="B722">
        <f>'[1]SNO RTF daily report1'!B722</f>
        <v>0</v>
      </c>
      <c r="C722">
        <f>'[1]SNO RTF daily report1'!C722</f>
        <v>0</v>
      </c>
      <c r="D722">
        <f>'[1]SNO RTF daily report1'!D722</f>
        <v>0</v>
      </c>
      <c r="E722">
        <f>'[1]SNO RTF daily report1'!E722</f>
        <v>0</v>
      </c>
      <c r="F722">
        <f>'[1]SNO RTF daily report1'!F722</f>
        <v>0</v>
      </c>
      <c r="G722">
        <f>'[1]SNO RTF daily report1'!G722</f>
        <v>0</v>
      </c>
      <c r="H722">
        <f>'[1]SNO RTF daily report1'!H722</f>
        <v>0</v>
      </c>
      <c r="I722">
        <f>'[1]SNO RTF daily report1'!I722</f>
        <v>0</v>
      </c>
    </row>
    <row r="723" spans="1:9" x14ac:dyDescent="0.25">
      <c r="A723">
        <f>'[1]SNO RTF daily report1'!A723</f>
        <v>0</v>
      </c>
      <c r="B723">
        <f>'[1]SNO RTF daily report1'!B723</f>
        <v>0</v>
      </c>
      <c r="C723">
        <f>'[1]SNO RTF daily report1'!C723</f>
        <v>0</v>
      </c>
      <c r="D723">
        <f>'[1]SNO RTF daily report1'!D723</f>
        <v>0</v>
      </c>
      <c r="E723">
        <f>'[1]SNO RTF daily report1'!E723</f>
        <v>0</v>
      </c>
      <c r="F723">
        <f>'[1]SNO RTF daily report1'!F723</f>
        <v>0</v>
      </c>
      <c r="G723">
        <f>'[1]SNO RTF daily report1'!G723</f>
        <v>0</v>
      </c>
      <c r="H723">
        <f>'[1]SNO RTF daily report1'!H723</f>
        <v>0</v>
      </c>
      <c r="I723">
        <f>'[1]SNO RTF daily report1'!I723</f>
        <v>0</v>
      </c>
    </row>
    <row r="724" spans="1:9" x14ac:dyDescent="0.25">
      <c r="A724">
        <f>'[1]SNO RTF daily report1'!A724</f>
        <v>0</v>
      </c>
      <c r="B724">
        <f>'[1]SNO RTF daily report1'!B724</f>
        <v>0</v>
      </c>
      <c r="C724">
        <f>'[1]SNO RTF daily report1'!C724</f>
        <v>0</v>
      </c>
      <c r="D724">
        <f>'[1]SNO RTF daily report1'!D724</f>
        <v>0</v>
      </c>
      <c r="E724">
        <f>'[1]SNO RTF daily report1'!E724</f>
        <v>0</v>
      </c>
      <c r="F724">
        <f>'[1]SNO RTF daily report1'!F724</f>
        <v>0</v>
      </c>
      <c r="G724">
        <f>'[1]SNO RTF daily report1'!G724</f>
        <v>0</v>
      </c>
      <c r="H724">
        <f>'[1]SNO RTF daily report1'!H724</f>
        <v>0</v>
      </c>
      <c r="I724">
        <f>'[1]SNO RTF daily report1'!I724</f>
        <v>0</v>
      </c>
    </row>
    <row r="725" spans="1:9" x14ac:dyDescent="0.25">
      <c r="A725">
        <f>'[1]SNO RTF daily report1'!A725</f>
        <v>0</v>
      </c>
      <c r="B725">
        <f>'[1]SNO RTF daily report1'!B725</f>
        <v>0</v>
      </c>
      <c r="C725">
        <f>'[1]SNO RTF daily report1'!C725</f>
        <v>0</v>
      </c>
      <c r="D725">
        <f>'[1]SNO RTF daily report1'!D725</f>
        <v>0</v>
      </c>
      <c r="E725">
        <f>'[1]SNO RTF daily report1'!E725</f>
        <v>0</v>
      </c>
      <c r="F725">
        <f>'[1]SNO RTF daily report1'!F725</f>
        <v>0</v>
      </c>
      <c r="G725">
        <f>'[1]SNO RTF daily report1'!G725</f>
        <v>0</v>
      </c>
      <c r="H725">
        <f>'[1]SNO RTF daily report1'!H725</f>
        <v>0</v>
      </c>
      <c r="I725">
        <f>'[1]SNO RTF daily report1'!I725</f>
        <v>0</v>
      </c>
    </row>
    <row r="726" spans="1:9" x14ac:dyDescent="0.25">
      <c r="A726">
        <f>'[1]SNO RTF daily report1'!A726</f>
        <v>0</v>
      </c>
      <c r="B726">
        <f>'[1]SNO RTF daily report1'!B726</f>
        <v>0</v>
      </c>
      <c r="C726">
        <f>'[1]SNO RTF daily report1'!C726</f>
        <v>0</v>
      </c>
      <c r="D726">
        <f>'[1]SNO RTF daily report1'!D726</f>
        <v>0</v>
      </c>
      <c r="E726">
        <f>'[1]SNO RTF daily report1'!E726</f>
        <v>0</v>
      </c>
      <c r="F726">
        <f>'[1]SNO RTF daily report1'!F726</f>
        <v>0</v>
      </c>
      <c r="G726">
        <f>'[1]SNO RTF daily report1'!G726</f>
        <v>0</v>
      </c>
      <c r="H726">
        <f>'[1]SNO RTF daily report1'!H726</f>
        <v>0</v>
      </c>
      <c r="I726">
        <f>'[1]SNO RTF daily report1'!I726</f>
        <v>0</v>
      </c>
    </row>
    <row r="727" spans="1:9" x14ac:dyDescent="0.25">
      <c r="A727">
        <f>'[1]SNO RTF daily report1'!A727</f>
        <v>0</v>
      </c>
      <c r="B727">
        <f>'[1]SNO RTF daily report1'!B727</f>
        <v>0</v>
      </c>
      <c r="C727">
        <f>'[1]SNO RTF daily report1'!C727</f>
        <v>0</v>
      </c>
      <c r="D727">
        <f>'[1]SNO RTF daily report1'!D727</f>
        <v>0</v>
      </c>
      <c r="E727">
        <f>'[1]SNO RTF daily report1'!E727</f>
        <v>0</v>
      </c>
      <c r="F727">
        <f>'[1]SNO RTF daily report1'!F727</f>
        <v>0</v>
      </c>
      <c r="G727">
        <f>'[1]SNO RTF daily report1'!G727</f>
        <v>0</v>
      </c>
      <c r="H727">
        <f>'[1]SNO RTF daily report1'!H727</f>
        <v>0</v>
      </c>
      <c r="I727">
        <f>'[1]SNO RTF daily report1'!I727</f>
        <v>0</v>
      </c>
    </row>
    <row r="728" spans="1:9" x14ac:dyDescent="0.25">
      <c r="A728">
        <f>'[1]SNO RTF daily report1'!A728</f>
        <v>0</v>
      </c>
      <c r="B728">
        <f>'[1]SNO RTF daily report1'!B728</f>
        <v>0</v>
      </c>
      <c r="C728">
        <f>'[1]SNO RTF daily report1'!C728</f>
        <v>0</v>
      </c>
      <c r="D728">
        <f>'[1]SNO RTF daily report1'!D728</f>
        <v>0</v>
      </c>
      <c r="E728">
        <f>'[1]SNO RTF daily report1'!E728</f>
        <v>0</v>
      </c>
      <c r="F728">
        <f>'[1]SNO RTF daily report1'!F728</f>
        <v>0</v>
      </c>
      <c r="G728">
        <f>'[1]SNO RTF daily report1'!G728</f>
        <v>0</v>
      </c>
      <c r="H728">
        <f>'[1]SNO RTF daily report1'!H728</f>
        <v>0</v>
      </c>
      <c r="I728">
        <f>'[1]SNO RTF daily report1'!I728</f>
        <v>0</v>
      </c>
    </row>
    <row r="729" spans="1:9" x14ac:dyDescent="0.25">
      <c r="A729">
        <f>'[1]SNO RTF daily report1'!A729</f>
        <v>0</v>
      </c>
      <c r="B729">
        <f>'[1]SNO RTF daily report1'!B729</f>
        <v>0</v>
      </c>
      <c r="C729">
        <f>'[1]SNO RTF daily report1'!C729</f>
        <v>0</v>
      </c>
      <c r="D729">
        <f>'[1]SNO RTF daily report1'!D729</f>
        <v>0</v>
      </c>
      <c r="E729">
        <f>'[1]SNO RTF daily report1'!E729</f>
        <v>0</v>
      </c>
      <c r="F729">
        <f>'[1]SNO RTF daily report1'!F729</f>
        <v>0</v>
      </c>
      <c r="G729">
        <f>'[1]SNO RTF daily report1'!G729</f>
        <v>0</v>
      </c>
      <c r="H729">
        <f>'[1]SNO RTF daily report1'!H729</f>
        <v>0</v>
      </c>
      <c r="I729">
        <f>'[1]SNO RTF daily report1'!I729</f>
        <v>0</v>
      </c>
    </row>
    <row r="730" spans="1:9" x14ac:dyDescent="0.25">
      <c r="A730">
        <f>'[1]SNO RTF daily report1'!A730</f>
        <v>0</v>
      </c>
      <c r="B730">
        <f>'[1]SNO RTF daily report1'!B730</f>
        <v>0</v>
      </c>
      <c r="C730">
        <f>'[1]SNO RTF daily report1'!C730</f>
        <v>0</v>
      </c>
      <c r="D730">
        <f>'[1]SNO RTF daily report1'!D730</f>
        <v>0</v>
      </c>
      <c r="E730">
        <f>'[1]SNO RTF daily report1'!E730</f>
        <v>0</v>
      </c>
      <c r="F730">
        <f>'[1]SNO RTF daily report1'!F730</f>
        <v>0</v>
      </c>
      <c r="G730">
        <f>'[1]SNO RTF daily report1'!G730</f>
        <v>0</v>
      </c>
      <c r="H730">
        <f>'[1]SNO RTF daily report1'!H730</f>
        <v>0</v>
      </c>
      <c r="I730">
        <f>'[1]SNO RTF daily report1'!I730</f>
        <v>0</v>
      </c>
    </row>
    <row r="731" spans="1:9" x14ac:dyDescent="0.25">
      <c r="A731">
        <f>'[1]SNO RTF daily report1'!A731</f>
        <v>0</v>
      </c>
      <c r="B731">
        <f>'[1]SNO RTF daily report1'!B731</f>
        <v>0</v>
      </c>
      <c r="C731">
        <f>'[1]SNO RTF daily report1'!C731</f>
        <v>0</v>
      </c>
      <c r="D731">
        <f>'[1]SNO RTF daily report1'!D731</f>
        <v>0</v>
      </c>
      <c r="E731">
        <f>'[1]SNO RTF daily report1'!E731</f>
        <v>0</v>
      </c>
      <c r="F731">
        <f>'[1]SNO RTF daily report1'!F731</f>
        <v>0</v>
      </c>
      <c r="G731">
        <f>'[1]SNO RTF daily report1'!G731</f>
        <v>0</v>
      </c>
      <c r="H731">
        <f>'[1]SNO RTF daily report1'!H731</f>
        <v>0</v>
      </c>
      <c r="I731">
        <f>'[1]SNO RTF daily report1'!I731</f>
        <v>0</v>
      </c>
    </row>
    <row r="732" spans="1:9" x14ac:dyDescent="0.25">
      <c r="A732">
        <f>'[1]SNO RTF daily report1'!A732</f>
        <v>0</v>
      </c>
      <c r="B732">
        <f>'[1]SNO RTF daily report1'!B732</f>
        <v>0</v>
      </c>
      <c r="C732">
        <f>'[1]SNO RTF daily report1'!C732</f>
        <v>0</v>
      </c>
      <c r="D732">
        <f>'[1]SNO RTF daily report1'!D732</f>
        <v>0</v>
      </c>
      <c r="E732">
        <f>'[1]SNO RTF daily report1'!E732</f>
        <v>0</v>
      </c>
      <c r="F732">
        <f>'[1]SNO RTF daily report1'!F732</f>
        <v>0</v>
      </c>
      <c r="G732">
        <f>'[1]SNO RTF daily report1'!G732</f>
        <v>0</v>
      </c>
      <c r="H732">
        <f>'[1]SNO RTF daily report1'!H732</f>
        <v>0</v>
      </c>
      <c r="I732">
        <f>'[1]SNO RTF daily report1'!I732</f>
        <v>0</v>
      </c>
    </row>
    <row r="733" spans="1:9" x14ac:dyDescent="0.25">
      <c r="A733">
        <f>'[1]SNO RTF daily report1'!A733</f>
        <v>0</v>
      </c>
      <c r="B733">
        <f>'[1]SNO RTF daily report1'!B733</f>
        <v>0</v>
      </c>
      <c r="C733">
        <f>'[1]SNO RTF daily report1'!C733</f>
        <v>0</v>
      </c>
      <c r="D733">
        <f>'[1]SNO RTF daily report1'!D733</f>
        <v>0</v>
      </c>
      <c r="E733">
        <f>'[1]SNO RTF daily report1'!E733</f>
        <v>0</v>
      </c>
      <c r="F733">
        <f>'[1]SNO RTF daily report1'!F733</f>
        <v>0</v>
      </c>
      <c r="G733">
        <f>'[1]SNO RTF daily report1'!G733</f>
        <v>0</v>
      </c>
      <c r="H733">
        <f>'[1]SNO RTF daily report1'!H733</f>
        <v>0</v>
      </c>
      <c r="I733">
        <f>'[1]SNO RTF daily report1'!I733</f>
        <v>0</v>
      </c>
    </row>
    <row r="734" spans="1:9" x14ac:dyDescent="0.25">
      <c r="A734">
        <f>'[1]SNO RTF daily report1'!A734</f>
        <v>0</v>
      </c>
      <c r="B734">
        <f>'[1]SNO RTF daily report1'!B734</f>
        <v>0</v>
      </c>
      <c r="C734">
        <f>'[1]SNO RTF daily report1'!C734</f>
        <v>0</v>
      </c>
      <c r="D734">
        <f>'[1]SNO RTF daily report1'!D734</f>
        <v>0</v>
      </c>
      <c r="E734">
        <f>'[1]SNO RTF daily report1'!E734</f>
        <v>0</v>
      </c>
      <c r="F734">
        <f>'[1]SNO RTF daily report1'!F734</f>
        <v>0</v>
      </c>
      <c r="G734">
        <f>'[1]SNO RTF daily report1'!G734</f>
        <v>0</v>
      </c>
      <c r="H734">
        <f>'[1]SNO RTF daily report1'!H734</f>
        <v>0</v>
      </c>
      <c r="I734">
        <f>'[1]SNO RTF daily report1'!I734</f>
        <v>0</v>
      </c>
    </row>
    <row r="735" spans="1:9" x14ac:dyDescent="0.25">
      <c r="A735">
        <f>'[1]SNO RTF daily report1'!A735</f>
        <v>0</v>
      </c>
      <c r="B735">
        <f>'[1]SNO RTF daily report1'!B735</f>
        <v>0</v>
      </c>
      <c r="C735">
        <f>'[1]SNO RTF daily report1'!C735</f>
        <v>0</v>
      </c>
      <c r="D735">
        <f>'[1]SNO RTF daily report1'!D735</f>
        <v>0</v>
      </c>
      <c r="E735">
        <f>'[1]SNO RTF daily report1'!E735</f>
        <v>0</v>
      </c>
      <c r="F735">
        <f>'[1]SNO RTF daily report1'!F735</f>
        <v>0</v>
      </c>
      <c r="G735">
        <f>'[1]SNO RTF daily report1'!G735</f>
        <v>0</v>
      </c>
      <c r="H735">
        <f>'[1]SNO RTF daily report1'!H735</f>
        <v>0</v>
      </c>
      <c r="I735">
        <f>'[1]SNO RTF daily report1'!I735</f>
        <v>0</v>
      </c>
    </row>
    <row r="736" spans="1:9" x14ac:dyDescent="0.25">
      <c r="A736">
        <f>'[1]SNO RTF daily report1'!A736</f>
        <v>0</v>
      </c>
      <c r="B736">
        <f>'[1]SNO RTF daily report1'!B736</f>
        <v>0</v>
      </c>
      <c r="C736">
        <f>'[1]SNO RTF daily report1'!C736</f>
        <v>0</v>
      </c>
      <c r="D736">
        <f>'[1]SNO RTF daily report1'!D736</f>
        <v>0</v>
      </c>
      <c r="E736">
        <f>'[1]SNO RTF daily report1'!E736</f>
        <v>0</v>
      </c>
      <c r="F736">
        <f>'[1]SNO RTF daily report1'!F736</f>
        <v>0</v>
      </c>
      <c r="G736">
        <f>'[1]SNO RTF daily report1'!G736</f>
        <v>0</v>
      </c>
      <c r="H736">
        <f>'[1]SNO RTF daily report1'!H736</f>
        <v>0</v>
      </c>
      <c r="I736">
        <f>'[1]SNO RTF daily report1'!I736</f>
        <v>0</v>
      </c>
    </row>
    <row r="737" spans="1:9" x14ac:dyDescent="0.25">
      <c r="A737">
        <f>'[1]SNO RTF daily report1'!A737</f>
        <v>0</v>
      </c>
      <c r="B737">
        <f>'[1]SNO RTF daily report1'!B737</f>
        <v>0</v>
      </c>
      <c r="C737">
        <f>'[1]SNO RTF daily report1'!C737</f>
        <v>0</v>
      </c>
      <c r="D737">
        <f>'[1]SNO RTF daily report1'!D737</f>
        <v>0</v>
      </c>
      <c r="E737">
        <f>'[1]SNO RTF daily report1'!E737</f>
        <v>0</v>
      </c>
      <c r="F737">
        <f>'[1]SNO RTF daily report1'!F737</f>
        <v>0</v>
      </c>
      <c r="G737">
        <f>'[1]SNO RTF daily report1'!G737</f>
        <v>0</v>
      </c>
      <c r="H737">
        <f>'[1]SNO RTF daily report1'!H737</f>
        <v>0</v>
      </c>
      <c r="I737">
        <f>'[1]SNO RTF daily report1'!I737</f>
        <v>0</v>
      </c>
    </row>
    <row r="738" spans="1:9" x14ac:dyDescent="0.25">
      <c r="A738">
        <f>'[1]SNO RTF daily report1'!A738</f>
        <v>0</v>
      </c>
      <c r="B738">
        <f>'[1]SNO RTF daily report1'!B738</f>
        <v>0</v>
      </c>
      <c r="C738">
        <f>'[1]SNO RTF daily report1'!C738</f>
        <v>0</v>
      </c>
      <c r="D738">
        <f>'[1]SNO RTF daily report1'!D738</f>
        <v>0</v>
      </c>
      <c r="E738">
        <f>'[1]SNO RTF daily report1'!E738</f>
        <v>0</v>
      </c>
      <c r="F738">
        <f>'[1]SNO RTF daily report1'!F738</f>
        <v>0</v>
      </c>
      <c r="G738">
        <f>'[1]SNO RTF daily report1'!G738</f>
        <v>0</v>
      </c>
      <c r="H738">
        <f>'[1]SNO RTF daily report1'!H738</f>
        <v>0</v>
      </c>
      <c r="I738">
        <f>'[1]SNO RTF daily report1'!I738</f>
        <v>0</v>
      </c>
    </row>
    <row r="739" spans="1:9" x14ac:dyDescent="0.25">
      <c r="A739">
        <f>'[1]SNO RTF daily report1'!A739</f>
        <v>0</v>
      </c>
      <c r="B739">
        <f>'[1]SNO RTF daily report1'!B739</f>
        <v>0</v>
      </c>
      <c r="C739">
        <f>'[1]SNO RTF daily report1'!C739</f>
        <v>0</v>
      </c>
      <c r="D739">
        <f>'[1]SNO RTF daily report1'!D739</f>
        <v>0</v>
      </c>
      <c r="E739">
        <f>'[1]SNO RTF daily report1'!E739</f>
        <v>0</v>
      </c>
      <c r="F739">
        <f>'[1]SNO RTF daily report1'!F739</f>
        <v>0</v>
      </c>
      <c r="G739">
        <f>'[1]SNO RTF daily report1'!G739</f>
        <v>0</v>
      </c>
      <c r="H739">
        <f>'[1]SNO RTF daily report1'!H739</f>
        <v>0</v>
      </c>
      <c r="I739">
        <f>'[1]SNO RTF daily report1'!I739</f>
        <v>0</v>
      </c>
    </row>
    <row r="740" spans="1:9" x14ac:dyDescent="0.25">
      <c r="A740">
        <f>'[1]SNO RTF daily report1'!A740</f>
        <v>0</v>
      </c>
      <c r="B740">
        <f>'[1]SNO RTF daily report1'!B740</f>
        <v>0</v>
      </c>
      <c r="C740">
        <f>'[1]SNO RTF daily report1'!C740</f>
        <v>0</v>
      </c>
      <c r="D740">
        <f>'[1]SNO RTF daily report1'!D740</f>
        <v>0</v>
      </c>
      <c r="E740">
        <f>'[1]SNO RTF daily report1'!E740</f>
        <v>0</v>
      </c>
      <c r="F740">
        <f>'[1]SNO RTF daily report1'!F740</f>
        <v>0</v>
      </c>
      <c r="G740">
        <f>'[1]SNO RTF daily report1'!G740</f>
        <v>0</v>
      </c>
      <c r="H740">
        <f>'[1]SNO RTF daily report1'!H740</f>
        <v>0</v>
      </c>
      <c r="I740">
        <f>'[1]SNO RTF daily report1'!I740</f>
        <v>0</v>
      </c>
    </row>
    <row r="741" spans="1:9" x14ac:dyDescent="0.25">
      <c r="A741">
        <f>'[1]SNO RTF daily report1'!A741</f>
        <v>0</v>
      </c>
      <c r="B741">
        <f>'[1]SNO RTF daily report1'!B741</f>
        <v>0</v>
      </c>
      <c r="C741">
        <f>'[1]SNO RTF daily report1'!C741</f>
        <v>0</v>
      </c>
      <c r="D741">
        <f>'[1]SNO RTF daily report1'!D741</f>
        <v>0</v>
      </c>
      <c r="E741">
        <f>'[1]SNO RTF daily report1'!E741</f>
        <v>0</v>
      </c>
      <c r="F741">
        <f>'[1]SNO RTF daily report1'!F741</f>
        <v>0</v>
      </c>
      <c r="G741">
        <f>'[1]SNO RTF daily report1'!G741</f>
        <v>0</v>
      </c>
      <c r="H741">
        <f>'[1]SNO RTF daily report1'!H741</f>
        <v>0</v>
      </c>
      <c r="I741">
        <f>'[1]SNO RTF daily report1'!I741</f>
        <v>0</v>
      </c>
    </row>
    <row r="742" spans="1:9" x14ac:dyDescent="0.25">
      <c r="A742">
        <f>'[1]SNO RTF daily report1'!A742</f>
        <v>0</v>
      </c>
      <c r="B742">
        <f>'[1]SNO RTF daily report1'!B742</f>
        <v>0</v>
      </c>
      <c r="C742">
        <f>'[1]SNO RTF daily report1'!C742</f>
        <v>0</v>
      </c>
      <c r="D742">
        <f>'[1]SNO RTF daily report1'!D742</f>
        <v>0</v>
      </c>
      <c r="E742">
        <f>'[1]SNO RTF daily report1'!E742</f>
        <v>0</v>
      </c>
      <c r="F742">
        <f>'[1]SNO RTF daily report1'!F742</f>
        <v>0</v>
      </c>
      <c r="G742">
        <f>'[1]SNO RTF daily report1'!G742</f>
        <v>0</v>
      </c>
      <c r="H742">
        <f>'[1]SNO RTF daily report1'!H742</f>
        <v>0</v>
      </c>
      <c r="I742">
        <f>'[1]SNO RTF daily report1'!I742</f>
        <v>0</v>
      </c>
    </row>
    <row r="743" spans="1:9" x14ac:dyDescent="0.25">
      <c r="A743">
        <f>'[1]SNO RTF daily report1'!A743</f>
        <v>0</v>
      </c>
      <c r="B743">
        <f>'[1]SNO RTF daily report1'!B743</f>
        <v>0</v>
      </c>
      <c r="C743">
        <f>'[1]SNO RTF daily report1'!C743</f>
        <v>0</v>
      </c>
      <c r="D743">
        <f>'[1]SNO RTF daily report1'!D743</f>
        <v>0</v>
      </c>
      <c r="E743">
        <f>'[1]SNO RTF daily report1'!E743</f>
        <v>0</v>
      </c>
      <c r="F743">
        <f>'[1]SNO RTF daily report1'!F743</f>
        <v>0</v>
      </c>
      <c r="G743">
        <f>'[1]SNO RTF daily report1'!G743</f>
        <v>0</v>
      </c>
      <c r="H743">
        <f>'[1]SNO RTF daily report1'!H743</f>
        <v>0</v>
      </c>
      <c r="I743">
        <f>'[1]SNO RTF daily report1'!I743</f>
        <v>0</v>
      </c>
    </row>
    <row r="744" spans="1:9" x14ac:dyDescent="0.25">
      <c r="A744">
        <f>'[1]SNO RTF daily report1'!A744</f>
        <v>0</v>
      </c>
      <c r="B744">
        <f>'[1]SNO RTF daily report1'!B744</f>
        <v>0</v>
      </c>
      <c r="C744">
        <f>'[1]SNO RTF daily report1'!C744</f>
        <v>0</v>
      </c>
      <c r="D744">
        <f>'[1]SNO RTF daily report1'!D744</f>
        <v>0</v>
      </c>
      <c r="E744">
        <f>'[1]SNO RTF daily report1'!E744</f>
        <v>0</v>
      </c>
      <c r="F744">
        <f>'[1]SNO RTF daily report1'!F744</f>
        <v>0</v>
      </c>
      <c r="G744">
        <f>'[1]SNO RTF daily report1'!G744</f>
        <v>0</v>
      </c>
      <c r="H744">
        <f>'[1]SNO RTF daily report1'!H744</f>
        <v>0</v>
      </c>
      <c r="I744">
        <f>'[1]SNO RTF daily report1'!I744</f>
        <v>0</v>
      </c>
    </row>
    <row r="745" spans="1:9" x14ac:dyDescent="0.25">
      <c r="A745">
        <f>'[1]SNO RTF daily report1'!A745</f>
        <v>0</v>
      </c>
      <c r="B745">
        <f>'[1]SNO RTF daily report1'!B745</f>
        <v>0</v>
      </c>
      <c r="C745">
        <f>'[1]SNO RTF daily report1'!C745</f>
        <v>0</v>
      </c>
      <c r="D745">
        <f>'[1]SNO RTF daily report1'!D745</f>
        <v>0</v>
      </c>
      <c r="E745">
        <f>'[1]SNO RTF daily report1'!E745</f>
        <v>0</v>
      </c>
      <c r="F745">
        <f>'[1]SNO RTF daily report1'!F745</f>
        <v>0</v>
      </c>
      <c r="G745">
        <f>'[1]SNO RTF daily report1'!G745</f>
        <v>0</v>
      </c>
      <c r="H745">
        <f>'[1]SNO RTF daily report1'!H745</f>
        <v>0</v>
      </c>
      <c r="I745">
        <f>'[1]SNO RTF daily report1'!I745</f>
        <v>0</v>
      </c>
    </row>
    <row r="746" spans="1:9" x14ac:dyDescent="0.25">
      <c r="A746">
        <f>'[1]SNO RTF daily report1'!A746</f>
        <v>0</v>
      </c>
      <c r="B746">
        <f>'[1]SNO RTF daily report1'!B746</f>
        <v>0</v>
      </c>
      <c r="C746">
        <f>'[1]SNO RTF daily report1'!C746</f>
        <v>0</v>
      </c>
      <c r="D746">
        <f>'[1]SNO RTF daily report1'!D746</f>
        <v>0</v>
      </c>
      <c r="E746">
        <f>'[1]SNO RTF daily report1'!E746</f>
        <v>0</v>
      </c>
      <c r="F746">
        <f>'[1]SNO RTF daily report1'!F746</f>
        <v>0</v>
      </c>
      <c r="G746">
        <f>'[1]SNO RTF daily report1'!G746</f>
        <v>0</v>
      </c>
      <c r="H746">
        <f>'[1]SNO RTF daily report1'!H746</f>
        <v>0</v>
      </c>
      <c r="I746">
        <f>'[1]SNO RTF daily report1'!I746</f>
        <v>0</v>
      </c>
    </row>
    <row r="747" spans="1:9" x14ac:dyDescent="0.25">
      <c r="A747">
        <f>'[1]SNO RTF daily report1'!A747</f>
        <v>0</v>
      </c>
      <c r="B747">
        <f>'[1]SNO RTF daily report1'!B747</f>
        <v>0</v>
      </c>
      <c r="C747">
        <f>'[1]SNO RTF daily report1'!C747</f>
        <v>0</v>
      </c>
      <c r="D747">
        <f>'[1]SNO RTF daily report1'!D747</f>
        <v>0</v>
      </c>
      <c r="E747">
        <f>'[1]SNO RTF daily report1'!E747</f>
        <v>0</v>
      </c>
      <c r="F747">
        <f>'[1]SNO RTF daily report1'!F747</f>
        <v>0</v>
      </c>
      <c r="G747">
        <f>'[1]SNO RTF daily report1'!G747</f>
        <v>0</v>
      </c>
      <c r="H747">
        <f>'[1]SNO RTF daily report1'!H747</f>
        <v>0</v>
      </c>
      <c r="I747">
        <f>'[1]SNO RTF daily report1'!I747</f>
        <v>0</v>
      </c>
    </row>
    <row r="748" spans="1:9" x14ac:dyDescent="0.25">
      <c r="A748">
        <f>'[1]SNO RTF daily report1'!A748</f>
        <v>0</v>
      </c>
      <c r="B748">
        <f>'[1]SNO RTF daily report1'!B748</f>
        <v>0</v>
      </c>
      <c r="C748">
        <f>'[1]SNO RTF daily report1'!C748</f>
        <v>0</v>
      </c>
      <c r="D748">
        <f>'[1]SNO RTF daily report1'!D748</f>
        <v>0</v>
      </c>
      <c r="E748">
        <f>'[1]SNO RTF daily report1'!E748</f>
        <v>0</v>
      </c>
      <c r="F748">
        <f>'[1]SNO RTF daily report1'!F748</f>
        <v>0</v>
      </c>
      <c r="G748">
        <f>'[1]SNO RTF daily report1'!G748</f>
        <v>0</v>
      </c>
      <c r="H748">
        <f>'[1]SNO RTF daily report1'!H748</f>
        <v>0</v>
      </c>
      <c r="I748">
        <f>'[1]SNO RTF daily report1'!I748</f>
        <v>0</v>
      </c>
    </row>
    <row r="749" spans="1:9" x14ac:dyDescent="0.25">
      <c r="A749">
        <f>'[1]SNO RTF daily report1'!A749</f>
        <v>0</v>
      </c>
      <c r="B749">
        <f>'[1]SNO RTF daily report1'!B749</f>
        <v>0</v>
      </c>
      <c r="C749">
        <f>'[1]SNO RTF daily report1'!C749</f>
        <v>0</v>
      </c>
      <c r="D749">
        <f>'[1]SNO RTF daily report1'!D749</f>
        <v>0</v>
      </c>
      <c r="E749">
        <f>'[1]SNO RTF daily report1'!E749</f>
        <v>0</v>
      </c>
      <c r="F749">
        <f>'[1]SNO RTF daily report1'!F749</f>
        <v>0</v>
      </c>
      <c r="G749">
        <f>'[1]SNO RTF daily report1'!G749</f>
        <v>0</v>
      </c>
      <c r="H749">
        <f>'[1]SNO RTF daily report1'!H749</f>
        <v>0</v>
      </c>
      <c r="I749">
        <f>'[1]SNO RTF daily report1'!I749</f>
        <v>0</v>
      </c>
    </row>
    <row r="750" spans="1:9" x14ac:dyDescent="0.25">
      <c r="A750">
        <f>'[1]SNO RTF daily report1'!A750</f>
        <v>0</v>
      </c>
      <c r="B750">
        <f>'[1]SNO RTF daily report1'!B750</f>
        <v>0</v>
      </c>
      <c r="C750">
        <f>'[1]SNO RTF daily report1'!C750</f>
        <v>0</v>
      </c>
      <c r="D750">
        <f>'[1]SNO RTF daily report1'!D750</f>
        <v>0</v>
      </c>
      <c r="E750">
        <f>'[1]SNO RTF daily report1'!E750</f>
        <v>0</v>
      </c>
      <c r="F750">
        <f>'[1]SNO RTF daily report1'!F750</f>
        <v>0</v>
      </c>
      <c r="G750">
        <f>'[1]SNO RTF daily report1'!G750</f>
        <v>0</v>
      </c>
      <c r="H750">
        <f>'[1]SNO RTF daily report1'!H750</f>
        <v>0</v>
      </c>
      <c r="I750">
        <f>'[1]SNO RTF daily report1'!I750</f>
        <v>0</v>
      </c>
    </row>
    <row r="751" spans="1:9" x14ac:dyDescent="0.25">
      <c r="A751">
        <f>'[1]SNO RTF daily report1'!A751</f>
        <v>0</v>
      </c>
      <c r="B751">
        <f>'[1]SNO RTF daily report1'!B751</f>
        <v>0</v>
      </c>
      <c r="C751">
        <f>'[1]SNO RTF daily report1'!C751</f>
        <v>0</v>
      </c>
      <c r="D751">
        <f>'[1]SNO RTF daily report1'!D751</f>
        <v>0</v>
      </c>
      <c r="E751">
        <f>'[1]SNO RTF daily report1'!E751</f>
        <v>0</v>
      </c>
      <c r="F751">
        <f>'[1]SNO RTF daily report1'!F751</f>
        <v>0</v>
      </c>
      <c r="G751">
        <f>'[1]SNO RTF daily report1'!G751</f>
        <v>0</v>
      </c>
      <c r="H751">
        <f>'[1]SNO RTF daily report1'!H751</f>
        <v>0</v>
      </c>
      <c r="I751">
        <f>'[1]SNO RTF daily report1'!I751</f>
        <v>0</v>
      </c>
    </row>
    <row r="752" spans="1:9" x14ac:dyDescent="0.25">
      <c r="A752">
        <f>'[1]SNO RTF daily report1'!A752</f>
        <v>0</v>
      </c>
      <c r="B752">
        <f>'[1]SNO RTF daily report1'!B752</f>
        <v>0</v>
      </c>
      <c r="C752">
        <f>'[1]SNO RTF daily report1'!C752</f>
        <v>0</v>
      </c>
      <c r="D752">
        <f>'[1]SNO RTF daily report1'!D752</f>
        <v>0</v>
      </c>
      <c r="E752">
        <f>'[1]SNO RTF daily report1'!E752</f>
        <v>0</v>
      </c>
      <c r="F752">
        <f>'[1]SNO RTF daily report1'!F752</f>
        <v>0</v>
      </c>
      <c r="G752">
        <f>'[1]SNO RTF daily report1'!G752</f>
        <v>0</v>
      </c>
      <c r="H752">
        <f>'[1]SNO RTF daily report1'!H752</f>
        <v>0</v>
      </c>
      <c r="I752">
        <f>'[1]SNO RTF daily report1'!I752</f>
        <v>0</v>
      </c>
    </row>
    <row r="753" spans="1:9" x14ac:dyDescent="0.25">
      <c r="A753">
        <f>'[1]SNO RTF daily report1'!A753</f>
        <v>0</v>
      </c>
      <c r="B753">
        <f>'[1]SNO RTF daily report1'!B753</f>
        <v>0</v>
      </c>
      <c r="C753">
        <f>'[1]SNO RTF daily report1'!C753</f>
        <v>0</v>
      </c>
      <c r="D753">
        <f>'[1]SNO RTF daily report1'!D753</f>
        <v>0</v>
      </c>
      <c r="E753">
        <f>'[1]SNO RTF daily report1'!E753</f>
        <v>0</v>
      </c>
      <c r="F753">
        <f>'[1]SNO RTF daily report1'!F753</f>
        <v>0</v>
      </c>
      <c r="G753">
        <f>'[1]SNO RTF daily report1'!G753</f>
        <v>0</v>
      </c>
      <c r="H753">
        <f>'[1]SNO RTF daily report1'!H753</f>
        <v>0</v>
      </c>
      <c r="I753">
        <f>'[1]SNO RTF daily report1'!I753</f>
        <v>0</v>
      </c>
    </row>
    <row r="754" spans="1:9" x14ac:dyDescent="0.25">
      <c r="A754">
        <f>'[1]SNO RTF daily report1'!A754</f>
        <v>0</v>
      </c>
      <c r="B754">
        <f>'[1]SNO RTF daily report1'!B754</f>
        <v>0</v>
      </c>
      <c r="C754">
        <f>'[1]SNO RTF daily report1'!C754</f>
        <v>0</v>
      </c>
      <c r="D754">
        <f>'[1]SNO RTF daily report1'!D754</f>
        <v>0</v>
      </c>
      <c r="E754">
        <f>'[1]SNO RTF daily report1'!E754</f>
        <v>0</v>
      </c>
      <c r="F754">
        <f>'[1]SNO RTF daily report1'!F754</f>
        <v>0</v>
      </c>
      <c r="G754">
        <f>'[1]SNO RTF daily report1'!G754</f>
        <v>0</v>
      </c>
      <c r="H754">
        <f>'[1]SNO RTF daily report1'!H754</f>
        <v>0</v>
      </c>
      <c r="I754">
        <f>'[1]SNO RTF daily report1'!I754</f>
        <v>0</v>
      </c>
    </row>
    <row r="755" spans="1:9" x14ac:dyDescent="0.25">
      <c r="A755">
        <f>'[1]SNO RTF daily report1'!A755</f>
        <v>0</v>
      </c>
      <c r="B755">
        <f>'[1]SNO RTF daily report1'!B755</f>
        <v>0</v>
      </c>
      <c r="C755">
        <f>'[1]SNO RTF daily report1'!C755</f>
        <v>0</v>
      </c>
      <c r="D755">
        <f>'[1]SNO RTF daily report1'!D755</f>
        <v>0</v>
      </c>
      <c r="E755">
        <f>'[1]SNO RTF daily report1'!E755</f>
        <v>0</v>
      </c>
      <c r="F755">
        <f>'[1]SNO RTF daily report1'!F755</f>
        <v>0</v>
      </c>
      <c r="G755">
        <f>'[1]SNO RTF daily report1'!G755</f>
        <v>0</v>
      </c>
      <c r="H755">
        <f>'[1]SNO RTF daily report1'!H755</f>
        <v>0</v>
      </c>
      <c r="I755">
        <f>'[1]SNO RTF daily report1'!I755</f>
        <v>0</v>
      </c>
    </row>
    <row r="756" spans="1:9" x14ac:dyDescent="0.25">
      <c r="A756">
        <f>'[1]SNO RTF daily report1'!A756</f>
        <v>0</v>
      </c>
      <c r="B756">
        <f>'[1]SNO RTF daily report1'!B756</f>
        <v>0</v>
      </c>
      <c r="C756">
        <f>'[1]SNO RTF daily report1'!C756</f>
        <v>0</v>
      </c>
      <c r="D756">
        <f>'[1]SNO RTF daily report1'!D756</f>
        <v>0</v>
      </c>
      <c r="E756">
        <f>'[1]SNO RTF daily report1'!E756</f>
        <v>0</v>
      </c>
      <c r="F756">
        <f>'[1]SNO RTF daily report1'!F756</f>
        <v>0</v>
      </c>
      <c r="G756">
        <f>'[1]SNO RTF daily report1'!G756</f>
        <v>0</v>
      </c>
      <c r="H756">
        <f>'[1]SNO RTF daily report1'!H756</f>
        <v>0</v>
      </c>
      <c r="I756">
        <f>'[1]SNO RTF daily report1'!I756</f>
        <v>0</v>
      </c>
    </row>
    <row r="757" spans="1:9" x14ac:dyDescent="0.25">
      <c r="A757">
        <f>'[1]SNO RTF daily report1'!A757</f>
        <v>0</v>
      </c>
      <c r="B757">
        <f>'[1]SNO RTF daily report1'!B757</f>
        <v>0</v>
      </c>
      <c r="C757">
        <f>'[1]SNO RTF daily report1'!C757</f>
        <v>0</v>
      </c>
      <c r="D757">
        <f>'[1]SNO RTF daily report1'!D757</f>
        <v>0</v>
      </c>
      <c r="E757">
        <f>'[1]SNO RTF daily report1'!E757</f>
        <v>0</v>
      </c>
      <c r="F757">
        <f>'[1]SNO RTF daily report1'!F757</f>
        <v>0</v>
      </c>
      <c r="G757">
        <f>'[1]SNO RTF daily report1'!G757</f>
        <v>0</v>
      </c>
      <c r="H757">
        <f>'[1]SNO RTF daily report1'!H757</f>
        <v>0</v>
      </c>
      <c r="I757">
        <f>'[1]SNO RTF daily report1'!I757</f>
        <v>0</v>
      </c>
    </row>
    <row r="758" spans="1:9" x14ac:dyDescent="0.25">
      <c r="A758">
        <f>'[1]SNO RTF daily report1'!A758</f>
        <v>0</v>
      </c>
      <c r="B758">
        <f>'[1]SNO RTF daily report1'!B758</f>
        <v>0</v>
      </c>
      <c r="C758">
        <f>'[1]SNO RTF daily report1'!C758</f>
        <v>0</v>
      </c>
      <c r="D758">
        <f>'[1]SNO RTF daily report1'!D758</f>
        <v>0</v>
      </c>
      <c r="E758">
        <f>'[1]SNO RTF daily report1'!E758</f>
        <v>0</v>
      </c>
      <c r="F758">
        <f>'[1]SNO RTF daily report1'!F758</f>
        <v>0</v>
      </c>
      <c r="G758">
        <f>'[1]SNO RTF daily report1'!G758</f>
        <v>0</v>
      </c>
      <c r="H758">
        <f>'[1]SNO RTF daily report1'!H758</f>
        <v>0</v>
      </c>
      <c r="I758">
        <f>'[1]SNO RTF daily report1'!I758</f>
        <v>0</v>
      </c>
    </row>
    <row r="759" spans="1:9" x14ac:dyDescent="0.25">
      <c r="A759">
        <f>'[1]SNO RTF daily report1'!A759</f>
        <v>0</v>
      </c>
      <c r="B759">
        <f>'[1]SNO RTF daily report1'!B759</f>
        <v>0</v>
      </c>
      <c r="C759">
        <f>'[1]SNO RTF daily report1'!C759</f>
        <v>0</v>
      </c>
      <c r="D759">
        <f>'[1]SNO RTF daily report1'!D759</f>
        <v>0</v>
      </c>
      <c r="E759">
        <f>'[1]SNO RTF daily report1'!E759</f>
        <v>0</v>
      </c>
      <c r="F759">
        <f>'[1]SNO RTF daily report1'!F759</f>
        <v>0</v>
      </c>
      <c r="G759">
        <f>'[1]SNO RTF daily report1'!G759</f>
        <v>0</v>
      </c>
      <c r="H759">
        <f>'[1]SNO RTF daily report1'!H759</f>
        <v>0</v>
      </c>
      <c r="I759">
        <f>'[1]SNO RTF daily report1'!I759</f>
        <v>0</v>
      </c>
    </row>
    <row r="760" spans="1:9" x14ac:dyDescent="0.25">
      <c r="A760">
        <f>'[1]SNO RTF daily report1'!A760</f>
        <v>0</v>
      </c>
      <c r="B760">
        <f>'[1]SNO RTF daily report1'!B760</f>
        <v>0</v>
      </c>
      <c r="C760">
        <f>'[1]SNO RTF daily report1'!C760</f>
        <v>0</v>
      </c>
      <c r="D760">
        <f>'[1]SNO RTF daily report1'!D760</f>
        <v>0</v>
      </c>
      <c r="E760">
        <f>'[1]SNO RTF daily report1'!E760</f>
        <v>0</v>
      </c>
      <c r="F760">
        <f>'[1]SNO RTF daily report1'!F760</f>
        <v>0</v>
      </c>
      <c r="G760">
        <f>'[1]SNO RTF daily report1'!G760</f>
        <v>0</v>
      </c>
      <c r="H760">
        <f>'[1]SNO RTF daily report1'!H760</f>
        <v>0</v>
      </c>
      <c r="I760">
        <f>'[1]SNO RTF daily report1'!I760</f>
        <v>0</v>
      </c>
    </row>
    <row r="761" spans="1:9" x14ac:dyDescent="0.25">
      <c r="A761">
        <f>'[1]SNO RTF daily report1'!A761</f>
        <v>0</v>
      </c>
      <c r="B761">
        <f>'[1]SNO RTF daily report1'!B761</f>
        <v>0</v>
      </c>
      <c r="C761">
        <f>'[1]SNO RTF daily report1'!C761</f>
        <v>0</v>
      </c>
      <c r="D761">
        <f>'[1]SNO RTF daily report1'!D761</f>
        <v>0</v>
      </c>
      <c r="E761">
        <f>'[1]SNO RTF daily report1'!E761</f>
        <v>0</v>
      </c>
      <c r="F761">
        <f>'[1]SNO RTF daily report1'!F761</f>
        <v>0</v>
      </c>
      <c r="G761">
        <f>'[1]SNO RTF daily report1'!G761</f>
        <v>0</v>
      </c>
      <c r="H761">
        <f>'[1]SNO RTF daily report1'!H761</f>
        <v>0</v>
      </c>
      <c r="I761">
        <f>'[1]SNO RTF daily report1'!I761</f>
        <v>0</v>
      </c>
    </row>
    <row r="762" spans="1:9" x14ac:dyDescent="0.25">
      <c r="A762">
        <f>'[1]SNO RTF daily report1'!A762</f>
        <v>0</v>
      </c>
      <c r="B762">
        <f>'[1]SNO RTF daily report1'!B762</f>
        <v>0</v>
      </c>
      <c r="C762">
        <f>'[1]SNO RTF daily report1'!C762</f>
        <v>0</v>
      </c>
      <c r="D762">
        <f>'[1]SNO RTF daily report1'!D762</f>
        <v>0</v>
      </c>
      <c r="E762">
        <f>'[1]SNO RTF daily report1'!E762</f>
        <v>0</v>
      </c>
      <c r="F762">
        <f>'[1]SNO RTF daily report1'!F762</f>
        <v>0</v>
      </c>
      <c r="G762">
        <f>'[1]SNO RTF daily report1'!G762</f>
        <v>0</v>
      </c>
      <c r="H762">
        <f>'[1]SNO RTF daily report1'!H762</f>
        <v>0</v>
      </c>
      <c r="I762">
        <f>'[1]SNO RTF daily report1'!I762</f>
        <v>0</v>
      </c>
    </row>
    <row r="763" spans="1:9" x14ac:dyDescent="0.25">
      <c r="A763">
        <f>'[1]SNO RTF daily report1'!A763</f>
        <v>0</v>
      </c>
      <c r="B763">
        <f>'[1]SNO RTF daily report1'!B763</f>
        <v>0</v>
      </c>
      <c r="C763">
        <f>'[1]SNO RTF daily report1'!C763</f>
        <v>0</v>
      </c>
      <c r="D763">
        <f>'[1]SNO RTF daily report1'!D763</f>
        <v>0</v>
      </c>
      <c r="E763">
        <f>'[1]SNO RTF daily report1'!E763</f>
        <v>0</v>
      </c>
      <c r="F763">
        <f>'[1]SNO RTF daily report1'!F763</f>
        <v>0</v>
      </c>
      <c r="G763">
        <f>'[1]SNO RTF daily report1'!G763</f>
        <v>0</v>
      </c>
      <c r="H763">
        <f>'[1]SNO RTF daily report1'!H763</f>
        <v>0</v>
      </c>
      <c r="I763">
        <f>'[1]SNO RTF daily report1'!I763</f>
        <v>0</v>
      </c>
    </row>
    <row r="764" spans="1:9" x14ac:dyDescent="0.25">
      <c r="A764">
        <f>'[1]SNO RTF daily report1'!A764</f>
        <v>0</v>
      </c>
      <c r="B764">
        <f>'[1]SNO RTF daily report1'!B764</f>
        <v>0</v>
      </c>
      <c r="C764">
        <f>'[1]SNO RTF daily report1'!C764</f>
        <v>0</v>
      </c>
      <c r="D764">
        <f>'[1]SNO RTF daily report1'!D764</f>
        <v>0</v>
      </c>
      <c r="E764">
        <f>'[1]SNO RTF daily report1'!E764</f>
        <v>0</v>
      </c>
      <c r="F764">
        <f>'[1]SNO RTF daily report1'!F764</f>
        <v>0</v>
      </c>
      <c r="G764">
        <f>'[1]SNO RTF daily report1'!G764</f>
        <v>0</v>
      </c>
      <c r="H764">
        <f>'[1]SNO RTF daily report1'!H764</f>
        <v>0</v>
      </c>
      <c r="I764">
        <f>'[1]SNO RTF daily report1'!I764</f>
        <v>0</v>
      </c>
    </row>
    <row r="765" spans="1:9" x14ac:dyDescent="0.25">
      <c r="A765">
        <f>'[1]SNO RTF daily report1'!A765</f>
        <v>0</v>
      </c>
      <c r="B765">
        <f>'[1]SNO RTF daily report1'!B765</f>
        <v>0</v>
      </c>
      <c r="C765">
        <f>'[1]SNO RTF daily report1'!C765</f>
        <v>0</v>
      </c>
      <c r="D765">
        <f>'[1]SNO RTF daily report1'!D765</f>
        <v>0</v>
      </c>
      <c r="E765">
        <f>'[1]SNO RTF daily report1'!E765</f>
        <v>0</v>
      </c>
      <c r="F765">
        <f>'[1]SNO RTF daily report1'!F765</f>
        <v>0</v>
      </c>
      <c r="G765">
        <f>'[1]SNO RTF daily report1'!G765</f>
        <v>0</v>
      </c>
      <c r="H765">
        <f>'[1]SNO RTF daily report1'!H765</f>
        <v>0</v>
      </c>
      <c r="I765">
        <f>'[1]SNO RTF daily report1'!I765</f>
        <v>0</v>
      </c>
    </row>
    <row r="766" spans="1:9" x14ac:dyDescent="0.25">
      <c r="A766">
        <f>'[1]SNO RTF daily report1'!A766</f>
        <v>0</v>
      </c>
      <c r="B766">
        <f>'[1]SNO RTF daily report1'!B766</f>
        <v>0</v>
      </c>
      <c r="C766">
        <f>'[1]SNO RTF daily report1'!C766</f>
        <v>0</v>
      </c>
      <c r="D766">
        <f>'[1]SNO RTF daily report1'!D766</f>
        <v>0</v>
      </c>
      <c r="E766">
        <f>'[1]SNO RTF daily report1'!E766</f>
        <v>0</v>
      </c>
      <c r="F766">
        <f>'[1]SNO RTF daily report1'!F766</f>
        <v>0</v>
      </c>
      <c r="G766">
        <f>'[1]SNO RTF daily report1'!G766</f>
        <v>0</v>
      </c>
      <c r="H766">
        <f>'[1]SNO RTF daily report1'!H766</f>
        <v>0</v>
      </c>
      <c r="I766">
        <f>'[1]SNO RTF daily report1'!I766</f>
        <v>0</v>
      </c>
    </row>
    <row r="767" spans="1:9" x14ac:dyDescent="0.25">
      <c r="A767">
        <f>'[1]SNO RTF daily report1'!A767</f>
        <v>0</v>
      </c>
      <c r="B767">
        <f>'[1]SNO RTF daily report1'!B767</f>
        <v>0</v>
      </c>
      <c r="C767">
        <f>'[1]SNO RTF daily report1'!C767</f>
        <v>0</v>
      </c>
      <c r="D767">
        <f>'[1]SNO RTF daily report1'!D767</f>
        <v>0</v>
      </c>
      <c r="E767">
        <f>'[1]SNO RTF daily report1'!E767</f>
        <v>0</v>
      </c>
      <c r="F767">
        <f>'[1]SNO RTF daily report1'!F767</f>
        <v>0</v>
      </c>
      <c r="G767">
        <f>'[1]SNO RTF daily report1'!G767</f>
        <v>0</v>
      </c>
      <c r="H767">
        <f>'[1]SNO RTF daily report1'!H767</f>
        <v>0</v>
      </c>
      <c r="I767">
        <f>'[1]SNO RTF daily report1'!I767</f>
        <v>0</v>
      </c>
    </row>
    <row r="768" spans="1:9" x14ac:dyDescent="0.25">
      <c r="A768">
        <f>'[1]SNO RTF daily report1'!A768</f>
        <v>0</v>
      </c>
      <c r="B768">
        <f>'[1]SNO RTF daily report1'!B768</f>
        <v>0</v>
      </c>
      <c r="C768">
        <f>'[1]SNO RTF daily report1'!C768</f>
        <v>0</v>
      </c>
      <c r="D768">
        <f>'[1]SNO RTF daily report1'!D768</f>
        <v>0</v>
      </c>
      <c r="E768">
        <f>'[1]SNO RTF daily report1'!E768</f>
        <v>0</v>
      </c>
      <c r="F768">
        <f>'[1]SNO RTF daily report1'!F768</f>
        <v>0</v>
      </c>
      <c r="G768">
        <f>'[1]SNO RTF daily report1'!G768</f>
        <v>0</v>
      </c>
      <c r="H768">
        <f>'[1]SNO RTF daily report1'!H768</f>
        <v>0</v>
      </c>
      <c r="I768">
        <f>'[1]SNO RTF daily report1'!I768</f>
        <v>0</v>
      </c>
    </row>
    <row r="769" spans="1:9" x14ac:dyDescent="0.25">
      <c r="A769">
        <f>'[1]SNO RTF daily report1'!A769</f>
        <v>0</v>
      </c>
      <c r="B769">
        <f>'[1]SNO RTF daily report1'!B769</f>
        <v>0</v>
      </c>
      <c r="C769">
        <f>'[1]SNO RTF daily report1'!C769</f>
        <v>0</v>
      </c>
      <c r="D769">
        <f>'[1]SNO RTF daily report1'!D769</f>
        <v>0</v>
      </c>
      <c r="E769">
        <f>'[1]SNO RTF daily report1'!E769</f>
        <v>0</v>
      </c>
      <c r="F769">
        <f>'[1]SNO RTF daily report1'!F769</f>
        <v>0</v>
      </c>
      <c r="G769">
        <f>'[1]SNO RTF daily report1'!G769</f>
        <v>0</v>
      </c>
      <c r="H769">
        <f>'[1]SNO RTF daily report1'!H769</f>
        <v>0</v>
      </c>
      <c r="I769">
        <f>'[1]SNO RTF daily report1'!I769</f>
        <v>0</v>
      </c>
    </row>
    <row r="770" spans="1:9" x14ac:dyDescent="0.25">
      <c r="A770">
        <f>'[1]SNO RTF daily report1'!A770</f>
        <v>0</v>
      </c>
      <c r="B770">
        <f>'[1]SNO RTF daily report1'!B770</f>
        <v>0</v>
      </c>
      <c r="C770">
        <f>'[1]SNO RTF daily report1'!C770</f>
        <v>0</v>
      </c>
      <c r="D770">
        <f>'[1]SNO RTF daily report1'!D770</f>
        <v>0</v>
      </c>
      <c r="E770">
        <f>'[1]SNO RTF daily report1'!E770</f>
        <v>0</v>
      </c>
      <c r="F770">
        <f>'[1]SNO RTF daily report1'!F770</f>
        <v>0</v>
      </c>
      <c r="G770">
        <f>'[1]SNO RTF daily report1'!G770</f>
        <v>0</v>
      </c>
      <c r="H770">
        <f>'[1]SNO RTF daily report1'!H770</f>
        <v>0</v>
      </c>
      <c r="I770">
        <f>'[1]SNO RTF daily report1'!I770</f>
        <v>0</v>
      </c>
    </row>
    <row r="771" spans="1:9" x14ac:dyDescent="0.25">
      <c r="A771">
        <f>'[1]SNO RTF daily report1'!A771</f>
        <v>0</v>
      </c>
      <c r="B771">
        <f>'[1]SNO RTF daily report1'!B771</f>
        <v>0</v>
      </c>
      <c r="C771">
        <f>'[1]SNO RTF daily report1'!C771</f>
        <v>0</v>
      </c>
      <c r="D771">
        <f>'[1]SNO RTF daily report1'!D771</f>
        <v>0</v>
      </c>
      <c r="E771">
        <f>'[1]SNO RTF daily report1'!E771</f>
        <v>0</v>
      </c>
      <c r="F771">
        <f>'[1]SNO RTF daily report1'!F771</f>
        <v>0</v>
      </c>
      <c r="G771">
        <f>'[1]SNO RTF daily report1'!G771</f>
        <v>0</v>
      </c>
      <c r="H771">
        <f>'[1]SNO RTF daily report1'!H771</f>
        <v>0</v>
      </c>
      <c r="I771">
        <f>'[1]SNO RTF daily report1'!I771</f>
        <v>0</v>
      </c>
    </row>
    <row r="772" spans="1:9" x14ac:dyDescent="0.25">
      <c r="A772">
        <f>'[1]SNO RTF daily report1'!A772</f>
        <v>0</v>
      </c>
      <c r="B772">
        <f>'[1]SNO RTF daily report1'!B772</f>
        <v>0</v>
      </c>
      <c r="C772">
        <f>'[1]SNO RTF daily report1'!C772</f>
        <v>0</v>
      </c>
      <c r="D772">
        <f>'[1]SNO RTF daily report1'!D772</f>
        <v>0</v>
      </c>
      <c r="E772">
        <f>'[1]SNO RTF daily report1'!E772</f>
        <v>0</v>
      </c>
      <c r="F772">
        <f>'[1]SNO RTF daily report1'!F772</f>
        <v>0</v>
      </c>
      <c r="G772">
        <f>'[1]SNO RTF daily report1'!G772</f>
        <v>0</v>
      </c>
      <c r="H772">
        <f>'[1]SNO RTF daily report1'!H772</f>
        <v>0</v>
      </c>
      <c r="I772">
        <f>'[1]SNO RTF daily report1'!I772</f>
        <v>0</v>
      </c>
    </row>
    <row r="773" spans="1:9" x14ac:dyDescent="0.25">
      <c r="A773">
        <f>'[1]SNO RTF daily report1'!A773</f>
        <v>0</v>
      </c>
      <c r="B773">
        <f>'[1]SNO RTF daily report1'!B773</f>
        <v>0</v>
      </c>
      <c r="C773">
        <f>'[1]SNO RTF daily report1'!C773</f>
        <v>0</v>
      </c>
      <c r="D773">
        <f>'[1]SNO RTF daily report1'!D773</f>
        <v>0</v>
      </c>
      <c r="E773">
        <f>'[1]SNO RTF daily report1'!E773</f>
        <v>0</v>
      </c>
      <c r="F773">
        <f>'[1]SNO RTF daily report1'!F773</f>
        <v>0</v>
      </c>
      <c r="G773">
        <f>'[1]SNO RTF daily report1'!G773</f>
        <v>0</v>
      </c>
      <c r="H773">
        <f>'[1]SNO RTF daily report1'!H773</f>
        <v>0</v>
      </c>
      <c r="I773">
        <f>'[1]SNO RTF daily report1'!I773</f>
        <v>0</v>
      </c>
    </row>
    <row r="774" spans="1:9" x14ac:dyDescent="0.25">
      <c r="A774">
        <f>'[1]SNO RTF daily report1'!A774</f>
        <v>0</v>
      </c>
      <c r="B774">
        <f>'[1]SNO RTF daily report1'!B774</f>
        <v>0</v>
      </c>
      <c r="C774">
        <f>'[1]SNO RTF daily report1'!C774</f>
        <v>0</v>
      </c>
      <c r="D774">
        <f>'[1]SNO RTF daily report1'!D774</f>
        <v>0</v>
      </c>
      <c r="E774">
        <f>'[1]SNO RTF daily report1'!E774</f>
        <v>0</v>
      </c>
      <c r="F774">
        <f>'[1]SNO RTF daily report1'!F774</f>
        <v>0</v>
      </c>
      <c r="G774">
        <f>'[1]SNO RTF daily report1'!G774</f>
        <v>0</v>
      </c>
      <c r="H774">
        <f>'[1]SNO RTF daily report1'!H774</f>
        <v>0</v>
      </c>
      <c r="I774">
        <f>'[1]SNO RTF daily report1'!I774</f>
        <v>0</v>
      </c>
    </row>
    <row r="775" spans="1:9" x14ac:dyDescent="0.25">
      <c r="A775">
        <f>'[1]SNO RTF daily report1'!A775</f>
        <v>0</v>
      </c>
      <c r="B775">
        <f>'[1]SNO RTF daily report1'!B775</f>
        <v>0</v>
      </c>
      <c r="C775">
        <f>'[1]SNO RTF daily report1'!C775</f>
        <v>0</v>
      </c>
      <c r="D775">
        <f>'[1]SNO RTF daily report1'!D775</f>
        <v>0</v>
      </c>
      <c r="E775">
        <f>'[1]SNO RTF daily report1'!E775</f>
        <v>0</v>
      </c>
      <c r="F775">
        <f>'[1]SNO RTF daily report1'!F775</f>
        <v>0</v>
      </c>
      <c r="G775">
        <f>'[1]SNO RTF daily report1'!G775</f>
        <v>0</v>
      </c>
      <c r="H775">
        <f>'[1]SNO RTF daily report1'!H775</f>
        <v>0</v>
      </c>
      <c r="I775">
        <f>'[1]SNO RTF daily report1'!I775</f>
        <v>0</v>
      </c>
    </row>
    <row r="776" spans="1:9" x14ac:dyDescent="0.25">
      <c r="A776">
        <f>'[1]SNO RTF daily report1'!A776</f>
        <v>0</v>
      </c>
      <c r="B776">
        <f>'[1]SNO RTF daily report1'!B776</f>
        <v>0</v>
      </c>
      <c r="C776">
        <f>'[1]SNO RTF daily report1'!C776</f>
        <v>0</v>
      </c>
      <c r="D776">
        <f>'[1]SNO RTF daily report1'!D776</f>
        <v>0</v>
      </c>
      <c r="E776">
        <f>'[1]SNO RTF daily report1'!E776</f>
        <v>0</v>
      </c>
      <c r="F776">
        <f>'[1]SNO RTF daily report1'!F776</f>
        <v>0</v>
      </c>
      <c r="G776">
        <f>'[1]SNO RTF daily report1'!G776</f>
        <v>0</v>
      </c>
      <c r="H776">
        <f>'[1]SNO RTF daily report1'!H776</f>
        <v>0</v>
      </c>
      <c r="I776">
        <f>'[1]SNO RTF daily report1'!I776</f>
        <v>0</v>
      </c>
    </row>
    <row r="777" spans="1:9" x14ac:dyDescent="0.25">
      <c r="A777">
        <f>'[1]SNO RTF daily report1'!A777</f>
        <v>0</v>
      </c>
      <c r="B777">
        <f>'[1]SNO RTF daily report1'!B777</f>
        <v>0</v>
      </c>
      <c r="C777">
        <f>'[1]SNO RTF daily report1'!C777</f>
        <v>0</v>
      </c>
      <c r="D777">
        <f>'[1]SNO RTF daily report1'!D777</f>
        <v>0</v>
      </c>
      <c r="E777">
        <f>'[1]SNO RTF daily report1'!E777</f>
        <v>0</v>
      </c>
      <c r="F777">
        <f>'[1]SNO RTF daily report1'!F777</f>
        <v>0</v>
      </c>
      <c r="G777">
        <f>'[1]SNO RTF daily report1'!G777</f>
        <v>0</v>
      </c>
      <c r="H777">
        <f>'[1]SNO RTF daily report1'!H777</f>
        <v>0</v>
      </c>
      <c r="I777">
        <f>'[1]SNO RTF daily report1'!I777</f>
        <v>0</v>
      </c>
    </row>
    <row r="778" spans="1:9" x14ac:dyDescent="0.25">
      <c r="A778">
        <f>'[1]SNO RTF daily report1'!A778</f>
        <v>0</v>
      </c>
      <c r="B778">
        <f>'[1]SNO RTF daily report1'!B778</f>
        <v>0</v>
      </c>
      <c r="C778">
        <f>'[1]SNO RTF daily report1'!C778</f>
        <v>0</v>
      </c>
      <c r="D778">
        <f>'[1]SNO RTF daily report1'!D778</f>
        <v>0</v>
      </c>
      <c r="E778">
        <f>'[1]SNO RTF daily report1'!E778</f>
        <v>0</v>
      </c>
      <c r="F778">
        <f>'[1]SNO RTF daily report1'!F778</f>
        <v>0</v>
      </c>
      <c r="G778">
        <f>'[1]SNO RTF daily report1'!G778</f>
        <v>0</v>
      </c>
      <c r="H778">
        <f>'[1]SNO RTF daily report1'!H778</f>
        <v>0</v>
      </c>
      <c r="I778">
        <f>'[1]SNO RTF daily report1'!I778</f>
        <v>0</v>
      </c>
    </row>
    <row r="779" spans="1:9" x14ac:dyDescent="0.25">
      <c r="A779">
        <f>'[1]SNO RTF daily report1'!A779</f>
        <v>0</v>
      </c>
      <c r="B779">
        <f>'[1]SNO RTF daily report1'!B779</f>
        <v>0</v>
      </c>
      <c r="C779">
        <f>'[1]SNO RTF daily report1'!C779</f>
        <v>0</v>
      </c>
      <c r="D779">
        <f>'[1]SNO RTF daily report1'!D779</f>
        <v>0</v>
      </c>
      <c r="E779">
        <f>'[1]SNO RTF daily report1'!E779</f>
        <v>0</v>
      </c>
      <c r="F779">
        <f>'[1]SNO RTF daily report1'!F779</f>
        <v>0</v>
      </c>
      <c r="G779">
        <f>'[1]SNO RTF daily report1'!G779</f>
        <v>0</v>
      </c>
      <c r="H779">
        <f>'[1]SNO RTF daily report1'!H779</f>
        <v>0</v>
      </c>
      <c r="I779">
        <f>'[1]SNO RTF daily report1'!I779</f>
        <v>0</v>
      </c>
    </row>
    <row r="780" spans="1:9" x14ac:dyDescent="0.25">
      <c r="A780">
        <f>'[1]SNO RTF daily report1'!A780</f>
        <v>0</v>
      </c>
      <c r="B780">
        <f>'[1]SNO RTF daily report1'!B780</f>
        <v>0</v>
      </c>
      <c r="C780">
        <f>'[1]SNO RTF daily report1'!C780</f>
        <v>0</v>
      </c>
      <c r="D780">
        <f>'[1]SNO RTF daily report1'!D780</f>
        <v>0</v>
      </c>
      <c r="E780">
        <f>'[1]SNO RTF daily report1'!E780</f>
        <v>0</v>
      </c>
      <c r="F780">
        <f>'[1]SNO RTF daily report1'!F780</f>
        <v>0</v>
      </c>
      <c r="G780">
        <f>'[1]SNO RTF daily report1'!G780</f>
        <v>0</v>
      </c>
      <c r="H780">
        <f>'[1]SNO RTF daily report1'!H780</f>
        <v>0</v>
      </c>
      <c r="I780">
        <f>'[1]SNO RTF daily report1'!I780</f>
        <v>0</v>
      </c>
    </row>
    <row r="781" spans="1:9" x14ac:dyDescent="0.25">
      <c r="A781">
        <f>'[1]SNO RTF daily report1'!A781</f>
        <v>0</v>
      </c>
      <c r="B781">
        <f>'[1]SNO RTF daily report1'!B781</f>
        <v>0</v>
      </c>
      <c r="C781">
        <f>'[1]SNO RTF daily report1'!C781</f>
        <v>0</v>
      </c>
      <c r="D781">
        <f>'[1]SNO RTF daily report1'!D781</f>
        <v>0</v>
      </c>
      <c r="E781">
        <f>'[1]SNO RTF daily report1'!E781</f>
        <v>0</v>
      </c>
      <c r="F781">
        <f>'[1]SNO RTF daily report1'!F781</f>
        <v>0</v>
      </c>
      <c r="G781">
        <f>'[1]SNO RTF daily report1'!G781</f>
        <v>0</v>
      </c>
      <c r="H781">
        <f>'[1]SNO RTF daily report1'!H781</f>
        <v>0</v>
      </c>
      <c r="I781">
        <f>'[1]SNO RTF daily report1'!I781</f>
        <v>0</v>
      </c>
    </row>
    <row r="782" spans="1:9" x14ac:dyDescent="0.25">
      <c r="A782">
        <f>'[1]SNO RTF daily report1'!A782</f>
        <v>0</v>
      </c>
      <c r="B782">
        <f>'[1]SNO RTF daily report1'!B782</f>
        <v>0</v>
      </c>
      <c r="C782">
        <f>'[1]SNO RTF daily report1'!C782</f>
        <v>0</v>
      </c>
      <c r="D782">
        <f>'[1]SNO RTF daily report1'!D782</f>
        <v>0</v>
      </c>
      <c r="E782">
        <f>'[1]SNO RTF daily report1'!E782</f>
        <v>0</v>
      </c>
      <c r="F782">
        <f>'[1]SNO RTF daily report1'!F782</f>
        <v>0</v>
      </c>
      <c r="G782">
        <f>'[1]SNO RTF daily report1'!G782</f>
        <v>0</v>
      </c>
      <c r="H782">
        <f>'[1]SNO RTF daily report1'!H782</f>
        <v>0</v>
      </c>
      <c r="I782">
        <f>'[1]SNO RTF daily report1'!I782</f>
        <v>0</v>
      </c>
    </row>
    <row r="783" spans="1:9" x14ac:dyDescent="0.25">
      <c r="A783">
        <f>'[1]SNO RTF daily report1'!A783</f>
        <v>0</v>
      </c>
      <c r="B783">
        <f>'[1]SNO RTF daily report1'!B783</f>
        <v>0</v>
      </c>
      <c r="C783">
        <f>'[1]SNO RTF daily report1'!C783</f>
        <v>0</v>
      </c>
      <c r="D783">
        <f>'[1]SNO RTF daily report1'!D783</f>
        <v>0</v>
      </c>
      <c r="E783">
        <f>'[1]SNO RTF daily report1'!E783</f>
        <v>0</v>
      </c>
      <c r="F783">
        <f>'[1]SNO RTF daily report1'!F783</f>
        <v>0</v>
      </c>
      <c r="G783">
        <f>'[1]SNO RTF daily report1'!G783</f>
        <v>0</v>
      </c>
      <c r="H783">
        <f>'[1]SNO RTF daily report1'!H783</f>
        <v>0</v>
      </c>
      <c r="I783">
        <f>'[1]SNO RTF daily report1'!I783</f>
        <v>0</v>
      </c>
    </row>
    <row r="784" spans="1:9" x14ac:dyDescent="0.25">
      <c r="A784">
        <f>'[1]SNO RTF daily report1'!A784</f>
        <v>0</v>
      </c>
      <c r="B784">
        <f>'[1]SNO RTF daily report1'!B784</f>
        <v>0</v>
      </c>
      <c r="C784">
        <f>'[1]SNO RTF daily report1'!C784</f>
        <v>0</v>
      </c>
      <c r="D784">
        <f>'[1]SNO RTF daily report1'!D784</f>
        <v>0</v>
      </c>
      <c r="E784">
        <f>'[1]SNO RTF daily report1'!E784</f>
        <v>0</v>
      </c>
      <c r="F784">
        <f>'[1]SNO RTF daily report1'!F784</f>
        <v>0</v>
      </c>
      <c r="G784">
        <f>'[1]SNO RTF daily report1'!G784</f>
        <v>0</v>
      </c>
      <c r="H784">
        <f>'[1]SNO RTF daily report1'!H784</f>
        <v>0</v>
      </c>
      <c r="I784">
        <f>'[1]SNO RTF daily report1'!I784</f>
        <v>0</v>
      </c>
    </row>
    <row r="785" spans="1:9" x14ac:dyDescent="0.25">
      <c r="A785">
        <f>'[1]SNO RTF daily report1'!A785</f>
        <v>0</v>
      </c>
      <c r="B785">
        <f>'[1]SNO RTF daily report1'!B785</f>
        <v>0</v>
      </c>
      <c r="C785">
        <f>'[1]SNO RTF daily report1'!C785</f>
        <v>0</v>
      </c>
      <c r="D785">
        <f>'[1]SNO RTF daily report1'!D785</f>
        <v>0</v>
      </c>
      <c r="E785">
        <f>'[1]SNO RTF daily report1'!E785</f>
        <v>0</v>
      </c>
      <c r="F785">
        <f>'[1]SNO RTF daily report1'!F785</f>
        <v>0</v>
      </c>
      <c r="G785">
        <f>'[1]SNO RTF daily report1'!G785</f>
        <v>0</v>
      </c>
      <c r="H785">
        <f>'[1]SNO RTF daily report1'!H785</f>
        <v>0</v>
      </c>
      <c r="I785">
        <f>'[1]SNO RTF daily report1'!I785</f>
        <v>0</v>
      </c>
    </row>
    <row r="786" spans="1:9" x14ac:dyDescent="0.25">
      <c r="A786">
        <f>'[1]SNO RTF daily report1'!A786</f>
        <v>0</v>
      </c>
      <c r="B786">
        <f>'[1]SNO RTF daily report1'!B786</f>
        <v>0</v>
      </c>
      <c r="C786">
        <f>'[1]SNO RTF daily report1'!C786</f>
        <v>0</v>
      </c>
      <c r="D786">
        <f>'[1]SNO RTF daily report1'!D786</f>
        <v>0</v>
      </c>
      <c r="E786">
        <f>'[1]SNO RTF daily report1'!E786</f>
        <v>0</v>
      </c>
      <c r="F786">
        <f>'[1]SNO RTF daily report1'!F786</f>
        <v>0</v>
      </c>
      <c r="G786">
        <f>'[1]SNO RTF daily report1'!G786</f>
        <v>0</v>
      </c>
      <c r="H786">
        <f>'[1]SNO RTF daily report1'!H786</f>
        <v>0</v>
      </c>
      <c r="I786">
        <f>'[1]SNO RTF daily report1'!I786</f>
        <v>0</v>
      </c>
    </row>
    <row r="787" spans="1:9" x14ac:dyDescent="0.25">
      <c r="A787">
        <f>'[1]SNO RTF daily report1'!A787</f>
        <v>0</v>
      </c>
      <c r="B787">
        <f>'[1]SNO RTF daily report1'!B787</f>
        <v>0</v>
      </c>
      <c r="C787">
        <f>'[1]SNO RTF daily report1'!C787</f>
        <v>0</v>
      </c>
      <c r="D787">
        <f>'[1]SNO RTF daily report1'!D787</f>
        <v>0</v>
      </c>
      <c r="E787">
        <f>'[1]SNO RTF daily report1'!E787</f>
        <v>0</v>
      </c>
      <c r="F787">
        <f>'[1]SNO RTF daily report1'!F787</f>
        <v>0</v>
      </c>
      <c r="G787">
        <f>'[1]SNO RTF daily report1'!G787</f>
        <v>0</v>
      </c>
      <c r="H787">
        <f>'[1]SNO RTF daily report1'!H787</f>
        <v>0</v>
      </c>
      <c r="I787">
        <f>'[1]SNO RTF daily report1'!I787</f>
        <v>0</v>
      </c>
    </row>
    <row r="788" spans="1:9" x14ac:dyDescent="0.25">
      <c r="A788">
        <f>'[1]SNO RTF daily report1'!A788</f>
        <v>0</v>
      </c>
      <c r="B788">
        <f>'[1]SNO RTF daily report1'!B788</f>
        <v>0</v>
      </c>
      <c r="C788">
        <f>'[1]SNO RTF daily report1'!C788</f>
        <v>0</v>
      </c>
      <c r="D788">
        <f>'[1]SNO RTF daily report1'!D788</f>
        <v>0</v>
      </c>
      <c r="E788">
        <f>'[1]SNO RTF daily report1'!E788</f>
        <v>0</v>
      </c>
      <c r="F788">
        <f>'[1]SNO RTF daily report1'!F788</f>
        <v>0</v>
      </c>
      <c r="G788">
        <f>'[1]SNO RTF daily report1'!G788</f>
        <v>0</v>
      </c>
      <c r="H788">
        <f>'[1]SNO RTF daily report1'!H788</f>
        <v>0</v>
      </c>
      <c r="I788">
        <f>'[1]SNO RTF daily report1'!I788</f>
        <v>0</v>
      </c>
    </row>
    <row r="789" spans="1:9" x14ac:dyDescent="0.25">
      <c r="A789">
        <f>'[1]SNO RTF daily report1'!A789</f>
        <v>0</v>
      </c>
      <c r="B789">
        <f>'[1]SNO RTF daily report1'!B789</f>
        <v>0</v>
      </c>
      <c r="C789">
        <f>'[1]SNO RTF daily report1'!C789</f>
        <v>0</v>
      </c>
      <c r="D789">
        <f>'[1]SNO RTF daily report1'!D789</f>
        <v>0</v>
      </c>
      <c r="E789">
        <f>'[1]SNO RTF daily report1'!E789</f>
        <v>0</v>
      </c>
      <c r="F789">
        <f>'[1]SNO RTF daily report1'!F789</f>
        <v>0</v>
      </c>
      <c r="G789">
        <f>'[1]SNO RTF daily report1'!G789</f>
        <v>0</v>
      </c>
      <c r="H789">
        <f>'[1]SNO RTF daily report1'!H789</f>
        <v>0</v>
      </c>
      <c r="I789">
        <f>'[1]SNO RTF daily report1'!I789</f>
        <v>0</v>
      </c>
    </row>
    <row r="790" spans="1:9" x14ac:dyDescent="0.25">
      <c r="A790">
        <f>'[1]SNO RTF daily report1'!A790</f>
        <v>0</v>
      </c>
      <c r="B790">
        <f>'[1]SNO RTF daily report1'!B790</f>
        <v>0</v>
      </c>
      <c r="C790">
        <f>'[1]SNO RTF daily report1'!C790</f>
        <v>0</v>
      </c>
      <c r="D790">
        <f>'[1]SNO RTF daily report1'!D790</f>
        <v>0</v>
      </c>
      <c r="E790">
        <f>'[1]SNO RTF daily report1'!E790</f>
        <v>0</v>
      </c>
      <c r="F790">
        <f>'[1]SNO RTF daily report1'!F790</f>
        <v>0</v>
      </c>
      <c r="G790">
        <f>'[1]SNO RTF daily report1'!G790</f>
        <v>0</v>
      </c>
      <c r="H790">
        <f>'[1]SNO RTF daily report1'!H790</f>
        <v>0</v>
      </c>
      <c r="I790">
        <f>'[1]SNO RTF daily report1'!I790</f>
        <v>0</v>
      </c>
    </row>
    <row r="791" spans="1:9" x14ac:dyDescent="0.25">
      <c r="A791">
        <f>'[1]SNO RTF daily report1'!A791</f>
        <v>0</v>
      </c>
      <c r="B791">
        <f>'[1]SNO RTF daily report1'!B791</f>
        <v>0</v>
      </c>
      <c r="C791">
        <f>'[1]SNO RTF daily report1'!C791</f>
        <v>0</v>
      </c>
      <c r="D791">
        <f>'[1]SNO RTF daily report1'!D791</f>
        <v>0</v>
      </c>
      <c r="E791">
        <f>'[1]SNO RTF daily report1'!E791</f>
        <v>0</v>
      </c>
      <c r="F791">
        <f>'[1]SNO RTF daily report1'!F791</f>
        <v>0</v>
      </c>
      <c r="G791">
        <f>'[1]SNO RTF daily report1'!G791</f>
        <v>0</v>
      </c>
      <c r="H791">
        <f>'[1]SNO RTF daily report1'!H791</f>
        <v>0</v>
      </c>
      <c r="I791">
        <f>'[1]SNO RTF daily report1'!I791</f>
        <v>0</v>
      </c>
    </row>
    <row r="792" spans="1:9" x14ac:dyDescent="0.25">
      <c r="A792">
        <f>'[1]SNO RTF daily report1'!A792</f>
        <v>0</v>
      </c>
      <c r="B792">
        <f>'[1]SNO RTF daily report1'!B792</f>
        <v>0</v>
      </c>
      <c r="C792">
        <f>'[1]SNO RTF daily report1'!C792</f>
        <v>0</v>
      </c>
      <c r="D792">
        <f>'[1]SNO RTF daily report1'!D792</f>
        <v>0</v>
      </c>
      <c r="E792">
        <f>'[1]SNO RTF daily report1'!E792</f>
        <v>0</v>
      </c>
      <c r="F792">
        <f>'[1]SNO RTF daily report1'!F792</f>
        <v>0</v>
      </c>
      <c r="G792">
        <f>'[1]SNO RTF daily report1'!G792</f>
        <v>0</v>
      </c>
      <c r="H792">
        <f>'[1]SNO RTF daily report1'!H792</f>
        <v>0</v>
      </c>
      <c r="I792">
        <f>'[1]SNO RTF daily report1'!I792</f>
        <v>0</v>
      </c>
    </row>
    <row r="793" spans="1:9" x14ac:dyDescent="0.25">
      <c r="A793">
        <f>'[1]SNO RTF daily report1'!A793</f>
        <v>0</v>
      </c>
      <c r="B793">
        <f>'[1]SNO RTF daily report1'!B793</f>
        <v>0</v>
      </c>
      <c r="C793">
        <f>'[1]SNO RTF daily report1'!C793</f>
        <v>0</v>
      </c>
      <c r="D793">
        <f>'[1]SNO RTF daily report1'!D793</f>
        <v>0</v>
      </c>
      <c r="E793">
        <f>'[1]SNO RTF daily report1'!E793</f>
        <v>0</v>
      </c>
      <c r="F793">
        <f>'[1]SNO RTF daily report1'!F793</f>
        <v>0</v>
      </c>
      <c r="G793">
        <f>'[1]SNO RTF daily report1'!G793</f>
        <v>0</v>
      </c>
      <c r="H793">
        <f>'[1]SNO RTF daily report1'!H793</f>
        <v>0</v>
      </c>
      <c r="I793">
        <f>'[1]SNO RTF daily report1'!I793</f>
        <v>0</v>
      </c>
    </row>
    <row r="794" spans="1:9" x14ac:dyDescent="0.25">
      <c r="A794">
        <f>'[1]SNO RTF daily report1'!A794</f>
        <v>0</v>
      </c>
      <c r="B794">
        <f>'[1]SNO RTF daily report1'!B794</f>
        <v>0</v>
      </c>
      <c r="C794">
        <f>'[1]SNO RTF daily report1'!C794</f>
        <v>0</v>
      </c>
      <c r="D794">
        <f>'[1]SNO RTF daily report1'!D794</f>
        <v>0</v>
      </c>
      <c r="E794">
        <f>'[1]SNO RTF daily report1'!E794</f>
        <v>0</v>
      </c>
      <c r="F794">
        <f>'[1]SNO RTF daily report1'!F794</f>
        <v>0</v>
      </c>
      <c r="G794">
        <f>'[1]SNO RTF daily report1'!G794</f>
        <v>0</v>
      </c>
      <c r="H794">
        <f>'[1]SNO RTF daily report1'!H794</f>
        <v>0</v>
      </c>
      <c r="I794">
        <f>'[1]SNO RTF daily report1'!I794</f>
        <v>0</v>
      </c>
    </row>
    <row r="795" spans="1:9" x14ac:dyDescent="0.25">
      <c r="A795">
        <f>'[1]SNO RTF daily report1'!A795</f>
        <v>0</v>
      </c>
      <c r="B795">
        <f>'[1]SNO RTF daily report1'!B795</f>
        <v>0</v>
      </c>
      <c r="C795">
        <f>'[1]SNO RTF daily report1'!C795</f>
        <v>0</v>
      </c>
      <c r="D795">
        <f>'[1]SNO RTF daily report1'!D795</f>
        <v>0</v>
      </c>
      <c r="E795">
        <f>'[1]SNO RTF daily report1'!E795</f>
        <v>0</v>
      </c>
      <c r="F795">
        <f>'[1]SNO RTF daily report1'!F795</f>
        <v>0</v>
      </c>
      <c r="G795">
        <f>'[1]SNO RTF daily report1'!G795</f>
        <v>0</v>
      </c>
      <c r="H795">
        <f>'[1]SNO RTF daily report1'!H795</f>
        <v>0</v>
      </c>
      <c r="I795">
        <f>'[1]SNO RTF daily report1'!I795</f>
        <v>0</v>
      </c>
    </row>
    <row r="796" spans="1:9" x14ac:dyDescent="0.25">
      <c r="A796">
        <f>'[1]SNO RTF daily report1'!A796</f>
        <v>0</v>
      </c>
      <c r="B796">
        <f>'[1]SNO RTF daily report1'!B796</f>
        <v>0</v>
      </c>
      <c r="C796">
        <f>'[1]SNO RTF daily report1'!C796</f>
        <v>0</v>
      </c>
      <c r="D796">
        <f>'[1]SNO RTF daily report1'!D796</f>
        <v>0</v>
      </c>
      <c r="E796">
        <f>'[1]SNO RTF daily report1'!E796</f>
        <v>0</v>
      </c>
      <c r="F796">
        <f>'[1]SNO RTF daily report1'!F796</f>
        <v>0</v>
      </c>
      <c r="G796">
        <f>'[1]SNO RTF daily report1'!G796</f>
        <v>0</v>
      </c>
      <c r="H796">
        <f>'[1]SNO RTF daily report1'!H796</f>
        <v>0</v>
      </c>
      <c r="I796">
        <f>'[1]SNO RTF daily report1'!I796</f>
        <v>0</v>
      </c>
    </row>
    <row r="797" spans="1:9" x14ac:dyDescent="0.25">
      <c r="A797">
        <f>'[1]SNO RTF daily report1'!A797</f>
        <v>0</v>
      </c>
      <c r="B797">
        <f>'[1]SNO RTF daily report1'!B797</f>
        <v>0</v>
      </c>
      <c r="C797">
        <f>'[1]SNO RTF daily report1'!C797</f>
        <v>0</v>
      </c>
      <c r="D797">
        <f>'[1]SNO RTF daily report1'!D797</f>
        <v>0</v>
      </c>
      <c r="E797">
        <f>'[1]SNO RTF daily report1'!E797</f>
        <v>0</v>
      </c>
      <c r="F797">
        <f>'[1]SNO RTF daily report1'!F797</f>
        <v>0</v>
      </c>
      <c r="G797">
        <f>'[1]SNO RTF daily report1'!G797</f>
        <v>0</v>
      </c>
      <c r="H797">
        <f>'[1]SNO RTF daily report1'!H797</f>
        <v>0</v>
      </c>
      <c r="I797">
        <f>'[1]SNO RTF daily report1'!I797</f>
        <v>0</v>
      </c>
    </row>
    <row r="798" spans="1:9" x14ac:dyDescent="0.25">
      <c r="A798">
        <f>'[1]SNO RTF daily report1'!A798</f>
        <v>0</v>
      </c>
      <c r="B798">
        <f>'[1]SNO RTF daily report1'!B798</f>
        <v>0</v>
      </c>
      <c r="C798">
        <f>'[1]SNO RTF daily report1'!C798</f>
        <v>0</v>
      </c>
      <c r="D798">
        <f>'[1]SNO RTF daily report1'!D798</f>
        <v>0</v>
      </c>
      <c r="E798">
        <f>'[1]SNO RTF daily report1'!E798</f>
        <v>0</v>
      </c>
      <c r="F798">
        <f>'[1]SNO RTF daily report1'!F798</f>
        <v>0</v>
      </c>
      <c r="G798">
        <f>'[1]SNO RTF daily report1'!G798</f>
        <v>0</v>
      </c>
      <c r="H798">
        <f>'[1]SNO RTF daily report1'!H798</f>
        <v>0</v>
      </c>
      <c r="I798">
        <f>'[1]SNO RTF daily report1'!I798</f>
        <v>0</v>
      </c>
    </row>
    <row r="799" spans="1:9" x14ac:dyDescent="0.25">
      <c r="A799">
        <f>'[1]SNO RTF daily report1'!A799</f>
        <v>0</v>
      </c>
      <c r="B799">
        <f>'[1]SNO RTF daily report1'!B799</f>
        <v>0</v>
      </c>
      <c r="C799">
        <f>'[1]SNO RTF daily report1'!C799</f>
        <v>0</v>
      </c>
      <c r="D799">
        <f>'[1]SNO RTF daily report1'!D799</f>
        <v>0</v>
      </c>
      <c r="E799">
        <f>'[1]SNO RTF daily report1'!E799</f>
        <v>0</v>
      </c>
      <c r="F799">
        <f>'[1]SNO RTF daily report1'!F799</f>
        <v>0</v>
      </c>
      <c r="G799">
        <f>'[1]SNO RTF daily report1'!G799</f>
        <v>0</v>
      </c>
      <c r="H799">
        <f>'[1]SNO RTF daily report1'!H799</f>
        <v>0</v>
      </c>
      <c r="I799">
        <f>'[1]SNO RTF daily report1'!I799</f>
        <v>0</v>
      </c>
    </row>
    <row r="800" spans="1:9" x14ac:dyDescent="0.25">
      <c r="A800">
        <f>'[1]SNO RTF daily report1'!A800</f>
        <v>0</v>
      </c>
      <c r="B800">
        <f>'[1]SNO RTF daily report1'!B800</f>
        <v>0</v>
      </c>
      <c r="C800">
        <f>'[1]SNO RTF daily report1'!C800</f>
        <v>0</v>
      </c>
      <c r="D800">
        <f>'[1]SNO RTF daily report1'!D800</f>
        <v>0</v>
      </c>
      <c r="E800">
        <f>'[1]SNO RTF daily report1'!E800</f>
        <v>0</v>
      </c>
      <c r="F800">
        <f>'[1]SNO RTF daily report1'!F800</f>
        <v>0</v>
      </c>
      <c r="G800">
        <f>'[1]SNO RTF daily report1'!G800</f>
        <v>0</v>
      </c>
      <c r="H800">
        <f>'[1]SNO RTF daily report1'!H800</f>
        <v>0</v>
      </c>
      <c r="I800">
        <f>'[1]SNO RTF daily report1'!I800</f>
        <v>0</v>
      </c>
    </row>
    <row r="801" spans="1:9" x14ac:dyDescent="0.25">
      <c r="A801">
        <f>'[1]SNO RTF daily report1'!A801</f>
        <v>0</v>
      </c>
      <c r="B801">
        <f>'[1]SNO RTF daily report1'!B801</f>
        <v>0</v>
      </c>
      <c r="C801">
        <f>'[1]SNO RTF daily report1'!C801</f>
        <v>0</v>
      </c>
      <c r="D801">
        <f>'[1]SNO RTF daily report1'!D801</f>
        <v>0</v>
      </c>
      <c r="E801">
        <f>'[1]SNO RTF daily report1'!E801</f>
        <v>0</v>
      </c>
      <c r="F801">
        <f>'[1]SNO RTF daily report1'!F801</f>
        <v>0</v>
      </c>
      <c r="G801">
        <f>'[1]SNO RTF daily report1'!G801</f>
        <v>0</v>
      </c>
      <c r="H801">
        <f>'[1]SNO RTF daily report1'!H801</f>
        <v>0</v>
      </c>
      <c r="I801">
        <f>'[1]SNO RTF daily report1'!I801</f>
        <v>0</v>
      </c>
    </row>
    <row r="802" spans="1:9" x14ac:dyDescent="0.25">
      <c r="A802">
        <f>'[1]SNO RTF daily report1'!A802</f>
        <v>0</v>
      </c>
      <c r="B802">
        <f>'[1]SNO RTF daily report1'!B802</f>
        <v>0</v>
      </c>
      <c r="C802">
        <f>'[1]SNO RTF daily report1'!C802</f>
        <v>0</v>
      </c>
      <c r="D802">
        <f>'[1]SNO RTF daily report1'!D802</f>
        <v>0</v>
      </c>
      <c r="E802">
        <f>'[1]SNO RTF daily report1'!E802</f>
        <v>0</v>
      </c>
      <c r="F802">
        <f>'[1]SNO RTF daily report1'!F802</f>
        <v>0</v>
      </c>
      <c r="G802">
        <f>'[1]SNO RTF daily report1'!G802</f>
        <v>0</v>
      </c>
      <c r="H802">
        <f>'[1]SNO RTF daily report1'!H802</f>
        <v>0</v>
      </c>
      <c r="I802">
        <f>'[1]SNO RTF daily report1'!I802</f>
        <v>0</v>
      </c>
    </row>
    <row r="803" spans="1:9" x14ac:dyDescent="0.25">
      <c r="A803">
        <f>'[1]SNO RTF daily report1'!A803</f>
        <v>0</v>
      </c>
      <c r="B803">
        <f>'[1]SNO RTF daily report1'!B803</f>
        <v>0</v>
      </c>
      <c r="C803">
        <f>'[1]SNO RTF daily report1'!C803</f>
        <v>0</v>
      </c>
      <c r="D803">
        <f>'[1]SNO RTF daily report1'!D803</f>
        <v>0</v>
      </c>
      <c r="E803">
        <f>'[1]SNO RTF daily report1'!E803</f>
        <v>0</v>
      </c>
      <c r="F803">
        <f>'[1]SNO RTF daily report1'!F803</f>
        <v>0</v>
      </c>
      <c r="G803">
        <f>'[1]SNO RTF daily report1'!G803</f>
        <v>0</v>
      </c>
      <c r="H803">
        <f>'[1]SNO RTF daily report1'!H803</f>
        <v>0</v>
      </c>
      <c r="I803">
        <f>'[1]SNO RTF daily report1'!I803</f>
        <v>0</v>
      </c>
    </row>
    <row r="804" spans="1:9" x14ac:dyDescent="0.25">
      <c r="A804">
        <f>'[1]SNO RTF daily report1'!A804</f>
        <v>0</v>
      </c>
      <c r="B804">
        <f>'[1]SNO RTF daily report1'!B804</f>
        <v>0</v>
      </c>
      <c r="C804">
        <f>'[1]SNO RTF daily report1'!C804</f>
        <v>0</v>
      </c>
      <c r="D804">
        <f>'[1]SNO RTF daily report1'!D804</f>
        <v>0</v>
      </c>
      <c r="E804">
        <f>'[1]SNO RTF daily report1'!E804</f>
        <v>0</v>
      </c>
      <c r="F804">
        <f>'[1]SNO RTF daily report1'!F804</f>
        <v>0</v>
      </c>
      <c r="G804">
        <f>'[1]SNO RTF daily report1'!G804</f>
        <v>0</v>
      </c>
      <c r="H804">
        <f>'[1]SNO RTF daily report1'!H804</f>
        <v>0</v>
      </c>
      <c r="I804">
        <f>'[1]SNO RTF daily report1'!I804</f>
        <v>0</v>
      </c>
    </row>
    <row r="805" spans="1:9" x14ac:dyDescent="0.25">
      <c r="A805">
        <f>'[1]SNO RTF daily report1'!A805</f>
        <v>0</v>
      </c>
      <c r="B805">
        <f>'[1]SNO RTF daily report1'!B805</f>
        <v>0</v>
      </c>
      <c r="C805">
        <f>'[1]SNO RTF daily report1'!C805</f>
        <v>0</v>
      </c>
      <c r="D805">
        <f>'[1]SNO RTF daily report1'!D805</f>
        <v>0</v>
      </c>
      <c r="E805">
        <f>'[1]SNO RTF daily report1'!E805</f>
        <v>0</v>
      </c>
      <c r="F805">
        <f>'[1]SNO RTF daily report1'!F805</f>
        <v>0</v>
      </c>
      <c r="G805">
        <f>'[1]SNO RTF daily report1'!G805</f>
        <v>0</v>
      </c>
      <c r="H805">
        <f>'[1]SNO RTF daily report1'!H805</f>
        <v>0</v>
      </c>
      <c r="I805">
        <f>'[1]SNO RTF daily report1'!I805</f>
        <v>0</v>
      </c>
    </row>
    <row r="806" spans="1:9" x14ac:dyDescent="0.25">
      <c r="A806">
        <f>'[1]SNO RTF daily report1'!A806</f>
        <v>0</v>
      </c>
      <c r="B806">
        <f>'[1]SNO RTF daily report1'!B806</f>
        <v>0</v>
      </c>
      <c r="C806">
        <f>'[1]SNO RTF daily report1'!C806</f>
        <v>0</v>
      </c>
      <c r="D806">
        <f>'[1]SNO RTF daily report1'!D806</f>
        <v>0</v>
      </c>
      <c r="E806">
        <f>'[1]SNO RTF daily report1'!E806</f>
        <v>0</v>
      </c>
      <c r="F806">
        <f>'[1]SNO RTF daily report1'!F806</f>
        <v>0</v>
      </c>
      <c r="G806">
        <f>'[1]SNO RTF daily report1'!G806</f>
        <v>0</v>
      </c>
      <c r="H806">
        <f>'[1]SNO RTF daily report1'!H806</f>
        <v>0</v>
      </c>
      <c r="I806">
        <f>'[1]SNO RTF daily report1'!I806</f>
        <v>0</v>
      </c>
    </row>
    <row r="807" spans="1:9" x14ac:dyDescent="0.25">
      <c r="A807">
        <f>'[1]SNO RTF daily report1'!A807</f>
        <v>0</v>
      </c>
      <c r="B807">
        <f>'[1]SNO RTF daily report1'!B807</f>
        <v>0</v>
      </c>
      <c r="C807">
        <f>'[1]SNO RTF daily report1'!C807</f>
        <v>0</v>
      </c>
      <c r="D807">
        <f>'[1]SNO RTF daily report1'!D807</f>
        <v>0</v>
      </c>
      <c r="E807">
        <f>'[1]SNO RTF daily report1'!E807</f>
        <v>0</v>
      </c>
      <c r="F807">
        <f>'[1]SNO RTF daily report1'!F807</f>
        <v>0</v>
      </c>
      <c r="G807">
        <f>'[1]SNO RTF daily report1'!G807</f>
        <v>0</v>
      </c>
      <c r="H807">
        <f>'[1]SNO RTF daily report1'!H807</f>
        <v>0</v>
      </c>
      <c r="I807">
        <f>'[1]SNO RTF daily report1'!I807</f>
        <v>0</v>
      </c>
    </row>
    <row r="808" spans="1:9" x14ac:dyDescent="0.25">
      <c r="A808">
        <f>'[1]SNO RTF daily report1'!A808</f>
        <v>0</v>
      </c>
      <c r="B808">
        <f>'[1]SNO RTF daily report1'!B808</f>
        <v>0</v>
      </c>
      <c r="C808">
        <f>'[1]SNO RTF daily report1'!C808</f>
        <v>0</v>
      </c>
      <c r="D808">
        <f>'[1]SNO RTF daily report1'!D808</f>
        <v>0</v>
      </c>
      <c r="E808">
        <f>'[1]SNO RTF daily report1'!E808</f>
        <v>0</v>
      </c>
      <c r="F808">
        <f>'[1]SNO RTF daily report1'!F808</f>
        <v>0</v>
      </c>
      <c r="G808">
        <f>'[1]SNO RTF daily report1'!G808</f>
        <v>0</v>
      </c>
      <c r="H808">
        <f>'[1]SNO RTF daily report1'!H808</f>
        <v>0</v>
      </c>
      <c r="I808">
        <f>'[1]SNO RTF daily report1'!I808</f>
        <v>0</v>
      </c>
    </row>
    <row r="809" spans="1:9" x14ac:dyDescent="0.25">
      <c r="A809">
        <f>'[1]SNO RTF daily report1'!A809</f>
        <v>0</v>
      </c>
      <c r="B809">
        <f>'[1]SNO RTF daily report1'!B809</f>
        <v>0</v>
      </c>
      <c r="C809">
        <f>'[1]SNO RTF daily report1'!C809</f>
        <v>0</v>
      </c>
      <c r="D809">
        <f>'[1]SNO RTF daily report1'!D809</f>
        <v>0</v>
      </c>
      <c r="E809">
        <f>'[1]SNO RTF daily report1'!E809</f>
        <v>0</v>
      </c>
      <c r="F809">
        <f>'[1]SNO RTF daily report1'!F809</f>
        <v>0</v>
      </c>
      <c r="G809">
        <f>'[1]SNO RTF daily report1'!G809</f>
        <v>0</v>
      </c>
      <c r="H809">
        <f>'[1]SNO RTF daily report1'!H809</f>
        <v>0</v>
      </c>
      <c r="I809">
        <f>'[1]SNO RTF daily report1'!I809</f>
        <v>0</v>
      </c>
    </row>
    <row r="810" spans="1:9" x14ac:dyDescent="0.25">
      <c r="A810">
        <f>'[1]SNO RTF daily report1'!A810</f>
        <v>0</v>
      </c>
      <c r="B810">
        <f>'[1]SNO RTF daily report1'!B810</f>
        <v>0</v>
      </c>
      <c r="C810">
        <f>'[1]SNO RTF daily report1'!C810</f>
        <v>0</v>
      </c>
      <c r="D810">
        <f>'[1]SNO RTF daily report1'!D810</f>
        <v>0</v>
      </c>
      <c r="E810">
        <f>'[1]SNO RTF daily report1'!E810</f>
        <v>0</v>
      </c>
      <c r="F810">
        <f>'[1]SNO RTF daily report1'!F810</f>
        <v>0</v>
      </c>
      <c r="G810">
        <f>'[1]SNO RTF daily report1'!G810</f>
        <v>0</v>
      </c>
      <c r="H810">
        <f>'[1]SNO RTF daily report1'!H810</f>
        <v>0</v>
      </c>
      <c r="I810">
        <f>'[1]SNO RTF daily report1'!I810</f>
        <v>0</v>
      </c>
    </row>
    <row r="811" spans="1:9" x14ac:dyDescent="0.25">
      <c r="A811">
        <f>'[1]SNO RTF daily report1'!A811</f>
        <v>0</v>
      </c>
      <c r="B811">
        <f>'[1]SNO RTF daily report1'!B811</f>
        <v>0</v>
      </c>
      <c r="C811">
        <f>'[1]SNO RTF daily report1'!C811</f>
        <v>0</v>
      </c>
      <c r="D811">
        <f>'[1]SNO RTF daily report1'!D811</f>
        <v>0</v>
      </c>
      <c r="E811">
        <f>'[1]SNO RTF daily report1'!E811</f>
        <v>0</v>
      </c>
      <c r="F811">
        <f>'[1]SNO RTF daily report1'!F811</f>
        <v>0</v>
      </c>
      <c r="G811">
        <f>'[1]SNO RTF daily report1'!G811</f>
        <v>0</v>
      </c>
      <c r="H811">
        <f>'[1]SNO RTF daily report1'!H811</f>
        <v>0</v>
      </c>
      <c r="I811">
        <f>'[1]SNO RTF daily report1'!I811</f>
        <v>0</v>
      </c>
    </row>
    <row r="812" spans="1:9" x14ac:dyDescent="0.25">
      <c r="A812">
        <f>'[1]SNO RTF daily report1'!A812</f>
        <v>0</v>
      </c>
      <c r="B812">
        <f>'[1]SNO RTF daily report1'!B812</f>
        <v>0</v>
      </c>
      <c r="C812">
        <f>'[1]SNO RTF daily report1'!C812</f>
        <v>0</v>
      </c>
      <c r="D812">
        <f>'[1]SNO RTF daily report1'!D812</f>
        <v>0</v>
      </c>
      <c r="E812">
        <f>'[1]SNO RTF daily report1'!E812</f>
        <v>0</v>
      </c>
      <c r="F812">
        <f>'[1]SNO RTF daily report1'!F812</f>
        <v>0</v>
      </c>
      <c r="G812">
        <f>'[1]SNO RTF daily report1'!G812</f>
        <v>0</v>
      </c>
      <c r="H812">
        <f>'[1]SNO RTF daily report1'!H812</f>
        <v>0</v>
      </c>
      <c r="I812">
        <f>'[1]SNO RTF daily report1'!I812</f>
        <v>0</v>
      </c>
    </row>
    <row r="813" spans="1:9" x14ac:dyDescent="0.25">
      <c r="A813">
        <f>'[1]SNO RTF daily report1'!A813</f>
        <v>0</v>
      </c>
      <c r="B813">
        <f>'[1]SNO RTF daily report1'!B813</f>
        <v>0</v>
      </c>
      <c r="C813">
        <f>'[1]SNO RTF daily report1'!C813</f>
        <v>0</v>
      </c>
      <c r="D813">
        <f>'[1]SNO RTF daily report1'!D813</f>
        <v>0</v>
      </c>
      <c r="E813">
        <f>'[1]SNO RTF daily report1'!E813</f>
        <v>0</v>
      </c>
      <c r="F813">
        <f>'[1]SNO RTF daily report1'!F813</f>
        <v>0</v>
      </c>
      <c r="G813">
        <f>'[1]SNO RTF daily report1'!G813</f>
        <v>0</v>
      </c>
      <c r="H813">
        <f>'[1]SNO RTF daily report1'!H813</f>
        <v>0</v>
      </c>
      <c r="I813">
        <f>'[1]SNO RTF daily report1'!I813</f>
        <v>0</v>
      </c>
    </row>
    <row r="814" spans="1:9" x14ac:dyDescent="0.25">
      <c r="A814">
        <f>'[1]SNO RTF daily report1'!A814</f>
        <v>0</v>
      </c>
      <c r="B814">
        <f>'[1]SNO RTF daily report1'!B814</f>
        <v>0</v>
      </c>
      <c r="C814">
        <f>'[1]SNO RTF daily report1'!C814</f>
        <v>0</v>
      </c>
      <c r="D814">
        <f>'[1]SNO RTF daily report1'!D814</f>
        <v>0</v>
      </c>
      <c r="E814">
        <f>'[1]SNO RTF daily report1'!E814</f>
        <v>0</v>
      </c>
      <c r="F814">
        <f>'[1]SNO RTF daily report1'!F814</f>
        <v>0</v>
      </c>
      <c r="G814">
        <f>'[1]SNO RTF daily report1'!G814</f>
        <v>0</v>
      </c>
      <c r="H814">
        <f>'[1]SNO RTF daily report1'!H814</f>
        <v>0</v>
      </c>
      <c r="I814">
        <f>'[1]SNO RTF daily report1'!I814</f>
        <v>0</v>
      </c>
    </row>
    <row r="815" spans="1:9" x14ac:dyDescent="0.25">
      <c r="A815">
        <f>'[1]SNO RTF daily report1'!A815</f>
        <v>0</v>
      </c>
      <c r="B815">
        <f>'[1]SNO RTF daily report1'!B815</f>
        <v>0</v>
      </c>
      <c r="C815">
        <f>'[1]SNO RTF daily report1'!C815</f>
        <v>0</v>
      </c>
      <c r="D815">
        <f>'[1]SNO RTF daily report1'!D815</f>
        <v>0</v>
      </c>
      <c r="E815">
        <f>'[1]SNO RTF daily report1'!E815</f>
        <v>0</v>
      </c>
      <c r="F815">
        <f>'[1]SNO RTF daily report1'!F815</f>
        <v>0</v>
      </c>
      <c r="G815">
        <f>'[1]SNO RTF daily report1'!G815</f>
        <v>0</v>
      </c>
      <c r="H815">
        <f>'[1]SNO RTF daily report1'!H815</f>
        <v>0</v>
      </c>
      <c r="I815">
        <f>'[1]SNO RTF daily report1'!I815</f>
        <v>0</v>
      </c>
    </row>
    <row r="816" spans="1:9" x14ac:dyDescent="0.25">
      <c r="A816">
        <f>'[1]SNO RTF daily report1'!A816</f>
        <v>0</v>
      </c>
      <c r="B816">
        <f>'[1]SNO RTF daily report1'!B816</f>
        <v>0</v>
      </c>
      <c r="C816">
        <f>'[1]SNO RTF daily report1'!C816</f>
        <v>0</v>
      </c>
      <c r="D816">
        <f>'[1]SNO RTF daily report1'!D816</f>
        <v>0</v>
      </c>
      <c r="E816">
        <f>'[1]SNO RTF daily report1'!E816</f>
        <v>0</v>
      </c>
      <c r="F816">
        <f>'[1]SNO RTF daily report1'!F816</f>
        <v>0</v>
      </c>
      <c r="G816">
        <f>'[1]SNO RTF daily report1'!G816</f>
        <v>0</v>
      </c>
      <c r="H816">
        <f>'[1]SNO RTF daily report1'!H816</f>
        <v>0</v>
      </c>
      <c r="I816">
        <f>'[1]SNO RTF daily report1'!I816</f>
        <v>0</v>
      </c>
    </row>
    <row r="817" spans="1:9" x14ac:dyDescent="0.25">
      <c r="A817">
        <f>'[1]SNO RTF daily report1'!A817</f>
        <v>0</v>
      </c>
      <c r="B817">
        <f>'[1]SNO RTF daily report1'!B817</f>
        <v>0</v>
      </c>
      <c r="C817">
        <f>'[1]SNO RTF daily report1'!C817</f>
        <v>0</v>
      </c>
      <c r="D817">
        <f>'[1]SNO RTF daily report1'!D817</f>
        <v>0</v>
      </c>
      <c r="E817">
        <f>'[1]SNO RTF daily report1'!E817</f>
        <v>0</v>
      </c>
      <c r="F817">
        <f>'[1]SNO RTF daily report1'!F817</f>
        <v>0</v>
      </c>
      <c r="G817">
        <f>'[1]SNO RTF daily report1'!G817</f>
        <v>0</v>
      </c>
      <c r="H817">
        <f>'[1]SNO RTF daily report1'!H817</f>
        <v>0</v>
      </c>
      <c r="I817">
        <f>'[1]SNO RTF daily report1'!I817</f>
        <v>0</v>
      </c>
    </row>
    <row r="818" spans="1:9" x14ac:dyDescent="0.25">
      <c r="A818">
        <f>'[1]SNO RTF daily report1'!A818</f>
        <v>0</v>
      </c>
      <c r="B818">
        <f>'[1]SNO RTF daily report1'!B818</f>
        <v>0</v>
      </c>
      <c r="C818">
        <f>'[1]SNO RTF daily report1'!C818</f>
        <v>0</v>
      </c>
      <c r="D818">
        <f>'[1]SNO RTF daily report1'!D818</f>
        <v>0</v>
      </c>
      <c r="E818">
        <f>'[1]SNO RTF daily report1'!E818</f>
        <v>0</v>
      </c>
      <c r="F818">
        <f>'[1]SNO RTF daily report1'!F818</f>
        <v>0</v>
      </c>
      <c r="G818">
        <f>'[1]SNO RTF daily report1'!G818</f>
        <v>0</v>
      </c>
      <c r="H818">
        <f>'[1]SNO RTF daily report1'!H818</f>
        <v>0</v>
      </c>
      <c r="I818">
        <f>'[1]SNO RTF daily report1'!I818</f>
        <v>0</v>
      </c>
    </row>
    <row r="819" spans="1:9" x14ac:dyDescent="0.25">
      <c r="A819">
        <f>'[1]SNO RTF daily report1'!A819</f>
        <v>0</v>
      </c>
      <c r="B819">
        <f>'[1]SNO RTF daily report1'!B819</f>
        <v>0</v>
      </c>
      <c r="C819">
        <f>'[1]SNO RTF daily report1'!C819</f>
        <v>0</v>
      </c>
      <c r="D819">
        <f>'[1]SNO RTF daily report1'!D819</f>
        <v>0</v>
      </c>
      <c r="E819">
        <f>'[1]SNO RTF daily report1'!E819</f>
        <v>0</v>
      </c>
      <c r="F819">
        <f>'[1]SNO RTF daily report1'!F819</f>
        <v>0</v>
      </c>
      <c r="G819">
        <f>'[1]SNO RTF daily report1'!G819</f>
        <v>0</v>
      </c>
      <c r="H819">
        <f>'[1]SNO RTF daily report1'!H819</f>
        <v>0</v>
      </c>
      <c r="I819">
        <f>'[1]SNO RTF daily report1'!I819</f>
        <v>0</v>
      </c>
    </row>
    <row r="820" spans="1:9" x14ac:dyDescent="0.25">
      <c r="A820">
        <f>'[1]SNO RTF daily report1'!A820</f>
        <v>0</v>
      </c>
      <c r="B820">
        <f>'[1]SNO RTF daily report1'!B820</f>
        <v>0</v>
      </c>
      <c r="C820">
        <f>'[1]SNO RTF daily report1'!C820</f>
        <v>0</v>
      </c>
      <c r="D820">
        <f>'[1]SNO RTF daily report1'!D820</f>
        <v>0</v>
      </c>
      <c r="E820">
        <f>'[1]SNO RTF daily report1'!E820</f>
        <v>0</v>
      </c>
      <c r="F820">
        <f>'[1]SNO RTF daily report1'!F820</f>
        <v>0</v>
      </c>
      <c r="G820">
        <f>'[1]SNO RTF daily report1'!G820</f>
        <v>0</v>
      </c>
      <c r="H820">
        <f>'[1]SNO RTF daily report1'!H820</f>
        <v>0</v>
      </c>
      <c r="I820">
        <f>'[1]SNO RTF daily report1'!I820</f>
        <v>0</v>
      </c>
    </row>
    <row r="821" spans="1:9" x14ac:dyDescent="0.25">
      <c r="A821">
        <f>'[1]SNO RTF daily report1'!A821</f>
        <v>0</v>
      </c>
      <c r="B821">
        <f>'[1]SNO RTF daily report1'!B821</f>
        <v>0</v>
      </c>
      <c r="C821">
        <f>'[1]SNO RTF daily report1'!C821</f>
        <v>0</v>
      </c>
      <c r="D821">
        <f>'[1]SNO RTF daily report1'!D821</f>
        <v>0</v>
      </c>
      <c r="E821">
        <f>'[1]SNO RTF daily report1'!E821</f>
        <v>0</v>
      </c>
      <c r="F821">
        <f>'[1]SNO RTF daily report1'!F821</f>
        <v>0</v>
      </c>
      <c r="G821">
        <f>'[1]SNO RTF daily report1'!G821</f>
        <v>0</v>
      </c>
      <c r="H821">
        <f>'[1]SNO RTF daily report1'!H821</f>
        <v>0</v>
      </c>
      <c r="I821">
        <f>'[1]SNO RTF daily report1'!I821</f>
        <v>0</v>
      </c>
    </row>
    <row r="822" spans="1:9" x14ac:dyDescent="0.25">
      <c r="A822">
        <f>'[1]SNO RTF daily report1'!A822</f>
        <v>0</v>
      </c>
      <c r="B822">
        <f>'[1]SNO RTF daily report1'!B822</f>
        <v>0</v>
      </c>
      <c r="C822">
        <f>'[1]SNO RTF daily report1'!C822</f>
        <v>0</v>
      </c>
      <c r="D822">
        <f>'[1]SNO RTF daily report1'!D822</f>
        <v>0</v>
      </c>
      <c r="E822">
        <f>'[1]SNO RTF daily report1'!E822</f>
        <v>0</v>
      </c>
      <c r="F822">
        <f>'[1]SNO RTF daily report1'!F822</f>
        <v>0</v>
      </c>
      <c r="G822">
        <f>'[1]SNO RTF daily report1'!G822</f>
        <v>0</v>
      </c>
      <c r="H822">
        <f>'[1]SNO RTF daily report1'!H822</f>
        <v>0</v>
      </c>
      <c r="I822">
        <f>'[1]SNO RTF daily report1'!I822</f>
        <v>0</v>
      </c>
    </row>
    <row r="823" spans="1:9" x14ac:dyDescent="0.25">
      <c r="A823">
        <f>'[1]SNO RTF daily report1'!A823</f>
        <v>0</v>
      </c>
      <c r="B823">
        <f>'[1]SNO RTF daily report1'!B823</f>
        <v>0</v>
      </c>
      <c r="C823">
        <f>'[1]SNO RTF daily report1'!C823</f>
        <v>0</v>
      </c>
      <c r="D823">
        <f>'[1]SNO RTF daily report1'!D823</f>
        <v>0</v>
      </c>
      <c r="E823">
        <f>'[1]SNO RTF daily report1'!E823</f>
        <v>0</v>
      </c>
      <c r="F823">
        <f>'[1]SNO RTF daily report1'!F823</f>
        <v>0</v>
      </c>
      <c r="G823">
        <f>'[1]SNO RTF daily report1'!G823</f>
        <v>0</v>
      </c>
      <c r="H823">
        <f>'[1]SNO RTF daily report1'!H823</f>
        <v>0</v>
      </c>
      <c r="I823">
        <f>'[1]SNO RTF daily report1'!I823</f>
        <v>0</v>
      </c>
    </row>
    <row r="824" spans="1:9" x14ac:dyDescent="0.25">
      <c r="A824">
        <f>'[1]SNO RTF daily report1'!A824</f>
        <v>0</v>
      </c>
      <c r="B824">
        <f>'[1]SNO RTF daily report1'!B824</f>
        <v>0</v>
      </c>
      <c r="C824">
        <f>'[1]SNO RTF daily report1'!C824</f>
        <v>0</v>
      </c>
      <c r="D824">
        <f>'[1]SNO RTF daily report1'!D824</f>
        <v>0</v>
      </c>
      <c r="E824">
        <f>'[1]SNO RTF daily report1'!E824</f>
        <v>0</v>
      </c>
      <c r="F824">
        <f>'[1]SNO RTF daily report1'!F824</f>
        <v>0</v>
      </c>
      <c r="G824">
        <f>'[1]SNO RTF daily report1'!G824</f>
        <v>0</v>
      </c>
      <c r="H824">
        <f>'[1]SNO RTF daily report1'!H824</f>
        <v>0</v>
      </c>
      <c r="I824">
        <f>'[1]SNO RTF daily report1'!I824</f>
        <v>0</v>
      </c>
    </row>
    <row r="825" spans="1:9" x14ac:dyDescent="0.25">
      <c r="A825">
        <f>'[1]SNO RTF daily report1'!A825</f>
        <v>0</v>
      </c>
      <c r="B825">
        <f>'[1]SNO RTF daily report1'!B825</f>
        <v>0</v>
      </c>
      <c r="C825">
        <f>'[1]SNO RTF daily report1'!C825</f>
        <v>0</v>
      </c>
      <c r="D825">
        <f>'[1]SNO RTF daily report1'!D825</f>
        <v>0</v>
      </c>
      <c r="E825">
        <f>'[1]SNO RTF daily report1'!E825</f>
        <v>0</v>
      </c>
      <c r="F825">
        <f>'[1]SNO RTF daily report1'!F825</f>
        <v>0</v>
      </c>
      <c r="G825">
        <f>'[1]SNO RTF daily report1'!G825</f>
        <v>0</v>
      </c>
      <c r="H825">
        <f>'[1]SNO RTF daily report1'!H825</f>
        <v>0</v>
      </c>
      <c r="I825">
        <f>'[1]SNO RTF daily report1'!I825</f>
        <v>0</v>
      </c>
    </row>
    <row r="826" spans="1:9" x14ac:dyDescent="0.25">
      <c r="A826">
        <f>'[1]SNO RTF daily report1'!A826</f>
        <v>0</v>
      </c>
      <c r="B826">
        <f>'[1]SNO RTF daily report1'!B826</f>
        <v>0</v>
      </c>
      <c r="C826">
        <f>'[1]SNO RTF daily report1'!C826</f>
        <v>0</v>
      </c>
      <c r="D826">
        <f>'[1]SNO RTF daily report1'!D826</f>
        <v>0</v>
      </c>
      <c r="E826">
        <f>'[1]SNO RTF daily report1'!E826</f>
        <v>0</v>
      </c>
      <c r="F826">
        <f>'[1]SNO RTF daily report1'!F826</f>
        <v>0</v>
      </c>
      <c r="G826">
        <f>'[1]SNO RTF daily report1'!G826</f>
        <v>0</v>
      </c>
      <c r="H826">
        <f>'[1]SNO RTF daily report1'!H826</f>
        <v>0</v>
      </c>
      <c r="I826">
        <f>'[1]SNO RTF daily report1'!I826</f>
        <v>0</v>
      </c>
    </row>
    <row r="827" spans="1:9" x14ac:dyDescent="0.25">
      <c r="A827">
        <f>'[1]SNO RTF daily report1'!A827</f>
        <v>0</v>
      </c>
      <c r="B827">
        <f>'[1]SNO RTF daily report1'!B827</f>
        <v>0</v>
      </c>
      <c r="C827">
        <f>'[1]SNO RTF daily report1'!C827</f>
        <v>0</v>
      </c>
      <c r="D827">
        <f>'[1]SNO RTF daily report1'!D827</f>
        <v>0</v>
      </c>
      <c r="E827">
        <f>'[1]SNO RTF daily report1'!E827</f>
        <v>0</v>
      </c>
      <c r="F827">
        <f>'[1]SNO RTF daily report1'!F827</f>
        <v>0</v>
      </c>
      <c r="G827">
        <f>'[1]SNO RTF daily report1'!G827</f>
        <v>0</v>
      </c>
      <c r="H827">
        <f>'[1]SNO RTF daily report1'!H827</f>
        <v>0</v>
      </c>
      <c r="I827">
        <f>'[1]SNO RTF daily report1'!I827</f>
        <v>0</v>
      </c>
    </row>
    <row r="828" spans="1:9" x14ac:dyDescent="0.25">
      <c r="A828">
        <f>'[1]SNO RTF daily report1'!A828</f>
        <v>0</v>
      </c>
      <c r="B828">
        <f>'[1]SNO RTF daily report1'!B828</f>
        <v>0</v>
      </c>
      <c r="C828">
        <f>'[1]SNO RTF daily report1'!C828</f>
        <v>0</v>
      </c>
      <c r="D828">
        <f>'[1]SNO RTF daily report1'!D828</f>
        <v>0</v>
      </c>
      <c r="E828">
        <f>'[1]SNO RTF daily report1'!E828</f>
        <v>0</v>
      </c>
      <c r="F828">
        <f>'[1]SNO RTF daily report1'!F828</f>
        <v>0</v>
      </c>
      <c r="G828">
        <f>'[1]SNO RTF daily report1'!G828</f>
        <v>0</v>
      </c>
      <c r="H828">
        <f>'[1]SNO RTF daily report1'!H828</f>
        <v>0</v>
      </c>
      <c r="I828">
        <f>'[1]SNO RTF daily report1'!I828</f>
        <v>0</v>
      </c>
    </row>
    <row r="829" spans="1:9" x14ac:dyDescent="0.25">
      <c r="A829">
        <f>'[1]SNO RTF daily report1'!A829</f>
        <v>0</v>
      </c>
      <c r="B829">
        <f>'[1]SNO RTF daily report1'!B829</f>
        <v>0</v>
      </c>
      <c r="C829">
        <f>'[1]SNO RTF daily report1'!C829</f>
        <v>0</v>
      </c>
      <c r="D829">
        <f>'[1]SNO RTF daily report1'!D829</f>
        <v>0</v>
      </c>
      <c r="E829">
        <f>'[1]SNO RTF daily report1'!E829</f>
        <v>0</v>
      </c>
      <c r="F829">
        <f>'[1]SNO RTF daily report1'!F829</f>
        <v>0</v>
      </c>
      <c r="G829">
        <f>'[1]SNO RTF daily report1'!G829</f>
        <v>0</v>
      </c>
      <c r="H829">
        <f>'[1]SNO RTF daily report1'!H829</f>
        <v>0</v>
      </c>
      <c r="I829">
        <f>'[1]SNO RTF daily report1'!I829</f>
        <v>0</v>
      </c>
    </row>
    <row r="830" spans="1:9" x14ac:dyDescent="0.25">
      <c r="A830">
        <f>'[1]SNO RTF daily report1'!A830</f>
        <v>0</v>
      </c>
      <c r="B830">
        <f>'[1]SNO RTF daily report1'!B830</f>
        <v>0</v>
      </c>
      <c r="C830">
        <f>'[1]SNO RTF daily report1'!C830</f>
        <v>0</v>
      </c>
      <c r="D830">
        <f>'[1]SNO RTF daily report1'!D830</f>
        <v>0</v>
      </c>
      <c r="E830">
        <f>'[1]SNO RTF daily report1'!E830</f>
        <v>0</v>
      </c>
      <c r="F830">
        <f>'[1]SNO RTF daily report1'!F830</f>
        <v>0</v>
      </c>
      <c r="G830">
        <f>'[1]SNO RTF daily report1'!G830</f>
        <v>0</v>
      </c>
      <c r="H830">
        <f>'[1]SNO RTF daily report1'!H830</f>
        <v>0</v>
      </c>
      <c r="I830">
        <f>'[1]SNO RTF daily report1'!I830</f>
        <v>0</v>
      </c>
    </row>
    <row r="831" spans="1:9" x14ac:dyDescent="0.25">
      <c r="A831">
        <f>'[1]SNO RTF daily report1'!A831</f>
        <v>0</v>
      </c>
      <c r="B831">
        <f>'[1]SNO RTF daily report1'!B831</f>
        <v>0</v>
      </c>
      <c r="C831">
        <f>'[1]SNO RTF daily report1'!C831</f>
        <v>0</v>
      </c>
      <c r="D831">
        <f>'[1]SNO RTF daily report1'!D831</f>
        <v>0</v>
      </c>
      <c r="E831">
        <f>'[1]SNO RTF daily report1'!E831</f>
        <v>0</v>
      </c>
      <c r="F831">
        <f>'[1]SNO RTF daily report1'!F831</f>
        <v>0</v>
      </c>
      <c r="G831">
        <f>'[1]SNO RTF daily report1'!G831</f>
        <v>0</v>
      </c>
      <c r="H831">
        <f>'[1]SNO RTF daily report1'!H831</f>
        <v>0</v>
      </c>
      <c r="I831">
        <f>'[1]SNO RTF daily report1'!I831</f>
        <v>0</v>
      </c>
    </row>
    <row r="832" spans="1:9" x14ac:dyDescent="0.25">
      <c r="A832">
        <f>'[1]SNO RTF daily report1'!A832</f>
        <v>0</v>
      </c>
      <c r="B832">
        <f>'[1]SNO RTF daily report1'!B832</f>
        <v>0</v>
      </c>
      <c r="C832">
        <f>'[1]SNO RTF daily report1'!C832</f>
        <v>0</v>
      </c>
      <c r="D832">
        <f>'[1]SNO RTF daily report1'!D832</f>
        <v>0</v>
      </c>
      <c r="E832">
        <f>'[1]SNO RTF daily report1'!E832</f>
        <v>0</v>
      </c>
      <c r="F832">
        <f>'[1]SNO RTF daily report1'!F832</f>
        <v>0</v>
      </c>
      <c r="G832">
        <f>'[1]SNO RTF daily report1'!G832</f>
        <v>0</v>
      </c>
      <c r="H832">
        <f>'[1]SNO RTF daily report1'!H832</f>
        <v>0</v>
      </c>
      <c r="I832">
        <f>'[1]SNO RTF daily report1'!I832</f>
        <v>0</v>
      </c>
    </row>
    <row r="833" spans="1:9" x14ac:dyDescent="0.25">
      <c r="A833">
        <f>'[1]SNO RTF daily report1'!A833</f>
        <v>0</v>
      </c>
      <c r="B833">
        <f>'[1]SNO RTF daily report1'!B833</f>
        <v>0</v>
      </c>
      <c r="C833">
        <f>'[1]SNO RTF daily report1'!C833</f>
        <v>0</v>
      </c>
      <c r="D833">
        <f>'[1]SNO RTF daily report1'!D833</f>
        <v>0</v>
      </c>
      <c r="E833">
        <f>'[1]SNO RTF daily report1'!E833</f>
        <v>0</v>
      </c>
      <c r="F833">
        <f>'[1]SNO RTF daily report1'!F833</f>
        <v>0</v>
      </c>
      <c r="G833">
        <f>'[1]SNO RTF daily report1'!G833</f>
        <v>0</v>
      </c>
      <c r="H833">
        <f>'[1]SNO RTF daily report1'!H833</f>
        <v>0</v>
      </c>
      <c r="I833">
        <f>'[1]SNO RTF daily report1'!I833</f>
        <v>0</v>
      </c>
    </row>
    <row r="834" spans="1:9" x14ac:dyDescent="0.25">
      <c r="A834">
        <f>'[1]SNO RTF daily report1'!A834</f>
        <v>0</v>
      </c>
      <c r="B834">
        <f>'[1]SNO RTF daily report1'!B834</f>
        <v>0</v>
      </c>
      <c r="C834">
        <f>'[1]SNO RTF daily report1'!C834</f>
        <v>0</v>
      </c>
      <c r="D834">
        <f>'[1]SNO RTF daily report1'!D834</f>
        <v>0</v>
      </c>
      <c r="E834">
        <f>'[1]SNO RTF daily report1'!E834</f>
        <v>0</v>
      </c>
      <c r="F834">
        <f>'[1]SNO RTF daily report1'!F834</f>
        <v>0</v>
      </c>
      <c r="G834">
        <f>'[1]SNO RTF daily report1'!G834</f>
        <v>0</v>
      </c>
      <c r="H834">
        <f>'[1]SNO RTF daily report1'!H834</f>
        <v>0</v>
      </c>
      <c r="I834">
        <f>'[1]SNO RTF daily report1'!I834</f>
        <v>0</v>
      </c>
    </row>
    <row r="835" spans="1:9" x14ac:dyDescent="0.25">
      <c r="A835">
        <f>'[1]SNO RTF daily report1'!A835</f>
        <v>0</v>
      </c>
      <c r="B835">
        <f>'[1]SNO RTF daily report1'!B835</f>
        <v>0</v>
      </c>
      <c r="C835">
        <f>'[1]SNO RTF daily report1'!C835</f>
        <v>0</v>
      </c>
      <c r="D835">
        <f>'[1]SNO RTF daily report1'!D835</f>
        <v>0</v>
      </c>
      <c r="E835">
        <f>'[1]SNO RTF daily report1'!E835</f>
        <v>0</v>
      </c>
      <c r="F835">
        <f>'[1]SNO RTF daily report1'!F835</f>
        <v>0</v>
      </c>
      <c r="G835">
        <f>'[1]SNO RTF daily report1'!G835</f>
        <v>0</v>
      </c>
      <c r="H835">
        <f>'[1]SNO RTF daily report1'!H835</f>
        <v>0</v>
      </c>
      <c r="I835">
        <f>'[1]SNO RTF daily report1'!I835</f>
        <v>0</v>
      </c>
    </row>
    <row r="836" spans="1:9" x14ac:dyDescent="0.25">
      <c r="A836">
        <f>'[1]SNO RTF daily report1'!A836</f>
        <v>0</v>
      </c>
      <c r="B836">
        <f>'[1]SNO RTF daily report1'!B836</f>
        <v>0</v>
      </c>
      <c r="C836">
        <f>'[1]SNO RTF daily report1'!C836</f>
        <v>0</v>
      </c>
      <c r="D836">
        <f>'[1]SNO RTF daily report1'!D836</f>
        <v>0</v>
      </c>
      <c r="E836">
        <f>'[1]SNO RTF daily report1'!E836</f>
        <v>0</v>
      </c>
      <c r="F836">
        <f>'[1]SNO RTF daily report1'!F836</f>
        <v>0</v>
      </c>
      <c r="G836">
        <f>'[1]SNO RTF daily report1'!G836</f>
        <v>0</v>
      </c>
      <c r="H836">
        <f>'[1]SNO RTF daily report1'!H836</f>
        <v>0</v>
      </c>
      <c r="I836">
        <f>'[1]SNO RTF daily report1'!I836</f>
        <v>0</v>
      </c>
    </row>
    <row r="837" spans="1:9" x14ac:dyDescent="0.25">
      <c r="A837">
        <f>'[1]SNO RTF daily report1'!A837</f>
        <v>0</v>
      </c>
      <c r="B837">
        <f>'[1]SNO RTF daily report1'!B837</f>
        <v>0</v>
      </c>
      <c r="C837">
        <f>'[1]SNO RTF daily report1'!C837</f>
        <v>0</v>
      </c>
      <c r="D837">
        <f>'[1]SNO RTF daily report1'!D837</f>
        <v>0</v>
      </c>
      <c r="E837">
        <f>'[1]SNO RTF daily report1'!E837</f>
        <v>0</v>
      </c>
      <c r="F837">
        <f>'[1]SNO RTF daily report1'!F837</f>
        <v>0</v>
      </c>
      <c r="G837">
        <f>'[1]SNO RTF daily report1'!G837</f>
        <v>0</v>
      </c>
      <c r="H837">
        <f>'[1]SNO RTF daily report1'!H837</f>
        <v>0</v>
      </c>
      <c r="I837">
        <f>'[1]SNO RTF daily report1'!I837</f>
        <v>0</v>
      </c>
    </row>
    <row r="838" spans="1:9" x14ac:dyDescent="0.25">
      <c r="A838">
        <f>'[1]SNO RTF daily report1'!A838</f>
        <v>0</v>
      </c>
      <c r="B838">
        <f>'[1]SNO RTF daily report1'!B838</f>
        <v>0</v>
      </c>
      <c r="C838">
        <f>'[1]SNO RTF daily report1'!C838</f>
        <v>0</v>
      </c>
      <c r="D838">
        <f>'[1]SNO RTF daily report1'!D838</f>
        <v>0</v>
      </c>
      <c r="E838">
        <f>'[1]SNO RTF daily report1'!E838</f>
        <v>0</v>
      </c>
      <c r="F838">
        <f>'[1]SNO RTF daily report1'!F838</f>
        <v>0</v>
      </c>
      <c r="G838">
        <f>'[1]SNO RTF daily report1'!G838</f>
        <v>0</v>
      </c>
      <c r="H838">
        <f>'[1]SNO RTF daily report1'!H838</f>
        <v>0</v>
      </c>
      <c r="I838">
        <f>'[1]SNO RTF daily report1'!I838</f>
        <v>0</v>
      </c>
    </row>
    <row r="839" spans="1:9" x14ac:dyDescent="0.25">
      <c r="A839">
        <f>'[1]SNO RTF daily report1'!A839</f>
        <v>0</v>
      </c>
      <c r="B839">
        <f>'[1]SNO RTF daily report1'!B839</f>
        <v>0</v>
      </c>
      <c r="C839">
        <f>'[1]SNO RTF daily report1'!C839</f>
        <v>0</v>
      </c>
      <c r="D839">
        <f>'[1]SNO RTF daily report1'!D839</f>
        <v>0</v>
      </c>
      <c r="E839">
        <f>'[1]SNO RTF daily report1'!E839</f>
        <v>0</v>
      </c>
      <c r="F839">
        <f>'[1]SNO RTF daily report1'!F839</f>
        <v>0</v>
      </c>
      <c r="G839">
        <f>'[1]SNO RTF daily report1'!G839</f>
        <v>0</v>
      </c>
      <c r="H839">
        <f>'[1]SNO RTF daily report1'!H839</f>
        <v>0</v>
      </c>
      <c r="I839">
        <f>'[1]SNO RTF daily report1'!I839</f>
        <v>0</v>
      </c>
    </row>
    <row r="840" spans="1:9" x14ac:dyDescent="0.25">
      <c r="A840">
        <f>'[1]SNO RTF daily report1'!A840</f>
        <v>0</v>
      </c>
      <c r="B840">
        <f>'[1]SNO RTF daily report1'!B840</f>
        <v>0</v>
      </c>
      <c r="C840">
        <f>'[1]SNO RTF daily report1'!C840</f>
        <v>0</v>
      </c>
      <c r="D840">
        <f>'[1]SNO RTF daily report1'!D840</f>
        <v>0</v>
      </c>
      <c r="E840">
        <f>'[1]SNO RTF daily report1'!E840</f>
        <v>0</v>
      </c>
      <c r="F840">
        <f>'[1]SNO RTF daily report1'!F840</f>
        <v>0</v>
      </c>
      <c r="G840">
        <f>'[1]SNO RTF daily report1'!G840</f>
        <v>0</v>
      </c>
      <c r="H840">
        <f>'[1]SNO RTF daily report1'!H840</f>
        <v>0</v>
      </c>
      <c r="I840">
        <f>'[1]SNO RTF daily report1'!I840</f>
        <v>0</v>
      </c>
    </row>
    <row r="841" spans="1:9" x14ac:dyDescent="0.25">
      <c r="A841">
        <f>'[1]SNO RTF daily report1'!A841</f>
        <v>0</v>
      </c>
      <c r="B841">
        <f>'[1]SNO RTF daily report1'!B841</f>
        <v>0</v>
      </c>
      <c r="C841">
        <f>'[1]SNO RTF daily report1'!C841</f>
        <v>0</v>
      </c>
      <c r="D841">
        <f>'[1]SNO RTF daily report1'!D841</f>
        <v>0</v>
      </c>
      <c r="E841">
        <f>'[1]SNO RTF daily report1'!E841</f>
        <v>0</v>
      </c>
      <c r="F841">
        <f>'[1]SNO RTF daily report1'!F841</f>
        <v>0</v>
      </c>
      <c r="G841">
        <f>'[1]SNO RTF daily report1'!G841</f>
        <v>0</v>
      </c>
      <c r="H841">
        <f>'[1]SNO RTF daily report1'!H841</f>
        <v>0</v>
      </c>
      <c r="I841">
        <f>'[1]SNO RTF daily report1'!I841</f>
        <v>0</v>
      </c>
    </row>
    <row r="842" spans="1:9" x14ac:dyDescent="0.25">
      <c r="A842">
        <f>'[1]SNO RTF daily report1'!A842</f>
        <v>0</v>
      </c>
      <c r="B842">
        <f>'[1]SNO RTF daily report1'!B842</f>
        <v>0</v>
      </c>
      <c r="C842">
        <f>'[1]SNO RTF daily report1'!C842</f>
        <v>0</v>
      </c>
      <c r="D842">
        <f>'[1]SNO RTF daily report1'!D842</f>
        <v>0</v>
      </c>
      <c r="E842">
        <f>'[1]SNO RTF daily report1'!E842</f>
        <v>0</v>
      </c>
      <c r="F842">
        <f>'[1]SNO RTF daily report1'!F842</f>
        <v>0</v>
      </c>
      <c r="G842">
        <f>'[1]SNO RTF daily report1'!G842</f>
        <v>0</v>
      </c>
      <c r="H842">
        <f>'[1]SNO RTF daily report1'!H842</f>
        <v>0</v>
      </c>
      <c r="I842">
        <f>'[1]SNO RTF daily report1'!I842</f>
        <v>0</v>
      </c>
    </row>
    <row r="843" spans="1:9" x14ac:dyDescent="0.25">
      <c r="A843">
        <f>'[1]SNO RTF daily report1'!A843</f>
        <v>0</v>
      </c>
      <c r="B843">
        <f>'[1]SNO RTF daily report1'!B843</f>
        <v>0</v>
      </c>
      <c r="C843">
        <f>'[1]SNO RTF daily report1'!C843</f>
        <v>0</v>
      </c>
      <c r="D843">
        <f>'[1]SNO RTF daily report1'!D843</f>
        <v>0</v>
      </c>
      <c r="E843">
        <f>'[1]SNO RTF daily report1'!E843</f>
        <v>0</v>
      </c>
      <c r="F843">
        <f>'[1]SNO RTF daily report1'!F843</f>
        <v>0</v>
      </c>
      <c r="G843">
        <f>'[1]SNO RTF daily report1'!G843</f>
        <v>0</v>
      </c>
      <c r="H843">
        <f>'[1]SNO RTF daily report1'!H843</f>
        <v>0</v>
      </c>
      <c r="I843">
        <f>'[1]SNO RTF daily report1'!I843</f>
        <v>0</v>
      </c>
    </row>
    <row r="844" spans="1:9" x14ac:dyDescent="0.25">
      <c r="A844">
        <f>'[1]SNO RTF daily report1'!A844</f>
        <v>0</v>
      </c>
      <c r="B844">
        <f>'[1]SNO RTF daily report1'!B844</f>
        <v>0</v>
      </c>
      <c r="C844">
        <f>'[1]SNO RTF daily report1'!C844</f>
        <v>0</v>
      </c>
      <c r="D844">
        <f>'[1]SNO RTF daily report1'!D844</f>
        <v>0</v>
      </c>
      <c r="E844">
        <f>'[1]SNO RTF daily report1'!E844</f>
        <v>0</v>
      </c>
      <c r="F844">
        <f>'[1]SNO RTF daily report1'!F844</f>
        <v>0</v>
      </c>
      <c r="G844">
        <f>'[1]SNO RTF daily report1'!G844</f>
        <v>0</v>
      </c>
      <c r="H844">
        <f>'[1]SNO RTF daily report1'!H844</f>
        <v>0</v>
      </c>
      <c r="I844">
        <f>'[1]SNO RTF daily report1'!I844</f>
        <v>0</v>
      </c>
    </row>
    <row r="845" spans="1:9" x14ac:dyDescent="0.25">
      <c r="A845">
        <f>'[1]SNO RTF daily report1'!A845</f>
        <v>0</v>
      </c>
      <c r="B845">
        <f>'[1]SNO RTF daily report1'!B845</f>
        <v>0</v>
      </c>
      <c r="C845">
        <f>'[1]SNO RTF daily report1'!C845</f>
        <v>0</v>
      </c>
      <c r="D845">
        <f>'[1]SNO RTF daily report1'!D845</f>
        <v>0</v>
      </c>
      <c r="E845">
        <f>'[1]SNO RTF daily report1'!E845</f>
        <v>0</v>
      </c>
      <c r="F845">
        <f>'[1]SNO RTF daily report1'!F845</f>
        <v>0</v>
      </c>
      <c r="G845">
        <f>'[1]SNO RTF daily report1'!G845</f>
        <v>0</v>
      </c>
      <c r="H845">
        <f>'[1]SNO RTF daily report1'!H845</f>
        <v>0</v>
      </c>
      <c r="I845">
        <f>'[1]SNO RTF daily report1'!I845</f>
        <v>0</v>
      </c>
    </row>
    <row r="846" spans="1:9" x14ac:dyDescent="0.25">
      <c r="A846">
        <f>'[1]SNO RTF daily report1'!A846</f>
        <v>0</v>
      </c>
      <c r="B846">
        <f>'[1]SNO RTF daily report1'!B846</f>
        <v>0</v>
      </c>
      <c r="C846">
        <f>'[1]SNO RTF daily report1'!C846</f>
        <v>0</v>
      </c>
      <c r="D846">
        <f>'[1]SNO RTF daily report1'!D846</f>
        <v>0</v>
      </c>
      <c r="E846">
        <f>'[1]SNO RTF daily report1'!E846</f>
        <v>0</v>
      </c>
      <c r="F846">
        <f>'[1]SNO RTF daily report1'!F846</f>
        <v>0</v>
      </c>
      <c r="G846">
        <f>'[1]SNO RTF daily report1'!G846</f>
        <v>0</v>
      </c>
      <c r="H846">
        <f>'[1]SNO RTF daily report1'!H846</f>
        <v>0</v>
      </c>
      <c r="I846">
        <f>'[1]SNO RTF daily report1'!I846</f>
        <v>0</v>
      </c>
    </row>
    <row r="847" spans="1:9" x14ac:dyDescent="0.25">
      <c r="A847">
        <f>'[1]SNO RTF daily report1'!A847</f>
        <v>0</v>
      </c>
      <c r="B847">
        <f>'[1]SNO RTF daily report1'!B847</f>
        <v>0</v>
      </c>
      <c r="C847">
        <f>'[1]SNO RTF daily report1'!C847</f>
        <v>0</v>
      </c>
      <c r="D847">
        <f>'[1]SNO RTF daily report1'!D847</f>
        <v>0</v>
      </c>
      <c r="E847">
        <f>'[1]SNO RTF daily report1'!E847</f>
        <v>0</v>
      </c>
      <c r="F847">
        <f>'[1]SNO RTF daily report1'!F847</f>
        <v>0</v>
      </c>
      <c r="G847">
        <f>'[1]SNO RTF daily report1'!G847</f>
        <v>0</v>
      </c>
      <c r="H847">
        <f>'[1]SNO RTF daily report1'!H847</f>
        <v>0</v>
      </c>
      <c r="I847">
        <f>'[1]SNO RTF daily report1'!I847</f>
        <v>0</v>
      </c>
    </row>
    <row r="848" spans="1:9" x14ac:dyDescent="0.25">
      <c r="A848">
        <f>'[1]SNO RTF daily report1'!A848</f>
        <v>0</v>
      </c>
      <c r="B848">
        <f>'[1]SNO RTF daily report1'!B848</f>
        <v>0</v>
      </c>
      <c r="C848">
        <f>'[1]SNO RTF daily report1'!C848</f>
        <v>0</v>
      </c>
      <c r="D848">
        <f>'[1]SNO RTF daily report1'!D848</f>
        <v>0</v>
      </c>
      <c r="E848">
        <f>'[1]SNO RTF daily report1'!E848</f>
        <v>0</v>
      </c>
      <c r="F848">
        <f>'[1]SNO RTF daily report1'!F848</f>
        <v>0</v>
      </c>
      <c r="G848">
        <f>'[1]SNO RTF daily report1'!G848</f>
        <v>0</v>
      </c>
      <c r="H848">
        <f>'[1]SNO RTF daily report1'!H848</f>
        <v>0</v>
      </c>
      <c r="I848">
        <f>'[1]SNO RTF daily report1'!I848</f>
        <v>0</v>
      </c>
    </row>
    <row r="849" spans="1:9" x14ac:dyDescent="0.25">
      <c r="A849">
        <f>'[1]SNO RTF daily report1'!A849</f>
        <v>0</v>
      </c>
      <c r="B849">
        <f>'[1]SNO RTF daily report1'!B849</f>
        <v>0</v>
      </c>
      <c r="C849">
        <f>'[1]SNO RTF daily report1'!C849</f>
        <v>0</v>
      </c>
      <c r="D849">
        <f>'[1]SNO RTF daily report1'!D849</f>
        <v>0</v>
      </c>
      <c r="E849">
        <f>'[1]SNO RTF daily report1'!E849</f>
        <v>0</v>
      </c>
      <c r="F849">
        <f>'[1]SNO RTF daily report1'!F849</f>
        <v>0</v>
      </c>
      <c r="G849">
        <f>'[1]SNO RTF daily report1'!G849</f>
        <v>0</v>
      </c>
      <c r="H849">
        <f>'[1]SNO RTF daily report1'!H849</f>
        <v>0</v>
      </c>
      <c r="I849">
        <f>'[1]SNO RTF daily report1'!I849</f>
        <v>0</v>
      </c>
    </row>
    <row r="850" spans="1:9" x14ac:dyDescent="0.25">
      <c r="A850">
        <f>'[1]SNO RTF daily report1'!A850</f>
        <v>0</v>
      </c>
      <c r="B850">
        <f>'[1]SNO RTF daily report1'!B850</f>
        <v>0</v>
      </c>
      <c r="C850">
        <f>'[1]SNO RTF daily report1'!C850</f>
        <v>0</v>
      </c>
      <c r="D850">
        <f>'[1]SNO RTF daily report1'!D850</f>
        <v>0</v>
      </c>
      <c r="E850">
        <f>'[1]SNO RTF daily report1'!E850</f>
        <v>0</v>
      </c>
      <c r="F850">
        <f>'[1]SNO RTF daily report1'!F850</f>
        <v>0</v>
      </c>
      <c r="G850">
        <f>'[1]SNO RTF daily report1'!G850</f>
        <v>0</v>
      </c>
      <c r="H850">
        <f>'[1]SNO RTF daily report1'!H850</f>
        <v>0</v>
      </c>
      <c r="I850">
        <f>'[1]SNO RTF daily report1'!I850</f>
        <v>0</v>
      </c>
    </row>
    <row r="851" spans="1:9" x14ac:dyDescent="0.25">
      <c r="A851">
        <f>'[1]SNO RTF daily report1'!A851</f>
        <v>0</v>
      </c>
      <c r="B851">
        <f>'[1]SNO RTF daily report1'!B851</f>
        <v>0</v>
      </c>
      <c r="C851">
        <f>'[1]SNO RTF daily report1'!C851</f>
        <v>0</v>
      </c>
      <c r="D851">
        <f>'[1]SNO RTF daily report1'!D851</f>
        <v>0</v>
      </c>
      <c r="E851">
        <f>'[1]SNO RTF daily report1'!E851</f>
        <v>0</v>
      </c>
      <c r="F851">
        <f>'[1]SNO RTF daily report1'!F851</f>
        <v>0</v>
      </c>
      <c r="G851">
        <f>'[1]SNO RTF daily report1'!G851</f>
        <v>0</v>
      </c>
      <c r="H851">
        <f>'[1]SNO RTF daily report1'!H851</f>
        <v>0</v>
      </c>
      <c r="I851">
        <f>'[1]SNO RTF daily report1'!I851</f>
        <v>0</v>
      </c>
    </row>
    <row r="852" spans="1:9" x14ac:dyDescent="0.25">
      <c r="A852">
        <f>'[1]SNO RTF daily report1'!A852</f>
        <v>0</v>
      </c>
      <c r="B852">
        <f>'[1]SNO RTF daily report1'!B852</f>
        <v>0</v>
      </c>
      <c r="C852">
        <f>'[1]SNO RTF daily report1'!C852</f>
        <v>0</v>
      </c>
      <c r="D852">
        <f>'[1]SNO RTF daily report1'!D852</f>
        <v>0</v>
      </c>
      <c r="E852">
        <f>'[1]SNO RTF daily report1'!E852</f>
        <v>0</v>
      </c>
      <c r="F852">
        <f>'[1]SNO RTF daily report1'!F852</f>
        <v>0</v>
      </c>
      <c r="G852">
        <f>'[1]SNO RTF daily report1'!G852</f>
        <v>0</v>
      </c>
      <c r="H852">
        <f>'[1]SNO RTF daily report1'!H852</f>
        <v>0</v>
      </c>
      <c r="I852">
        <f>'[1]SNO RTF daily report1'!I852</f>
        <v>0</v>
      </c>
    </row>
    <row r="853" spans="1:9" x14ac:dyDescent="0.25">
      <c r="A853">
        <f>'[1]SNO RTF daily report1'!A853</f>
        <v>0</v>
      </c>
      <c r="B853">
        <f>'[1]SNO RTF daily report1'!B853</f>
        <v>0</v>
      </c>
      <c r="C853">
        <f>'[1]SNO RTF daily report1'!C853</f>
        <v>0</v>
      </c>
      <c r="D853">
        <f>'[1]SNO RTF daily report1'!D853</f>
        <v>0</v>
      </c>
      <c r="E853">
        <f>'[1]SNO RTF daily report1'!E853</f>
        <v>0</v>
      </c>
      <c r="F853">
        <f>'[1]SNO RTF daily report1'!F853</f>
        <v>0</v>
      </c>
      <c r="G853">
        <f>'[1]SNO RTF daily report1'!G853</f>
        <v>0</v>
      </c>
      <c r="H853">
        <f>'[1]SNO RTF daily report1'!H853</f>
        <v>0</v>
      </c>
      <c r="I853">
        <f>'[1]SNO RTF daily report1'!I853</f>
        <v>0</v>
      </c>
    </row>
    <row r="854" spans="1:9" x14ac:dyDescent="0.25">
      <c r="A854">
        <f>'[1]SNO RTF daily report1'!A854</f>
        <v>0</v>
      </c>
      <c r="B854">
        <f>'[1]SNO RTF daily report1'!B854</f>
        <v>0</v>
      </c>
      <c r="C854">
        <f>'[1]SNO RTF daily report1'!C854</f>
        <v>0</v>
      </c>
      <c r="D854">
        <f>'[1]SNO RTF daily report1'!D854</f>
        <v>0</v>
      </c>
      <c r="E854">
        <f>'[1]SNO RTF daily report1'!E854</f>
        <v>0</v>
      </c>
      <c r="F854">
        <f>'[1]SNO RTF daily report1'!F854</f>
        <v>0</v>
      </c>
      <c r="G854">
        <f>'[1]SNO RTF daily report1'!G854</f>
        <v>0</v>
      </c>
      <c r="H854">
        <f>'[1]SNO RTF daily report1'!H854</f>
        <v>0</v>
      </c>
      <c r="I854">
        <f>'[1]SNO RTF daily report1'!I854</f>
        <v>0</v>
      </c>
    </row>
    <row r="855" spans="1:9" x14ac:dyDescent="0.25">
      <c r="A855">
        <f>'[1]SNO RTF daily report1'!A855</f>
        <v>0</v>
      </c>
      <c r="B855">
        <f>'[1]SNO RTF daily report1'!B855</f>
        <v>0</v>
      </c>
      <c r="C855">
        <f>'[1]SNO RTF daily report1'!C855</f>
        <v>0</v>
      </c>
      <c r="D855">
        <f>'[1]SNO RTF daily report1'!D855</f>
        <v>0</v>
      </c>
      <c r="E855">
        <f>'[1]SNO RTF daily report1'!E855</f>
        <v>0</v>
      </c>
      <c r="F855">
        <f>'[1]SNO RTF daily report1'!F855</f>
        <v>0</v>
      </c>
      <c r="G855">
        <f>'[1]SNO RTF daily report1'!G855</f>
        <v>0</v>
      </c>
      <c r="H855">
        <f>'[1]SNO RTF daily report1'!H855</f>
        <v>0</v>
      </c>
      <c r="I855">
        <f>'[1]SNO RTF daily report1'!I855</f>
        <v>0</v>
      </c>
    </row>
    <row r="856" spans="1:9" x14ac:dyDescent="0.25">
      <c r="A856">
        <f>'[1]SNO RTF daily report1'!A856</f>
        <v>0</v>
      </c>
      <c r="B856">
        <f>'[1]SNO RTF daily report1'!B856</f>
        <v>0</v>
      </c>
      <c r="C856">
        <f>'[1]SNO RTF daily report1'!C856</f>
        <v>0</v>
      </c>
      <c r="D856">
        <f>'[1]SNO RTF daily report1'!D856</f>
        <v>0</v>
      </c>
      <c r="E856">
        <f>'[1]SNO RTF daily report1'!E856</f>
        <v>0</v>
      </c>
      <c r="F856">
        <f>'[1]SNO RTF daily report1'!F856</f>
        <v>0</v>
      </c>
      <c r="G856">
        <f>'[1]SNO RTF daily report1'!G856</f>
        <v>0</v>
      </c>
      <c r="H856">
        <f>'[1]SNO RTF daily report1'!H856</f>
        <v>0</v>
      </c>
      <c r="I856">
        <f>'[1]SNO RTF daily report1'!I856</f>
        <v>0</v>
      </c>
    </row>
    <row r="857" spans="1:9" x14ac:dyDescent="0.25">
      <c r="A857">
        <f>'[1]SNO RTF daily report1'!A857</f>
        <v>0</v>
      </c>
      <c r="B857">
        <f>'[1]SNO RTF daily report1'!B857</f>
        <v>0</v>
      </c>
      <c r="C857">
        <f>'[1]SNO RTF daily report1'!C857</f>
        <v>0</v>
      </c>
      <c r="D857">
        <f>'[1]SNO RTF daily report1'!D857</f>
        <v>0</v>
      </c>
      <c r="E857">
        <f>'[1]SNO RTF daily report1'!E857</f>
        <v>0</v>
      </c>
      <c r="F857">
        <f>'[1]SNO RTF daily report1'!F857</f>
        <v>0</v>
      </c>
      <c r="G857">
        <f>'[1]SNO RTF daily report1'!G857</f>
        <v>0</v>
      </c>
      <c r="H857">
        <f>'[1]SNO RTF daily report1'!H857</f>
        <v>0</v>
      </c>
      <c r="I857">
        <f>'[1]SNO RTF daily report1'!I857</f>
        <v>0</v>
      </c>
    </row>
    <row r="858" spans="1:9" x14ac:dyDescent="0.25">
      <c r="A858">
        <f>'[1]SNO RTF daily report1'!A858</f>
        <v>0</v>
      </c>
      <c r="B858">
        <f>'[1]SNO RTF daily report1'!B858</f>
        <v>0</v>
      </c>
      <c r="C858">
        <f>'[1]SNO RTF daily report1'!C858</f>
        <v>0</v>
      </c>
      <c r="D858">
        <f>'[1]SNO RTF daily report1'!D858</f>
        <v>0</v>
      </c>
      <c r="E858">
        <f>'[1]SNO RTF daily report1'!E858</f>
        <v>0</v>
      </c>
      <c r="F858">
        <f>'[1]SNO RTF daily report1'!F858</f>
        <v>0</v>
      </c>
      <c r="G858">
        <f>'[1]SNO RTF daily report1'!G858</f>
        <v>0</v>
      </c>
      <c r="H858">
        <f>'[1]SNO RTF daily report1'!H858</f>
        <v>0</v>
      </c>
      <c r="I858">
        <f>'[1]SNO RTF daily report1'!I858</f>
        <v>0</v>
      </c>
    </row>
    <row r="859" spans="1:9" x14ac:dyDescent="0.25">
      <c r="A859">
        <f>'[1]SNO RTF daily report1'!A859</f>
        <v>0</v>
      </c>
      <c r="B859">
        <f>'[1]SNO RTF daily report1'!B859</f>
        <v>0</v>
      </c>
      <c r="C859">
        <f>'[1]SNO RTF daily report1'!C859</f>
        <v>0</v>
      </c>
      <c r="D859">
        <f>'[1]SNO RTF daily report1'!D859</f>
        <v>0</v>
      </c>
      <c r="E859">
        <f>'[1]SNO RTF daily report1'!E859</f>
        <v>0</v>
      </c>
      <c r="F859">
        <f>'[1]SNO RTF daily report1'!F859</f>
        <v>0</v>
      </c>
      <c r="G859">
        <f>'[1]SNO RTF daily report1'!G859</f>
        <v>0</v>
      </c>
      <c r="H859">
        <f>'[1]SNO RTF daily report1'!H859</f>
        <v>0</v>
      </c>
      <c r="I859">
        <f>'[1]SNO RTF daily report1'!I859</f>
        <v>0</v>
      </c>
    </row>
    <row r="860" spans="1:9" x14ac:dyDescent="0.25">
      <c r="A860">
        <f>'[1]SNO RTF daily report1'!A860</f>
        <v>0</v>
      </c>
      <c r="B860">
        <f>'[1]SNO RTF daily report1'!B860</f>
        <v>0</v>
      </c>
      <c r="C860">
        <f>'[1]SNO RTF daily report1'!C860</f>
        <v>0</v>
      </c>
      <c r="D860">
        <f>'[1]SNO RTF daily report1'!D860</f>
        <v>0</v>
      </c>
      <c r="E860">
        <f>'[1]SNO RTF daily report1'!E860</f>
        <v>0</v>
      </c>
      <c r="F860">
        <f>'[1]SNO RTF daily report1'!F860</f>
        <v>0</v>
      </c>
      <c r="G860">
        <f>'[1]SNO RTF daily report1'!G860</f>
        <v>0</v>
      </c>
      <c r="H860">
        <f>'[1]SNO RTF daily report1'!H860</f>
        <v>0</v>
      </c>
      <c r="I860">
        <f>'[1]SNO RTF daily report1'!I860</f>
        <v>0</v>
      </c>
    </row>
    <row r="861" spans="1:9" x14ac:dyDescent="0.25">
      <c r="A861">
        <f>'[1]SNO RTF daily report1'!A861</f>
        <v>0</v>
      </c>
      <c r="B861">
        <f>'[1]SNO RTF daily report1'!B861</f>
        <v>0</v>
      </c>
      <c r="C861">
        <f>'[1]SNO RTF daily report1'!C861</f>
        <v>0</v>
      </c>
      <c r="D861">
        <f>'[1]SNO RTF daily report1'!D861</f>
        <v>0</v>
      </c>
      <c r="E861">
        <f>'[1]SNO RTF daily report1'!E861</f>
        <v>0</v>
      </c>
      <c r="F861">
        <f>'[1]SNO RTF daily report1'!F861</f>
        <v>0</v>
      </c>
      <c r="G861">
        <f>'[1]SNO RTF daily report1'!G861</f>
        <v>0</v>
      </c>
      <c r="H861">
        <f>'[1]SNO RTF daily report1'!H861</f>
        <v>0</v>
      </c>
      <c r="I861">
        <f>'[1]SNO RTF daily report1'!I861</f>
        <v>0</v>
      </c>
    </row>
    <row r="862" spans="1:9" x14ac:dyDescent="0.25">
      <c r="A862">
        <f>'[1]SNO RTF daily report1'!A862</f>
        <v>0</v>
      </c>
      <c r="B862">
        <f>'[1]SNO RTF daily report1'!B862</f>
        <v>0</v>
      </c>
      <c r="C862">
        <f>'[1]SNO RTF daily report1'!C862</f>
        <v>0</v>
      </c>
      <c r="D862">
        <f>'[1]SNO RTF daily report1'!D862</f>
        <v>0</v>
      </c>
      <c r="E862">
        <f>'[1]SNO RTF daily report1'!E862</f>
        <v>0</v>
      </c>
      <c r="F862">
        <f>'[1]SNO RTF daily report1'!F862</f>
        <v>0</v>
      </c>
      <c r="G862">
        <f>'[1]SNO RTF daily report1'!G862</f>
        <v>0</v>
      </c>
      <c r="H862">
        <f>'[1]SNO RTF daily report1'!H862</f>
        <v>0</v>
      </c>
      <c r="I862">
        <f>'[1]SNO RTF daily report1'!I862</f>
        <v>0</v>
      </c>
    </row>
    <row r="863" spans="1:9" x14ac:dyDescent="0.25">
      <c r="A863">
        <f>'[1]SNO RTF daily report1'!A863</f>
        <v>0</v>
      </c>
      <c r="B863">
        <f>'[1]SNO RTF daily report1'!B863</f>
        <v>0</v>
      </c>
      <c r="C863">
        <f>'[1]SNO RTF daily report1'!C863</f>
        <v>0</v>
      </c>
      <c r="D863">
        <f>'[1]SNO RTF daily report1'!D863</f>
        <v>0</v>
      </c>
      <c r="E863">
        <f>'[1]SNO RTF daily report1'!E863</f>
        <v>0</v>
      </c>
      <c r="F863">
        <f>'[1]SNO RTF daily report1'!F863</f>
        <v>0</v>
      </c>
      <c r="G863">
        <f>'[1]SNO RTF daily report1'!G863</f>
        <v>0</v>
      </c>
      <c r="H863">
        <f>'[1]SNO RTF daily report1'!H863</f>
        <v>0</v>
      </c>
      <c r="I863">
        <f>'[1]SNO RTF daily report1'!I863</f>
        <v>0</v>
      </c>
    </row>
    <row r="864" spans="1:9" x14ac:dyDescent="0.25">
      <c r="A864">
        <f>'[1]SNO RTF daily report1'!A864</f>
        <v>0</v>
      </c>
      <c r="B864">
        <f>'[1]SNO RTF daily report1'!B864</f>
        <v>0</v>
      </c>
      <c r="C864">
        <f>'[1]SNO RTF daily report1'!C864</f>
        <v>0</v>
      </c>
      <c r="D864">
        <f>'[1]SNO RTF daily report1'!D864</f>
        <v>0</v>
      </c>
      <c r="E864">
        <f>'[1]SNO RTF daily report1'!E864</f>
        <v>0</v>
      </c>
      <c r="F864">
        <f>'[1]SNO RTF daily report1'!F864</f>
        <v>0</v>
      </c>
      <c r="G864">
        <f>'[1]SNO RTF daily report1'!G864</f>
        <v>0</v>
      </c>
      <c r="H864">
        <f>'[1]SNO RTF daily report1'!H864</f>
        <v>0</v>
      </c>
      <c r="I864">
        <f>'[1]SNO RTF daily report1'!I864</f>
        <v>0</v>
      </c>
    </row>
    <row r="865" spans="1:9" x14ac:dyDescent="0.25">
      <c r="A865">
        <f>'[1]SNO RTF daily report1'!A865</f>
        <v>0</v>
      </c>
      <c r="B865">
        <f>'[1]SNO RTF daily report1'!B865</f>
        <v>0</v>
      </c>
      <c r="C865">
        <f>'[1]SNO RTF daily report1'!C865</f>
        <v>0</v>
      </c>
      <c r="D865">
        <f>'[1]SNO RTF daily report1'!D865</f>
        <v>0</v>
      </c>
      <c r="E865">
        <f>'[1]SNO RTF daily report1'!E865</f>
        <v>0</v>
      </c>
      <c r="F865">
        <f>'[1]SNO RTF daily report1'!F865</f>
        <v>0</v>
      </c>
      <c r="G865">
        <f>'[1]SNO RTF daily report1'!G865</f>
        <v>0</v>
      </c>
      <c r="H865">
        <f>'[1]SNO RTF daily report1'!H865</f>
        <v>0</v>
      </c>
      <c r="I865">
        <f>'[1]SNO RTF daily report1'!I865</f>
        <v>0</v>
      </c>
    </row>
    <row r="866" spans="1:9" x14ac:dyDescent="0.25">
      <c r="A866">
        <f>'[1]SNO RTF daily report1'!A866</f>
        <v>0</v>
      </c>
      <c r="B866">
        <f>'[1]SNO RTF daily report1'!B866</f>
        <v>0</v>
      </c>
      <c r="C866">
        <f>'[1]SNO RTF daily report1'!C866</f>
        <v>0</v>
      </c>
      <c r="D866">
        <f>'[1]SNO RTF daily report1'!D866</f>
        <v>0</v>
      </c>
      <c r="E866">
        <f>'[1]SNO RTF daily report1'!E866</f>
        <v>0</v>
      </c>
      <c r="F866">
        <f>'[1]SNO RTF daily report1'!F866</f>
        <v>0</v>
      </c>
      <c r="G866">
        <f>'[1]SNO RTF daily report1'!G866</f>
        <v>0</v>
      </c>
      <c r="H866">
        <f>'[1]SNO RTF daily report1'!H866</f>
        <v>0</v>
      </c>
      <c r="I866">
        <f>'[1]SNO RTF daily report1'!I866</f>
        <v>0</v>
      </c>
    </row>
    <row r="867" spans="1:9" x14ac:dyDescent="0.25">
      <c r="A867">
        <f>'[1]SNO RTF daily report1'!A867</f>
        <v>0</v>
      </c>
      <c r="B867">
        <f>'[1]SNO RTF daily report1'!B867</f>
        <v>0</v>
      </c>
      <c r="C867">
        <f>'[1]SNO RTF daily report1'!C867</f>
        <v>0</v>
      </c>
      <c r="D867">
        <f>'[1]SNO RTF daily report1'!D867</f>
        <v>0</v>
      </c>
      <c r="E867">
        <f>'[1]SNO RTF daily report1'!E867</f>
        <v>0</v>
      </c>
      <c r="F867">
        <f>'[1]SNO RTF daily report1'!F867</f>
        <v>0</v>
      </c>
      <c r="G867">
        <f>'[1]SNO RTF daily report1'!G867</f>
        <v>0</v>
      </c>
      <c r="H867">
        <f>'[1]SNO RTF daily report1'!H867</f>
        <v>0</v>
      </c>
      <c r="I867">
        <f>'[1]SNO RTF daily report1'!I867</f>
        <v>0</v>
      </c>
    </row>
    <row r="868" spans="1:9" x14ac:dyDescent="0.25">
      <c r="A868">
        <f>'[1]SNO RTF daily report1'!A868</f>
        <v>0</v>
      </c>
      <c r="B868">
        <f>'[1]SNO RTF daily report1'!B868</f>
        <v>0</v>
      </c>
      <c r="C868">
        <f>'[1]SNO RTF daily report1'!C868</f>
        <v>0</v>
      </c>
      <c r="D868">
        <f>'[1]SNO RTF daily report1'!D868</f>
        <v>0</v>
      </c>
      <c r="E868">
        <f>'[1]SNO RTF daily report1'!E868</f>
        <v>0</v>
      </c>
      <c r="F868">
        <f>'[1]SNO RTF daily report1'!F868</f>
        <v>0</v>
      </c>
      <c r="G868">
        <f>'[1]SNO RTF daily report1'!G868</f>
        <v>0</v>
      </c>
      <c r="H868">
        <f>'[1]SNO RTF daily report1'!H868</f>
        <v>0</v>
      </c>
      <c r="I868">
        <f>'[1]SNO RTF daily report1'!I868</f>
        <v>0</v>
      </c>
    </row>
    <row r="869" spans="1:9" x14ac:dyDescent="0.25">
      <c r="A869">
        <f>'[1]SNO RTF daily report1'!A869</f>
        <v>0</v>
      </c>
      <c r="B869">
        <f>'[1]SNO RTF daily report1'!B869</f>
        <v>0</v>
      </c>
      <c r="C869">
        <f>'[1]SNO RTF daily report1'!C869</f>
        <v>0</v>
      </c>
      <c r="D869">
        <f>'[1]SNO RTF daily report1'!D869</f>
        <v>0</v>
      </c>
      <c r="E869">
        <f>'[1]SNO RTF daily report1'!E869</f>
        <v>0</v>
      </c>
      <c r="F869">
        <f>'[1]SNO RTF daily report1'!F869</f>
        <v>0</v>
      </c>
      <c r="G869">
        <f>'[1]SNO RTF daily report1'!G869</f>
        <v>0</v>
      </c>
      <c r="H869">
        <f>'[1]SNO RTF daily report1'!H869</f>
        <v>0</v>
      </c>
      <c r="I869">
        <f>'[1]SNO RTF daily report1'!I869</f>
        <v>0</v>
      </c>
    </row>
    <row r="870" spans="1:9" x14ac:dyDescent="0.25">
      <c r="A870">
        <f>'[1]SNO RTF daily report1'!A870</f>
        <v>0</v>
      </c>
      <c r="B870">
        <f>'[1]SNO RTF daily report1'!B870</f>
        <v>0</v>
      </c>
      <c r="C870">
        <f>'[1]SNO RTF daily report1'!C870</f>
        <v>0</v>
      </c>
      <c r="D870">
        <f>'[1]SNO RTF daily report1'!D870</f>
        <v>0</v>
      </c>
      <c r="E870">
        <f>'[1]SNO RTF daily report1'!E870</f>
        <v>0</v>
      </c>
      <c r="F870">
        <f>'[1]SNO RTF daily report1'!F870</f>
        <v>0</v>
      </c>
      <c r="G870">
        <f>'[1]SNO RTF daily report1'!G870</f>
        <v>0</v>
      </c>
      <c r="H870">
        <f>'[1]SNO RTF daily report1'!H870</f>
        <v>0</v>
      </c>
      <c r="I870">
        <f>'[1]SNO RTF daily report1'!I870</f>
        <v>0</v>
      </c>
    </row>
    <row r="871" spans="1:9" x14ac:dyDescent="0.25">
      <c r="A871">
        <f>'[1]SNO RTF daily report1'!A871</f>
        <v>0</v>
      </c>
      <c r="B871">
        <f>'[1]SNO RTF daily report1'!B871</f>
        <v>0</v>
      </c>
      <c r="C871">
        <f>'[1]SNO RTF daily report1'!C871</f>
        <v>0</v>
      </c>
      <c r="D871">
        <f>'[1]SNO RTF daily report1'!D871</f>
        <v>0</v>
      </c>
      <c r="E871">
        <f>'[1]SNO RTF daily report1'!E871</f>
        <v>0</v>
      </c>
      <c r="F871">
        <f>'[1]SNO RTF daily report1'!F871</f>
        <v>0</v>
      </c>
      <c r="G871">
        <f>'[1]SNO RTF daily report1'!G871</f>
        <v>0</v>
      </c>
      <c r="H871">
        <f>'[1]SNO RTF daily report1'!H871</f>
        <v>0</v>
      </c>
      <c r="I871">
        <f>'[1]SNO RTF daily report1'!I871</f>
        <v>0</v>
      </c>
    </row>
    <row r="872" spans="1:9" x14ac:dyDescent="0.25">
      <c r="A872">
        <f>'[1]SNO RTF daily report1'!A872</f>
        <v>0</v>
      </c>
      <c r="B872">
        <f>'[1]SNO RTF daily report1'!B872</f>
        <v>0</v>
      </c>
      <c r="C872">
        <f>'[1]SNO RTF daily report1'!C872</f>
        <v>0</v>
      </c>
      <c r="D872">
        <f>'[1]SNO RTF daily report1'!D872</f>
        <v>0</v>
      </c>
      <c r="E872">
        <f>'[1]SNO RTF daily report1'!E872</f>
        <v>0</v>
      </c>
      <c r="F872">
        <f>'[1]SNO RTF daily report1'!F872</f>
        <v>0</v>
      </c>
      <c r="G872">
        <f>'[1]SNO RTF daily report1'!G872</f>
        <v>0</v>
      </c>
      <c r="H872">
        <f>'[1]SNO RTF daily report1'!H872</f>
        <v>0</v>
      </c>
      <c r="I872">
        <f>'[1]SNO RTF daily report1'!I872</f>
        <v>0</v>
      </c>
    </row>
    <row r="873" spans="1:9" x14ac:dyDescent="0.25">
      <c r="A873">
        <f>'[1]SNO RTF daily report1'!A873</f>
        <v>0</v>
      </c>
      <c r="B873">
        <f>'[1]SNO RTF daily report1'!B873</f>
        <v>0</v>
      </c>
      <c r="C873">
        <f>'[1]SNO RTF daily report1'!C873</f>
        <v>0</v>
      </c>
      <c r="D873">
        <f>'[1]SNO RTF daily report1'!D873</f>
        <v>0</v>
      </c>
      <c r="E873">
        <f>'[1]SNO RTF daily report1'!E873</f>
        <v>0</v>
      </c>
      <c r="F873">
        <f>'[1]SNO RTF daily report1'!F873</f>
        <v>0</v>
      </c>
      <c r="G873">
        <f>'[1]SNO RTF daily report1'!G873</f>
        <v>0</v>
      </c>
      <c r="H873">
        <f>'[1]SNO RTF daily report1'!H873</f>
        <v>0</v>
      </c>
      <c r="I873">
        <f>'[1]SNO RTF daily report1'!I873</f>
        <v>0</v>
      </c>
    </row>
    <row r="874" spans="1:9" x14ac:dyDescent="0.25">
      <c r="A874">
        <f>'[1]SNO RTF daily report1'!A874</f>
        <v>0</v>
      </c>
      <c r="B874">
        <f>'[1]SNO RTF daily report1'!B874</f>
        <v>0</v>
      </c>
      <c r="C874">
        <f>'[1]SNO RTF daily report1'!C874</f>
        <v>0</v>
      </c>
      <c r="D874">
        <f>'[1]SNO RTF daily report1'!D874</f>
        <v>0</v>
      </c>
      <c r="E874">
        <f>'[1]SNO RTF daily report1'!E874</f>
        <v>0</v>
      </c>
      <c r="F874">
        <f>'[1]SNO RTF daily report1'!F874</f>
        <v>0</v>
      </c>
      <c r="G874">
        <f>'[1]SNO RTF daily report1'!G874</f>
        <v>0</v>
      </c>
      <c r="H874">
        <f>'[1]SNO RTF daily report1'!H874</f>
        <v>0</v>
      </c>
      <c r="I874">
        <f>'[1]SNO RTF daily report1'!I874</f>
        <v>0</v>
      </c>
    </row>
    <row r="875" spans="1:9" x14ac:dyDescent="0.25">
      <c r="A875">
        <f>'[1]SNO RTF daily report1'!A875</f>
        <v>0</v>
      </c>
      <c r="B875">
        <f>'[1]SNO RTF daily report1'!B875</f>
        <v>0</v>
      </c>
      <c r="C875">
        <f>'[1]SNO RTF daily report1'!C875</f>
        <v>0</v>
      </c>
      <c r="D875">
        <f>'[1]SNO RTF daily report1'!D875</f>
        <v>0</v>
      </c>
      <c r="E875">
        <f>'[1]SNO RTF daily report1'!E875</f>
        <v>0</v>
      </c>
      <c r="F875">
        <f>'[1]SNO RTF daily report1'!F875</f>
        <v>0</v>
      </c>
      <c r="G875">
        <f>'[1]SNO RTF daily report1'!G875</f>
        <v>0</v>
      </c>
      <c r="H875">
        <f>'[1]SNO RTF daily report1'!H875</f>
        <v>0</v>
      </c>
      <c r="I875">
        <f>'[1]SNO RTF daily report1'!I875</f>
        <v>0</v>
      </c>
    </row>
    <row r="876" spans="1:9" x14ac:dyDescent="0.25">
      <c r="A876">
        <f>'[1]SNO RTF daily report1'!A876</f>
        <v>0</v>
      </c>
      <c r="B876">
        <f>'[1]SNO RTF daily report1'!B876</f>
        <v>0</v>
      </c>
      <c r="C876">
        <f>'[1]SNO RTF daily report1'!C876</f>
        <v>0</v>
      </c>
      <c r="D876">
        <f>'[1]SNO RTF daily report1'!D876</f>
        <v>0</v>
      </c>
      <c r="E876">
        <f>'[1]SNO RTF daily report1'!E876</f>
        <v>0</v>
      </c>
      <c r="F876">
        <f>'[1]SNO RTF daily report1'!F876</f>
        <v>0</v>
      </c>
      <c r="G876">
        <f>'[1]SNO RTF daily report1'!G876</f>
        <v>0</v>
      </c>
      <c r="H876">
        <f>'[1]SNO RTF daily report1'!H876</f>
        <v>0</v>
      </c>
      <c r="I876">
        <f>'[1]SNO RTF daily report1'!I876</f>
        <v>0</v>
      </c>
    </row>
    <row r="877" spans="1:9" x14ac:dyDescent="0.25">
      <c r="A877">
        <f>'[1]SNO RTF daily report1'!A877</f>
        <v>0</v>
      </c>
      <c r="B877">
        <f>'[1]SNO RTF daily report1'!B877</f>
        <v>0</v>
      </c>
      <c r="C877">
        <f>'[1]SNO RTF daily report1'!C877</f>
        <v>0</v>
      </c>
      <c r="D877">
        <f>'[1]SNO RTF daily report1'!D877</f>
        <v>0</v>
      </c>
      <c r="E877">
        <f>'[1]SNO RTF daily report1'!E877</f>
        <v>0</v>
      </c>
      <c r="F877">
        <f>'[1]SNO RTF daily report1'!F877</f>
        <v>0</v>
      </c>
      <c r="G877">
        <f>'[1]SNO RTF daily report1'!G877</f>
        <v>0</v>
      </c>
      <c r="H877">
        <f>'[1]SNO RTF daily report1'!H877</f>
        <v>0</v>
      </c>
      <c r="I877">
        <f>'[1]SNO RTF daily report1'!I877</f>
        <v>0</v>
      </c>
    </row>
    <row r="878" spans="1:9" x14ac:dyDescent="0.25">
      <c r="A878">
        <f>'[1]SNO RTF daily report1'!A878</f>
        <v>0</v>
      </c>
      <c r="B878">
        <f>'[1]SNO RTF daily report1'!B878</f>
        <v>0</v>
      </c>
      <c r="C878">
        <f>'[1]SNO RTF daily report1'!C878</f>
        <v>0</v>
      </c>
      <c r="D878">
        <f>'[1]SNO RTF daily report1'!D878</f>
        <v>0</v>
      </c>
      <c r="E878">
        <f>'[1]SNO RTF daily report1'!E878</f>
        <v>0</v>
      </c>
      <c r="F878">
        <f>'[1]SNO RTF daily report1'!F878</f>
        <v>0</v>
      </c>
      <c r="G878">
        <f>'[1]SNO RTF daily report1'!G878</f>
        <v>0</v>
      </c>
      <c r="H878">
        <f>'[1]SNO RTF daily report1'!H878</f>
        <v>0</v>
      </c>
      <c r="I878">
        <f>'[1]SNO RTF daily report1'!I878</f>
        <v>0</v>
      </c>
    </row>
    <row r="879" spans="1:9" x14ac:dyDescent="0.25">
      <c r="A879">
        <f>'[1]SNO RTF daily report1'!A879</f>
        <v>0</v>
      </c>
      <c r="B879">
        <f>'[1]SNO RTF daily report1'!B879</f>
        <v>0</v>
      </c>
      <c r="C879">
        <f>'[1]SNO RTF daily report1'!C879</f>
        <v>0</v>
      </c>
      <c r="D879">
        <f>'[1]SNO RTF daily report1'!D879</f>
        <v>0</v>
      </c>
      <c r="E879">
        <f>'[1]SNO RTF daily report1'!E879</f>
        <v>0</v>
      </c>
      <c r="F879">
        <f>'[1]SNO RTF daily report1'!F879</f>
        <v>0</v>
      </c>
      <c r="G879">
        <f>'[1]SNO RTF daily report1'!G879</f>
        <v>0</v>
      </c>
      <c r="H879">
        <f>'[1]SNO RTF daily report1'!H879</f>
        <v>0</v>
      </c>
      <c r="I879">
        <f>'[1]SNO RTF daily report1'!I879</f>
        <v>0</v>
      </c>
    </row>
    <row r="880" spans="1:9" x14ac:dyDescent="0.25">
      <c r="A880">
        <f>'[1]SNO RTF daily report1'!A880</f>
        <v>0</v>
      </c>
      <c r="B880">
        <f>'[1]SNO RTF daily report1'!B880</f>
        <v>0</v>
      </c>
      <c r="C880">
        <f>'[1]SNO RTF daily report1'!C880</f>
        <v>0</v>
      </c>
      <c r="D880">
        <f>'[1]SNO RTF daily report1'!D880</f>
        <v>0</v>
      </c>
      <c r="E880">
        <f>'[1]SNO RTF daily report1'!E880</f>
        <v>0</v>
      </c>
      <c r="F880">
        <f>'[1]SNO RTF daily report1'!F880</f>
        <v>0</v>
      </c>
      <c r="G880">
        <f>'[1]SNO RTF daily report1'!G880</f>
        <v>0</v>
      </c>
      <c r="H880">
        <f>'[1]SNO RTF daily report1'!H880</f>
        <v>0</v>
      </c>
      <c r="I880">
        <f>'[1]SNO RTF daily report1'!I880</f>
        <v>0</v>
      </c>
    </row>
    <row r="881" spans="1:9" x14ac:dyDescent="0.25">
      <c r="A881">
        <f>'[1]SNO RTF daily report1'!A881</f>
        <v>0</v>
      </c>
      <c r="B881">
        <f>'[1]SNO RTF daily report1'!B881</f>
        <v>0</v>
      </c>
      <c r="C881">
        <f>'[1]SNO RTF daily report1'!C881</f>
        <v>0</v>
      </c>
      <c r="D881">
        <f>'[1]SNO RTF daily report1'!D881</f>
        <v>0</v>
      </c>
      <c r="E881">
        <f>'[1]SNO RTF daily report1'!E881</f>
        <v>0</v>
      </c>
      <c r="F881">
        <f>'[1]SNO RTF daily report1'!F881</f>
        <v>0</v>
      </c>
      <c r="G881">
        <f>'[1]SNO RTF daily report1'!G881</f>
        <v>0</v>
      </c>
      <c r="H881">
        <f>'[1]SNO RTF daily report1'!H881</f>
        <v>0</v>
      </c>
      <c r="I881">
        <f>'[1]SNO RTF daily report1'!I881</f>
        <v>0</v>
      </c>
    </row>
    <row r="882" spans="1:9" x14ac:dyDescent="0.25">
      <c r="A882">
        <f>'[1]SNO RTF daily report1'!A882</f>
        <v>0</v>
      </c>
      <c r="B882">
        <f>'[1]SNO RTF daily report1'!B882</f>
        <v>0</v>
      </c>
      <c r="C882">
        <f>'[1]SNO RTF daily report1'!C882</f>
        <v>0</v>
      </c>
      <c r="D882">
        <f>'[1]SNO RTF daily report1'!D882</f>
        <v>0</v>
      </c>
      <c r="E882">
        <f>'[1]SNO RTF daily report1'!E882</f>
        <v>0</v>
      </c>
      <c r="F882">
        <f>'[1]SNO RTF daily report1'!F882</f>
        <v>0</v>
      </c>
      <c r="G882">
        <f>'[1]SNO RTF daily report1'!G882</f>
        <v>0</v>
      </c>
      <c r="H882">
        <f>'[1]SNO RTF daily report1'!H882</f>
        <v>0</v>
      </c>
      <c r="I882">
        <f>'[1]SNO RTF daily report1'!I882</f>
        <v>0</v>
      </c>
    </row>
    <row r="883" spans="1:9" x14ac:dyDescent="0.25">
      <c r="A883">
        <f>'[1]SNO RTF daily report1'!A883</f>
        <v>0</v>
      </c>
      <c r="B883">
        <f>'[1]SNO RTF daily report1'!B883</f>
        <v>0</v>
      </c>
      <c r="C883">
        <f>'[1]SNO RTF daily report1'!C883</f>
        <v>0</v>
      </c>
      <c r="D883">
        <f>'[1]SNO RTF daily report1'!D883</f>
        <v>0</v>
      </c>
      <c r="E883">
        <f>'[1]SNO RTF daily report1'!E883</f>
        <v>0</v>
      </c>
      <c r="F883">
        <f>'[1]SNO RTF daily report1'!F883</f>
        <v>0</v>
      </c>
      <c r="G883">
        <f>'[1]SNO RTF daily report1'!G883</f>
        <v>0</v>
      </c>
      <c r="H883">
        <f>'[1]SNO RTF daily report1'!H883</f>
        <v>0</v>
      </c>
      <c r="I883">
        <f>'[1]SNO RTF daily report1'!I883</f>
        <v>0</v>
      </c>
    </row>
    <row r="884" spans="1:9" x14ac:dyDescent="0.25">
      <c r="A884">
        <f>'[1]SNO RTF daily report1'!A884</f>
        <v>0</v>
      </c>
      <c r="B884">
        <f>'[1]SNO RTF daily report1'!B884</f>
        <v>0</v>
      </c>
      <c r="C884">
        <f>'[1]SNO RTF daily report1'!C884</f>
        <v>0</v>
      </c>
      <c r="D884">
        <f>'[1]SNO RTF daily report1'!D884</f>
        <v>0</v>
      </c>
      <c r="E884">
        <f>'[1]SNO RTF daily report1'!E884</f>
        <v>0</v>
      </c>
      <c r="F884">
        <f>'[1]SNO RTF daily report1'!F884</f>
        <v>0</v>
      </c>
      <c r="G884">
        <f>'[1]SNO RTF daily report1'!G884</f>
        <v>0</v>
      </c>
      <c r="H884">
        <f>'[1]SNO RTF daily report1'!H884</f>
        <v>0</v>
      </c>
      <c r="I884">
        <f>'[1]SNO RTF daily report1'!I884</f>
        <v>0</v>
      </c>
    </row>
    <row r="885" spans="1:9" x14ac:dyDescent="0.25">
      <c r="A885">
        <f>'[1]SNO RTF daily report1'!A885</f>
        <v>0</v>
      </c>
      <c r="B885">
        <f>'[1]SNO RTF daily report1'!B885</f>
        <v>0</v>
      </c>
      <c r="C885">
        <f>'[1]SNO RTF daily report1'!C885</f>
        <v>0</v>
      </c>
      <c r="D885">
        <f>'[1]SNO RTF daily report1'!D885</f>
        <v>0</v>
      </c>
      <c r="E885">
        <f>'[1]SNO RTF daily report1'!E885</f>
        <v>0</v>
      </c>
      <c r="F885">
        <f>'[1]SNO RTF daily report1'!F885</f>
        <v>0</v>
      </c>
      <c r="G885">
        <f>'[1]SNO RTF daily report1'!G885</f>
        <v>0</v>
      </c>
      <c r="H885">
        <f>'[1]SNO RTF daily report1'!H885</f>
        <v>0</v>
      </c>
      <c r="I885">
        <f>'[1]SNO RTF daily report1'!I885</f>
        <v>0</v>
      </c>
    </row>
    <row r="886" spans="1:9" x14ac:dyDescent="0.25">
      <c r="A886">
        <f>'[1]SNO RTF daily report1'!A886</f>
        <v>0</v>
      </c>
      <c r="B886">
        <f>'[1]SNO RTF daily report1'!B886</f>
        <v>0</v>
      </c>
      <c r="C886">
        <f>'[1]SNO RTF daily report1'!C886</f>
        <v>0</v>
      </c>
      <c r="D886">
        <f>'[1]SNO RTF daily report1'!D886</f>
        <v>0</v>
      </c>
      <c r="E886">
        <f>'[1]SNO RTF daily report1'!E886</f>
        <v>0</v>
      </c>
      <c r="F886">
        <f>'[1]SNO RTF daily report1'!F886</f>
        <v>0</v>
      </c>
      <c r="G886">
        <f>'[1]SNO RTF daily report1'!G886</f>
        <v>0</v>
      </c>
      <c r="H886">
        <f>'[1]SNO RTF daily report1'!H886</f>
        <v>0</v>
      </c>
      <c r="I886">
        <f>'[1]SNO RTF daily report1'!I886</f>
        <v>0</v>
      </c>
    </row>
    <row r="887" spans="1:9" x14ac:dyDescent="0.25">
      <c r="A887">
        <f>'[1]SNO RTF daily report1'!A887</f>
        <v>0</v>
      </c>
      <c r="B887">
        <f>'[1]SNO RTF daily report1'!B887</f>
        <v>0</v>
      </c>
      <c r="C887">
        <f>'[1]SNO RTF daily report1'!C887</f>
        <v>0</v>
      </c>
      <c r="D887">
        <f>'[1]SNO RTF daily report1'!D887</f>
        <v>0</v>
      </c>
      <c r="E887">
        <f>'[1]SNO RTF daily report1'!E887</f>
        <v>0</v>
      </c>
      <c r="F887">
        <f>'[1]SNO RTF daily report1'!F887</f>
        <v>0</v>
      </c>
      <c r="G887">
        <f>'[1]SNO RTF daily report1'!G887</f>
        <v>0</v>
      </c>
      <c r="H887">
        <f>'[1]SNO RTF daily report1'!H887</f>
        <v>0</v>
      </c>
      <c r="I887">
        <f>'[1]SNO RTF daily report1'!I887</f>
        <v>0</v>
      </c>
    </row>
    <row r="888" spans="1:9" x14ac:dyDescent="0.25">
      <c r="A888">
        <f>'[1]SNO RTF daily report1'!A888</f>
        <v>0</v>
      </c>
      <c r="B888">
        <f>'[1]SNO RTF daily report1'!B888</f>
        <v>0</v>
      </c>
      <c r="C888">
        <f>'[1]SNO RTF daily report1'!C888</f>
        <v>0</v>
      </c>
      <c r="D888">
        <f>'[1]SNO RTF daily report1'!D888</f>
        <v>0</v>
      </c>
      <c r="E888">
        <f>'[1]SNO RTF daily report1'!E888</f>
        <v>0</v>
      </c>
      <c r="F888">
        <f>'[1]SNO RTF daily report1'!F888</f>
        <v>0</v>
      </c>
      <c r="G888">
        <f>'[1]SNO RTF daily report1'!G888</f>
        <v>0</v>
      </c>
      <c r="H888">
        <f>'[1]SNO RTF daily report1'!H888</f>
        <v>0</v>
      </c>
      <c r="I888">
        <f>'[1]SNO RTF daily report1'!I888</f>
        <v>0</v>
      </c>
    </row>
    <row r="889" spans="1:9" x14ac:dyDescent="0.25">
      <c r="A889">
        <f>'[1]SNO RTF daily report1'!A889</f>
        <v>0</v>
      </c>
      <c r="B889">
        <f>'[1]SNO RTF daily report1'!B889</f>
        <v>0</v>
      </c>
      <c r="C889">
        <f>'[1]SNO RTF daily report1'!C889</f>
        <v>0</v>
      </c>
      <c r="D889">
        <f>'[1]SNO RTF daily report1'!D889</f>
        <v>0</v>
      </c>
      <c r="E889">
        <f>'[1]SNO RTF daily report1'!E889</f>
        <v>0</v>
      </c>
      <c r="F889">
        <f>'[1]SNO RTF daily report1'!F889</f>
        <v>0</v>
      </c>
      <c r="G889">
        <f>'[1]SNO RTF daily report1'!G889</f>
        <v>0</v>
      </c>
      <c r="H889">
        <f>'[1]SNO RTF daily report1'!H889</f>
        <v>0</v>
      </c>
      <c r="I889">
        <f>'[1]SNO RTF daily report1'!I889</f>
        <v>0</v>
      </c>
    </row>
    <row r="890" spans="1:9" x14ac:dyDescent="0.25">
      <c r="A890">
        <f>'[1]SNO RTF daily report1'!A890</f>
        <v>0</v>
      </c>
      <c r="B890">
        <f>'[1]SNO RTF daily report1'!B890</f>
        <v>0</v>
      </c>
      <c r="C890">
        <f>'[1]SNO RTF daily report1'!C890</f>
        <v>0</v>
      </c>
      <c r="D890">
        <f>'[1]SNO RTF daily report1'!D890</f>
        <v>0</v>
      </c>
      <c r="E890">
        <f>'[1]SNO RTF daily report1'!E890</f>
        <v>0</v>
      </c>
      <c r="F890">
        <f>'[1]SNO RTF daily report1'!F890</f>
        <v>0</v>
      </c>
      <c r="G890">
        <f>'[1]SNO RTF daily report1'!G890</f>
        <v>0</v>
      </c>
      <c r="H890">
        <f>'[1]SNO RTF daily report1'!H890</f>
        <v>0</v>
      </c>
      <c r="I890">
        <f>'[1]SNO RTF daily report1'!I890</f>
        <v>0</v>
      </c>
    </row>
    <row r="891" spans="1:9" x14ac:dyDescent="0.25">
      <c r="A891">
        <f>'[1]SNO RTF daily report1'!A891</f>
        <v>0</v>
      </c>
      <c r="B891">
        <f>'[1]SNO RTF daily report1'!B891</f>
        <v>0</v>
      </c>
      <c r="C891">
        <f>'[1]SNO RTF daily report1'!C891</f>
        <v>0</v>
      </c>
      <c r="D891">
        <f>'[1]SNO RTF daily report1'!D891</f>
        <v>0</v>
      </c>
      <c r="E891">
        <f>'[1]SNO RTF daily report1'!E891</f>
        <v>0</v>
      </c>
      <c r="F891">
        <f>'[1]SNO RTF daily report1'!F891</f>
        <v>0</v>
      </c>
      <c r="G891">
        <f>'[1]SNO RTF daily report1'!G891</f>
        <v>0</v>
      </c>
      <c r="H891">
        <f>'[1]SNO RTF daily report1'!H891</f>
        <v>0</v>
      </c>
      <c r="I891">
        <f>'[1]SNO RTF daily report1'!I891</f>
        <v>0</v>
      </c>
    </row>
    <row r="892" spans="1:9" x14ac:dyDescent="0.25">
      <c r="A892">
        <f>'[1]SNO RTF daily report1'!A892</f>
        <v>0</v>
      </c>
      <c r="B892">
        <f>'[1]SNO RTF daily report1'!B892</f>
        <v>0</v>
      </c>
      <c r="C892">
        <f>'[1]SNO RTF daily report1'!C892</f>
        <v>0</v>
      </c>
      <c r="D892">
        <f>'[1]SNO RTF daily report1'!D892</f>
        <v>0</v>
      </c>
      <c r="E892">
        <f>'[1]SNO RTF daily report1'!E892</f>
        <v>0</v>
      </c>
      <c r="F892">
        <f>'[1]SNO RTF daily report1'!F892</f>
        <v>0</v>
      </c>
      <c r="G892">
        <f>'[1]SNO RTF daily report1'!G892</f>
        <v>0</v>
      </c>
      <c r="H892">
        <f>'[1]SNO RTF daily report1'!H892</f>
        <v>0</v>
      </c>
      <c r="I892">
        <f>'[1]SNO RTF daily report1'!I892</f>
        <v>0</v>
      </c>
    </row>
    <row r="893" spans="1:9" x14ac:dyDescent="0.25">
      <c r="A893">
        <f>'[1]SNO RTF daily report1'!A893</f>
        <v>0</v>
      </c>
      <c r="B893">
        <f>'[1]SNO RTF daily report1'!B893</f>
        <v>0</v>
      </c>
      <c r="C893">
        <f>'[1]SNO RTF daily report1'!C893</f>
        <v>0</v>
      </c>
      <c r="D893">
        <f>'[1]SNO RTF daily report1'!D893</f>
        <v>0</v>
      </c>
      <c r="E893">
        <f>'[1]SNO RTF daily report1'!E893</f>
        <v>0</v>
      </c>
      <c r="F893">
        <f>'[1]SNO RTF daily report1'!F893</f>
        <v>0</v>
      </c>
      <c r="G893">
        <f>'[1]SNO RTF daily report1'!G893</f>
        <v>0</v>
      </c>
      <c r="H893">
        <f>'[1]SNO RTF daily report1'!H893</f>
        <v>0</v>
      </c>
      <c r="I893">
        <f>'[1]SNO RTF daily report1'!I893</f>
        <v>0</v>
      </c>
    </row>
    <row r="894" spans="1:9" x14ac:dyDescent="0.25">
      <c r="A894">
        <f>'[1]SNO RTF daily report1'!A894</f>
        <v>0</v>
      </c>
      <c r="B894">
        <f>'[1]SNO RTF daily report1'!B894</f>
        <v>0</v>
      </c>
      <c r="C894">
        <f>'[1]SNO RTF daily report1'!C894</f>
        <v>0</v>
      </c>
      <c r="D894">
        <f>'[1]SNO RTF daily report1'!D894</f>
        <v>0</v>
      </c>
      <c r="E894">
        <f>'[1]SNO RTF daily report1'!E894</f>
        <v>0</v>
      </c>
      <c r="F894">
        <f>'[1]SNO RTF daily report1'!F894</f>
        <v>0</v>
      </c>
      <c r="G894">
        <f>'[1]SNO RTF daily report1'!G894</f>
        <v>0</v>
      </c>
      <c r="H894">
        <f>'[1]SNO RTF daily report1'!H894</f>
        <v>0</v>
      </c>
      <c r="I894">
        <f>'[1]SNO RTF daily report1'!I894</f>
        <v>0</v>
      </c>
    </row>
    <row r="895" spans="1:9" x14ac:dyDescent="0.25">
      <c r="A895">
        <f>'[1]SNO RTF daily report1'!A895</f>
        <v>0</v>
      </c>
      <c r="B895">
        <f>'[1]SNO RTF daily report1'!B895</f>
        <v>0</v>
      </c>
      <c r="C895">
        <f>'[1]SNO RTF daily report1'!C895</f>
        <v>0</v>
      </c>
      <c r="D895">
        <f>'[1]SNO RTF daily report1'!D895</f>
        <v>0</v>
      </c>
      <c r="E895">
        <f>'[1]SNO RTF daily report1'!E895</f>
        <v>0</v>
      </c>
      <c r="F895">
        <f>'[1]SNO RTF daily report1'!F895</f>
        <v>0</v>
      </c>
      <c r="G895">
        <f>'[1]SNO RTF daily report1'!G895</f>
        <v>0</v>
      </c>
      <c r="H895">
        <f>'[1]SNO RTF daily report1'!H895</f>
        <v>0</v>
      </c>
      <c r="I895">
        <f>'[1]SNO RTF daily report1'!I895</f>
        <v>0</v>
      </c>
    </row>
    <row r="896" spans="1:9" x14ac:dyDescent="0.25">
      <c r="A896">
        <f>'[1]SNO RTF daily report1'!A896</f>
        <v>0</v>
      </c>
      <c r="B896">
        <f>'[1]SNO RTF daily report1'!B896</f>
        <v>0</v>
      </c>
      <c r="C896">
        <f>'[1]SNO RTF daily report1'!C896</f>
        <v>0</v>
      </c>
      <c r="D896">
        <f>'[1]SNO RTF daily report1'!D896</f>
        <v>0</v>
      </c>
      <c r="E896">
        <f>'[1]SNO RTF daily report1'!E896</f>
        <v>0</v>
      </c>
      <c r="F896">
        <f>'[1]SNO RTF daily report1'!F896</f>
        <v>0</v>
      </c>
      <c r="G896">
        <f>'[1]SNO RTF daily report1'!G896</f>
        <v>0</v>
      </c>
      <c r="H896">
        <f>'[1]SNO RTF daily report1'!H896</f>
        <v>0</v>
      </c>
      <c r="I896">
        <f>'[1]SNO RTF daily report1'!I896</f>
        <v>0</v>
      </c>
    </row>
    <row r="897" spans="1:9" x14ac:dyDescent="0.25">
      <c r="A897">
        <f>'[1]SNO RTF daily report1'!A897</f>
        <v>0</v>
      </c>
      <c r="B897">
        <f>'[1]SNO RTF daily report1'!B897</f>
        <v>0</v>
      </c>
      <c r="C897">
        <f>'[1]SNO RTF daily report1'!C897</f>
        <v>0</v>
      </c>
      <c r="D897">
        <f>'[1]SNO RTF daily report1'!D897</f>
        <v>0</v>
      </c>
      <c r="E897">
        <f>'[1]SNO RTF daily report1'!E897</f>
        <v>0</v>
      </c>
      <c r="F897">
        <f>'[1]SNO RTF daily report1'!F897</f>
        <v>0</v>
      </c>
      <c r="G897">
        <f>'[1]SNO RTF daily report1'!G897</f>
        <v>0</v>
      </c>
      <c r="H897">
        <f>'[1]SNO RTF daily report1'!H897</f>
        <v>0</v>
      </c>
      <c r="I897">
        <f>'[1]SNO RTF daily report1'!I897</f>
        <v>0</v>
      </c>
    </row>
    <row r="898" spans="1:9" x14ac:dyDescent="0.25">
      <c r="A898">
        <f>'[1]SNO RTF daily report1'!A898</f>
        <v>0</v>
      </c>
      <c r="B898">
        <f>'[1]SNO RTF daily report1'!B898</f>
        <v>0</v>
      </c>
      <c r="C898">
        <f>'[1]SNO RTF daily report1'!C898</f>
        <v>0</v>
      </c>
      <c r="D898">
        <f>'[1]SNO RTF daily report1'!D898</f>
        <v>0</v>
      </c>
      <c r="E898">
        <f>'[1]SNO RTF daily report1'!E898</f>
        <v>0</v>
      </c>
      <c r="F898">
        <f>'[1]SNO RTF daily report1'!F898</f>
        <v>0</v>
      </c>
      <c r="G898">
        <f>'[1]SNO RTF daily report1'!G898</f>
        <v>0</v>
      </c>
      <c r="H898">
        <f>'[1]SNO RTF daily report1'!H898</f>
        <v>0</v>
      </c>
      <c r="I898">
        <f>'[1]SNO RTF daily report1'!I898</f>
        <v>0</v>
      </c>
    </row>
    <row r="899" spans="1:9" x14ac:dyDescent="0.25">
      <c r="A899">
        <f>'[1]SNO RTF daily report1'!A899</f>
        <v>0</v>
      </c>
      <c r="B899">
        <f>'[1]SNO RTF daily report1'!B899</f>
        <v>0</v>
      </c>
      <c r="C899">
        <f>'[1]SNO RTF daily report1'!C899</f>
        <v>0</v>
      </c>
      <c r="D899">
        <f>'[1]SNO RTF daily report1'!D899</f>
        <v>0</v>
      </c>
      <c r="E899">
        <f>'[1]SNO RTF daily report1'!E899</f>
        <v>0</v>
      </c>
      <c r="F899">
        <f>'[1]SNO RTF daily report1'!F899</f>
        <v>0</v>
      </c>
      <c r="G899">
        <f>'[1]SNO RTF daily report1'!G899</f>
        <v>0</v>
      </c>
      <c r="H899">
        <f>'[1]SNO RTF daily report1'!H899</f>
        <v>0</v>
      </c>
      <c r="I899">
        <f>'[1]SNO RTF daily report1'!I899</f>
        <v>0</v>
      </c>
    </row>
    <row r="900" spans="1:9" x14ac:dyDescent="0.25">
      <c r="A900">
        <f>'[1]SNO RTF daily report1'!A900</f>
        <v>0</v>
      </c>
      <c r="B900">
        <f>'[1]SNO RTF daily report1'!B900</f>
        <v>0</v>
      </c>
      <c r="C900">
        <f>'[1]SNO RTF daily report1'!C900</f>
        <v>0</v>
      </c>
      <c r="D900">
        <f>'[1]SNO RTF daily report1'!D900</f>
        <v>0</v>
      </c>
      <c r="E900">
        <f>'[1]SNO RTF daily report1'!E900</f>
        <v>0</v>
      </c>
      <c r="F900">
        <f>'[1]SNO RTF daily report1'!F900</f>
        <v>0</v>
      </c>
      <c r="G900">
        <f>'[1]SNO RTF daily report1'!G900</f>
        <v>0</v>
      </c>
      <c r="H900">
        <f>'[1]SNO RTF daily report1'!H900</f>
        <v>0</v>
      </c>
      <c r="I900">
        <f>'[1]SNO RTF daily report1'!I900</f>
        <v>0</v>
      </c>
    </row>
    <row r="901" spans="1:9" x14ac:dyDescent="0.25">
      <c r="A901">
        <f>'[1]SNO RTF daily report1'!A901</f>
        <v>0</v>
      </c>
      <c r="B901">
        <f>'[1]SNO RTF daily report1'!B901</f>
        <v>0</v>
      </c>
      <c r="C901">
        <f>'[1]SNO RTF daily report1'!C901</f>
        <v>0</v>
      </c>
      <c r="D901">
        <f>'[1]SNO RTF daily report1'!D901</f>
        <v>0</v>
      </c>
      <c r="E901">
        <f>'[1]SNO RTF daily report1'!E901</f>
        <v>0</v>
      </c>
      <c r="F901">
        <f>'[1]SNO RTF daily report1'!F901</f>
        <v>0</v>
      </c>
      <c r="G901">
        <f>'[1]SNO RTF daily report1'!G901</f>
        <v>0</v>
      </c>
      <c r="H901">
        <f>'[1]SNO RTF daily report1'!H901</f>
        <v>0</v>
      </c>
      <c r="I901">
        <f>'[1]SNO RTF daily report1'!I901</f>
        <v>0</v>
      </c>
    </row>
    <row r="902" spans="1:9" x14ac:dyDescent="0.25">
      <c r="A902">
        <f>'[1]SNO RTF daily report1'!A902</f>
        <v>0</v>
      </c>
      <c r="B902">
        <f>'[1]SNO RTF daily report1'!B902</f>
        <v>0</v>
      </c>
      <c r="C902">
        <f>'[1]SNO RTF daily report1'!C902</f>
        <v>0</v>
      </c>
      <c r="D902">
        <f>'[1]SNO RTF daily report1'!D902</f>
        <v>0</v>
      </c>
      <c r="E902">
        <f>'[1]SNO RTF daily report1'!E902</f>
        <v>0</v>
      </c>
      <c r="F902">
        <f>'[1]SNO RTF daily report1'!F902</f>
        <v>0</v>
      </c>
      <c r="G902">
        <f>'[1]SNO RTF daily report1'!G902</f>
        <v>0</v>
      </c>
      <c r="H902">
        <f>'[1]SNO RTF daily report1'!H902</f>
        <v>0</v>
      </c>
      <c r="I902">
        <f>'[1]SNO RTF daily report1'!I902</f>
        <v>0</v>
      </c>
    </row>
    <row r="903" spans="1:9" x14ac:dyDescent="0.25">
      <c r="A903">
        <f>'[1]SNO RTF daily report1'!A903</f>
        <v>0</v>
      </c>
      <c r="B903">
        <f>'[1]SNO RTF daily report1'!B903</f>
        <v>0</v>
      </c>
      <c r="C903">
        <f>'[1]SNO RTF daily report1'!C903</f>
        <v>0</v>
      </c>
      <c r="D903">
        <f>'[1]SNO RTF daily report1'!D903</f>
        <v>0</v>
      </c>
      <c r="E903">
        <f>'[1]SNO RTF daily report1'!E903</f>
        <v>0</v>
      </c>
      <c r="F903">
        <f>'[1]SNO RTF daily report1'!F903</f>
        <v>0</v>
      </c>
      <c r="G903">
        <f>'[1]SNO RTF daily report1'!G903</f>
        <v>0</v>
      </c>
      <c r="H903">
        <f>'[1]SNO RTF daily report1'!H903</f>
        <v>0</v>
      </c>
      <c r="I903">
        <f>'[1]SNO RTF daily report1'!I903</f>
        <v>0</v>
      </c>
    </row>
    <row r="904" spans="1:9" x14ac:dyDescent="0.25">
      <c r="A904">
        <f>'[1]SNO RTF daily report1'!A904</f>
        <v>0</v>
      </c>
      <c r="B904">
        <f>'[1]SNO RTF daily report1'!B904</f>
        <v>0</v>
      </c>
      <c r="C904">
        <f>'[1]SNO RTF daily report1'!C904</f>
        <v>0</v>
      </c>
      <c r="D904">
        <f>'[1]SNO RTF daily report1'!D904</f>
        <v>0</v>
      </c>
      <c r="E904">
        <f>'[1]SNO RTF daily report1'!E904</f>
        <v>0</v>
      </c>
      <c r="F904">
        <f>'[1]SNO RTF daily report1'!F904</f>
        <v>0</v>
      </c>
      <c r="G904">
        <f>'[1]SNO RTF daily report1'!G904</f>
        <v>0</v>
      </c>
      <c r="H904">
        <f>'[1]SNO RTF daily report1'!H904</f>
        <v>0</v>
      </c>
      <c r="I904">
        <f>'[1]SNO RTF daily report1'!I904</f>
        <v>0</v>
      </c>
    </row>
    <row r="905" spans="1:9" x14ac:dyDescent="0.25">
      <c r="A905">
        <f>'[1]SNO RTF daily report1'!A905</f>
        <v>0</v>
      </c>
      <c r="B905">
        <f>'[1]SNO RTF daily report1'!B905</f>
        <v>0</v>
      </c>
      <c r="C905">
        <f>'[1]SNO RTF daily report1'!C905</f>
        <v>0</v>
      </c>
      <c r="D905">
        <f>'[1]SNO RTF daily report1'!D905</f>
        <v>0</v>
      </c>
      <c r="E905">
        <f>'[1]SNO RTF daily report1'!E905</f>
        <v>0</v>
      </c>
      <c r="F905">
        <f>'[1]SNO RTF daily report1'!F905</f>
        <v>0</v>
      </c>
      <c r="G905">
        <f>'[1]SNO RTF daily report1'!G905</f>
        <v>0</v>
      </c>
      <c r="H905">
        <f>'[1]SNO RTF daily report1'!H905</f>
        <v>0</v>
      </c>
      <c r="I905">
        <f>'[1]SNO RTF daily report1'!I905</f>
        <v>0</v>
      </c>
    </row>
    <row r="906" spans="1:9" x14ac:dyDescent="0.25">
      <c r="A906">
        <f>'[1]SNO RTF daily report1'!A906</f>
        <v>0</v>
      </c>
      <c r="B906">
        <f>'[1]SNO RTF daily report1'!B906</f>
        <v>0</v>
      </c>
      <c r="C906">
        <f>'[1]SNO RTF daily report1'!C906</f>
        <v>0</v>
      </c>
      <c r="D906">
        <f>'[1]SNO RTF daily report1'!D906</f>
        <v>0</v>
      </c>
      <c r="E906">
        <f>'[1]SNO RTF daily report1'!E906</f>
        <v>0</v>
      </c>
      <c r="F906">
        <f>'[1]SNO RTF daily report1'!F906</f>
        <v>0</v>
      </c>
      <c r="G906">
        <f>'[1]SNO RTF daily report1'!G906</f>
        <v>0</v>
      </c>
      <c r="H906">
        <f>'[1]SNO RTF daily report1'!H906</f>
        <v>0</v>
      </c>
      <c r="I906">
        <f>'[1]SNO RTF daily report1'!I906</f>
        <v>0</v>
      </c>
    </row>
    <row r="907" spans="1:9" x14ac:dyDescent="0.25">
      <c r="A907">
        <f>'[1]SNO RTF daily report1'!A907</f>
        <v>0</v>
      </c>
      <c r="B907">
        <f>'[1]SNO RTF daily report1'!B907</f>
        <v>0</v>
      </c>
      <c r="C907">
        <f>'[1]SNO RTF daily report1'!C907</f>
        <v>0</v>
      </c>
      <c r="D907">
        <f>'[1]SNO RTF daily report1'!D907</f>
        <v>0</v>
      </c>
      <c r="E907">
        <f>'[1]SNO RTF daily report1'!E907</f>
        <v>0</v>
      </c>
      <c r="F907">
        <f>'[1]SNO RTF daily report1'!F907</f>
        <v>0</v>
      </c>
      <c r="G907">
        <f>'[1]SNO RTF daily report1'!G907</f>
        <v>0</v>
      </c>
      <c r="H907">
        <f>'[1]SNO RTF daily report1'!H907</f>
        <v>0</v>
      </c>
      <c r="I907">
        <f>'[1]SNO RTF daily report1'!I907</f>
        <v>0</v>
      </c>
    </row>
    <row r="908" spans="1:9" x14ac:dyDescent="0.25">
      <c r="A908">
        <f>'[1]SNO RTF daily report1'!A908</f>
        <v>0</v>
      </c>
      <c r="B908">
        <f>'[1]SNO RTF daily report1'!B908</f>
        <v>0</v>
      </c>
      <c r="C908">
        <f>'[1]SNO RTF daily report1'!C908</f>
        <v>0</v>
      </c>
      <c r="D908">
        <f>'[1]SNO RTF daily report1'!D908</f>
        <v>0</v>
      </c>
      <c r="E908">
        <f>'[1]SNO RTF daily report1'!E908</f>
        <v>0</v>
      </c>
      <c r="F908">
        <f>'[1]SNO RTF daily report1'!F908</f>
        <v>0</v>
      </c>
      <c r="G908">
        <f>'[1]SNO RTF daily report1'!G908</f>
        <v>0</v>
      </c>
      <c r="H908">
        <f>'[1]SNO RTF daily report1'!H908</f>
        <v>0</v>
      </c>
      <c r="I908">
        <f>'[1]SNO RTF daily report1'!I908</f>
        <v>0</v>
      </c>
    </row>
    <row r="909" spans="1:9" x14ac:dyDescent="0.25">
      <c r="A909">
        <f>'[1]SNO RTF daily report1'!A909</f>
        <v>0</v>
      </c>
      <c r="B909">
        <f>'[1]SNO RTF daily report1'!B909</f>
        <v>0</v>
      </c>
      <c r="C909">
        <f>'[1]SNO RTF daily report1'!C909</f>
        <v>0</v>
      </c>
      <c r="D909">
        <f>'[1]SNO RTF daily report1'!D909</f>
        <v>0</v>
      </c>
      <c r="E909">
        <f>'[1]SNO RTF daily report1'!E909</f>
        <v>0</v>
      </c>
      <c r="F909">
        <f>'[1]SNO RTF daily report1'!F909</f>
        <v>0</v>
      </c>
      <c r="G909">
        <f>'[1]SNO RTF daily report1'!G909</f>
        <v>0</v>
      </c>
      <c r="H909">
        <f>'[1]SNO RTF daily report1'!H909</f>
        <v>0</v>
      </c>
      <c r="I909">
        <f>'[1]SNO RTF daily report1'!I909</f>
        <v>0</v>
      </c>
    </row>
    <row r="910" spans="1:9" x14ac:dyDescent="0.25">
      <c r="A910">
        <f>'[1]SNO RTF daily report1'!A910</f>
        <v>0</v>
      </c>
      <c r="B910">
        <f>'[1]SNO RTF daily report1'!B910</f>
        <v>0</v>
      </c>
      <c r="C910">
        <f>'[1]SNO RTF daily report1'!C910</f>
        <v>0</v>
      </c>
      <c r="D910">
        <f>'[1]SNO RTF daily report1'!D910</f>
        <v>0</v>
      </c>
      <c r="E910">
        <f>'[1]SNO RTF daily report1'!E910</f>
        <v>0</v>
      </c>
      <c r="F910">
        <f>'[1]SNO RTF daily report1'!F910</f>
        <v>0</v>
      </c>
      <c r="G910">
        <f>'[1]SNO RTF daily report1'!G910</f>
        <v>0</v>
      </c>
      <c r="H910">
        <f>'[1]SNO RTF daily report1'!H910</f>
        <v>0</v>
      </c>
      <c r="I910">
        <f>'[1]SNO RTF daily report1'!I910</f>
        <v>0</v>
      </c>
    </row>
    <row r="911" spans="1:9" x14ac:dyDescent="0.25">
      <c r="A911">
        <f>'[1]SNO RTF daily report1'!A911</f>
        <v>0</v>
      </c>
      <c r="B911">
        <f>'[1]SNO RTF daily report1'!B911</f>
        <v>0</v>
      </c>
      <c r="C911">
        <f>'[1]SNO RTF daily report1'!C911</f>
        <v>0</v>
      </c>
      <c r="D911">
        <f>'[1]SNO RTF daily report1'!D911</f>
        <v>0</v>
      </c>
      <c r="E911">
        <f>'[1]SNO RTF daily report1'!E911</f>
        <v>0</v>
      </c>
      <c r="F911">
        <f>'[1]SNO RTF daily report1'!F911</f>
        <v>0</v>
      </c>
      <c r="G911">
        <f>'[1]SNO RTF daily report1'!G911</f>
        <v>0</v>
      </c>
      <c r="H911">
        <f>'[1]SNO RTF daily report1'!H911</f>
        <v>0</v>
      </c>
      <c r="I911">
        <f>'[1]SNO RTF daily report1'!I911</f>
        <v>0</v>
      </c>
    </row>
    <row r="912" spans="1:9" x14ac:dyDescent="0.25">
      <c r="A912">
        <f>'[1]SNO RTF daily report1'!A912</f>
        <v>0</v>
      </c>
      <c r="B912">
        <f>'[1]SNO RTF daily report1'!B912</f>
        <v>0</v>
      </c>
      <c r="C912">
        <f>'[1]SNO RTF daily report1'!C912</f>
        <v>0</v>
      </c>
      <c r="D912">
        <f>'[1]SNO RTF daily report1'!D912</f>
        <v>0</v>
      </c>
      <c r="E912">
        <f>'[1]SNO RTF daily report1'!E912</f>
        <v>0</v>
      </c>
      <c r="F912">
        <f>'[1]SNO RTF daily report1'!F912</f>
        <v>0</v>
      </c>
      <c r="G912">
        <f>'[1]SNO RTF daily report1'!G912</f>
        <v>0</v>
      </c>
      <c r="H912">
        <f>'[1]SNO RTF daily report1'!H912</f>
        <v>0</v>
      </c>
      <c r="I912">
        <f>'[1]SNO RTF daily report1'!I912</f>
        <v>0</v>
      </c>
    </row>
    <row r="913" spans="1:9" x14ac:dyDescent="0.25">
      <c r="A913">
        <f>'[1]SNO RTF daily report1'!A913</f>
        <v>0</v>
      </c>
      <c r="B913">
        <f>'[1]SNO RTF daily report1'!B913</f>
        <v>0</v>
      </c>
      <c r="C913">
        <f>'[1]SNO RTF daily report1'!C913</f>
        <v>0</v>
      </c>
      <c r="D913">
        <f>'[1]SNO RTF daily report1'!D913</f>
        <v>0</v>
      </c>
      <c r="E913">
        <f>'[1]SNO RTF daily report1'!E913</f>
        <v>0</v>
      </c>
      <c r="F913">
        <f>'[1]SNO RTF daily report1'!F913</f>
        <v>0</v>
      </c>
      <c r="G913">
        <f>'[1]SNO RTF daily report1'!G913</f>
        <v>0</v>
      </c>
      <c r="H913">
        <f>'[1]SNO RTF daily report1'!H913</f>
        <v>0</v>
      </c>
      <c r="I913">
        <f>'[1]SNO RTF daily report1'!I913</f>
        <v>0</v>
      </c>
    </row>
    <row r="914" spans="1:9" x14ac:dyDescent="0.25">
      <c r="A914">
        <f>'[1]SNO RTF daily report1'!A914</f>
        <v>0</v>
      </c>
      <c r="B914">
        <f>'[1]SNO RTF daily report1'!B914</f>
        <v>0</v>
      </c>
      <c r="C914">
        <f>'[1]SNO RTF daily report1'!C914</f>
        <v>0</v>
      </c>
      <c r="D914">
        <f>'[1]SNO RTF daily report1'!D914</f>
        <v>0</v>
      </c>
      <c r="E914">
        <f>'[1]SNO RTF daily report1'!E914</f>
        <v>0</v>
      </c>
      <c r="F914">
        <f>'[1]SNO RTF daily report1'!F914</f>
        <v>0</v>
      </c>
      <c r="G914">
        <f>'[1]SNO RTF daily report1'!G914</f>
        <v>0</v>
      </c>
      <c r="H914">
        <f>'[1]SNO RTF daily report1'!H914</f>
        <v>0</v>
      </c>
      <c r="I914">
        <f>'[1]SNO RTF daily report1'!I914</f>
        <v>0</v>
      </c>
    </row>
    <row r="915" spans="1:9" x14ac:dyDescent="0.25">
      <c r="A915">
        <f>'[1]SNO RTF daily report1'!A915</f>
        <v>0</v>
      </c>
      <c r="B915">
        <f>'[1]SNO RTF daily report1'!B915</f>
        <v>0</v>
      </c>
      <c r="C915">
        <f>'[1]SNO RTF daily report1'!C915</f>
        <v>0</v>
      </c>
      <c r="D915">
        <f>'[1]SNO RTF daily report1'!D915</f>
        <v>0</v>
      </c>
      <c r="E915">
        <f>'[1]SNO RTF daily report1'!E915</f>
        <v>0</v>
      </c>
      <c r="F915">
        <f>'[1]SNO RTF daily report1'!F915</f>
        <v>0</v>
      </c>
      <c r="G915">
        <f>'[1]SNO RTF daily report1'!G915</f>
        <v>0</v>
      </c>
      <c r="H915">
        <f>'[1]SNO RTF daily report1'!H915</f>
        <v>0</v>
      </c>
      <c r="I915">
        <f>'[1]SNO RTF daily report1'!I915</f>
        <v>0</v>
      </c>
    </row>
    <row r="916" spans="1:9" x14ac:dyDescent="0.25">
      <c r="A916">
        <f>'[1]SNO RTF daily report1'!A916</f>
        <v>0</v>
      </c>
      <c r="B916">
        <f>'[1]SNO RTF daily report1'!B916</f>
        <v>0</v>
      </c>
      <c r="C916">
        <f>'[1]SNO RTF daily report1'!C916</f>
        <v>0</v>
      </c>
      <c r="D916">
        <f>'[1]SNO RTF daily report1'!D916</f>
        <v>0</v>
      </c>
      <c r="E916">
        <f>'[1]SNO RTF daily report1'!E916</f>
        <v>0</v>
      </c>
      <c r="F916">
        <f>'[1]SNO RTF daily report1'!F916</f>
        <v>0</v>
      </c>
      <c r="G916">
        <f>'[1]SNO RTF daily report1'!G916</f>
        <v>0</v>
      </c>
      <c r="H916">
        <f>'[1]SNO RTF daily report1'!H916</f>
        <v>0</v>
      </c>
      <c r="I916">
        <f>'[1]SNO RTF daily report1'!I916</f>
        <v>0</v>
      </c>
    </row>
    <row r="917" spans="1:9" x14ac:dyDescent="0.25">
      <c r="A917">
        <f>'[1]SNO RTF daily report1'!A917</f>
        <v>0</v>
      </c>
      <c r="B917">
        <f>'[1]SNO RTF daily report1'!B917</f>
        <v>0</v>
      </c>
      <c r="C917">
        <f>'[1]SNO RTF daily report1'!C917</f>
        <v>0</v>
      </c>
      <c r="D917">
        <f>'[1]SNO RTF daily report1'!D917</f>
        <v>0</v>
      </c>
      <c r="E917">
        <f>'[1]SNO RTF daily report1'!E917</f>
        <v>0</v>
      </c>
      <c r="F917">
        <f>'[1]SNO RTF daily report1'!F917</f>
        <v>0</v>
      </c>
      <c r="G917">
        <f>'[1]SNO RTF daily report1'!G917</f>
        <v>0</v>
      </c>
      <c r="H917">
        <f>'[1]SNO RTF daily report1'!H917</f>
        <v>0</v>
      </c>
      <c r="I917">
        <f>'[1]SNO RTF daily report1'!I917</f>
        <v>0</v>
      </c>
    </row>
    <row r="918" spans="1:9" x14ac:dyDescent="0.25">
      <c r="A918">
        <f>'[1]SNO RTF daily report1'!A918</f>
        <v>0</v>
      </c>
      <c r="B918">
        <f>'[1]SNO RTF daily report1'!B918</f>
        <v>0</v>
      </c>
      <c r="C918">
        <f>'[1]SNO RTF daily report1'!C918</f>
        <v>0</v>
      </c>
      <c r="D918">
        <f>'[1]SNO RTF daily report1'!D918</f>
        <v>0</v>
      </c>
      <c r="E918">
        <f>'[1]SNO RTF daily report1'!E918</f>
        <v>0</v>
      </c>
      <c r="F918">
        <f>'[1]SNO RTF daily report1'!F918</f>
        <v>0</v>
      </c>
      <c r="G918">
        <f>'[1]SNO RTF daily report1'!G918</f>
        <v>0</v>
      </c>
      <c r="H918">
        <f>'[1]SNO RTF daily report1'!H918</f>
        <v>0</v>
      </c>
      <c r="I918">
        <f>'[1]SNO RTF daily report1'!I918</f>
        <v>0</v>
      </c>
    </row>
    <row r="919" spans="1:9" x14ac:dyDescent="0.25">
      <c r="A919">
        <f>'[1]SNO RTF daily report1'!A919</f>
        <v>0</v>
      </c>
      <c r="B919">
        <f>'[1]SNO RTF daily report1'!B919</f>
        <v>0</v>
      </c>
      <c r="C919">
        <f>'[1]SNO RTF daily report1'!C919</f>
        <v>0</v>
      </c>
      <c r="D919">
        <f>'[1]SNO RTF daily report1'!D919</f>
        <v>0</v>
      </c>
      <c r="E919">
        <f>'[1]SNO RTF daily report1'!E919</f>
        <v>0</v>
      </c>
      <c r="F919">
        <f>'[1]SNO RTF daily report1'!F919</f>
        <v>0</v>
      </c>
      <c r="G919">
        <f>'[1]SNO RTF daily report1'!G919</f>
        <v>0</v>
      </c>
      <c r="H919">
        <f>'[1]SNO RTF daily report1'!H919</f>
        <v>0</v>
      </c>
      <c r="I919">
        <f>'[1]SNO RTF daily report1'!I919</f>
        <v>0</v>
      </c>
    </row>
    <row r="920" spans="1:9" x14ac:dyDescent="0.25">
      <c r="A920">
        <f>'[1]SNO RTF daily report1'!A920</f>
        <v>0</v>
      </c>
      <c r="B920">
        <f>'[1]SNO RTF daily report1'!B920</f>
        <v>0</v>
      </c>
      <c r="C920">
        <f>'[1]SNO RTF daily report1'!C920</f>
        <v>0</v>
      </c>
      <c r="D920">
        <f>'[1]SNO RTF daily report1'!D920</f>
        <v>0</v>
      </c>
      <c r="E920">
        <f>'[1]SNO RTF daily report1'!E920</f>
        <v>0</v>
      </c>
      <c r="F920">
        <f>'[1]SNO RTF daily report1'!F920</f>
        <v>0</v>
      </c>
      <c r="G920">
        <f>'[1]SNO RTF daily report1'!G920</f>
        <v>0</v>
      </c>
      <c r="H920">
        <f>'[1]SNO RTF daily report1'!H920</f>
        <v>0</v>
      </c>
      <c r="I920">
        <f>'[1]SNO RTF daily report1'!I920</f>
        <v>0</v>
      </c>
    </row>
    <row r="921" spans="1:9" x14ac:dyDescent="0.25">
      <c r="A921">
        <f>'[1]SNO RTF daily report1'!A921</f>
        <v>0</v>
      </c>
      <c r="B921">
        <f>'[1]SNO RTF daily report1'!B921</f>
        <v>0</v>
      </c>
      <c r="C921">
        <f>'[1]SNO RTF daily report1'!C921</f>
        <v>0</v>
      </c>
      <c r="D921">
        <f>'[1]SNO RTF daily report1'!D921</f>
        <v>0</v>
      </c>
      <c r="E921">
        <f>'[1]SNO RTF daily report1'!E921</f>
        <v>0</v>
      </c>
      <c r="F921">
        <f>'[1]SNO RTF daily report1'!F921</f>
        <v>0</v>
      </c>
      <c r="G921">
        <f>'[1]SNO RTF daily report1'!G921</f>
        <v>0</v>
      </c>
      <c r="H921">
        <f>'[1]SNO RTF daily report1'!H921</f>
        <v>0</v>
      </c>
      <c r="I921">
        <f>'[1]SNO RTF daily report1'!I921</f>
        <v>0</v>
      </c>
    </row>
    <row r="922" spans="1:9" x14ac:dyDescent="0.25">
      <c r="A922">
        <f>'[1]SNO RTF daily report1'!A922</f>
        <v>0</v>
      </c>
      <c r="B922">
        <f>'[1]SNO RTF daily report1'!B922</f>
        <v>0</v>
      </c>
      <c r="C922">
        <f>'[1]SNO RTF daily report1'!C922</f>
        <v>0</v>
      </c>
      <c r="D922">
        <f>'[1]SNO RTF daily report1'!D922</f>
        <v>0</v>
      </c>
      <c r="E922">
        <f>'[1]SNO RTF daily report1'!E922</f>
        <v>0</v>
      </c>
      <c r="F922">
        <f>'[1]SNO RTF daily report1'!F922</f>
        <v>0</v>
      </c>
      <c r="G922">
        <f>'[1]SNO RTF daily report1'!G922</f>
        <v>0</v>
      </c>
      <c r="H922">
        <f>'[1]SNO RTF daily report1'!H922</f>
        <v>0</v>
      </c>
      <c r="I922">
        <f>'[1]SNO RTF daily report1'!I922</f>
        <v>0</v>
      </c>
    </row>
    <row r="923" spans="1:9" x14ac:dyDescent="0.25">
      <c r="A923">
        <f>'[1]SNO RTF daily report1'!A923</f>
        <v>0</v>
      </c>
      <c r="B923">
        <f>'[1]SNO RTF daily report1'!B923</f>
        <v>0</v>
      </c>
      <c r="C923">
        <f>'[1]SNO RTF daily report1'!C923</f>
        <v>0</v>
      </c>
      <c r="D923">
        <f>'[1]SNO RTF daily report1'!D923</f>
        <v>0</v>
      </c>
      <c r="E923">
        <f>'[1]SNO RTF daily report1'!E923</f>
        <v>0</v>
      </c>
      <c r="F923">
        <f>'[1]SNO RTF daily report1'!F923</f>
        <v>0</v>
      </c>
      <c r="G923">
        <f>'[1]SNO RTF daily report1'!G923</f>
        <v>0</v>
      </c>
      <c r="H923">
        <f>'[1]SNO RTF daily report1'!H923</f>
        <v>0</v>
      </c>
      <c r="I923">
        <f>'[1]SNO RTF daily report1'!I923</f>
        <v>0</v>
      </c>
    </row>
    <row r="924" spans="1:9" x14ac:dyDescent="0.25">
      <c r="A924">
        <f>'[1]SNO RTF daily report1'!A924</f>
        <v>0</v>
      </c>
      <c r="B924">
        <f>'[1]SNO RTF daily report1'!B924</f>
        <v>0</v>
      </c>
      <c r="C924">
        <f>'[1]SNO RTF daily report1'!C924</f>
        <v>0</v>
      </c>
      <c r="D924">
        <f>'[1]SNO RTF daily report1'!D924</f>
        <v>0</v>
      </c>
      <c r="E924">
        <f>'[1]SNO RTF daily report1'!E924</f>
        <v>0</v>
      </c>
      <c r="F924">
        <f>'[1]SNO RTF daily report1'!F924</f>
        <v>0</v>
      </c>
      <c r="G924">
        <f>'[1]SNO RTF daily report1'!G924</f>
        <v>0</v>
      </c>
      <c r="H924">
        <f>'[1]SNO RTF daily report1'!H924</f>
        <v>0</v>
      </c>
      <c r="I924">
        <f>'[1]SNO RTF daily report1'!I924</f>
        <v>0</v>
      </c>
    </row>
    <row r="925" spans="1:9" x14ac:dyDescent="0.25">
      <c r="A925">
        <f>'[1]SNO RTF daily report1'!A925</f>
        <v>0</v>
      </c>
      <c r="B925">
        <f>'[1]SNO RTF daily report1'!B925</f>
        <v>0</v>
      </c>
      <c r="C925">
        <f>'[1]SNO RTF daily report1'!C925</f>
        <v>0</v>
      </c>
      <c r="D925">
        <f>'[1]SNO RTF daily report1'!D925</f>
        <v>0</v>
      </c>
      <c r="E925">
        <f>'[1]SNO RTF daily report1'!E925</f>
        <v>0</v>
      </c>
      <c r="F925">
        <f>'[1]SNO RTF daily report1'!F925</f>
        <v>0</v>
      </c>
      <c r="G925">
        <f>'[1]SNO RTF daily report1'!G925</f>
        <v>0</v>
      </c>
      <c r="H925">
        <f>'[1]SNO RTF daily report1'!H925</f>
        <v>0</v>
      </c>
      <c r="I925">
        <f>'[1]SNO RTF daily report1'!I925</f>
        <v>0</v>
      </c>
    </row>
    <row r="926" spans="1:9" x14ac:dyDescent="0.25">
      <c r="A926">
        <f>'[1]SNO RTF daily report1'!A926</f>
        <v>0</v>
      </c>
      <c r="B926">
        <f>'[1]SNO RTF daily report1'!B926</f>
        <v>0</v>
      </c>
      <c r="C926">
        <f>'[1]SNO RTF daily report1'!C926</f>
        <v>0</v>
      </c>
      <c r="D926">
        <f>'[1]SNO RTF daily report1'!D926</f>
        <v>0</v>
      </c>
      <c r="E926">
        <f>'[1]SNO RTF daily report1'!E926</f>
        <v>0</v>
      </c>
      <c r="F926">
        <f>'[1]SNO RTF daily report1'!F926</f>
        <v>0</v>
      </c>
      <c r="G926">
        <f>'[1]SNO RTF daily report1'!G926</f>
        <v>0</v>
      </c>
      <c r="H926">
        <f>'[1]SNO RTF daily report1'!H926</f>
        <v>0</v>
      </c>
      <c r="I926">
        <f>'[1]SNO RTF daily report1'!I926</f>
        <v>0</v>
      </c>
    </row>
    <row r="927" spans="1:9" x14ac:dyDescent="0.25">
      <c r="A927">
        <f>'[1]SNO RTF daily report1'!A927</f>
        <v>0</v>
      </c>
      <c r="B927">
        <f>'[1]SNO RTF daily report1'!B927</f>
        <v>0</v>
      </c>
      <c r="C927">
        <f>'[1]SNO RTF daily report1'!C927</f>
        <v>0</v>
      </c>
      <c r="D927">
        <f>'[1]SNO RTF daily report1'!D927</f>
        <v>0</v>
      </c>
      <c r="E927">
        <f>'[1]SNO RTF daily report1'!E927</f>
        <v>0</v>
      </c>
      <c r="F927">
        <f>'[1]SNO RTF daily report1'!F927</f>
        <v>0</v>
      </c>
      <c r="G927">
        <f>'[1]SNO RTF daily report1'!G927</f>
        <v>0</v>
      </c>
      <c r="H927">
        <f>'[1]SNO RTF daily report1'!H927</f>
        <v>0</v>
      </c>
      <c r="I927">
        <f>'[1]SNO RTF daily report1'!I927</f>
        <v>0</v>
      </c>
    </row>
    <row r="928" spans="1:9" x14ac:dyDescent="0.25">
      <c r="A928">
        <f>'[1]SNO RTF daily report1'!A928</f>
        <v>0</v>
      </c>
      <c r="B928">
        <f>'[1]SNO RTF daily report1'!B928</f>
        <v>0</v>
      </c>
      <c r="C928">
        <f>'[1]SNO RTF daily report1'!C928</f>
        <v>0</v>
      </c>
      <c r="D928">
        <f>'[1]SNO RTF daily report1'!D928</f>
        <v>0</v>
      </c>
      <c r="E928">
        <f>'[1]SNO RTF daily report1'!E928</f>
        <v>0</v>
      </c>
      <c r="F928">
        <f>'[1]SNO RTF daily report1'!F928</f>
        <v>0</v>
      </c>
      <c r="G928">
        <f>'[1]SNO RTF daily report1'!G928</f>
        <v>0</v>
      </c>
      <c r="H928">
        <f>'[1]SNO RTF daily report1'!H928</f>
        <v>0</v>
      </c>
      <c r="I928">
        <f>'[1]SNO RTF daily report1'!I928</f>
        <v>0</v>
      </c>
    </row>
    <row r="929" spans="1:9" x14ac:dyDescent="0.25">
      <c r="A929">
        <f>'[1]SNO RTF daily report1'!A929</f>
        <v>0</v>
      </c>
      <c r="B929">
        <f>'[1]SNO RTF daily report1'!B929</f>
        <v>0</v>
      </c>
      <c r="C929">
        <f>'[1]SNO RTF daily report1'!C929</f>
        <v>0</v>
      </c>
      <c r="D929">
        <f>'[1]SNO RTF daily report1'!D929</f>
        <v>0</v>
      </c>
      <c r="E929">
        <f>'[1]SNO RTF daily report1'!E929</f>
        <v>0</v>
      </c>
      <c r="F929">
        <f>'[1]SNO RTF daily report1'!F929</f>
        <v>0</v>
      </c>
      <c r="G929">
        <f>'[1]SNO RTF daily report1'!G929</f>
        <v>0</v>
      </c>
      <c r="H929">
        <f>'[1]SNO RTF daily report1'!H929</f>
        <v>0</v>
      </c>
      <c r="I929">
        <f>'[1]SNO RTF daily report1'!I929</f>
        <v>0</v>
      </c>
    </row>
    <row r="930" spans="1:9" x14ac:dyDescent="0.25">
      <c r="A930">
        <f>'[1]SNO RTF daily report1'!A930</f>
        <v>0</v>
      </c>
      <c r="B930">
        <f>'[1]SNO RTF daily report1'!B930</f>
        <v>0</v>
      </c>
      <c r="C930">
        <f>'[1]SNO RTF daily report1'!C930</f>
        <v>0</v>
      </c>
      <c r="D930">
        <f>'[1]SNO RTF daily report1'!D930</f>
        <v>0</v>
      </c>
      <c r="E930">
        <f>'[1]SNO RTF daily report1'!E930</f>
        <v>0</v>
      </c>
      <c r="F930">
        <f>'[1]SNO RTF daily report1'!F930</f>
        <v>0</v>
      </c>
      <c r="G930">
        <f>'[1]SNO RTF daily report1'!G930</f>
        <v>0</v>
      </c>
      <c r="H930">
        <f>'[1]SNO RTF daily report1'!H930</f>
        <v>0</v>
      </c>
      <c r="I930">
        <f>'[1]SNO RTF daily report1'!I930</f>
        <v>0</v>
      </c>
    </row>
    <row r="931" spans="1:9" x14ac:dyDescent="0.25">
      <c r="A931">
        <f>'[1]SNO RTF daily report1'!A931</f>
        <v>0</v>
      </c>
      <c r="B931">
        <f>'[1]SNO RTF daily report1'!B931</f>
        <v>0</v>
      </c>
      <c r="C931">
        <f>'[1]SNO RTF daily report1'!C931</f>
        <v>0</v>
      </c>
      <c r="D931">
        <f>'[1]SNO RTF daily report1'!D931</f>
        <v>0</v>
      </c>
      <c r="E931">
        <f>'[1]SNO RTF daily report1'!E931</f>
        <v>0</v>
      </c>
      <c r="F931">
        <f>'[1]SNO RTF daily report1'!F931</f>
        <v>0</v>
      </c>
      <c r="G931">
        <f>'[1]SNO RTF daily report1'!G931</f>
        <v>0</v>
      </c>
      <c r="H931">
        <f>'[1]SNO RTF daily report1'!H931</f>
        <v>0</v>
      </c>
      <c r="I931">
        <f>'[1]SNO RTF daily report1'!I931</f>
        <v>0</v>
      </c>
    </row>
    <row r="932" spans="1:9" x14ac:dyDescent="0.25">
      <c r="A932">
        <f>'[1]SNO RTF daily report1'!A932</f>
        <v>0</v>
      </c>
      <c r="B932">
        <f>'[1]SNO RTF daily report1'!B932</f>
        <v>0</v>
      </c>
      <c r="C932">
        <f>'[1]SNO RTF daily report1'!C932</f>
        <v>0</v>
      </c>
      <c r="D932">
        <f>'[1]SNO RTF daily report1'!D932</f>
        <v>0</v>
      </c>
      <c r="E932">
        <f>'[1]SNO RTF daily report1'!E932</f>
        <v>0</v>
      </c>
      <c r="F932">
        <f>'[1]SNO RTF daily report1'!F932</f>
        <v>0</v>
      </c>
      <c r="G932">
        <f>'[1]SNO RTF daily report1'!G932</f>
        <v>0</v>
      </c>
      <c r="H932">
        <f>'[1]SNO RTF daily report1'!H932</f>
        <v>0</v>
      </c>
      <c r="I932">
        <f>'[1]SNO RTF daily report1'!I932</f>
        <v>0</v>
      </c>
    </row>
    <row r="933" spans="1:9" x14ac:dyDescent="0.25">
      <c r="A933">
        <f>'[1]SNO RTF daily report1'!A933</f>
        <v>0</v>
      </c>
      <c r="B933">
        <f>'[1]SNO RTF daily report1'!B933</f>
        <v>0</v>
      </c>
      <c r="C933">
        <f>'[1]SNO RTF daily report1'!C933</f>
        <v>0</v>
      </c>
      <c r="D933">
        <f>'[1]SNO RTF daily report1'!D933</f>
        <v>0</v>
      </c>
      <c r="E933">
        <f>'[1]SNO RTF daily report1'!E933</f>
        <v>0</v>
      </c>
      <c r="F933">
        <f>'[1]SNO RTF daily report1'!F933</f>
        <v>0</v>
      </c>
      <c r="G933">
        <f>'[1]SNO RTF daily report1'!G933</f>
        <v>0</v>
      </c>
      <c r="H933">
        <f>'[1]SNO RTF daily report1'!H933</f>
        <v>0</v>
      </c>
      <c r="I933">
        <f>'[1]SNO RTF daily report1'!I933</f>
        <v>0</v>
      </c>
    </row>
    <row r="934" spans="1:9" x14ac:dyDescent="0.25">
      <c r="A934">
        <f>'[1]SNO RTF daily report1'!A934</f>
        <v>0</v>
      </c>
      <c r="B934">
        <f>'[1]SNO RTF daily report1'!B934</f>
        <v>0</v>
      </c>
      <c r="C934">
        <f>'[1]SNO RTF daily report1'!C934</f>
        <v>0</v>
      </c>
      <c r="D934">
        <f>'[1]SNO RTF daily report1'!D934</f>
        <v>0</v>
      </c>
      <c r="E934">
        <f>'[1]SNO RTF daily report1'!E934</f>
        <v>0</v>
      </c>
      <c r="F934">
        <f>'[1]SNO RTF daily report1'!F934</f>
        <v>0</v>
      </c>
      <c r="G934">
        <f>'[1]SNO RTF daily report1'!G934</f>
        <v>0</v>
      </c>
      <c r="H934">
        <f>'[1]SNO RTF daily report1'!H934</f>
        <v>0</v>
      </c>
      <c r="I934">
        <f>'[1]SNO RTF daily report1'!I934</f>
        <v>0</v>
      </c>
    </row>
    <row r="935" spans="1:9" x14ac:dyDescent="0.25">
      <c r="A935">
        <f>'[1]SNO RTF daily report1'!A935</f>
        <v>0</v>
      </c>
      <c r="B935">
        <f>'[1]SNO RTF daily report1'!B935</f>
        <v>0</v>
      </c>
      <c r="C935">
        <f>'[1]SNO RTF daily report1'!C935</f>
        <v>0</v>
      </c>
      <c r="D935">
        <f>'[1]SNO RTF daily report1'!D935</f>
        <v>0</v>
      </c>
      <c r="E935">
        <f>'[1]SNO RTF daily report1'!E935</f>
        <v>0</v>
      </c>
      <c r="F935">
        <f>'[1]SNO RTF daily report1'!F935</f>
        <v>0</v>
      </c>
      <c r="G935">
        <f>'[1]SNO RTF daily report1'!G935</f>
        <v>0</v>
      </c>
      <c r="H935">
        <f>'[1]SNO RTF daily report1'!H935</f>
        <v>0</v>
      </c>
      <c r="I935">
        <f>'[1]SNO RTF daily report1'!I935</f>
        <v>0</v>
      </c>
    </row>
    <row r="936" spans="1:9" x14ac:dyDescent="0.25">
      <c r="A936">
        <f>'[1]SNO RTF daily report1'!A936</f>
        <v>0</v>
      </c>
      <c r="B936">
        <f>'[1]SNO RTF daily report1'!B936</f>
        <v>0</v>
      </c>
      <c r="C936">
        <f>'[1]SNO RTF daily report1'!C936</f>
        <v>0</v>
      </c>
      <c r="D936">
        <f>'[1]SNO RTF daily report1'!D936</f>
        <v>0</v>
      </c>
      <c r="E936">
        <f>'[1]SNO RTF daily report1'!E936</f>
        <v>0</v>
      </c>
      <c r="F936">
        <f>'[1]SNO RTF daily report1'!F936</f>
        <v>0</v>
      </c>
      <c r="G936">
        <f>'[1]SNO RTF daily report1'!G936</f>
        <v>0</v>
      </c>
      <c r="H936">
        <f>'[1]SNO RTF daily report1'!H936</f>
        <v>0</v>
      </c>
      <c r="I936">
        <f>'[1]SNO RTF daily report1'!I936</f>
        <v>0</v>
      </c>
    </row>
    <row r="937" spans="1:9" x14ac:dyDescent="0.25">
      <c r="A937">
        <f>'[1]SNO RTF daily report1'!A937</f>
        <v>0</v>
      </c>
      <c r="B937">
        <f>'[1]SNO RTF daily report1'!B937</f>
        <v>0</v>
      </c>
      <c r="C937">
        <f>'[1]SNO RTF daily report1'!C937</f>
        <v>0</v>
      </c>
      <c r="D937">
        <f>'[1]SNO RTF daily report1'!D937</f>
        <v>0</v>
      </c>
      <c r="E937">
        <f>'[1]SNO RTF daily report1'!E937</f>
        <v>0</v>
      </c>
      <c r="F937">
        <f>'[1]SNO RTF daily report1'!F937</f>
        <v>0</v>
      </c>
      <c r="G937">
        <f>'[1]SNO RTF daily report1'!G937</f>
        <v>0</v>
      </c>
      <c r="H937">
        <f>'[1]SNO RTF daily report1'!H937</f>
        <v>0</v>
      </c>
      <c r="I937">
        <f>'[1]SNO RTF daily report1'!I937</f>
        <v>0</v>
      </c>
    </row>
    <row r="938" spans="1:9" x14ac:dyDescent="0.25">
      <c r="A938">
        <f>'[1]SNO RTF daily report1'!A938</f>
        <v>0</v>
      </c>
      <c r="B938">
        <f>'[1]SNO RTF daily report1'!B938</f>
        <v>0</v>
      </c>
      <c r="C938">
        <f>'[1]SNO RTF daily report1'!C938</f>
        <v>0</v>
      </c>
      <c r="D938">
        <f>'[1]SNO RTF daily report1'!D938</f>
        <v>0</v>
      </c>
      <c r="E938">
        <f>'[1]SNO RTF daily report1'!E938</f>
        <v>0</v>
      </c>
      <c r="F938">
        <f>'[1]SNO RTF daily report1'!F938</f>
        <v>0</v>
      </c>
      <c r="G938">
        <f>'[1]SNO RTF daily report1'!G938</f>
        <v>0</v>
      </c>
      <c r="H938">
        <f>'[1]SNO RTF daily report1'!H938</f>
        <v>0</v>
      </c>
      <c r="I938">
        <f>'[1]SNO RTF daily report1'!I938</f>
        <v>0</v>
      </c>
    </row>
    <row r="939" spans="1:9" x14ac:dyDescent="0.25">
      <c r="A939">
        <f>'[1]SNO RTF daily report1'!A939</f>
        <v>0</v>
      </c>
      <c r="B939">
        <f>'[1]SNO RTF daily report1'!B939</f>
        <v>0</v>
      </c>
      <c r="C939">
        <f>'[1]SNO RTF daily report1'!C939</f>
        <v>0</v>
      </c>
      <c r="D939">
        <f>'[1]SNO RTF daily report1'!D939</f>
        <v>0</v>
      </c>
      <c r="E939">
        <f>'[1]SNO RTF daily report1'!E939</f>
        <v>0</v>
      </c>
      <c r="F939">
        <f>'[1]SNO RTF daily report1'!F939</f>
        <v>0</v>
      </c>
      <c r="G939">
        <f>'[1]SNO RTF daily report1'!G939</f>
        <v>0</v>
      </c>
      <c r="H939">
        <f>'[1]SNO RTF daily report1'!H939</f>
        <v>0</v>
      </c>
      <c r="I939">
        <f>'[1]SNO RTF daily report1'!I939</f>
        <v>0</v>
      </c>
    </row>
    <row r="940" spans="1:9" x14ac:dyDescent="0.25">
      <c r="A940">
        <f>'[1]SNO RTF daily report1'!A940</f>
        <v>0</v>
      </c>
      <c r="B940">
        <f>'[1]SNO RTF daily report1'!B940</f>
        <v>0</v>
      </c>
      <c r="C940">
        <f>'[1]SNO RTF daily report1'!C940</f>
        <v>0</v>
      </c>
      <c r="D940">
        <f>'[1]SNO RTF daily report1'!D940</f>
        <v>0</v>
      </c>
      <c r="E940">
        <f>'[1]SNO RTF daily report1'!E940</f>
        <v>0</v>
      </c>
      <c r="F940">
        <f>'[1]SNO RTF daily report1'!F940</f>
        <v>0</v>
      </c>
      <c r="G940">
        <f>'[1]SNO RTF daily report1'!G940</f>
        <v>0</v>
      </c>
      <c r="H940">
        <f>'[1]SNO RTF daily report1'!H940</f>
        <v>0</v>
      </c>
      <c r="I940">
        <f>'[1]SNO RTF daily report1'!I940</f>
        <v>0</v>
      </c>
    </row>
    <row r="941" spans="1:9" x14ac:dyDescent="0.25">
      <c r="A941">
        <f>'[1]SNO RTF daily report1'!A941</f>
        <v>0</v>
      </c>
      <c r="B941">
        <f>'[1]SNO RTF daily report1'!B941</f>
        <v>0</v>
      </c>
      <c r="C941">
        <f>'[1]SNO RTF daily report1'!C941</f>
        <v>0</v>
      </c>
      <c r="D941">
        <f>'[1]SNO RTF daily report1'!D941</f>
        <v>0</v>
      </c>
      <c r="E941">
        <f>'[1]SNO RTF daily report1'!E941</f>
        <v>0</v>
      </c>
      <c r="F941">
        <f>'[1]SNO RTF daily report1'!F941</f>
        <v>0</v>
      </c>
      <c r="G941">
        <f>'[1]SNO RTF daily report1'!G941</f>
        <v>0</v>
      </c>
      <c r="H941">
        <f>'[1]SNO RTF daily report1'!H941</f>
        <v>0</v>
      </c>
      <c r="I941">
        <f>'[1]SNO RTF daily report1'!I941</f>
        <v>0</v>
      </c>
    </row>
    <row r="942" spans="1:9" x14ac:dyDescent="0.25">
      <c r="A942">
        <f>'[1]SNO RTF daily report1'!A942</f>
        <v>0</v>
      </c>
      <c r="B942">
        <f>'[1]SNO RTF daily report1'!B942</f>
        <v>0</v>
      </c>
      <c r="C942">
        <f>'[1]SNO RTF daily report1'!C942</f>
        <v>0</v>
      </c>
      <c r="D942">
        <f>'[1]SNO RTF daily report1'!D942</f>
        <v>0</v>
      </c>
      <c r="E942">
        <f>'[1]SNO RTF daily report1'!E942</f>
        <v>0</v>
      </c>
      <c r="F942">
        <f>'[1]SNO RTF daily report1'!F942</f>
        <v>0</v>
      </c>
      <c r="G942">
        <f>'[1]SNO RTF daily report1'!G942</f>
        <v>0</v>
      </c>
      <c r="H942">
        <f>'[1]SNO RTF daily report1'!H942</f>
        <v>0</v>
      </c>
      <c r="I942">
        <f>'[1]SNO RTF daily report1'!I942</f>
        <v>0</v>
      </c>
    </row>
    <row r="943" spans="1:9" x14ac:dyDescent="0.25">
      <c r="A943">
        <f>'[1]SNO RTF daily report1'!A943</f>
        <v>0</v>
      </c>
      <c r="B943">
        <f>'[1]SNO RTF daily report1'!B943</f>
        <v>0</v>
      </c>
      <c r="C943">
        <f>'[1]SNO RTF daily report1'!C943</f>
        <v>0</v>
      </c>
      <c r="D943">
        <f>'[1]SNO RTF daily report1'!D943</f>
        <v>0</v>
      </c>
      <c r="E943">
        <f>'[1]SNO RTF daily report1'!E943</f>
        <v>0</v>
      </c>
      <c r="F943">
        <f>'[1]SNO RTF daily report1'!F943</f>
        <v>0</v>
      </c>
      <c r="G943">
        <f>'[1]SNO RTF daily report1'!G943</f>
        <v>0</v>
      </c>
      <c r="H943">
        <f>'[1]SNO RTF daily report1'!H943</f>
        <v>0</v>
      </c>
      <c r="I943">
        <f>'[1]SNO RTF daily report1'!I943</f>
        <v>0</v>
      </c>
    </row>
    <row r="944" spans="1:9" x14ac:dyDescent="0.25">
      <c r="A944">
        <f>'[1]SNO RTF daily report1'!A944</f>
        <v>0</v>
      </c>
      <c r="B944">
        <f>'[1]SNO RTF daily report1'!B944</f>
        <v>0</v>
      </c>
      <c r="C944">
        <f>'[1]SNO RTF daily report1'!C944</f>
        <v>0</v>
      </c>
      <c r="D944">
        <f>'[1]SNO RTF daily report1'!D944</f>
        <v>0</v>
      </c>
      <c r="E944">
        <f>'[1]SNO RTF daily report1'!E944</f>
        <v>0</v>
      </c>
      <c r="F944">
        <f>'[1]SNO RTF daily report1'!F944</f>
        <v>0</v>
      </c>
      <c r="G944">
        <f>'[1]SNO RTF daily report1'!G944</f>
        <v>0</v>
      </c>
      <c r="H944">
        <f>'[1]SNO RTF daily report1'!H944</f>
        <v>0</v>
      </c>
      <c r="I944">
        <f>'[1]SNO RTF daily report1'!I944</f>
        <v>0</v>
      </c>
    </row>
    <row r="945" spans="1:9" x14ac:dyDescent="0.25">
      <c r="A945">
        <f>'[1]SNO RTF daily report1'!A945</f>
        <v>0</v>
      </c>
      <c r="B945">
        <f>'[1]SNO RTF daily report1'!B945</f>
        <v>0</v>
      </c>
      <c r="C945">
        <f>'[1]SNO RTF daily report1'!C945</f>
        <v>0</v>
      </c>
      <c r="D945">
        <f>'[1]SNO RTF daily report1'!D945</f>
        <v>0</v>
      </c>
      <c r="E945">
        <f>'[1]SNO RTF daily report1'!E945</f>
        <v>0</v>
      </c>
      <c r="F945">
        <f>'[1]SNO RTF daily report1'!F945</f>
        <v>0</v>
      </c>
      <c r="G945">
        <f>'[1]SNO RTF daily report1'!G945</f>
        <v>0</v>
      </c>
      <c r="H945">
        <f>'[1]SNO RTF daily report1'!H945</f>
        <v>0</v>
      </c>
      <c r="I945">
        <f>'[1]SNO RTF daily report1'!I945</f>
        <v>0</v>
      </c>
    </row>
    <row r="946" spans="1:9" x14ac:dyDescent="0.25">
      <c r="A946">
        <f>'[1]SNO RTF daily report1'!A946</f>
        <v>0</v>
      </c>
      <c r="B946">
        <f>'[1]SNO RTF daily report1'!B946</f>
        <v>0</v>
      </c>
      <c r="C946">
        <f>'[1]SNO RTF daily report1'!C946</f>
        <v>0</v>
      </c>
      <c r="D946">
        <f>'[1]SNO RTF daily report1'!D946</f>
        <v>0</v>
      </c>
      <c r="E946">
        <f>'[1]SNO RTF daily report1'!E946</f>
        <v>0</v>
      </c>
      <c r="F946">
        <f>'[1]SNO RTF daily report1'!F946</f>
        <v>0</v>
      </c>
      <c r="G946">
        <f>'[1]SNO RTF daily report1'!G946</f>
        <v>0</v>
      </c>
      <c r="H946">
        <f>'[1]SNO RTF daily report1'!H946</f>
        <v>0</v>
      </c>
      <c r="I946">
        <f>'[1]SNO RTF daily report1'!I946</f>
        <v>0</v>
      </c>
    </row>
    <row r="947" spans="1:9" x14ac:dyDescent="0.25">
      <c r="A947">
        <f>'[1]SNO RTF daily report1'!A947</f>
        <v>0</v>
      </c>
      <c r="B947">
        <f>'[1]SNO RTF daily report1'!B947</f>
        <v>0</v>
      </c>
      <c r="C947">
        <f>'[1]SNO RTF daily report1'!C947</f>
        <v>0</v>
      </c>
      <c r="D947">
        <f>'[1]SNO RTF daily report1'!D947</f>
        <v>0</v>
      </c>
      <c r="E947">
        <f>'[1]SNO RTF daily report1'!E947</f>
        <v>0</v>
      </c>
      <c r="F947">
        <f>'[1]SNO RTF daily report1'!F947</f>
        <v>0</v>
      </c>
      <c r="G947">
        <f>'[1]SNO RTF daily report1'!G947</f>
        <v>0</v>
      </c>
      <c r="H947">
        <f>'[1]SNO RTF daily report1'!H947</f>
        <v>0</v>
      </c>
      <c r="I947">
        <f>'[1]SNO RTF daily report1'!I947</f>
        <v>0</v>
      </c>
    </row>
    <row r="948" spans="1:9" x14ac:dyDescent="0.25">
      <c r="A948">
        <f>'[1]SNO RTF daily report1'!A948</f>
        <v>0</v>
      </c>
      <c r="B948">
        <f>'[1]SNO RTF daily report1'!B948</f>
        <v>0</v>
      </c>
      <c r="C948">
        <f>'[1]SNO RTF daily report1'!C948</f>
        <v>0</v>
      </c>
      <c r="D948">
        <f>'[1]SNO RTF daily report1'!D948</f>
        <v>0</v>
      </c>
      <c r="E948">
        <f>'[1]SNO RTF daily report1'!E948</f>
        <v>0</v>
      </c>
      <c r="F948">
        <f>'[1]SNO RTF daily report1'!F948</f>
        <v>0</v>
      </c>
      <c r="G948">
        <f>'[1]SNO RTF daily report1'!G948</f>
        <v>0</v>
      </c>
      <c r="H948">
        <f>'[1]SNO RTF daily report1'!H948</f>
        <v>0</v>
      </c>
      <c r="I948">
        <f>'[1]SNO RTF daily report1'!I948</f>
        <v>0</v>
      </c>
    </row>
    <row r="949" spans="1:9" x14ac:dyDescent="0.25">
      <c r="A949">
        <f>'[1]SNO RTF daily report1'!A949</f>
        <v>0</v>
      </c>
      <c r="B949">
        <f>'[1]SNO RTF daily report1'!B949</f>
        <v>0</v>
      </c>
      <c r="C949">
        <f>'[1]SNO RTF daily report1'!C949</f>
        <v>0</v>
      </c>
      <c r="D949">
        <f>'[1]SNO RTF daily report1'!D949</f>
        <v>0</v>
      </c>
      <c r="E949">
        <f>'[1]SNO RTF daily report1'!E949</f>
        <v>0</v>
      </c>
      <c r="F949">
        <f>'[1]SNO RTF daily report1'!F949</f>
        <v>0</v>
      </c>
      <c r="G949">
        <f>'[1]SNO RTF daily report1'!G949</f>
        <v>0</v>
      </c>
      <c r="H949">
        <f>'[1]SNO RTF daily report1'!H949</f>
        <v>0</v>
      </c>
      <c r="I949">
        <f>'[1]SNO RTF daily report1'!I949</f>
        <v>0</v>
      </c>
    </row>
    <row r="950" spans="1:9" x14ac:dyDescent="0.25">
      <c r="A950">
        <f>'[1]SNO RTF daily report1'!A950</f>
        <v>0</v>
      </c>
      <c r="B950">
        <f>'[1]SNO RTF daily report1'!B950</f>
        <v>0</v>
      </c>
      <c r="C950">
        <f>'[1]SNO RTF daily report1'!C950</f>
        <v>0</v>
      </c>
      <c r="D950">
        <f>'[1]SNO RTF daily report1'!D950</f>
        <v>0</v>
      </c>
      <c r="E950">
        <f>'[1]SNO RTF daily report1'!E950</f>
        <v>0</v>
      </c>
      <c r="F950">
        <f>'[1]SNO RTF daily report1'!F950</f>
        <v>0</v>
      </c>
      <c r="G950">
        <f>'[1]SNO RTF daily report1'!G950</f>
        <v>0</v>
      </c>
      <c r="H950">
        <f>'[1]SNO RTF daily report1'!H950</f>
        <v>0</v>
      </c>
      <c r="I950">
        <f>'[1]SNO RTF daily report1'!I950</f>
        <v>0</v>
      </c>
    </row>
    <row r="951" spans="1:9" x14ac:dyDescent="0.25">
      <c r="A951">
        <f>'[1]SNO RTF daily report1'!A951</f>
        <v>0</v>
      </c>
      <c r="B951">
        <f>'[1]SNO RTF daily report1'!B951</f>
        <v>0</v>
      </c>
      <c r="C951">
        <f>'[1]SNO RTF daily report1'!C951</f>
        <v>0</v>
      </c>
      <c r="D951">
        <f>'[1]SNO RTF daily report1'!D951</f>
        <v>0</v>
      </c>
      <c r="E951">
        <f>'[1]SNO RTF daily report1'!E951</f>
        <v>0</v>
      </c>
      <c r="F951">
        <f>'[1]SNO RTF daily report1'!F951</f>
        <v>0</v>
      </c>
      <c r="G951">
        <f>'[1]SNO RTF daily report1'!G951</f>
        <v>0</v>
      </c>
      <c r="H951">
        <f>'[1]SNO RTF daily report1'!H951</f>
        <v>0</v>
      </c>
      <c r="I951">
        <f>'[1]SNO RTF daily report1'!I951</f>
        <v>0</v>
      </c>
    </row>
    <row r="952" spans="1:9" x14ac:dyDescent="0.25">
      <c r="A952">
        <f>'[1]SNO RTF daily report1'!A952</f>
        <v>0</v>
      </c>
      <c r="B952">
        <f>'[1]SNO RTF daily report1'!B952</f>
        <v>0</v>
      </c>
      <c r="C952">
        <f>'[1]SNO RTF daily report1'!C952</f>
        <v>0</v>
      </c>
      <c r="D952">
        <f>'[1]SNO RTF daily report1'!D952</f>
        <v>0</v>
      </c>
      <c r="E952">
        <f>'[1]SNO RTF daily report1'!E952</f>
        <v>0</v>
      </c>
      <c r="F952">
        <f>'[1]SNO RTF daily report1'!F952</f>
        <v>0</v>
      </c>
      <c r="G952">
        <f>'[1]SNO RTF daily report1'!G952</f>
        <v>0</v>
      </c>
      <c r="H952">
        <f>'[1]SNO RTF daily report1'!H952</f>
        <v>0</v>
      </c>
      <c r="I952">
        <f>'[1]SNO RTF daily report1'!I952</f>
        <v>0</v>
      </c>
    </row>
    <row r="953" spans="1:9" x14ac:dyDescent="0.25">
      <c r="A953">
        <f>'[1]SNO RTF daily report1'!A953</f>
        <v>0</v>
      </c>
      <c r="B953">
        <f>'[1]SNO RTF daily report1'!B953</f>
        <v>0</v>
      </c>
      <c r="C953">
        <f>'[1]SNO RTF daily report1'!C953</f>
        <v>0</v>
      </c>
      <c r="D953">
        <f>'[1]SNO RTF daily report1'!D953</f>
        <v>0</v>
      </c>
      <c r="E953">
        <f>'[1]SNO RTF daily report1'!E953</f>
        <v>0</v>
      </c>
      <c r="F953">
        <f>'[1]SNO RTF daily report1'!F953</f>
        <v>0</v>
      </c>
      <c r="G953">
        <f>'[1]SNO RTF daily report1'!G953</f>
        <v>0</v>
      </c>
      <c r="H953">
        <f>'[1]SNO RTF daily report1'!H953</f>
        <v>0</v>
      </c>
      <c r="I953">
        <f>'[1]SNO RTF daily report1'!I953</f>
        <v>0</v>
      </c>
    </row>
    <row r="954" spans="1:9" x14ac:dyDescent="0.25">
      <c r="A954">
        <f>'[1]SNO RTF daily report1'!A954</f>
        <v>0</v>
      </c>
      <c r="B954">
        <f>'[1]SNO RTF daily report1'!B954</f>
        <v>0</v>
      </c>
      <c r="C954">
        <f>'[1]SNO RTF daily report1'!C954</f>
        <v>0</v>
      </c>
      <c r="D954">
        <f>'[1]SNO RTF daily report1'!D954</f>
        <v>0</v>
      </c>
      <c r="E954">
        <f>'[1]SNO RTF daily report1'!E954</f>
        <v>0</v>
      </c>
      <c r="F954">
        <f>'[1]SNO RTF daily report1'!F954</f>
        <v>0</v>
      </c>
      <c r="G954">
        <f>'[1]SNO RTF daily report1'!G954</f>
        <v>0</v>
      </c>
      <c r="H954">
        <f>'[1]SNO RTF daily report1'!H954</f>
        <v>0</v>
      </c>
      <c r="I954">
        <f>'[1]SNO RTF daily report1'!I954</f>
        <v>0</v>
      </c>
    </row>
    <row r="955" spans="1:9" x14ac:dyDescent="0.25">
      <c r="A955">
        <f>'[1]SNO RTF daily report1'!A955</f>
        <v>0</v>
      </c>
      <c r="B955">
        <f>'[1]SNO RTF daily report1'!B955</f>
        <v>0</v>
      </c>
      <c r="C955">
        <f>'[1]SNO RTF daily report1'!C955</f>
        <v>0</v>
      </c>
      <c r="D955">
        <f>'[1]SNO RTF daily report1'!D955</f>
        <v>0</v>
      </c>
      <c r="E955">
        <f>'[1]SNO RTF daily report1'!E955</f>
        <v>0</v>
      </c>
      <c r="F955">
        <f>'[1]SNO RTF daily report1'!F955</f>
        <v>0</v>
      </c>
      <c r="G955">
        <f>'[1]SNO RTF daily report1'!G955</f>
        <v>0</v>
      </c>
      <c r="H955">
        <f>'[1]SNO RTF daily report1'!H955</f>
        <v>0</v>
      </c>
      <c r="I955">
        <f>'[1]SNO RTF daily report1'!I955</f>
        <v>0</v>
      </c>
    </row>
    <row r="956" spans="1:9" x14ac:dyDescent="0.25">
      <c r="A956">
        <f>'[1]SNO RTF daily report1'!A956</f>
        <v>0</v>
      </c>
      <c r="B956">
        <f>'[1]SNO RTF daily report1'!B956</f>
        <v>0</v>
      </c>
      <c r="C956">
        <f>'[1]SNO RTF daily report1'!C956</f>
        <v>0</v>
      </c>
      <c r="D956">
        <f>'[1]SNO RTF daily report1'!D956</f>
        <v>0</v>
      </c>
      <c r="E956">
        <f>'[1]SNO RTF daily report1'!E956</f>
        <v>0</v>
      </c>
      <c r="F956">
        <f>'[1]SNO RTF daily report1'!F956</f>
        <v>0</v>
      </c>
      <c r="G956">
        <f>'[1]SNO RTF daily report1'!G956</f>
        <v>0</v>
      </c>
      <c r="H956">
        <f>'[1]SNO RTF daily report1'!H956</f>
        <v>0</v>
      </c>
      <c r="I956">
        <f>'[1]SNO RTF daily report1'!I956</f>
        <v>0</v>
      </c>
    </row>
    <row r="957" spans="1:9" x14ac:dyDescent="0.25">
      <c r="A957">
        <f>'[1]SNO RTF daily report1'!A957</f>
        <v>0</v>
      </c>
      <c r="B957">
        <f>'[1]SNO RTF daily report1'!B957</f>
        <v>0</v>
      </c>
      <c r="C957">
        <f>'[1]SNO RTF daily report1'!C957</f>
        <v>0</v>
      </c>
      <c r="D957">
        <f>'[1]SNO RTF daily report1'!D957</f>
        <v>0</v>
      </c>
      <c r="E957">
        <f>'[1]SNO RTF daily report1'!E957</f>
        <v>0</v>
      </c>
      <c r="F957">
        <f>'[1]SNO RTF daily report1'!F957</f>
        <v>0</v>
      </c>
      <c r="G957">
        <f>'[1]SNO RTF daily report1'!G957</f>
        <v>0</v>
      </c>
      <c r="H957">
        <f>'[1]SNO RTF daily report1'!H957</f>
        <v>0</v>
      </c>
      <c r="I957">
        <f>'[1]SNO RTF daily report1'!I957</f>
        <v>0</v>
      </c>
    </row>
    <row r="958" spans="1:9" x14ac:dyDescent="0.25">
      <c r="A958">
        <f>'[1]SNO RTF daily report1'!A958</f>
        <v>0</v>
      </c>
      <c r="B958">
        <f>'[1]SNO RTF daily report1'!B958</f>
        <v>0</v>
      </c>
      <c r="C958">
        <f>'[1]SNO RTF daily report1'!C958</f>
        <v>0</v>
      </c>
      <c r="D958">
        <f>'[1]SNO RTF daily report1'!D958</f>
        <v>0</v>
      </c>
      <c r="E958">
        <f>'[1]SNO RTF daily report1'!E958</f>
        <v>0</v>
      </c>
      <c r="F958">
        <f>'[1]SNO RTF daily report1'!F958</f>
        <v>0</v>
      </c>
      <c r="G958">
        <f>'[1]SNO RTF daily report1'!G958</f>
        <v>0</v>
      </c>
      <c r="H958">
        <f>'[1]SNO RTF daily report1'!H958</f>
        <v>0</v>
      </c>
      <c r="I958">
        <f>'[1]SNO RTF daily report1'!I958</f>
        <v>0</v>
      </c>
    </row>
    <row r="959" spans="1:9" x14ac:dyDescent="0.25">
      <c r="A959">
        <f>'[1]SNO RTF daily report1'!A959</f>
        <v>0</v>
      </c>
      <c r="B959">
        <f>'[1]SNO RTF daily report1'!B959</f>
        <v>0</v>
      </c>
      <c r="C959">
        <f>'[1]SNO RTF daily report1'!C959</f>
        <v>0</v>
      </c>
      <c r="D959">
        <f>'[1]SNO RTF daily report1'!D959</f>
        <v>0</v>
      </c>
      <c r="E959">
        <f>'[1]SNO RTF daily report1'!E959</f>
        <v>0</v>
      </c>
      <c r="F959">
        <f>'[1]SNO RTF daily report1'!F959</f>
        <v>0</v>
      </c>
      <c r="G959">
        <f>'[1]SNO RTF daily report1'!G959</f>
        <v>0</v>
      </c>
      <c r="H959">
        <f>'[1]SNO RTF daily report1'!H959</f>
        <v>0</v>
      </c>
      <c r="I959">
        <f>'[1]SNO RTF daily report1'!I959</f>
        <v>0</v>
      </c>
    </row>
    <row r="960" spans="1:9" x14ac:dyDescent="0.25">
      <c r="A960">
        <f>'[1]SNO RTF daily report1'!A960</f>
        <v>0</v>
      </c>
      <c r="B960">
        <f>'[1]SNO RTF daily report1'!B960</f>
        <v>0</v>
      </c>
      <c r="C960">
        <f>'[1]SNO RTF daily report1'!C960</f>
        <v>0</v>
      </c>
      <c r="D960">
        <f>'[1]SNO RTF daily report1'!D960</f>
        <v>0</v>
      </c>
      <c r="E960">
        <f>'[1]SNO RTF daily report1'!E960</f>
        <v>0</v>
      </c>
      <c r="F960">
        <f>'[1]SNO RTF daily report1'!F960</f>
        <v>0</v>
      </c>
      <c r="G960">
        <f>'[1]SNO RTF daily report1'!G960</f>
        <v>0</v>
      </c>
      <c r="H960">
        <f>'[1]SNO RTF daily report1'!H960</f>
        <v>0</v>
      </c>
      <c r="I960">
        <f>'[1]SNO RTF daily report1'!I960</f>
        <v>0</v>
      </c>
    </row>
    <row r="961" spans="1:9" x14ac:dyDescent="0.25">
      <c r="A961">
        <f>'[1]SNO RTF daily report1'!A961</f>
        <v>0</v>
      </c>
      <c r="B961">
        <f>'[1]SNO RTF daily report1'!B961</f>
        <v>0</v>
      </c>
      <c r="C961">
        <f>'[1]SNO RTF daily report1'!C961</f>
        <v>0</v>
      </c>
      <c r="D961">
        <f>'[1]SNO RTF daily report1'!D961</f>
        <v>0</v>
      </c>
      <c r="E961">
        <f>'[1]SNO RTF daily report1'!E961</f>
        <v>0</v>
      </c>
      <c r="F961">
        <f>'[1]SNO RTF daily report1'!F961</f>
        <v>0</v>
      </c>
      <c r="G961">
        <f>'[1]SNO RTF daily report1'!G961</f>
        <v>0</v>
      </c>
      <c r="H961">
        <f>'[1]SNO RTF daily report1'!H961</f>
        <v>0</v>
      </c>
      <c r="I961">
        <f>'[1]SNO RTF daily report1'!I961</f>
        <v>0</v>
      </c>
    </row>
    <row r="962" spans="1:9" x14ac:dyDescent="0.25">
      <c r="A962">
        <f>'[1]SNO RTF daily report1'!A962</f>
        <v>0</v>
      </c>
      <c r="B962">
        <f>'[1]SNO RTF daily report1'!B962</f>
        <v>0</v>
      </c>
      <c r="C962">
        <f>'[1]SNO RTF daily report1'!C962</f>
        <v>0</v>
      </c>
      <c r="D962">
        <f>'[1]SNO RTF daily report1'!D962</f>
        <v>0</v>
      </c>
      <c r="E962">
        <f>'[1]SNO RTF daily report1'!E962</f>
        <v>0</v>
      </c>
      <c r="F962">
        <f>'[1]SNO RTF daily report1'!F962</f>
        <v>0</v>
      </c>
      <c r="G962">
        <f>'[1]SNO RTF daily report1'!G962</f>
        <v>0</v>
      </c>
      <c r="H962">
        <f>'[1]SNO RTF daily report1'!H962</f>
        <v>0</v>
      </c>
      <c r="I962">
        <f>'[1]SNO RTF daily report1'!I962</f>
        <v>0</v>
      </c>
    </row>
    <row r="963" spans="1:9" x14ac:dyDescent="0.25">
      <c r="A963">
        <f>'[1]SNO RTF daily report1'!A963</f>
        <v>0</v>
      </c>
      <c r="B963">
        <f>'[1]SNO RTF daily report1'!B963</f>
        <v>0</v>
      </c>
      <c r="C963">
        <f>'[1]SNO RTF daily report1'!C963</f>
        <v>0</v>
      </c>
      <c r="D963">
        <f>'[1]SNO RTF daily report1'!D963</f>
        <v>0</v>
      </c>
      <c r="E963">
        <f>'[1]SNO RTF daily report1'!E963</f>
        <v>0</v>
      </c>
      <c r="F963">
        <f>'[1]SNO RTF daily report1'!F963</f>
        <v>0</v>
      </c>
      <c r="G963">
        <f>'[1]SNO RTF daily report1'!G963</f>
        <v>0</v>
      </c>
      <c r="H963">
        <f>'[1]SNO RTF daily report1'!H963</f>
        <v>0</v>
      </c>
      <c r="I963">
        <f>'[1]SNO RTF daily report1'!I963</f>
        <v>0</v>
      </c>
    </row>
    <row r="964" spans="1:9" x14ac:dyDescent="0.25">
      <c r="A964">
        <f>'[1]SNO RTF daily report1'!A964</f>
        <v>0</v>
      </c>
      <c r="B964">
        <f>'[1]SNO RTF daily report1'!B964</f>
        <v>0</v>
      </c>
      <c r="C964">
        <f>'[1]SNO RTF daily report1'!C964</f>
        <v>0</v>
      </c>
      <c r="D964">
        <f>'[1]SNO RTF daily report1'!D964</f>
        <v>0</v>
      </c>
      <c r="E964">
        <f>'[1]SNO RTF daily report1'!E964</f>
        <v>0</v>
      </c>
      <c r="F964">
        <f>'[1]SNO RTF daily report1'!F964</f>
        <v>0</v>
      </c>
      <c r="G964">
        <f>'[1]SNO RTF daily report1'!G964</f>
        <v>0</v>
      </c>
      <c r="H964">
        <f>'[1]SNO RTF daily report1'!H964</f>
        <v>0</v>
      </c>
      <c r="I964">
        <f>'[1]SNO RTF daily report1'!I964</f>
        <v>0</v>
      </c>
    </row>
    <row r="965" spans="1:9" x14ac:dyDescent="0.25">
      <c r="A965">
        <f>'[1]SNO RTF daily report1'!A965</f>
        <v>0</v>
      </c>
      <c r="B965">
        <f>'[1]SNO RTF daily report1'!B965</f>
        <v>0</v>
      </c>
      <c r="C965">
        <f>'[1]SNO RTF daily report1'!C965</f>
        <v>0</v>
      </c>
      <c r="D965">
        <f>'[1]SNO RTF daily report1'!D965</f>
        <v>0</v>
      </c>
      <c r="E965">
        <f>'[1]SNO RTF daily report1'!E965</f>
        <v>0</v>
      </c>
      <c r="F965">
        <f>'[1]SNO RTF daily report1'!F965</f>
        <v>0</v>
      </c>
      <c r="G965">
        <f>'[1]SNO RTF daily report1'!G965</f>
        <v>0</v>
      </c>
      <c r="H965">
        <f>'[1]SNO RTF daily report1'!H965</f>
        <v>0</v>
      </c>
      <c r="I965">
        <f>'[1]SNO RTF daily report1'!I965</f>
        <v>0</v>
      </c>
    </row>
    <row r="966" spans="1:9" x14ac:dyDescent="0.25">
      <c r="A966">
        <f>'[1]SNO RTF daily report1'!A966</f>
        <v>0</v>
      </c>
      <c r="B966">
        <f>'[1]SNO RTF daily report1'!B966</f>
        <v>0</v>
      </c>
      <c r="C966">
        <f>'[1]SNO RTF daily report1'!C966</f>
        <v>0</v>
      </c>
      <c r="D966">
        <f>'[1]SNO RTF daily report1'!D966</f>
        <v>0</v>
      </c>
      <c r="E966">
        <f>'[1]SNO RTF daily report1'!E966</f>
        <v>0</v>
      </c>
      <c r="F966">
        <f>'[1]SNO RTF daily report1'!F966</f>
        <v>0</v>
      </c>
      <c r="G966">
        <f>'[1]SNO RTF daily report1'!G966</f>
        <v>0</v>
      </c>
      <c r="H966">
        <f>'[1]SNO RTF daily report1'!H966</f>
        <v>0</v>
      </c>
      <c r="I966">
        <f>'[1]SNO RTF daily report1'!I966</f>
        <v>0</v>
      </c>
    </row>
    <row r="967" spans="1:9" x14ac:dyDescent="0.25">
      <c r="A967">
        <f>'[1]SNO RTF daily report1'!A967</f>
        <v>0</v>
      </c>
      <c r="B967">
        <f>'[1]SNO RTF daily report1'!B967</f>
        <v>0</v>
      </c>
      <c r="C967">
        <f>'[1]SNO RTF daily report1'!C967</f>
        <v>0</v>
      </c>
      <c r="D967">
        <f>'[1]SNO RTF daily report1'!D967</f>
        <v>0</v>
      </c>
      <c r="E967">
        <f>'[1]SNO RTF daily report1'!E967</f>
        <v>0</v>
      </c>
      <c r="F967">
        <f>'[1]SNO RTF daily report1'!F967</f>
        <v>0</v>
      </c>
      <c r="G967">
        <f>'[1]SNO RTF daily report1'!G967</f>
        <v>0</v>
      </c>
      <c r="H967">
        <f>'[1]SNO RTF daily report1'!H967</f>
        <v>0</v>
      </c>
      <c r="I967">
        <f>'[1]SNO RTF daily report1'!I967</f>
        <v>0</v>
      </c>
    </row>
    <row r="968" spans="1:9" x14ac:dyDescent="0.25">
      <c r="A968">
        <f>'[1]SNO RTF daily report1'!A968</f>
        <v>0</v>
      </c>
      <c r="B968">
        <f>'[1]SNO RTF daily report1'!B968</f>
        <v>0</v>
      </c>
      <c r="C968">
        <f>'[1]SNO RTF daily report1'!C968</f>
        <v>0</v>
      </c>
      <c r="D968">
        <f>'[1]SNO RTF daily report1'!D968</f>
        <v>0</v>
      </c>
      <c r="E968">
        <f>'[1]SNO RTF daily report1'!E968</f>
        <v>0</v>
      </c>
      <c r="F968">
        <f>'[1]SNO RTF daily report1'!F968</f>
        <v>0</v>
      </c>
      <c r="G968">
        <f>'[1]SNO RTF daily report1'!G968</f>
        <v>0</v>
      </c>
      <c r="H968">
        <f>'[1]SNO RTF daily report1'!H968</f>
        <v>0</v>
      </c>
      <c r="I968">
        <f>'[1]SNO RTF daily report1'!I968</f>
        <v>0</v>
      </c>
    </row>
    <row r="969" spans="1:9" x14ac:dyDescent="0.25">
      <c r="A969">
        <f>'[1]SNO RTF daily report1'!A969</f>
        <v>0</v>
      </c>
      <c r="B969">
        <f>'[1]SNO RTF daily report1'!B969</f>
        <v>0</v>
      </c>
      <c r="C969">
        <f>'[1]SNO RTF daily report1'!C969</f>
        <v>0</v>
      </c>
      <c r="D969">
        <f>'[1]SNO RTF daily report1'!D969</f>
        <v>0</v>
      </c>
      <c r="E969">
        <f>'[1]SNO RTF daily report1'!E969</f>
        <v>0</v>
      </c>
      <c r="F969">
        <f>'[1]SNO RTF daily report1'!F969</f>
        <v>0</v>
      </c>
      <c r="G969">
        <f>'[1]SNO RTF daily report1'!G969</f>
        <v>0</v>
      </c>
      <c r="H969">
        <f>'[1]SNO RTF daily report1'!H969</f>
        <v>0</v>
      </c>
      <c r="I969">
        <f>'[1]SNO RTF daily report1'!I969</f>
        <v>0</v>
      </c>
    </row>
    <row r="970" spans="1:9" x14ac:dyDescent="0.25">
      <c r="A970">
        <f>'[1]SNO RTF daily report1'!A970</f>
        <v>0</v>
      </c>
      <c r="B970">
        <f>'[1]SNO RTF daily report1'!B970</f>
        <v>0</v>
      </c>
      <c r="C970">
        <f>'[1]SNO RTF daily report1'!C970</f>
        <v>0</v>
      </c>
      <c r="D970">
        <f>'[1]SNO RTF daily report1'!D970</f>
        <v>0</v>
      </c>
      <c r="E970">
        <f>'[1]SNO RTF daily report1'!E970</f>
        <v>0</v>
      </c>
      <c r="F970">
        <f>'[1]SNO RTF daily report1'!F970</f>
        <v>0</v>
      </c>
      <c r="G970">
        <f>'[1]SNO RTF daily report1'!G970</f>
        <v>0</v>
      </c>
      <c r="H970">
        <f>'[1]SNO RTF daily report1'!H970</f>
        <v>0</v>
      </c>
      <c r="I970">
        <f>'[1]SNO RTF daily report1'!I970</f>
        <v>0</v>
      </c>
    </row>
    <row r="971" spans="1:9" x14ac:dyDescent="0.25">
      <c r="A971">
        <f>'[1]SNO RTF daily report1'!A971</f>
        <v>0</v>
      </c>
      <c r="B971">
        <f>'[1]SNO RTF daily report1'!B971</f>
        <v>0</v>
      </c>
      <c r="C971">
        <f>'[1]SNO RTF daily report1'!C971</f>
        <v>0</v>
      </c>
      <c r="D971">
        <f>'[1]SNO RTF daily report1'!D971</f>
        <v>0</v>
      </c>
      <c r="E971">
        <f>'[1]SNO RTF daily report1'!E971</f>
        <v>0</v>
      </c>
      <c r="F971">
        <f>'[1]SNO RTF daily report1'!F971</f>
        <v>0</v>
      </c>
      <c r="G971">
        <f>'[1]SNO RTF daily report1'!G971</f>
        <v>0</v>
      </c>
      <c r="H971">
        <f>'[1]SNO RTF daily report1'!H971</f>
        <v>0</v>
      </c>
      <c r="I971">
        <f>'[1]SNO RTF daily report1'!I971</f>
        <v>0</v>
      </c>
    </row>
    <row r="972" spans="1:9" x14ac:dyDescent="0.25">
      <c r="A972">
        <f>'[1]SNO RTF daily report1'!A972</f>
        <v>0</v>
      </c>
      <c r="B972">
        <f>'[1]SNO RTF daily report1'!B972</f>
        <v>0</v>
      </c>
      <c r="C972">
        <f>'[1]SNO RTF daily report1'!C972</f>
        <v>0</v>
      </c>
      <c r="D972">
        <f>'[1]SNO RTF daily report1'!D972</f>
        <v>0</v>
      </c>
      <c r="E972">
        <f>'[1]SNO RTF daily report1'!E972</f>
        <v>0</v>
      </c>
      <c r="F972">
        <f>'[1]SNO RTF daily report1'!F972</f>
        <v>0</v>
      </c>
      <c r="G972">
        <f>'[1]SNO RTF daily report1'!G972</f>
        <v>0</v>
      </c>
      <c r="H972">
        <f>'[1]SNO RTF daily report1'!H972</f>
        <v>0</v>
      </c>
      <c r="I972">
        <f>'[1]SNO RTF daily report1'!I972</f>
        <v>0</v>
      </c>
    </row>
    <row r="973" spans="1:9" x14ac:dyDescent="0.25">
      <c r="A973">
        <f>'[1]SNO RTF daily report1'!A973</f>
        <v>0</v>
      </c>
      <c r="B973">
        <f>'[1]SNO RTF daily report1'!B973</f>
        <v>0</v>
      </c>
      <c r="C973">
        <f>'[1]SNO RTF daily report1'!C973</f>
        <v>0</v>
      </c>
      <c r="D973">
        <f>'[1]SNO RTF daily report1'!D973</f>
        <v>0</v>
      </c>
      <c r="E973">
        <f>'[1]SNO RTF daily report1'!E973</f>
        <v>0</v>
      </c>
      <c r="F973">
        <f>'[1]SNO RTF daily report1'!F973</f>
        <v>0</v>
      </c>
      <c r="G973">
        <f>'[1]SNO RTF daily report1'!G973</f>
        <v>0</v>
      </c>
      <c r="H973">
        <f>'[1]SNO RTF daily report1'!H973</f>
        <v>0</v>
      </c>
      <c r="I973">
        <f>'[1]SNO RTF daily report1'!I973</f>
        <v>0</v>
      </c>
    </row>
    <row r="974" spans="1:9" x14ac:dyDescent="0.25">
      <c r="A974">
        <f>'[1]SNO RTF daily report1'!A974</f>
        <v>0</v>
      </c>
      <c r="B974">
        <f>'[1]SNO RTF daily report1'!B974</f>
        <v>0</v>
      </c>
      <c r="C974">
        <f>'[1]SNO RTF daily report1'!C974</f>
        <v>0</v>
      </c>
      <c r="D974">
        <f>'[1]SNO RTF daily report1'!D974</f>
        <v>0</v>
      </c>
      <c r="E974">
        <f>'[1]SNO RTF daily report1'!E974</f>
        <v>0</v>
      </c>
      <c r="F974">
        <f>'[1]SNO RTF daily report1'!F974</f>
        <v>0</v>
      </c>
      <c r="G974">
        <f>'[1]SNO RTF daily report1'!G974</f>
        <v>0</v>
      </c>
      <c r="H974">
        <f>'[1]SNO RTF daily report1'!H974</f>
        <v>0</v>
      </c>
      <c r="I974">
        <f>'[1]SNO RTF daily report1'!I974</f>
        <v>0</v>
      </c>
    </row>
    <row r="975" spans="1:9" x14ac:dyDescent="0.25">
      <c r="A975">
        <f>'[1]SNO RTF daily report1'!A975</f>
        <v>0</v>
      </c>
      <c r="B975">
        <f>'[1]SNO RTF daily report1'!B975</f>
        <v>0</v>
      </c>
      <c r="C975">
        <f>'[1]SNO RTF daily report1'!C975</f>
        <v>0</v>
      </c>
      <c r="D975">
        <f>'[1]SNO RTF daily report1'!D975</f>
        <v>0</v>
      </c>
      <c r="E975">
        <f>'[1]SNO RTF daily report1'!E975</f>
        <v>0</v>
      </c>
      <c r="F975">
        <f>'[1]SNO RTF daily report1'!F975</f>
        <v>0</v>
      </c>
      <c r="G975">
        <f>'[1]SNO RTF daily report1'!G975</f>
        <v>0</v>
      </c>
      <c r="H975">
        <f>'[1]SNO RTF daily report1'!H975</f>
        <v>0</v>
      </c>
      <c r="I975">
        <f>'[1]SNO RTF daily report1'!I975</f>
        <v>0</v>
      </c>
    </row>
    <row r="976" spans="1:9" x14ac:dyDescent="0.25">
      <c r="A976">
        <f>'[1]SNO RTF daily report1'!A976</f>
        <v>0</v>
      </c>
      <c r="B976">
        <f>'[1]SNO RTF daily report1'!B976</f>
        <v>0</v>
      </c>
      <c r="C976">
        <f>'[1]SNO RTF daily report1'!C976</f>
        <v>0</v>
      </c>
      <c r="D976">
        <f>'[1]SNO RTF daily report1'!D976</f>
        <v>0</v>
      </c>
      <c r="E976">
        <f>'[1]SNO RTF daily report1'!E976</f>
        <v>0</v>
      </c>
      <c r="F976">
        <f>'[1]SNO RTF daily report1'!F976</f>
        <v>0</v>
      </c>
      <c r="G976">
        <f>'[1]SNO RTF daily report1'!G976</f>
        <v>0</v>
      </c>
      <c r="H976">
        <f>'[1]SNO RTF daily report1'!H976</f>
        <v>0</v>
      </c>
      <c r="I976">
        <f>'[1]SNO RTF daily report1'!I976</f>
        <v>0</v>
      </c>
    </row>
    <row r="977" spans="1:9" x14ac:dyDescent="0.25">
      <c r="A977">
        <f>'[1]SNO RTF daily report1'!A977</f>
        <v>0</v>
      </c>
      <c r="B977">
        <f>'[1]SNO RTF daily report1'!B977</f>
        <v>0</v>
      </c>
      <c r="C977">
        <f>'[1]SNO RTF daily report1'!C977</f>
        <v>0</v>
      </c>
      <c r="D977">
        <f>'[1]SNO RTF daily report1'!D977</f>
        <v>0</v>
      </c>
      <c r="E977">
        <f>'[1]SNO RTF daily report1'!E977</f>
        <v>0</v>
      </c>
      <c r="F977">
        <f>'[1]SNO RTF daily report1'!F977</f>
        <v>0</v>
      </c>
      <c r="G977">
        <f>'[1]SNO RTF daily report1'!G977</f>
        <v>0</v>
      </c>
      <c r="H977">
        <f>'[1]SNO RTF daily report1'!H977</f>
        <v>0</v>
      </c>
      <c r="I977">
        <f>'[1]SNO RTF daily report1'!I977</f>
        <v>0</v>
      </c>
    </row>
    <row r="978" spans="1:9" x14ac:dyDescent="0.25">
      <c r="A978">
        <f>'[1]SNO RTF daily report1'!A978</f>
        <v>0</v>
      </c>
      <c r="B978">
        <f>'[1]SNO RTF daily report1'!B978</f>
        <v>0</v>
      </c>
      <c r="C978">
        <f>'[1]SNO RTF daily report1'!C978</f>
        <v>0</v>
      </c>
      <c r="D978">
        <f>'[1]SNO RTF daily report1'!D978</f>
        <v>0</v>
      </c>
      <c r="E978">
        <f>'[1]SNO RTF daily report1'!E978</f>
        <v>0</v>
      </c>
      <c r="F978">
        <f>'[1]SNO RTF daily report1'!F978</f>
        <v>0</v>
      </c>
      <c r="G978">
        <f>'[1]SNO RTF daily report1'!G978</f>
        <v>0</v>
      </c>
      <c r="H978">
        <f>'[1]SNO RTF daily report1'!H978</f>
        <v>0</v>
      </c>
      <c r="I978">
        <f>'[1]SNO RTF daily report1'!I978</f>
        <v>0</v>
      </c>
    </row>
    <row r="979" spans="1:9" x14ac:dyDescent="0.25">
      <c r="A979">
        <f>'[1]SNO RTF daily report1'!A979</f>
        <v>0</v>
      </c>
      <c r="B979">
        <f>'[1]SNO RTF daily report1'!B979</f>
        <v>0</v>
      </c>
      <c r="C979">
        <f>'[1]SNO RTF daily report1'!C979</f>
        <v>0</v>
      </c>
      <c r="D979">
        <f>'[1]SNO RTF daily report1'!D979</f>
        <v>0</v>
      </c>
      <c r="E979">
        <f>'[1]SNO RTF daily report1'!E979</f>
        <v>0</v>
      </c>
      <c r="F979">
        <f>'[1]SNO RTF daily report1'!F979</f>
        <v>0</v>
      </c>
      <c r="G979">
        <f>'[1]SNO RTF daily report1'!G979</f>
        <v>0</v>
      </c>
      <c r="H979">
        <f>'[1]SNO RTF daily report1'!H979</f>
        <v>0</v>
      </c>
      <c r="I979">
        <f>'[1]SNO RTF daily report1'!I979</f>
        <v>0</v>
      </c>
    </row>
    <row r="980" spans="1:9" x14ac:dyDescent="0.25">
      <c r="A980">
        <f>'[1]SNO RTF daily report1'!A980</f>
        <v>0</v>
      </c>
      <c r="B980">
        <f>'[1]SNO RTF daily report1'!B980</f>
        <v>0</v>
      </c>
      <c r="C980">
        <f>'[1]SNO RTF daily report1'!C980</f>
        <v>0</v>
      </c>
      <c r="D980">
        <f>'[1]SNO RTF daily report1'!D980</f>
        <v>0</v>
      </c>
      <c r="E980">
        <f>'[1]SNO RTF daily report1'!E980</f>
        <v>0</v>
      </c>
      <c r="F980">
        <f>'[1]SNO RTF daily report1'!F980</f>
        <v>0</v>
      </c>
      <c r="G980">
        <f>'[1]SNO RTF daily report1'!G980</f>
        <v>0</v>
      </c>
      <c r="H980">
        <f>'[1]SNO RTF daily report1'!H980</f>
        <v>0</v>
      </c>
      <c r="I980">
        <f>'[1]SNO RTF daily report1'!I980</f>
        <v>0</v>
      </c>
    </row>
    <row r="981" spans="1:9" x14ac:dyDescent="0.25">
      <c r="A981">
        <f>'[1]SNO RTF daily report1'!A981</f>
        <v>0</v>
      </c>
      <c r="B981">
        <f>'[1]SNO RTF daily report1'!B981</f>
        <v>0</v>
      </c>
      <c r="C981">
        <f>'[1]SNO RTF daily report1'!C981</f>
        <v>0</v>
      </c>
      <c r="D981">
        <f>'[1]SNO RTF daily report1'!D981</f>
        <v>0</v>
      </c>
      <c r="E981">
        <f>'[1]SNO RTF daily report1'!E981</f>
        <v>0</v>
      </c>
      <c r="F981">
        <f>'[1]SNO RTF daily report1'!F981</f>
        <v>0</v>
      </c>
      <c r="G981">
        <f>'[1]SNO RTF daily report1'!G981</f>
        <v>0</v>
      </c>
      <c r="H981">
        <f>'[1]SNO RTF daily report1'!H981</f>
        <v>0</v>
      </c>
      <c r="I981">
        <f>'[1]SNO RTF daily report1'!I981</f>
        <v>0</v>
      </c>
    </row>
    <row r="982" spans="1:9" x14ac:dyDescent="0.25">
      <c r="A982">
        <f>'[1]SNO RTF daily report1'!A982</f>
        <v>0</v>
      </c>
      <c r="B982">
        <f>'[1]SNO RTF daily report1'!B982</f>
        <v>0</v>
      </c>
      <c r="C982">
        <f>'[1]SNO RTF daily report1'!C982</f>
        <v>0</v>
      </c>
      <c r="D982">
        <f>'[1]SNO RTF daily report1'!D982</f>
        <v>0</v>
      </c>
      <c r="E982">
        <f>'[1]SNO RTF daily report1'!E982</f>
        <v>0</v>
      </c>
      <c r="F982">
        <f>'[1]SNO RTF daily report1'!F982</f>
        <v>0</v>
      </c>
      <c r="G982">
        <f>'[1]SNO RTF daily report1'!G982</f>
        <v>0</v>
      </c>
      <c r="H982">
        <f>'[1]SNO RTF daily report1'!H982</f>
        <v>0</v>
      </c>
      <c r="I982">
        <f>'[1]SNO RTF daily report1'!I982</f>
        <v>0</v>
      </c>
    </row>
    <row r="983" spans="1:9" x14ac:dyDescent="0.25">
      <c r="A983">
        <f>'[1]SNO RTF daily report1'!A983</f>
        <v>0</v>
      </c>
      <c r="B983">
        <f>'[1]SNO RTF daily report1'!B983</f>
        <v>0</v>
      </c>
      <c r="C983">
        <f>'[1]SNO RTF daily report1'!C983</f>
        <v>0</v>
      </c>
      <c r="D983">
        <f>'[1]SNO RTF daily report1'!D983</f>
        <v>0</v>
      </c>
      <c r="E983">
        <f>'[1]SNO RTF daily report1'!E983</f>
        <v>0</v>
      </c>
      <c r="F983">
        <f>'[1]SNO RTF daily report1'!F983</f>
        <v>0</v>
      </c>
      <c r="G983">
        <f>'[1]SNO RTF daily report1'!G983</f>
        <v>0</v>
      </c>
      <c r="H983">
        <f>'[1]SNO RTF daily report1'!H983</f>
        <v>0</v>
      </c>
      <c r="I983">
        <f>'[1]SNO RTF daily report1'!I983</f>
        <v>0</v>
      </c>
    </row>
    <row r="984" spans="1:9" x14ac:dyDescent="0.25">
      <c r="A984">
        <f>'[1]SNO RTF daily report1'!A984</f>
        <v>0</v>
      </c>
      <c r="B984">
        <f>'[1]SNO RTF daily report1'!B984</f>
        <v>0</v>
      </c>
      <c r="C984">
        <f>'[1]SNO RTF daily report1'!C984</f>
        <v>0</v>
      </c>
      <c r="D984">
        <f>'[1]SNO RTF daily report1'!D984</f>
        <v>0</v>
      </c>
      <c r="E984">
        <f>'[1]SNO RTF daily report1'!E984</f>
        <v>0</v>
      </c>
      <c r="F984">
        <f>'[1]SNO RTF daily report1'!F984</f>
        <v>0</v>
      </c>
      <c r="G984">
        <f>'[1]SNO RTF daily report1'!G984</f>
        <v>0</v>
      </c>
      <c r="H984">
        <f>'[1]SNO RTF daily report1'!H984</f>
        <v>0</v>
      </c>
      <c r="I984">
        <f>'[1]SNO RTF daily report1'!I984</f>
        <v>0</v>
      </c>
    </row>
    <row r="985" spans="1:9" x14ac:dyDescent="0.25">
      <c r="A985">
        <f>'[1]SNO RTF daily report1'!A985</f>
        <v>0</v>
      </c>
      <c r="B985">
        <f>'[1]SNO RTF daily report1'!B985</f>
        <v>0</v>
      </c>
      <c r="C985">
        <f>'[1]SNO RTF daily report1'!C985</f>
        <v>0</v>
      </c>
      <c r="D985">
        <f>'[1]SNO RTF daily report1'!D985</f>
        <v>0</v>
      </c>
      <c r="E985">
        <f>'[1]SNO RTF daily report1'!E985</f>
        <v>0</v>
      </c>
      <c r="F985">
        <f>'[1]SNO RTF daily report1'!F985</f>
        <v>0</v>
      </c>
      <c r="G985">
        <f>'[1]SNO RTF daily report1'!G985</f>
        <v>0</v>
      </c>
      <c r="H985">
        <f>'[1]SNO RTF daily report1'!H985</f>
        <v>0</v>
      </c>
      <c r="I985">
        <f>'[1]SNO RTF daily report1'!I985</f>
        <v>0</v>
      </c>
    </row>
    <row r="986" spans="1:9" x14ac:dyDescent="0.25">
      <c r="A986">
        <f>'[1]SNO RTF daily report1'!A986</f>
        <v>0</v>
      </c>
      <c r="B986">
        <f>'[1]SNO RTF daily report1'!B986</f>
        <v>0</v>
      </c>
      <c r="C986">
        <f>'[1]SNO RTF daily report1'!C986</f>
        <v>0</v>
      </c>
      <c r="D986">
        <f>'[1]SNO RTF daily report1'!D986</f>
        <v>0</v>
      </c>
      <c r="E986">
        <f>'[1]SNO RTF daily report1'!E986</f>
        <v>0</v>
      </c>
      <c r="F986">
        <f>'[1]SNO RTF daily report1'!F986</f>
        <v>0</v>
      </c>
      <c r="G986">
        <f>'[1]SNO RTF daily report1'!G986</f>
        <v>0</v>
      </c>
      <c r="H986">
        <f>'[1]SNO RTF daily report1'!H986</f>
        <v>0</v>
      </c>
      <c r="I986">
        <f>'[1]SNO RTF daily report1'!I986</f>
        <v>0</v>
      </c>
    </row>
    <row r="987" spans="1:9" x14ac:dyDescent="0.25">
      <c r="A987">
        <f>'[1]SNO RTF daily report1'!A987</f>
        <v>0</v>
      </c>
      <c r="B987">
        <f>'[1]SNO RTF daily report1'!B987</f>
        <v>0</v>
      </c>
      <c r="C987">
        <f>'[1]SNO RTF daily report1'!C987</f>
        <v>0</v>
      </c>
      <c r="D987">
        <f>'[1]SNO RTF daily report1'!D987</f>
        <v>0</v>
      </c>
      <c r="E987">
        <f>'[1]SNO RTF daily report1'!E987</f>
        <v>0</v>
      </c>
      <c r="F987">
        <f>'[1]SNO RTF daily report1'!F987</f>
        <v>0</v>
      </c>
      <c r="G987">
        <f>'[1]SNO RTF daily report1'!G987</f>
        <v>0</v>
      </c>
      <c r="H987">
        <f>'[1]SNO RTF daily report1'!H987</f>
        <v>0</v>
      </c>
      <c r="I987">
        <f>'[1]SNO RTF daily report1'!I987</f>
        <v>0</v>
      </c>
    </row>
    <row r="988" spans="1:9" x14ac:dyDescent="0.25">
      <c r="A988">
        <f>'[1]SNO RTF daily report1'!A988</f>
        <v>0</v>
      </c>
      <c r="B988">
        <f>'[1]SNO RTF daily report1'!B988</f>
        <v>0</v>
      </c>
      <c r="C988">
        <f>'[1]SNO RTF daily report1'!C988</f>
        <v>0</v>
      </c>
      <c r="D988">
        <f>'[1]SNO RTF daily report1'!D988</f>
        <v>0</v>
      </c>
      <c r="E988">
        <f>'[1]SNO RTF daily report1'!E988</f>
        <v>0</v>
      </c>
      <c r="F988">
        <f>'[1]SNO RTF daily report1'!F988</f>
        <v>0</v>
      </c>
      <c r="G988">
        <f>'[1]SNO RTF daily report1'!G988</f>
        <v>0</v>
      </c>
      <c r="H988">
        <f>'[1]SNO RTF daily report1'!H988</f>
        <v>0</v>
      </c>
      <c r="I988">
        <f>'[1]SNO RTF daily report1'!I988</f>
        <v>0</v>
      </c>
    </row>
    <row r="989" spans="1:9" x14ac:dyDescent="0.25">
      <c r="A989">
        <f>'[1]SNO RTF daily report1'!A989</f>
        <v>0</v>
      </c>
      <c r="B989">
        <f>'[1]SNO RTF daily report1'!B989</f>
        <v>0</v>
      </c>
      <c r="C989">
        <f>'[1]SNO RTF daily report1'!C989</f>
        <v>0</v>
      </c>
      <c r="D989">
        <f>'[1]SNO RTF daily report1'!D989</f>
        <v>0</v>
      </c>
      <c r="E989">
        <f>'[1]SNO RTF daily report1'!E989</f>
        <v>0</v>
      </c>
      <c r="F989">
        <f>'[1]SNO RTF daily report1'!F989</f>
        <v>0</v>
      </c>
      <c r="G989">
        <f>'[1]SNO RTF daily report1'!G989</f>
        <v>0</v>
      </c>
      <c r="H989">
        <f>'[1]SNO RTF daily report1'!H989</f>
        <v>0</v>
      </c>
      <c r="I989">
        <f>'[1]SNO RTF daily report1'!I989</f>
        <v>0</v>
      </c>
    </row>
    <row r="990" spans="1:9" x14ac:dyDescent="0.25">
      <c r="A990">
        <f>'[1]SNO RTF daily report1'!A990</f>
        <v>0</v>
      </c>
      <c r="B990">
        <f>'[1]SNO RTF daily report1'!B990</f>
        <v>0</v>
      </c>
      <c r="C990">
        <f>'[1]SNO RTF daily report1'!C990</f>
        <v>0</v>
      </c>
      <c r="D990">
        <f>'[1]SNO RTF daily report1'!D990</f>
        <v>0</v>
      </c>
      <c r="E990">
        <f>'[1]SNO RTF daily report1'!E990</f>
        <v>0</v>
      </c>
      <c r="F990">
        <f>'[1]SNO RTF daily report1'!F990</f>
        <v>0</v>
      </c>
      <c r="G990">
        <f>'[1]SNO RTF daily report1'!G990</f>
        <v>0</v>
      </c>
      <c r="H990">
        <f>'[1]SNO RTF daily report1'!H990</f>
        <v>0</v>
      </c>
      <c r="I990">
        <f>'[1]SNO RTF daily report1'!I990</f>
        <v>0</v>
      </c>
    </row>
    <row r="991" spans="1:9" x14ac:dyDescent="0.25">
      <c r="A991">
        <f>'[1]SNO RTF daily report1'!A991</f>
        <v>0</v>
      </c>
      <c r="B991">
        <f>'[1]SNO RTF daily report1'!B991</f>
        <v>0</v>
      </c>
      <c r="C991">
        <f>'[1]SNO RTF daily report1'!C991</f>
        <v>0</v>
      </c>
      <c r="D991">
        <f>'[1]SNO RTF daily report1'!D991</f>
        <v>0</v>
      </c>
      <c r="E991">
        <f>'[1]SNO RTF daily report1'!E991</f>
        <v>0</v>
      </c>
      <c r="F991">
        <f>'[1]SNO RTF daily report1'!F991</f>
        <v>0</v>
      </c>
      <c r="G991">
        <f>'[1]SNO RTF daily report1'!G991</f>
        <v>0</v>
      </c>
      <c r="H991">
        <f>'[1]SNO RTF daily report1'!H991</f>
        <v>0</v>
      </c>
      <c r="I991">
        <f>'[1]SNO RTF daily report1'!I991</f>
        <v>0</v>
      </c>
    </row>
    <row r="992" spans="1:9" x14ac:dyDescent="0.25">
      <c r="A992">
        <f>'[1]SNO RTF daily report1'!A992</f>
        <v>0</v>
      </c>
      <c r="B992">
        <f>'[1]SNO RTF daily report1'!B992</f>
        <v>0</v>
      </c>
      <c r="C992">
        <f>'[1]SNO RTF daily report1'!C992</f>
        <v>0</v>
      </c>
      <c r="D992">
        <f>'[1]SNO RTF daily report1'!D992</f>
        <v>0</v>
      </c>
      <c r="E992">
        <f>'[1]SNO RTF daily report1'!E992</f>
        <v>0</v>
      </c>
      <c r="F992">
        <f>'[1]SNO RTF daily report1'!F992</f>
        <v>0</v>
      </c>
      <c r="G992">
        <f>'[1]SNO RTF daily report1'!G992</f>
        <v>0</v>
      </c>
      <c r="H992">
        <f>'[1]SNO RTF daily report1'!H992</f>
        <v>0</v>
      </c>
      <c r="I992">
        <f>'[1]SNO RTF daily report1'!I992</f>
        <v>0</v>
      </c>
    </row>
    <row r="993" spans="1:9" x14ac:dyDescent="0.25">
      <c r="A993">
        <f>'[1]SNO RTF daily report1'!A993</f>
        <v>0</v>
      </c>
      <c r="B993">
        <f>'[1]SNO RTF daily report1'!B993</f>
        <v>0</v>
      </c>
      <c r="C993">
        <f>'[1]SNO RTF daily report1'!C993</f>
        <v>0</v>
      </c>
      <c r="D993">
        <f>'[1]SNO RTF daily report1'!D993</f>
        <v>0</v>
      </c>
      <c r="E993">
        <f>'[1]SNO RTF daily report1'!E993</f>
        <v>0</v>
      </c>
      <c r="F993">
        <f>'[1]SNO RTF daily report1'!F993</f>
        <v>0</v>
      </c>
      <c r="G993">
        <f>'[1]SNO RTF daily report1'!G993</f>
        <v>0</v>
      </c>
      <c r="H993">
        <f>'[1]SNO RTF daily report1'!H993</f>
        <v>0</v>
      </c>
      <c r="I993">
        <f>'[1]SNO RTF daily report1'!I993</f>
        <v>0</v>
      </c>
    </row>
    <row r="994" spans="1:9" x14ac:dyDescent="0.25">
      <c r="A994">
        <f>'[1]SNO RTF daily report1'!A994</f>
        <v>0</v>
      </c>
      <c r="B994">
        <f>'[1]SNO RTF daily report1'!B994</f>
        <v>0</v>
      </c>
      <c r="C994">
        <f>'[1]SNO RTF daily report1'!C994</f>
        <v>0</v>
      </c>
      <c r="D994">
        <f>'[1]SNO RTF daily report1'!D994</f>
        <v>0</v>
      </c>
      <c r="E994">
        <f>'[1]SNO RTF daily report1'!E994</f>
        <v>0</v>
      </c>
      <c r="F994">
        <f>'[1]SNO RTF daily report1'!F994</f>
        <v>0</v>
      </c>
      <c r="G994">
        <f>'[1]SNO RTF daily report1'!G994</f>
        <v>0</v>
      </c>
      <c r="H994">
        <f>'[1]SNO RTF daily report1'!H994</f>
        <v>0</v>
      </c>
      <c r="I994">
        <f>'[1]SNO RTF daily report1'!I994</f>
        <v>0</v>
      </c>
    </row>
    <row r="995" spans="1:9" x14ac:dyDescent="0.25">
      <c r="A995">
        <f>'[1]SNO RTF daily report1'!A995</f>
        <v>0</v>
      </c>
      <c r="B995">
        <f>'[1]SNO RTF daily report1'!B995</f>
        <v>0</v>
      </c>
      <c r="C995">
        <f>'[1]SNO RTF daily report1'!C995</f>
        <v>0</v>
      </c>
      <c r="D995">
        <f>'[1]SNO RTF daily report1'!D995</f>
        <v>0</v>
      </c>
      <c r="E995">
        <f>'[1]SNO RTF daily report1'!E995</f>
        <v>0</v>
      </c>
      <c r="F995">
        <f>'[1]SNO RTF daily report1'!F995</f>
        <v>0</v>
      </c>
      <c r="G995">
        <f>'[1]SNO RTF daily report1'!G995</f>
        <v>0</v>
      </c>
      <c r="H995">
        <f>'[1]SNO RTF daily report1'!H995</f>
        <v>0</v>
      </c>
      <c r="I995">
        <f>'[1]SNO RTF daily report1'!I995</f>
        <v>0</v>
      </c>
    </row>
    <row r="996" spans="1:9" x14ac:dyDescent="0.25">
      <c r="A996">
        <f>'[1]SNO RTF daily report1'!A996</f>
        <v>0</v>
      </c>
      <c r="B996">
        <f>'[1]SNO RTF daily report1'!B996</f>
        <v>0</v>
      </c>
      <c r="C996">
        <f>'[1]SNO RTF daily report1'!C996</f>
        <v>0</v>
      </c>
      <c r="D996">
        <f>'[1]SNO RTF daily report1'!D996</f>
        <v>0</v>
      </c>
      <c r="E996">
        <f>'[1]SNO RTF daily report1'!E996</f>
        <v>0</v>
      </c>
      <c r="F996">
        <f>'[1]SNO RTF daily report1'!F996</f>
        <v>0</v>
      </c>
      <c r="G996">
        <f>'[1]SNO RTF daily report1'!G996</f>
        <v>0</v>
      </c>
      <c r="H996">
        <f>'[1]SNO RTF daily report1'!H996</f>
        <v>0</v>
      </c>
      <c r="I996">
        <f>'[1]SNO RTF daily report1'!I996</f>
        <v>0</v>
      </c>
    </row>
    <row r="997" spans="1:9" x14ac:dyDescent="0.25">
      <c r="A997">
        <f>'[1]SNO RTF daily report1'!A997</f>
        <v>0</v>
      </c>
      <c r="B997">
        <f>'[1]SNO RTF daily report1'!B997</f>
        <v>0</v>
      </c>
      <c r="C997">
        <f>'[1]SNO RTF daily report1'!C997</f>
        <v>0</v>
      </c>
      <c r="D997">
        <f>'[1]SNO RTF daily report1'!D997</f>
        <v>0</v>
      </c>
      <c r="E997">
        <f>'[1]SNO RTF daily report1'!E997</f>
        <v>0</v>
      </c>
      <c r="F997">
        <f>'[1]SNO RTF daily report1'!F997</f>
        <v>0</v>
      </c>
      <c r="G997">
        <f>'[1]SNO RTF daily report1'!G997</f>
        <v>0</v>
      </c>
      <c r="H997">
        <f>'[1]SNO RTF daily report1'!H997</f>
        <v>0</v>
      </c>
      <c r="I997">
        <f>'[1]SNO RTF daily report1'!I997</f>
        <v>0</v>
      </c>
    </row>
    <row r="998" spans="1:9" x14ac:dyDescent="0.25">
      <c r="A998">
        <f>'[1]SNO RTF daily report1'!A998</f>
        <v>0</v>
      </c>
      <c r="B998">
        <f>'[1]SNO RTF daily report1'!B998</f>
        <v>0</v>
      </c>
      <c r="C998">
        <f>'[1]SNO RTF daily report1'!C998</f>
        <v>0</v>
      </c>
      <c r="D998">
        <f>'[1]SNO RTF daily report1'!D998</f>
        <v>0</v>
      </c>
      <c r="E998">
        <f>'[1]SNO RTF daily report1'!E998</f>
        <v>0</v>
      </c>
      <c r="F998">
        <f>'[1]SNO RTF daily report1'!F998</f>
        <v>0</v>
      </c>
      <c r="G998">
        <f>'[1]SNO RTF daily report1'!G998</f>
        <v>0</v>
      </c>
      <c r="H998">
        <f>'[1]SNO RTF daily report1'!H998</f>
        <v>0</v>
      </c>
      <c r="I998">
        <f>'[1]SNO RTF daily report1'!I998</f>
        <v>0</v>
      </c>
    </row>
    <row r="999" spans="1:9" x14ac:dyDescent="0.25">
      <c r="A999">
        <f>'[1]SNO RTF daily report1'!A999</f>
        <v>0</v>
      </c>
      <c r="B999">
        <f>'[1]SNO RTF daily report1'!B999</f>
        <v>0</v>
      </c>
      <c r="C999">
        <f>'[1]SNO RTF daily report1'!C999</f>
        <v>0</v>
      </c>
      <c r="D999">
        <f>'[1]SNO RTF daily report1'!D999</f>
        <v>0</v>
      </c>
      <c r="E999">
        <f>'[1]SNO RTF daily report1'!E999</f>
        <v>0</v>
      </c>
      <c r="F999">
        <f>'[1]SNO RTF daily report1'!F999</f>
        <v>0</v>
      </c>
      <c r="G999">
        <f>'[1]SNO RTF daily report1'!G999</f>
        <v>0</v>
      </c>
      <c r="H999">
        <f>'[1]SNO RTF daily report1'!H999</f>
        <v>0</v>
      </c>
      <c r="I999">
        <f>'[1]SNO RTF daily report1'!I999</f>
        <v>0</v>
      </c>
    </row>
    <row r="1000" spans="1:9" x14ac:dyDescent="0.25">
      <c r="A1000">
        <f>'[1]SNO RTF daily report1'!A1000</f>
        <v>0</v>
      </c>
      <c r="B1000">
        <f>'[1]SNO RTF daily report1'!B1000</f>
        <v>0</v>
      </c>
      <c r="C1000">
        <f>'[1]SNO RTF daily report1'!C1000</f>
        <v>0</v>
      </c>
      <c r="D1000">
        <f>'[1]SNO RTF daily report1'!D1000</f>
        <v>0</v>
      </c>
      <c r="E1000">
        <f>'[1]SNO RTF daily report1'!E1000</f>
        <v>0</v>
      </c>
      <c r="F1000">
        <f>'[1]SNO RTF daily report1'!F1000</f>
        <v>0</v>
      </c>
      <c r="G1000">
        <f>'[1]SNO RTF daily report1'!G1000</f>
        <v>0</v>
      </c>
      <c r="H1000">
        <f>'[1]SNO RTF daily report1'!H1000</f>
        <v>0</v>
      </c>
      <c r="I1000">
        <f>'[1]SNO RTF daily report1'!I1000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RTF daily report</vt:lpstr>
      <vt:lpstr>variables</vt:lpstr>
      <vt:lpstr>Sheet1</vt:lpstr>
      <vt:lpstr>link</vt:lpstr>
      <vt:lpstr>Column_Number_Author</vt:lpstr>
      <vt:lpstr>Column_Number_CallNumber</vt:lpstr>
      <vt:lpstr>Column_Number_CollectionName</vt:lpstr>
      <vt:lpstr>Column_Number_Location</vt:lpstr>
      <vt:lpstr>Column_Number_Publisher</vt:lpstr>
      <vt:lpstr>Column_Number_Title</vt:lpstr>
      <vt:lpstr>Column_Number_Year</vt:lpstr>
      <vt:lpstr>'RTF daily report'!Print_Area</vt:lpstr>
      <vt:lpstr>'RTF daily report'!Print_Titles</vt:lpstr>
      <vt:lpstr>Row_Offset</vt:lpstr>
      <vt:lpstr>tabname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Blake Kiltoff</cp:lastModifiedBy>
  <dcterms:created xsi:type="dcterms:W3CDTF">2011-03-31T02:09:26Z</dcterms:created>
  <dcterms:modified xsi:type="dcterms:W3CDTF">2014-08-18T22:57:20Z</dcterms:modified>
</cp:coreProperties>
</file>