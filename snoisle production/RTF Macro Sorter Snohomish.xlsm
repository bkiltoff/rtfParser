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My Reports\"/>
    </mc:Choice>
  </mc:AlternateContent>
  <bookViews>
    <workbookView xWindow="288" yWindow="612" windowWidth="12240" windowHeight="9180" activeTab="2"/>
  </bookViews>
  <sheets>
    <sheet name="SNO RTF daily report" sheetId="1" r:id="rId1"/>
    <sheet name="variables" sheetId="3" r:id="rId2"/>
    <sheet name="sortList" sheetId="4" r:id="rId3"/>
    <sheet name="link" sheetId="2" r:id="rId4"/>
  </sheets>
  <functionGroups builtInGroupCount="18"/>
  <externalReferences>
    <externalReference r:id="rId5"/>
  </externalReferences>
  <definedNames>
    <definedName name="_xlnm._FilterDatabase" localSheetId="3" hidden="1">link!$A$1:$I$1000</definedName>
    <definedName name="_xlnm._FilterDatabase" localSheetId="0" hidden="1">'SNO RTF daily report'!$A$1:$E$500</definedName>
    <definedName name="CName_to_Descriptor">variables!$F$1:$G$21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sortList!$C$2:$C$4</definedName>
    <definedName name="_xlnm.Print_Area" localSheetId="0">'SNO RTF daily report'!$A:$E</definedName>
    <definedName name="_xlnm.Print_Titles" localSheetId="0">'SNO RTF daily report'!$1:$1</definedName>
    <definedName name="Row_Offset">variables!$C$4</definedName>
    <definedName name="tabname">variables!$C$1</definedName>
  </definedNames>
  <calcPr calcId="152511" calcMode="manual"/>
  <fileRecoveryPr autoRecover="0"/>
</workbook>
</file>

<file path=xl/calcChain.xml><?xml version="1.0" encoding="utf-8"?>
<calcChain xmlns="http://schemas.openxmlformats.org/spreadsheetml/2006/main">
  <c r="A2" i="2" l="1"/>
  <c r="A1" i="2"/>
  <c r="C3" i="4" l="1"/>
  <c r="B1" i="2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C8" i="3"/>
  <c r="C9" i="3"/>
  <c r="D45" i="1"/>
  <c r="C167" i="1"/>
  <c r="C348" i="1"/>
  <c r="C311" i="1"/>
  <c r="C10" i="3"/>
  <c r="E377" i="1"/>
  <c r="E435" i="1"/>
  <c r="C51" i="1"/>
  <c r="E388" i="1"/>
  <c r="E254" i="1"/>
  <c r="E338" i="1"/>
  <c r="E10" i="1"/>
  <c r="E246" i="1"/>
  <c r="E224" i="1"/>
  <c r="D48" i="1"/>
  <c r="E303" i="1"/>
  <c r="D59" i="1"/>
  <c r="C264" i="1"/>
  <c r="C410" i="1"/>
  <c r="C74" i="1"/>
  <c r="D377" i="1"/>
  <c r="D387" i="1"/>
  <c r="C133" i="1"/>
  <c r="D354" i="1"/>
  <c r="C360" i="1"/>
  <c r="D262" i="1"/>
  <c r="D2" i="1"/>
  <c r="C226" i="1"/>
  <c r="C435" i="1"/>
  <c r="E69" i="1"/>
  <c r="E413" i="1"/>
  <c r="E315" i="1"/>
  <c r="C452" i="1"/>
  <c r="C5" i="1"/>
  <c r="D117" i="1"/>
  <c r="C22" i="1"/>
  <c r="C370" i="1"/>
  <c r="D118" i="1"/>
  <c r="C451" i="1"/>
  <c r="E16" i="1"/>
  <c r="E106" i="1"/>
  <c r="D221" i="1"/>
  <c r="E249" i="1"/>
  <c r="E384" i="1"/>
  <c r="C58" i="1"/>
  <c r="E286" i="1"/>
  <c r="C432" i="1"/>
  <c r="C163" i="1"/>
  <c r="C313" i="1"/>
  <c r="C181" i="1"/>
  <c r="C353" i="1"/>
  <c r="C148" i="1"/>
  <c r="C485" i="1"/>
  <c r="C349" i="1"/>
  <c r="E68" i="1"/>
  <c r="C229" i="1"/>
  <c r="D186" i="1"/>
  <c r="C260" i="1"/>
  <c r="C166" i="1"/>
  <c r="C8" i="1"/>
  <c r="C217" i="1"/>
  <c r="E210" i="1"/>
  <c r="D7" i="1"/>
  <c r="E177" i="1"/>
  <c r="E108" i="1"/>
  <c r="E281" i="1"/>
  <c r="E282" i="1"/>
  <c r="E47" i="1"/>
  <c r="C194" i="1"/>
  <c r="C491" i="1"/>
  <c r="C213" i="1"/>
  <c r="E350" i="1"/>
  <c r="E313" i="1"/>
  <c r="C88" i="1"/>
  <c r="C359" i="1"/>
  <c r="E227" i="1"/>
  <c r="E396" i="1"/>
  <c r="C272" i="1"/>
  <c r="E436" i="1"/>
  <c r="D252" i="1"/>
  <c r="C381" i="1"/>
  <c r="D116" i="1"/>
  <c r="E85" i="1"/>
  <c r="E218" i="1"/>
  <c r="E412" i="1"/>
  <c r="D429" i="1"/>
  <c r="D77" i="1"/>
  <c r="C459" i="1"/>
  <c r="E217" i="1"/>
  <c r="E340" i="1"/>
  <c r="E123" i="1"/>
  <c r="E369" i="1"/>
  <c r="E243" i="1"/>
  <c r="D214" i="1"/>
  <c r="D286" i="1"/>
  <c r="C228" i="1"/>
  <c r="C190" i="1"/>
  <c r="C158" i="1"/>
  <c r="D296" i="1"/>
  <c r="E237" i="1"/>
  <c r="C15" i="1"/>
  <c r="D135" i="1"/>
  <c r="C10" i="1"/>
  <c r="C270" i="1"/>
  <c r="C470" i="1"/>
  <c r="D499" i="1"/>
  <c r="E459" i="1"/>
  <c r="C484" i="1"/>
  <c r="E443" i="1"/>
  <c r="D141" i="1"/>
  <c r="E406" i="1"/>
  <c r="C201" i="1"/>
  <c r="D204" i="1"/>
  <c r="C494" i="1"/>
  <c r="D404" i="1"/>
  <c r="E252" i="1"/>
  <c r="E389" i="1"/>
  <c r="E462" i="1"/>
  <c r="E155" i="1"/>
  <c r="E362" i="1"/>
  <c r="C382" i="1"/>
  <c r="C75" i="1"/>
  <c r="C248" i="1"/>
  <c r="D240" i="1"/>
  <c r="C196" i="1"/>
  <c r="E411" i="1"/>
  <c r="C169" i="1"/>
  <c r="D179" i="1"/>
  <c r="C258" i="1"/>
  <c r="C77" i="1"/>
  <c r="E17" i="1"/>
  <c r="D213" i="1"/>
  <c r="D58" i="1"/>
  <c r="D74" i="1"/>
  <c r="D360" i="1"/>
  <c r="C467" i="1"/>
  <c r="C21" i="1"/>
  <c r="E470" i="1"/>
  <c r="D233" i="1"/>
  <c r="D44" i="1"/>
  <c r="D60" i="1"/>
  <c r="E160" i="1"/>
  <c r="E195" i="1"/>
  <c r="E24" i="1"/>
  <c r="C472" i="1"/>
  <c r="E175" i="1"/>
  <c r="D236" i="1"/>
  <c r="D8" i="1"/>
  <c r="D447" i="1"/>
  <c r="C207" i="1"/>
  <c r="C388" i="1"/>
  <c r="D228" i="1"/>
  <c r="C424" i="1"/>
  <c r="C346" i="1"/>
  <c r="D27" i="1"/>
  <c r="E260" i="1"/>
  <c r="D400" i="1"/>
  <c r="C206" i="1"/>
  <c r="D335" i="1"/>
  <c r="D282" i="1"/>
  <c r="C328" i="1"/>
  <c r="D415" i="1"/>
  <c r="C76" i="1"/>
  <c r="E420" i="1"/>
  <c r="E311" i="1"/>
  <c r="C489" i="1"/>
  <c r="C339" i="1"/>
  <c r="C129" i="1"/>
  <c r="E378" i="1"/>
  <c r="D57" i="1"/>
  <c r="C368" i="1"/>
  <c r="D479" i="1"/>
  <c r="C478" i="1"/>
  <c r="C374" i="1"/>
  <c r="D254" i="1"/>
  <c r="E429" i="1"/>
  <c r="E318" i="1"/>
  <c r="E283" i="1"/>
  <c r="E212" i="1"/>
  <c r="D198" i="1"/>
  <c r="C157" i="1"/>
  <c r="C105" i="1"/>
  <c r="C71" i="1"/>
  <c r="D494" i="1"/>
  <c r="C464" i="1"/>
  <c r="E73" i="1"/>
  <c r="D42" i="1"/>
  <c r="D322" i="1"/>
  <c r="E220" i="1"/>
  <c r="E407" i="1"/>
  <c r="C457" i="1"/>
  <c r="D399" i="1"/>
  <c r="D294" i="1"/>
  <c r="E355" i="1"/>
  <c r="E483" i="1"/>
  <c r="C408" i="1"/>
  <c r="E221" i="1"/>
  <c r="D232" i="1"/>
  <c r="C95" i="1"/>
  <c r="C14" i="1"/>
  <c r="D99" i="1"/>
  <c r="C136" i="1"/>
  <c r="C72" i="1"/>
  <c r="C330" i="1"/>
  <c r="C482" i="1"/>
  <c r="D351" i="1"/>
  <c r="D123" i="1"/>
  <c r="D445" i="1"/>
  <c r="D188" i="1"/>
  <c r="C259" i="1"/>
  <c r="D234" i="1"/>
  <c r="E118" i="1"/>
  <c r="D475" i="1"/>
  <c r="E29" i="1"/>
  <c r="D259" i="1"/>
  <c r="C460" i="1"/>
  <c r="E372" i="1"/>
  <c r="D275" i="1"/>
  <c r="C487" i="1"/>
  <c r="D33" i="1"/>
  <c r="D173" i="1"/>
  <c r="C322" i="1"/>
  <c r="C174" i="1"/>
  <c r="E337" i="1"/>
  <c r="C214" i="1"/>
  <c r="D465" i="1"/>
  <c r="D392" i="1"/>
  <c r="D276" i="1"/>
  <c r="E128" i="1"/>
  <c r="C159" i="1"/>
  <c r="D291" i="1"/>
  <c r="E34" i="1"/>
  <c r="D200" i="1"/>
  <c r="E442" i="1"/>
  <c r="E171" i="1"/>
  <c r="C481" i="1"/>
  <c r="C224" i="1"/>
  <c r="D229" i="1"/>
  <c r="E402" i="1"/>
  <c r="C477" i="1"/>
  <c r="D457" i="1"/>
  <c r="D18" i="1"/>
  <c r="D414" i="1"/>
  <c r="D22" i="1"/>
  <c r="D129" i="1"/>
  <c r="D448" i="1"/>
  <c r="D51" i="1"/>
  <c r="C356" i="1"/>
  <c r="E304" i="1"/>
  <c r="D14" i="1"/>
  <c r="E232" i="1"/>
  <c r="C500" i="1"/>
  <c r="C257" i="1"/>
  <c r="D37" i="1"/>
  <c r="D480" i="1"/>
  <c r="D92" i="1"/>
  <c r="D4" i="1"/>
  <c r="C289" i="1"/>
  <c r="D201" i="1"/>
  <c r="D349" i="1"/>
  <c r="D350" i="1"/>
  <c r="C273" i="1"/>
  <c r="D446" i="1"/>
  <c r="C85" i="1"/>
  <c r="E259" i="1"/>
  <c r="C127" i="1"/>
  <c r="D308" i="1"/>
  <c r="C483" i="1"/>
  <c r="D206" i="1"/>
  <c r="D434" i="1"/>
  <c r="C418" i="1"/>
  <c r="E114" i="1"/>
  <c r="E486" i="1"/>
  <c r="E393" i="1"/>
  <c r="E78" i="1"/>
  <c r="C109" i="1"/>
  <c r="E464" i="1"/>
  <c r="C234" i="1"/>
  <c r="C11" i="3"/>
  <c r="E60" i="1"/>
  <c r="D175" i="1"/>
  <c r="D17" i="1"/>
  <c r="D486" i="1"/>
  <c r="C55" i="1"/>
  <c r="D83" i="1"/>
  <c r="C361" i="1"/>
  <c r="D183" i="1"/>
  <c r="D403" i="1"/>
  <c r="C475" i="1"/>
  <c r="D108" i="1"/>
  <c r="D208" i="1"/>
  <c r="D490" i="1"/>
  <c r="D115" i="1"/>
  <c r="E40" i="1"/>
  <c r="D368" i="1"/>
  <c r="D178" i="1"/>
  <c r="D133" i="1"/>
  <c r="D493" i="1"/>
  <c r="D25" i="1"/>
  <c r="C5" i="3"/>
  <c r="C219" i="1"/>
  <c r="C398" i="1"/>
  <c r="E199" i="1"/>
  <c r="E36" i="1"/>
  <c r="C53" i="1"/>
  <c r="C32" i="1"/>
  <c r="E306" i="1"/>
  <c r="E164" i="1"/>
  <c r="E310" i="1"/>
  <c r="C334" i="1"/>
  <c r="D355" i="1"/>
  <c r="D364" i="1"/>
  <c r="E376" i="1"/>
  <c r="D67" i="1"/>
  <c r="E466" i="1"/>
  <c r="E187" i="1"/>
  <c r="E167" i="1"/>
  <c r="E179" i="1"/>
  <c r="E162" i="1"/>
  <c r="E279" i="1"/>
  <c r="D371" i="1"/>
  <c r="E495" i="1"/>
  <c r="C123" i="1"/>
  <c r="E348" i="1"/>
  <c r="C171" i="1"/>
  <c r="D283" i="1"/>
  <c r="D455" i="1"/>
  <c r="E256" i="1"/>
  <c r="D280" i="1"/>
  <c r="D391" i="1"/>
  <c r="D76" i="1"/>
  <c r="E417" i="1"/>
  <c r="E166" i="1"/>
  <c r="E439" i="1"/>
  <c r="C68" i="1"/>
  <c r="D127" i="1"/>
  <c r="D436" i="1"/>
  <c r="C291" i="1"/>
  <c r="E403" i="1"/>
  <c r="C385" i="1"/>
  <c r="C211" i="1"/>
  <c r="D96" i="1"/>
  <c r="C290" i="1"/>
  <c r="E426" i="1"/>
  <c r="C140" i="1"/>
  <c r="C329" i="1"/>
  <c r="C347" i="1"/>
  <c r="C187" i="1"/>
  <c r="C205" i="1"/>
  <c r="D119" i="1"/>
  <c r="E140" i="1"/>
  <c r="D421" i="1"/>
  <c r="E59" i="1"/>
  <c r="C496" i="1"/>
  <c r="E307" i="1"/>
  <c r="C371" i="1"/>
  <c r="E397" i="1"/>
  <c r="C241" i="1"/>
  <c r="D319" i="1"/>
  <c r="C81" i="1"/>
  <c r="D256" i="1"/>
  <c r="C344" i="1"/>
  <c r="C250" i="1"/>
  <c r="E302" i="1"/>
  <c r="D3" i="1"/>
  <c r="C355" i="1"/>
  <c r="D122" i="1"/>
  <c r="C399" i="1"/>
  <c r="C422" i="1"/>
  <c r="D334" i="1"/>
  <c r="C299" i="1"/>
  <c r="D192" i="1"/>
  <c r="E305" i="1"/>
  <c r="E147" i="1"/>
  <c r="C25" i="1"/>
  <c r="D428" i="1"/>
  <c r="D406" i="1"/>
  <c r="E447" i="1"/>
  <c r="C367" i="1"/>
  <c r="D185" i="1"/>
  <c r="D65" i="1"/>
  <c r="D112" i="1"/>
  <c r="D485" i="1"/>
  <c r="C294" i="1"/>
  <c r="D239" i="1"/>
  <c r="D284" i="1"/>
  <c r="D145" i="1"/>
  <c r="C94" i="1"/>
  <c r="D268" i="1"/>
  <c r="D378" i="1"/>
  <c r="D329" i="1"/>
  <c r="C11" i="1"/>
  <c r="D19" i="1"/>
  <c r="D91" i="1"/>
  <c r="E382" i="1"/>
  <c r="D46" i="1"/>
  <c r="C102" i="1"/>
  <c r="D481" i="1"/>
  <c r="D16" i="1"/>
  <c r="D302" i="1"/>
  <c r="D158" i="1"/>
  <c r="C395" i="1"/>
  <c r="C486" i="1"/>
  <c r="D205" i="1"/>
  <c r="C87" i="1"/>
  <c r="D483" i="1"/>
  <c r="C191" i="1"/>
  <c r="D352" i="1"/>
  <c r="E64" i="1"/>
  <c r="C242" i="1"/>
  <c r="E367" i="1"/>
  <c r="E41" i="1"/>
  <c r="E455" i="1"/>
  <c r="E268" i="1"/>
  <c r="D132" i="1"/>
  <c r="E493" i="1"/>
  <c r="E137" i="1"/>
  <c r="C256" i="1"/>
  <c r="C209" i="1"/>
  <c r="C277" i="1"/>
  <c r="D5" i="1"/>
  <c r="D281" i="1"/>
  <c r="E163" i="1"/>
  <c r="C444" i="1"/>
  <c r="D243" i="1"/>
  <c r="C41" i="1"/>
  <c r="C65" i="1"/>
  <c r="E38" i="1"/>
  <c r="E445" i="1"/>
  <c r="D374" i="1"/>
  <c r="C50" i="1"/>
  <c r="D437" i="1"/>
  <c r="E273" i="1"/>
  <c r="E112" i="1"/>
  <c r="C56" i="1"/>
  <c r="E492" i="1"/>
  <c r="C150" i="1"/>
  <c r="D464" i="1"/>
  <c r="C153" i="1"/>
  <c r="E194" i="1"/>
  <c r="C469" i="1"/>
  <c r="D345" i="1"/>
  <c r="E480" i="1"/>
  <c r="C26" i="1"/>
  <c r="D312" i="1"/>
  <c r="D298" i="1"/>
  <c r="C326" i="1"/>
  <c r="C415" i="1"/>
  <c r="D359" i="1"/>
  <c r="D423" i="1"/>
  <c r="E12" i="1"/>
  <c r="E264" i="1"/>
  <c r="E124" i="1"/>
  <c r="E226" i="1"/>
  <c r="C357" i="1"/>
  <c r="D326" i="1"/>
  <c r="D106" i="1"/>
  <c r="C138" i="1"/>
  <c r="D397" i="1"/>
  <c r="E201" i="1"/>
  <c r="C429" i="1"/>
  <c r="C13" i="1"/>
  <c r="D439" i="1"/>
  <c r="E479" i="1"/>
  <c r="D70" i="1"/>
  <c r="E255" i="1"/>
  <c r="E292" i="1"/>
  <c r="D324" i="1"/>
  <c r="C286" i="1"/>
  <c r="D292" i="1"/>
  <c r="D458" i="1"/>
  <c r="E132" i="1"/>
  <c r="D426" i="1"/>
  <c r="D184" i="1"/>
  <c r="C345" i="1"/>
  <c r="D125" i="1"/>
  <c r="D438" i="1"/>
  <c r="C199" i="1"/>
  <c r="C303" i="1"/>
  <c r="E32" i="1"/>
  <c r="D430" i="1"/>
  <c r="C125" i="1"/>
  <c r="C293" i="1"/>
  <c r="D216" i="1"/>
  <c r="E88" i="1"/>
  <c r="C433" i="1"/>
  <c r="E180" i="1"/>
  <c r="E262" i="1"/>
  <c r="E99" i="1"/>
  <c r="D180" i="1"/>
  <c r="C255" i="1"/>
  <c r="D358" i="1"/>
  <c r="E452" i="1"/>
  <c r="E33" i="1"/>
  <c r="C96" i="1"/>
  <c r="C461" i="1"/>
  <c r="C296" i="1"/>
  <c r="C488" i="1"/>
  <c r="C7" i="1"/>
  <c r="C327" i="1"/>
  <c r="C112" i="1"/>
  <c r="D140" i="1"/>
  <c r="E143" i="1"/>
  <c r="E238" i="1"/>
  <c r="C497" i="1"/>
  <c r="C79" i="1"/>
  <c r="E392" i="1"/>
  <c r="E336" i="1"/>
  <c r="C227" i="1"/>
  <c r="C103" i="1"/>
  <c r="E280" i="1"/>
  <c r="D373" i="1"/>
  <c r="E200" i="1"/>
  <c r="C306" i="1"/>
  <c r="C49" i="1"/>
  <c r="C321" i="1"/>
  <c r="D270" i="1"/>
  <c r="C383" i="1"/>
  <c r="C373" i="1"/>
  <c r="C98" i="1"/>
  <c r="D338" i="1"/>
  <c r="D362" i="1"/>
  <c r="D224" i="1"/>
  <c r="E285" i="1"/>
  <c r="D422" i="1"/>
  <c r="D425" i="1"/>
  <c r="D461" i="1"/>
  <c r="C91" i="1"/>
  <c r="C70" i="1"/>
  <c r="C380" i="1"/>
  <c r="D136" i="1"/>
  <c r="E79" i="1"/>
  <c r="E383" i="1"/>
  <c r="E74" i="1"/>
  <c r="E4" i="1"/>
  <c r="D450" i="1"/>
  <c r="D31" i="1"/>
  <c r="C208" i="1"/>
  <c r="D64" i="1"/>
  <c r="D313" i="1"/>
  <c r="E185" i="1"/>
  <c r="D124" i="1"/>
  <c r="D478" i="1"/>
  <c r="D6" i="1"/>
  <c r="E241" i="1"/>
  <c r="D172" i="1"/>
  <c r="D311" i="1"/>
  <c r="E343" i="1"/>
  <c r="C246" i="1"/>
  <c r="D246" i="1"/>
  <c r="D174" i="1"/>
  <c r="C369" i="1"/>
  <c r="D152" i="1"/>
  <c r="D317" i="1"/>
  <c r="C139" i="1"/>
  <c r="C6" i="1"/>
  <c r="D191" i="1"/>
  <c r="C431" i="1"/>
  <c r="C428" i="1"/>
  <c r="D189" i="1"/>
  <c r="C115" i="1"/>
  <c r="D402" i="1"/>
  <c r="C192" i="1"/>
  <c r="D409" i="1"/>
  <c r="C297" i="1"/>
  <c r="C42" i="1"/>
  <c r="D348" i="1"/>
  <c r="E230" i="1"/>
  <c r="E100" i="1"/>
  <c r="C305" i="1"/>
  <c r="C278" i="1"/>
  <c r="E152" i="1"/>
  <c r="C301" i="1"/>
  <c r="D386" i="1"/>
  <c r="D159" i="1"/>
  <c r="E354" i="1"/>
  <c r="D265" i="1"/>
  <c r="D131" i="1"/>
  <c r="C27" i="1"/>
  <c r="D476" i="1"/>
  <c r="E70" i="1"/>
  <c r="C144" i="1"/>
  <c r="C420" i="1"/>
  <c r="C137" i="1"/>
  <c r="E270" i="1"/>
  <c r="E222" i="1"/>
  <c r="E9" i="1"/>
  <c r="D316" i="1"/>
  <c r="C202" i="1"/>
  <c r="C411" i="1"/>
  <c r="E235" i="1"/>
  <c r="E239" i="1"/>
  <c r="E433" i="1"/>
  <c r="E133" i="1"/>
  <c r="D484" i="1"/>
  <c r="C295" i="1"/>
  <c r="C236" i="1"/>
  <c r="C126" i="1"/>
  <c r="C143" i="1"/>
  <c r="C316" i="1"/>
  <c r="C200" i="1"/>
  <c r="E431" i="1"/>
  <c r="C317" i="1"/>
  <c r="E11" i="1"/>
  <c r="D289" i="1"/>
  <c r="D85" i="1"/>
  <c r="D261" i="1"/>
  <c r="C47" i="1"/>
  <c r="C149" i="1"/>
  <c r="E122" i="1"/>
  <c r="D337" i="1"/>
  <c r="D474" i="1"/>
  <c r="D482" i="1"/>
  <c r="D382" i="1"/>
  <c r="D459" i="1"/>
  <c r="D84" i="1"/>
  <c r="C436" i="1"/>
  <c r="D299" i="1"/>
  <c r="D333" i="1"/>
  <c r="C498" i="1"/>
  <c r="D111" i="1"/>
  <c r="C362" i="1"/>
  <c r="C454" i="1"/>
  <c r="E468" i="1"/>
  <c r="E450" i="1"/>
  <c r="E456" i="1"/>
  <c r="D242" i="1"/>
  <c r="D267" i="1"/>
  <c r="C490" i="1"/>
  <c r="C222" i="1"/>
  <c r="C448" i="1"/>
  <c r="C262" i="1"/>
  <c r="C314" i="1"/>
  <c r="C320" i="1"/>
  <c r="E71" i="1"/>
  <c r="D55" i="1"/>
  <c r="E299" i="1"/>
  <c r="E211" i="1"/>
  <c r="D303" i="1"/>
  <c r="D171" i="1"/>
  <c r="C463" i="1"/>
  <c r="D413" i="1"/>
  <c r="D366" i="1"/>
  <c r="D93" i="1"/>
  <c r="E93" i="1"/>
  <c r="D210" i="1"/>
  <c r="D492" i="1"/>
  <c r="D69" i="1"/>
  <c r="D398" i="1"/>
  <c r="C44" i="1"/>
  <c r="D407" i="1"/>
  <c r="D147" i="1"/>
  <c r="C391" i="1"/>
  <c r="C465" i="1"/>
  <c r="D10" i="1"/>
  <c r="E339" i="1"/>
  <c r="E421" i="1"/>
  <c r="E42" i="1"/>
  <c r="E408" i="1"/>
  <c r="D40" i="1"/>
  <c r="C31" i="1"/>
  <c r="C54" i="1"/>
  <c r="C372" i="1"/>
  <c r="C83" i="1"/>
  <c r="C285" i="1"/>
  <c r="C240" i="1"/>
  <c r="C19" i="1"/>
  <c r="C378" i="1"/>
  <c r="D310" i="1"/>
  <c r="D168" i="1"/>
  <c r="C147" i="1"/>
  <c r="E316" i="1"/>
  <c r="D164" i="1"/>
  <c r="C396" i="1"/>
  <c r="D197" i="1"/>
  <c r="D264" i="1"/>
  <c r="E104" i="1"/>
  <c r="C107" i="1"/>
  <c r="D271" i="1"/>
  <c r="D460" i="1"/>
  <c r="D231" i="1"/>
  <c r="D28" i="1"/>
  <c r="E244" i="1"/>
  <c r="C393" i="1"/>
  <c r="E156" i="1"/>
  <c r="C180" i="1"/>
  <c r="C423" i="1"/>
  <c r="D384" i="1"/>
  <c r="D165" i="1"/>
  <c r="E349" i="1"/>
  <c r="C427" i="1"/>
  <c r="C24" i="1"/>
  <c r="E66" i="1"/>
  <c r="D300" i="1"/>
  <c r="C84" i="1"/>
  <c r="E322" i="1"/>
  <c r="C172" i="1"/>
  <c r="E141" i="1"/>
  <c r="C119" i="1"/>
  <c r="C231" i="1"/>
  <c r="D98" i="1"/>
  <c r="E53" i="1"/>
  <c r="D357" i="1"/>
  <c r="E62" i="1"/>
  <c r="E236" i="1"/>
  <c r="E458" i="1"/>
  <c r="E184" i="1"/>
  <c r="E263" i="1"/>
  <c r="E274" i="1"/>
  <c r="E497" i="1"/>
  <c r="E301" i="1"/>
  <c r="E2" i="1"/>
  <c r="E148" i="1"/>
  <c r="E329" i="1"/>
  <c r="E120" i="1"/>
  <c r="E134" i="1"/>
  <c r="E242" i="1"/>
  <c r="E25" i="1"/>
  <c r="E371" i="1"/>
  <c r="E52" i="1"/>
  <c r="E98" i="1"/>
  <c r="E145" i="1"/>
  <c r="E398" i="1"/>
  <c r="E487" i="1"/>
  <c r="E288" i="1"/>
  <c r="E422" i="1"/>
  <c r="E258" i="1"/>
  <c r="E496" i="1"/>
  <c r="E465" i="1"/>
  <c r="D379" i="1"/>
  <c r="C343" i="1"/>
  <c r="D346" i="1"/>
  <c r="C300" i="1"/>
  <c r="C390" i="1"/>
  <c r="E448" i="1"/>
  <c r="C403" i="1"/>
  <c r="C110" i="1"/>
  <c r="E294" i="1"/>
  <c r="E323" i="1"/>
  <c r="E58" i="1"/>
  <c r="D89" i="1"/>
  <c r="C263" i="1"/>
  <c r="D209" i="1"/>
  <c r="C124" i="1"/>
  <c r="D87" i="1"/>
  <c r="C12" i="3"/>
  <c r="E48" i="1"/>
  <c r="E45" i="1"/>
  <c r="C307" i="1"/>
  <c r="E330" i="1"/>
  <c r="C265" i="1"/>
  <c r="D388" i="1"/>
  <c r="C216" i="1"/>
  <c r="D344" i="1"/>
  <c r="D162" i="1"/>
  <c r="E193" i="1"/>
  <c r="C46" i="1"/>
  <c r="C268" i="1"/>
  <c r="C80" i="1"/>
  <c r="E284" i="1"/>
  <c r="C302" i="1"/>
  <c r="D290" i="1"/>
  <c r="D408" i="1"/>
  <c r="C2" i="1"/>
  <c r="D29" i="1"/>
  <c r="E490" i="1"/>
  <c r="C247" i="1"/>
  <c r="D53" i="1"/>
  <c r="D263" i="1"/>
  <c r="C335" i="1"/>
  <c r="C238" i="1"/>
  <c r="D203" i="1"/>
  <c r="E416" i="1"/>
  <c r="D361" i="1"/>
  <c r="D385" i="1"/>
  <c r="D367" i="1"/>
  <c r="D332" i="1"/>
  <c r="D113" i="1"/>
  <c r="D121" i="1"/>
  <c r="D80" i="1"/>
  <c r="C419" i="1"/>
  <c r="C106" i="1"/>
  <c r="E158" i="1"/>
  <c r="D301" i="1"/>
  <c r="E353" i="1"/>
  <c r="E86" i="1"/>
  <c r="D277" i="1"/>
  <c r="D161" i="1"/>
  <c r="D365" i="1"/>
  <c r="D107" i="1"/>
  <c r="E228" i="1"/>
  <c r="E126" i="1"/>
  <c r="D137" i="1"/>
  <c r="C473" i="1"/>
  <c r="D146" i="1"/>
  <c r="D441" i="1"/>
  <c r="C155" i="1"/>
  <c r="C271" i="1"/>
  <c r="D452" i="1"/>
  <c r="C220" i="1"/>
  <c r="C323" i="1"/>
  <c r="C101" i="1"/>
  <c r="D260" i="1"/>
  <c r="D376" i="1"/>
  <c r="D160" i="1"/>
  <c r="D473" i="1"/>
  <c r="E82" i="1"/>
  <c r="C221" i="1"/>
  <c r="D35" i="1"/>
  <c r="E499" i="1"/>
  <c r="E357" i="1"/>
  <c r="D375" i="1"/>
  <c r="D20" i="1"/>
  <c r="C193" i="1"/>
  <c r="D336" i="1"/>
  <c r="C441" i="1"/>
  <c r="D244" i="1"/>
  <c r="C407" i="1"/>
  <c r="D463" i="1"/>
  <c r="C471" i="1"/>
  <c r="E373" i="1"/>
  <c r="E153" i="1"/>
  <c r="E293" i="1"/>
  <c r="E345" i="1"/>
  <c r="D339" i="1"/>
  <c r="D304" i="1"/>
  <c r="D395" i="1"/>
  <c r="D207" i="1"/>
  <c r="E414" i="1"/>
  <c r="C279" i="1"/>
  <c r="C7" i="3"/>
  <c r="C340" i="1"/>
  <c r="E188" i="1"/>
  <c r="E245" i="1"/>
  <c r="E191" i="1"/>
  <c r="D443" i="1"/>
  <c r="C152" i="1"/>
  <c r="E127" i="1"/>
  <c r="C141" i="1"/>
  <c r="D176" i="1"/>
  <c r="C218" i="1"/>
  <c r="D471" i="1"/>
  <c r="D468" i="1"/>
  <c r="D417" i="1"/>
  <c r="E434" i="1"/>
  <c r="C177" i="1"/>
  <c r="E485" i="1"/>
  <c r="E361" i="1"/>
  <c r="E296" i="1"/>
  <c r="E314" i="1"/>
  <c r="D500" i="1"/>
  <c r="D396" i="1"/>
  <c r="D321" i="1"/>
  <c r="D34" i="1"/>
  <c r="D248" i="1"/>
  <c r="E473" i="1"/>
  <c r="D238" i="1"/>
  <c r="D241" i="1"/>
  <c r="D148" i="1"/>
  <c r="C204" i="1"/>
  <c r="D218" i="1"/>
  <c r="C12" i="1"/>
  <c r="C113" i="1"/>
  <c r="C73" i="1"/>
  <c r="C23" i="1"/>
  <c r="E209" i="1"/>
  <c r="C417" i="1"/>
  <c r="C235" i="1"/>
  <c r="C156" i="1"/>
  <c r="C308" i="1"/>
  <c r="E136" i="1"/>
  <c r="C170" i="1"/>
  <c r="E386" i="1"/>
  <c r="E178" i="1"/>
  <c r="D75" i="1"/>
  <c r="D266" i="1"/>
  <c r="C252" i="1"/>
  <c r="D13" i="1"/>
  <c r="E197" i="1"/>
  <c r="E117" i="1"/>
  <c r="E89" i="1"/>
  <c r="D419" i="1"/>
  <c r="C276" i="1"/>
  <c r="C128" i="1"/>
  <c r="C281" i="1"/>
  <c r="C114" i="1"/>
  <c r="C188" i="1"/>
  <c r="C62" i="1"/>
  <c r="C447" i="1"/>
  <c r="C352" i="1"/>
  <c r="D369" i="1"/>
  <c r="C135" i="1"/>
  <c r="D297" i="1"/>
  <c r="D418" i="1"/>
  <c r="D309" i="1"/>
  <c r="D424" i="1"/>
  <c r="D440" i="1"/>
  <c r="E146" i="1"/>
  <c r="D410" i="1"/>
  <c r="D49" i="1"/>
  <c r="C161" i="1"/>
  <c r="C365" i="1"/>
  <c r="C412" i="1"/>
  <c r="E97" i="1"/>
  <c r="E327" i="1"/>
  <c r="D97" i="1"/>
  <c r="C35" i="1"/>
  <c r="C61" i="1"/>
  <c r="C445" i="1"/>
  <c r="C377" i="1"/>
  <c r="C244" i="1"/>
  <c r="D167" i="1"/>
  <c r="C480" i="1"/>
  <c r="D341" i="1"/>
  <c r="C239" i="1"/>
  <c r="D258" i="1"/>
  <c r="D36" i="1"/>
  <c r="D9" i="1"/>
  <c r="C59" i="1"/>
  <c r="D249" i="1"/>
  <c r="C30" i="1"/>
  <c r="D68" i="1"/>
  <c r="C338" i="1"/>
  <c r="D73" i="1"/>
  <c r="C29" i="1"/>
  <c r="C318" i="1"/>
  <c r="D453" i="1"/>
  <c r="E319" i="1"/>
  <c r="E441" i="1"/>
  <c r="E478" i="1"/>
  <c r="D306" i="1"/>
  <c r="C434" i="1"/>
  <c r="C421" i="1"/>
  <c r="C453" i="1"/>
  <c r="C430" i="1"/>
  <c r="D488" i="1"/>
  <c r="C117" i="1"/>
  <c r="D323" i="1"/>
  <c r="D100" i="1"/>
  <c r="E20" i="1"/>
  <c r="C254" i="1"/>
  <c r="D154" i="1"/>
  <c r="C414" i="1"/>
  <c r="E168" i="1"/>
  <c r="C34" i="1"/>
  <c r="D170" i="1"/>
  <c r="C342" i="1"/>
  <c r="C331" i="1"/>
  <c r="E289" i="1"/>
  <c r="D328" i="1"/>
  <c r="C198" i="1"/>
  <c r="C261" i="1"/>
  <c r="C9" i="1"/>
  <c r="D32" i="1"/>
  <c r="C437" i="1"/>
  <c r="E105" i="1"/>
  <c r="D288" i="1"/>
  <c r="D181" i="1"/>
  <c r="C28" i="1"/>
  <c r="C384" i="1"/>
  <c r="C468" i="1"/>
  <c r="E77" i="1"/>
  <c r="D472" i="1"/>
  <c r="E13" i="1"/>
  <c r="D215" i="1"/>
  <c r="C145" i="1"/>
  <c r="E205" i="1"/>
  <c r="E225" i="1"/>
  <c r="C386" i="1"/>
  <c r="C43" i="1"/>
  <c r="D26" i="1"/>
  <c r="D451" i="1"/>
  <c r="D169" i="1"/>
  <c r="D41" i="1"/>
  <c r="D63" i="1"/>
  <c r="D315" i="1"/>
  <c r="D230" i="1"/>
  <c r="E129" i="1"/>
  <c r="D114" i="1"/>
  <c r="D110" i="1"/>
  <c r="D247" i="1"/>
  <c r="D462" i="1"/>
  <c r="C230" i="1"/>
  <c r="D155" i="1"/>
  <c r="E390" i="1"/>
  <c r="E216" i="1"/>
  <c r="C182" i="1"/>
  <c r="D11" i="1"/>
  <c r="D411" i="1"/>
  <c r="C458" i="1"/>
  <c r="D257" i="1"/>
  <c r="C122" i="1"/>
  <c r="D177" i="1"/>
  <c r="C197" i="1"/>
  <c r="D78" i="1"/>
  <c r="D223" i="1"/>
  <c r="C479" i="1"/>
  <c r="C376" i="1"/>
  <c r="C282" i="1"/>
  <c r="E467" i="1"/>
  <c r="E37" i="1"/>
  <c r="D393" i="1"/>
  <c r="C275" i="1"/>
  <c r="C179" i="1"/>
  <c r="C66" i="1"/>
  <c r="C442" i="1"/>
  <c r="C450" i="1"/>
  <c r="E271" i="1"/>
  <c r="D347" i="1"/>
  <c r="E404" i="1"/>
  <c r="C186" i="1"/>
  <c r="C379" i="1"/>
  <c r="C446" i="1"/>
  <c r="D139" i="1"/>
  <c r="C67" i="1"/>
  <c r="E18" i="1"/>
  <c r="C499" i="1"/>
  <c r="D39" i="1"/>
  <c r="E206" i="1"/>
  <c r="C456" i="1"/>
  <c r="D128" i="1"/>
  <c r="D182" i="1"/>
  <c r="C63" i="1"/>
  <c r="E43" i="1"/>
  <c r="E474" i="1"/>
  <c r="E457" i="1"/>
  <c r="D102" i="1"/>
  <c r="C474" i="1"/>
  <c r="C39" i="1"/>
  <c r="C325" i="1"/>
  <c r="C310" i="1"/>
  <c r="C111" i="1"/>
  <c r="E352" i="1"/>
  <c r="D54" i="1"/>
  <c r="C97" i="1"/>
  <c r="D320" i="1"/>
  <c r="D449" i="1"/>
  <c r="C304" i="1"/>
  <c r="E65" i="1"/>
  <c r="C249" i="1"/>
  <c r="E229" i="1"/>
  <c r="C237" i="1"/>
  <c r="D156" i="1"/>
  <c r="D94" i="1"/>
  <c r="D12" i="1"/>
  <c r="C394" i="1"/>
  <c r="D143" i="1"/>
  <c r="C162" i="1"/>
  <c r="E410" i="1"/>
  <c r="E213" i="1"/>
  <c r="D43" i="1"/>
  <c r="D496" i="1"/>
  <c r="C253" i="1"/>
  <c r="C288" i="1"/>
  <c r="C99" i="1"/>
  <c r="C358" i="1"/>
  <c r="C86" i="1"/>
  <c r="D340" i="1"/>
  <c r="D467" i="1"/>
  <c r="D153" i="1"/>
  <c r="D149" i="1"/>
  <c r="C400" i="1"/>
  <c r="D88" i="1"/>
  <c r="C108" i="1"/>
  <c r="D90" i="1"/>
  <c r="D226" i="1"/>
  <c r="C215" i="1"/>
  <c r="C142" i="1"/>
  <c r="D50" i="1"/>
  <c r="E394" i="1"/>
  <c r="C57" i="1"/>
  <c r="C6" i="3"/>
  <c r="A432" i="1"/>
  <c r="D56" i="1"/>
  <c r="D15" i="1"/>
  <c r="D330" i="1"/>
  <c r="C104" i="1"/>
  <c r="D194" i="1"/>
  <c r="A89" i="1"/>
  <c r="A218" i="1"/>
  <c r="D196" i="1"/>
  <c r="C440" i="1"/>
  <c r="E83" i="1"/>
  <c r="E219" i="1"/>
  <c r="D253" i="1"/>
  <c r="E87" i="1"/>
  <c r="E331" i="1"/>
  <c r="E192" i="1"/>
  <c r="D157" i="1"/>
  <c r="C225" i="1"/>
  <c r="D120" i="1"/>
  <c r="E196" i="1"/>
  <c r="E300" i="1"/>
  <c r="E295" i="1"/>
  <c r="E240" i="1"/>
  <c r="C466" i="1"/>
  <c r="C45" i="1"/>
  <c r="D24" i="1"/>
  <c r="C121" i="1"/>
  <c r="E481" i="1"/>
  <c r="D104" i="1"/>
  <c r="C269" i="1"/>
  <c r="E176" i="1"/>
  <c r="C203" i="1"/>
  <c r="E326" i="1"/>
  <c r="E335" i="1"/>
  <c r="C350" i="1"/>
  <c r="D318" i="1"/>
  <c r="D193" i="1"/>
  <c r="C397" i="1"/>
  <c r="E440" i="1"/>
  <c r="D163" i="1"/>
  <c r="D305" i="1"/>
  <c r="D343" i="1"/>
  <c r="C402" i="1"/>
  <c r="D219" i="1"/>
  <c r="C60" i="1"/>
  <c r="D383" i="1"/>
  <c r="D187" i="1"/>
  <c r="D82" i="1"/>
  <c r="E427" i="1"/>
  <c r="C426" i="1"/>
  <c r="E297" i="1"/>
  <c r="C52" i="1"/>
  <c r="D237" i="1"/>
  <c r="D199" i="1"/>
  <c r="D130" i="1"/>
  <c r="D489" i="1"/>
  <c r="D372" i="1"/>
  <c r="D144" i="1"/>
  <c r="D279" i="1"/>
  <c r="D433" i="1"/>
  <c r="C78" i="1"/>
  <c r="D469" i="1"/>
  <c r="E94" i="1"/>
  <c r="E189" i="1"/>
  <c r="E198" i="1"/>
  <c r="D497" i="1"/>
  <c r="C416" i="1"/>
  <c r="C341" i="1"/>
  <c r="C93" i="1"/>
  <c r="C493" i="1"/>
  <c r="C146" i="1"/>
  <c r="C223" i="1"/>
  <c r="D487" i="1"/>
  <c r="D456" i="1"/>
  <c r="C336" i="1"/>
  <c r="D401" i="1"/>
  <c r="D491" i="1"/>
  <c r="D250" i="1"/>
  <c r="C233" i="1"/>
  <c r="D21" i="1"/>
  <c r="D454" i="1"/>
  <c r="D327" i="1"/>
  <c r="D278" i="1"/>
  <c r="D251" i="1"/>
  <c r="D255" i="1"/>
  <c r="C173" i="1"/>
  <c r="E333" i="1"/>
  <c r="E202" i="1"/>
  <c r="E63" i="1"/>
  <c r="E7" i="1"/>
  <c r="D307" i="1"/>
  <c r="C48" i="1"/>
  <c r="C168" i="1"/>
  <c r="C413" i="1"/>
  <c r="C120" i="1"/>
  <c r="C337" i="1"/>
  <c r="D444" i="1"/>
  <c r="C100" i="1"/>
  <c r="D274" i="1"/>
  <c r="D325" i="1"/>
  <c r="D142" i="1"/>
  <c r="C38" i="1"/>
  <c r="D195" i="1"/>
  <c r="D381" i="1"/>
  <c r="C232" i="1"/>
  <c r="D390" i="1"/>
  <c r="D442" i="1"/>
  <c r="C154" i="1"/>
  <c r="D52" i="1"/>
  <c r="D62" i="1"/>
  <c r="C4" i="1"/>
  <c r="C449" i="1"/>
  <c r="E144" i="1"/>
  <c r="E399" i="1"/>
  <c r="D285" i="1"/>
  <c r="C404" i="1"/>
  <c r="C69" i="1"/>
  <c r="C160" i="1"/>
  <c r="C492" i="1"/>
  <c r="C405" i="1"/>
  <c r="C439" i="1"/>
  <c r="E272" i="1"/>
  <c r="D151" i="1"/>
  <c r="C131" i="1"/>
  <c r="C267" i="1"/>
  <c r="C176" i="1"/>
  <c r="D220" i="1"/>
  <c r="C184" i="1"/>
  <c r="C274" i="1"/>
  <c r="D466" i="1"/>
  <c r="C185" i="1"/>
  <c r="D287" i="1"/>
  <c r="D86" i="1"/>
  <c r="E110" i="1"/>
  <c r="C284" i="1"/>
  <c r="D72" i="1"/>
  <c r="A100" i="1"/>
  <c r="C292" i="1"/>
  <c r="A464" i="1"/>
  <c r="D212" i="1"/>
  <c r="D66" i="1"/>
  <c r="E491" i="1"/>
  <c r="D109" i="1"/>
  <c r="E423" i="1"/>
  <c r="C165" i="1"/>
  <c r="C37" i="1"/>
  <c r="C364" i="1"/>
  <c r="E356" i="1"/>
  <c r="C130" i="1"/>
  <c r="C283" i="1"/>
  <c r="C455" i="1"/>
  <c r="C495" i="1"/>
  <c r="C319" i="1"/>
  <c r="C266" i="1"/>
  <c r="E248" i="1"/>
  <c r="C315" i="1"/>
  <c r="C243" i="1"/>
  <c r="C287" i="1"/>
  <c r="D95" i="1"/>
  <c r="D202" i="1"/>
  <c r="D245" i="1"/>
  <c r="C462" i="1"/>
  <c r="C195" i="1"/>
  <c r="E61" i="1"/>
  <c r="D38" i="1"/>
  <c r="C406" i="1"/>
  <c r="D126" i="1"/>
  <c r="D103" i="1"/>
  <c r="D363" i="1"/>
  <c r="D356" i="1"/>
  <c r="D420" i="1"/>
  <c r="C333" i="1"/>
  <c r="D166" i="1"/>
  <c r="D105" i="1"/>
  <c r="D273" i="1"/>
  <c r="E234" i="1"/>
  <c r="D389" i="1"/>
  <c r="C17" i="1"/>
  <c r="C178" i="1"/>
  <c r="C332" i="1"/>
  <c r="C298" i="1"/>
  <c r="E35" i="1"/>
  <c r="C164" i="1"/>
  <c r="C20" i="1"/>
  <c r="D47" i="1"/>
  <c r="D71" i="1"/>
  <c r="C82" i="1"/>
  <c r="C375" i="1"/>
  <c r="D353" i="1"/>
  <c r="D412" i="1"/>
  <c r="D272" i="1"/>
  <c r="D150" i="1"/>
  <c r="C210" i="1"/>
  <c r="D61" i="1"/>
  <c r="C401" i="1"/>
  <c r="E159" i="1"/>
  <c r="E498" i="1"/>
  <c r="E405" i="1"/>
  <c r="D295" i="1"/>
  <c r="C90" i="1"/>
  <c r="C3" i="1"/>
  <c r="C324" i="1"/>
  <c r="C36" i="1"/>
  <c r="C175" i="1"/>
  <c r="E169" i="1"/>
  <c r="D211" i="1"/>
  <c r="D405" i="1"/>
  <c r="C392" i="1"/>
  <c r="D101" i="1"/>
  <c r="D138" i="1"/>
  <c r="D222" i="1"/>
  <c r="C33" i="1"/>
  <c r="D370" i="1"/>
  <c r="E291" i="1"/>
  <c r="D235" i="1"/>
  <c r="D342" i="1"/>
  <c r="C245" i="1"/>
  <c r="C387" i="1"/>
  <c r="D495" i="1"/>
  <c r="D79" i="1"/>
  <c r="E275" i="1"/>
  <c r="E472" i="1"/>
  <c r="E463" i="1"/>
  <c r="D227" i="1"/>
  <c r="C40" i="1"/>
  <c r="C363" i="1"/>
  <c r="C312" i="1"/>
  <c r="C116" i="1"/>
  <c r="C134" i="1"/>
  <c r="E471" i="1"/>
  <c r="D293" i="1"/>
  <c r="D427" i="1"/>
  <c r="C251" i="1"/>
  <c r="C280" i="1"/>
  <c r="D225" i="1"/>
  <c r="D81" i="1"/>
  <c r="D435" i="1"/>
  <c r="D190" i="1"/>
  <c r="C476" i="1"/>
  <c r="D432" i="1"/>
  <c r="D134" i="1"/>
  <c r="D380" i="1"/>
  <c r="C409" i="1"/>
  <c r="C16" i="1"/>
  <c r="E14" i="1"/>
  <c r="E370" i="1"/>
  <c r="E251" i="1"/>
  <c r="D470" i="1"/>
  <c r="C183" i="1"/>
  <c r="C89" i="1"/>
  <c r="C212" i="1"/>
  <c r="C443" i="1"/>
  <c r="C118" i="1"/>
  <c r="E488" i="1"/>
  <c r="E432" i="1"/>
  <c r="D331" i="1"/>
  <c r="E181" i="1"/>
  <c r="C366" i="1"/>
  <c r="C438" i="1"/>
  <c r="E223" i="1"/>
  <c r="C64" i="1"/>
  <c r="C389" i="1"/>
  <c r="E482" i="1"/>
  <c r="D477" i="1"/>
  <c r="D416" i="1"/>
  <c r="E247" i="1"/>
  <c r="D269" i="1"/>
  <c r="C351" i="1"/>
  <c r="A113" i="1"/>
  <c r="D394" i="1"/>
  <c r="C92" i="1"/>
  <c r="D431" i="1"/>
  <c r="A33" i="1"/>
  <c r="D217" i="1"/>
  <c r="C189" i="1"/>
  <c r="D23" i="1"/>
  <c r="A84" i="1"/>
  <c r="E39" i="1"/>
  <c r="C132" i="1"/>
  <c r="D314" i="1"/>
  <c r="E84" i="1"/>
  <c r="E107" i="1"/>
  <c r="E208" i="1"/>
  <c r="E265" i="1"/>
  <c r="E76" i="1"/>
  <c r="E267" i="1"/>
  <c r="E103" i="1"/>
  <c r="E190" i="1"/>
  <c r="E116" i="1"/>
  <c r="E54" i="1"/>
  <c r="E44" i="1"/>
  <c r="E469" i="1"/>
  <c r="E135" i="1"/>
  <c r="E341" i="1"/>
  <c r="E309" i="1"/>
  <c r="E385" i="1"/>
  <c r="E49" i="1"/>
  <c r="E266" i="1"/>
  <c r="E308" i="1"/>
  <c r="E401" i="1"/>
  <c r="E138" i="1"/>
  <c r="E130" i="1"/>
  <c r="E161" i="1"/>
  <c r="E101" i="1"/>
  <c r="E269" i="1"/>
  <c r="E347" i="1"/>
  <c r="E437" i="1"/>
  <c r="E28" i="1"/>
  <c r="E207" i="1"/>
  <c r="E276" i="1"/>
  <c r="E424" i="1"/>
  <c r="E182" i="1"/>
  <c r="E278" i="1"/>
  <c r="E395" i="1"/>
  <c r="E51" i="1"/>
  <c r="E165" i="1"/>
  <c r="E46" i="1"/>
  <c r="A317" i="1"/>
  <c r="A172" i="1"/>
  <c r="A359" i="1"/>
  <c r="A61" i="1"/>
  <c r="A455" i="1"/>
  <c r="A452" i="1"/>
  <c r="A112" i="1"/>
  <c r="A445" i="1"/>
  <c r="A409" i="1"/>
  <c r="A398" i="1"/>
  <c r="A34" i="1"/>
  <c r="A242" i="1"/>
  <c r="A18" i="1"/>
  <c r="A341" i="1"/>
  <c r="A231" i="1"/>
  <c r="A405" i="1"/>
  <c r="A219" i="1"/>
  <c r="A300" i="1"/>
  <c r="A484" i="1"/>
  <c r="A291" i="1"/>
  <c r="A114" i="1"/>
  <c r="A127" i="1"/>
  <c r="A270" i="1"/>
  <c r="A466" i="1"/>
  <c r="A495" i="1"/>
  <c r="A200" i="1"/>
  <c r="A28" i="1"/>
  <c r="A12" i="1"/>
  <c r="A493" i="1"/>
  <c r="A102" i="1"/>
  <c r="A299" i="1"/>
  <c r="A437" i="1"/>
  <c r="A137" i="1"/>
  <c r="A152" i="1"/>
  <c r="A476" i="1"/>
  <c r="A239" i="1"/>
  <c r="A280" i="1"/>
  <c r="A382" i="1"/>
  <c r="A38" i="1"/>
  <c r="A459" i="1"/>
  <c r="A150" i="1"/>
  <c r="A442" i="1"/>
  <c r="A481" i="1"/>
  <c r="A353" i="1"/>
  <c r="A76" i="1"/>
  <c r="A141" i="1"/>
  <c r="A149" i="1"/>
  <c r="A186" i="1"/>
  <c r="A414" i="1"/>
  <c r="A313" i="1"/>
  <c r="A333" i="1"/>
  <c r="A93" i="1"/>
  <c r="A202" i="1"/>
  <c r="A245" i="1"/>
  <c r="A213" i="1"/>
  <c r="A447" i="1"/>
  <c r="A284" i="1"/>
  <c r="A498" i="1"/>
  <c r="A500" i="1"/>
  <c r="A181" i="1"/>
  <c r="A190" i="1"/>
  <c r="A453" i="1"/>
  <c r="A192" i="1"/>
  <c r="A384" i="1"/>
  <c r="A244" i="1"/>
  <c r="A311" i="1"/>
  <c r="A276" i="1"/>
  <c r="A56" i="1"/>
  <c r="A90" i="1"/>
  <c r="A376" i="1"/>
  <c r="A428" i="1"/>
  <c r="A308" i="1"/>
  <c r="A37" i="1"/>
  <c r="A482" i="1"/>
  <c r="A228" i="1"/>
  <c r="A412" i="1"/>
  <c r="A156" i="1"/>
  <c r="A193" i="1"/>
  <c r="A373" i="1"/>
  <c r="A111" i="1"/>
  <c r="A221" i="1"/>
  <c r="A63" i="1"/>
  <c r="A483" i="1"/>
  <c r="A328" i="1"/>
  <c r="A386" i="1"/>
  <c r="D30" i="1"/>
  <c r="E317" i="1"/>
  <c r="E125" i="1"/>
  <c r="C18" i="1"/>
  <c r="C151" i="1"/>
  <c r="E50" i="1"/>
  <c r="E95" i="1"/>
  <c r="E186" i="1"/>
  <c r="E365" i="1"/>
  <c r="E261" i="1"/>
  <c r="E380" i="1"/>
  <c r="E475" i="1"/>
  <c r="E55" i="1"/>
  <c r="E27" i="1"/>
  <c r="E23" i="1"/>
  <c r="E477" i="1"/>
  <c r="E111" i="1"/>
  <c r="E203" i="1"/>
  <c r="E257" i="1"/>
  <c r="E368" i="1"/>
  <c r="E494" i="1"/>
  <c r="E460" i="1"/>
  <c r="E363" i="1"/>
  <c r="E253" i="1"/>
  <c r="E183" i="1"/>
  <c r="E324" i="1"/>
  <c r="E92" i="1"/>
  <c r="E430" i="1"/>
  <c r="E387" i="1"/>
  <c r="E312" i="1"/>
  <c r="E419" i="1"/>
  <c r="E22" i="1"/>
  <c r="E444" i="1"/>
  <c r="E332" i="1"/>
  <c r="E346" i="1"/>
  <c r="E453" i="1"/>
  <c r="E374" i="1"/>
  <c r="E75" i="1"/>
  <c r="E154" i="1"/>
  <c r="E151" i="1"/>
  <c r="E375" i="1"/>
  <c r="E172" i="1"/>
  <c r="A122" i="1"/>
  <c r="A407" i="1"/>
  <c r="A10" i="1"/>
  <c r="A478" i="1"/>
  <c r="A3" i="1"/>
  <c r="A8" i="1"/>
  <c r="A251" i="1"/>
  <c r="A424" i="1"/>
  <c r="A324" i="1"/>
  <c r="A206" i="1"/>
  <c r="A267" i="1"/>
  <c r="A261" i="1"/>
  <c r="A460" i="1"/>
  <c r="A282" i="1"/>
  <c r="A20" i="1"/>
  <c r="A293" i="1"/>
  <c r="A329" i="1"/>
  <c r="A320" i="1"/>
  <c r="A60" i="1"/>
  <c r="A4" i="1"/>
  <c r="A458" i="1"/>
  <c r="A194" i="1"/>
  <c r="A108" i="1"/>
  <c r="A370" i="1"/>
  <c r="A410" i="1"/>
  <c r="A378" i="1"/>
  <c r="A94" i="1"/>
  <c r="A488" i="1"/>
  <c r="A27" i="1"/>
  <c r="A463" i="1"/>
  <c r="A42" i="1"/>
  <c r="A49" i="1"/>
  <c r="A383" i="1"/>
  <c r="A415" i="1"/>
  <c r="A302" i="1"/>
  <c r="A347" i="1"/>
  <c r="A438" i="1"/>
  <c r="A472" i="1"/>
  <c r="A265" i="1"/>
  <c r="A352" i="1"/>
  <c r="A338" i="1"/>
  <c r="A39" i="1"/>
  <c r="A443" i="1"/>
  <c r="A173" i="1"/>
  <c r="A269" i="1"/>
  <c r="A435" i="1"/>
  <c r="A286" i="1"/>
  <c r="A197" i="1"/>
  <c r="A241" i="1"/>
  <c r="A226" i="1"/>
  <c r="A309" i="1"/>
  <c r="A115" i="1"/>
  <c r="A387" i="1"/>
  <c r="A178" i="1"/>
  <c r="A392" i="1"/>
  <c r="A250" i="1"/>
  <c r="A198" i="1"/>
  <c r="A340" i="1"/>
  <c r="A388" i="1"/>
  <c r="A451" i="1"/>
  <c r="A177" i="1"/>
  <c r="A117" i="1"/>
  <c r="A16" i="1"/>
  <c r="A207" i="1"/>
  <c r="A129" i="1"/>
  <c r="A365" i="1"/>
  <c r="A165" i="1"/>
  <c r="A174" i="1"/>
  <c r="A292" i="1"/>
  <c r="A263" i="1"/>
  <c r="A106" i="1"/>
  <c r="A425" i="1"/>
  <c r="A151" i="1"/>
  <c r="A6" i="1"/>
  <c r="A362" i="1"/>
  <c r="A450" i="1"/>
  <c r="A110" i="1"/>
  <c r="A144" i="1"/>
  <c r="A121" i="1"/>
  <c r="A154" i="1"/>
  <c r="A55" i="1"/>
  <c r="A146" i="1"/>
  <c r="A162" i="1"/>
  <c r="A13" i="1"/>
  <c r="A46" i="1"/>
  <c r="A446" i="1"/>
  <c r="C354" i="1"/>
  <c r="E418" i="1"/>
  <c r="E142" i="1"/>
  <c r="E277" i="1"/>
  <c r="C309" i="1"/>
  <c r="E250" i="1"/>
  <c r="E438" i="1"/>
  <c r="E287" i="1"/>
  <c r="E90" i="1"/>
  <c r="E214" i="1"/>
  <c r="E113" i="1"/>
  <c r="E325" i="1"/>
  <c r="E170" i="1"/>
  <c r="E449" i="1"/>
  <c r="E56" i="1"/>
  <c r="E366" i="1"/>
  <c r="E91" i="1"/>
  <c r="E139" i="1"/>
  <c r="E446" i="1"/>
  <c r="E119" i="1"/>
  <c r="E6" i="1"/>
  <c r="E30" i="1"/>
  <c r="E334" i="1"/>
  <c r="E351" i="1"/>
  <c r="E115" i="1"/>
  <c r="E298" i="1"/>
  <c r="E358" i="1"/>
  <c r="E109" i="1"/>
  <c r="E150" i="1"/>
  <c r="E360" i="1"/>
  <c r="E31" i="1"/>
  <c r="E131" i="1"/>
  <c r="E476" i="1"/>
  <c r="E231" i="1"/>
  <c r="E3" i="1"/>
  <c r="E149" i="1"/>
  <c r="E215" i="1"/>
  <c r="E204" i="1"/>
  <c r="E174" i="1"/>
  <c r="E381" i="1"/>
  <c r="E428" i="1"/>
  <c r="A176" i="1"/>
  <c r="A441" i="1"/>
  <c r="A166" i="1"/>
  <c r="A367" i="1"/>
  <c r="A307" i="1"/>
  <c r="A85" i="1"/>
  <c r="A480" i="1"/>
  <c r="A494" i="1"/>
  <c r="A71" i="1"/>
  <c r="A379" i="1"/>
  <c r="A275" i="1"/>
  <c r="A346" i="1"/>
  <c r="A271" i="1"/>
  <c r="A469" i="1"/>
  <c r="A136" i="1"/>
  <c r="A24" i="1"/>
  <c r="A349" i="1"/>
  <c r="A310" i="1"/>
  <c r="A14" i="1"/>
  <c r="A201" i="1"/>
  <c r="A444" i="1"/>
  <c r="A401" i="1"/>
  <c r="A312" i="1"/>
  <c r="A369" i="1"/>
  <c r="A499" i="1"/>
  <c r="A163" i="1"/>
  <c r="A334" i="1"/>
  <c r="A138" i="1"/>
  <c r="A461" i="1"/>
  <c r="A287" i="1"/>
  <c r="A289" i="1"/>
  <c r="A22" i="1"/>
  <c r="A68" i="1"/>
  <c r="A486" i="1"/>
  <c r="A44" i="1"/>
  <c r="A474" i="1"/>
  <c r="A485" i="1"/>
  <c r="A434" i="1"/>
  <c r="A19" i="1"/>
  <c r="A199" i="1"/>
  <c r="A475" i="1"/>
  <c r="A430" i="1"/>
  <c r="A164" i="1"/>
  <c r="A440" i="1"/>
  <c r="A143" i="1"/>
  <c r="A229" i="1"/>
  <c r="A491" i="1"/>
  <c r="A96" i="1"/>
  <c r="A297" i="1"/>
  <c r="A357" i="1"/>
  <c r="A330" i="1"/>
  <c r="A52" i="1"/>
  <c r="A83" i="1"/>
  <c r="A323" i="1"/>
  <c r="A168" i="1"/>
  <c r="A179" i="1"/>
  <c r="A335" i="1"/>
  <c r="A120" i="1"/>
  <c r="A62" i="1"/>
  <c r="A211" i="1"/>
  <c r="A247" i="1"/>
  <c r="A396" i="1"/>
  <c r="A351" i="1"/>
  <c r="A196" i="1"/>
  <c r="A268" i="1"/>
  <c r="A279" i="1"/>
  <c r="A426" i="1"/>
  <c r="A332" i="1"/>
  <c r="A26" i="1"/>
  <c r="A278" i="1"/>
  <c r="A235" i="1"/>
  <c r="A439" i="1"/>
  <c r="A47" i="1"/>
  <c r="A29" i="1"/>
  <c r="A217" i="1"/>
  <c r="D498" i="1"/>
  <c r="A397" i="1"/>
  <c r="C425" i="1"/>
  <c r="A372" i="1"/>
  <c r="E19" i="1"/>
  <c r="E328" i="1"/>
  <c r="E451" i="1"/>
  <c r="E72" i="1"/>
  <c r="E359" i="1"/>
  <c r="E400" i="1"/>
  <c r="E157" i="1"/>
  <c r="E344" i="1"/>
  <c r="E80" i="1"/>
  <c r="E8" i="1"/>
  <c r="E391" i="1"/>
  <c r="E21" i="1"/>
  <c r="E409" i="1"/>
  <c r="E81" i="1"/>
  <c r="E96" i="1"/>
  <c r="E121" i="1"/>
  <c r="E173" i="1"/>
  <c r="E290" i="1"/>
  <c r="E15" i="1"/>
  <c r="E454" i="1"/>
  <c r="E489" i="1"/>
  <c r="E484" i="1"/>
  <c r="E26" i="1"/>
  <c r="E233" i="1"/>
  <c r="E102" i="1"/>
  <c r="E67" i="1"/>
  <c r="E321" i="1"/>
  <c r="E379" i="1"/>
  <c r="E425" i="1"/>
  <c r="E342" i="1"/>
  <c r="E364" i="1"/>
  <c r="E415" i="1"/>
  <c r="E500" i="1"/>
  <c r="E57" i="1"/>
  <c r="E5" i="1"/>
  <c r="E461" i="1"/>
  <c r="E320" i="1"/>
  <c r="A75" i="1"/>
  <c r="A246" i="1"/>
  <c r="A377" i="1"/>
  <c r="A175" i="1"/>
  <c r="A160" i="1"/>
  <c r="A413" i="1"/>
  <c r="A277" i="1"/>
  <c r="A403" i="1"/>
  <c r="A169" i="1"/>
  <c r="A35" i="1"/>
  <c r="A394" i="1"/>
  <c r="A303" i="1"/>
  <c r="A161" i="1"/>
  <c r="A36" i="1"/>
  <c r="A240" i="1"/>
  <c r="A92" i="1"/>
  <c r="A73" i="1"/>
  <c r="A189" i="1"/>
  <c r="A118" i="1"/>
  <c r="A419" i="1"/>
  <c r="A380" i="1"/>
  <c r="A326" i="1"/>
  <c r="A449" i="1"/>
  <c r="A487" i="1"/>
  <c r="A41" i="1"/>
  <c r="A471" i="1"/>
  <c r="A82" i="1"/>
  <c r="A86" i="1"/>
  <c r="A204" i="1"/>
  <c r="A356" i="1"/>
  <c r="A348" i="1"/>
  <c r="A255" i="1"/>
  <c r="A343" i="1"/>
  <c r="A225" i="1"/>
  <c r="A417" i="1"/>
  <c r="A234" i="1"/>
  <c r="A148" i="1"/>
  <c r="A171" i="1"/>
  <c r="A95" i="1"/>
  <c r="A69" i="1"/>
  <c r="A290" i="1"/>
  <c r="A366" i="1"/>
  <c r="A406" i="1"/>
  <c r="A153" i="1"/>
  <c r="A147" i="1"/>
  <c r="A107" i="1"/>
  <c r="A79" i="1"/>
  <c r="A216" i="1"/>
  <c r="A140" i="1"/>
  <c r="A21" i="1"/>
  <c r="A101" i="1"/>
  <c r="A15" i="1"/>
  <c r="A167" i="1"/>
  <c r="A66" i="1"/>
  <c r="A58" i="1"/>
  <c r="A273" i="1"/>
  <c r="A296" i="1"/>
  <c r="A272" i="1"/>
  <c r="A182" i="1"/>
  <c r="A23" i="1"/>
  <c r="A258" i="1"/>
  <c r="A404" i="1"/>
  <c r="A220" i="1"/>
  <c r="A134" i="1"/>
  <c r="A462" i="1"/>
  <c r="A67" i="1"/>
  <c r="A402" i="1"/>
  <c r="A496" i="1"/>
  <c r="A123" i="1"/>
  <c r="A195" i="1"/>
  <c r="A180" i="1"/>
  <c r="A78" i="1"/>
  <c r="A64" i="1"/>
  <c r="A188" i="1"/>
  <c r="A490" i="1"/>
  <c r="A7" i="1"/>
  <c r="A395" i="1"/>
  <c r="A321" i="1"/>
  <c r="A210" i="1"/>
  <c r="A145" i="1"/>
  <c r="A433" i="1"/>
  <c r="A31" i="1"/>
  <c r="A400" i="1"/>
  <c r="A429" i="1"/>
  <c r="A477" i="1"/>
  <c r="A281" i="1"/>
  <c r="A80" i="1"/>
  <c r="A389" i="1"/>
  <c r="A17" i="1"/>
  <c r="A465" i="1"/>
  <c r="A88" i="1"/>
  <c r="A399" i="1"/>
  <c r="A215" i="1"/>
  <c r="A331" i="1"/>
  <c r="A337" i="1"/>
  <c r="A222" i="1"/>
  <c r="A209" i="1"/>
  <c r="A306" i="1"/>
  <c r="A159" i="1"/>
  <c r="A155" i="1"/>
  <c r="A91" i="1"/>
  <c r="A248" i="1"/>
  <c r="A2" i="1"/>
  <c r="A170" i="1"/>
  <c r="A344" i="1"/>
  <c r="A421" i="1"/>
  <c r="A230" i="1"/>
  <c r="A135" i="1"/>
  <c r="A191" i="1"/>
  <c r="A339" i="1"/>
  <c r="A381" i="1"/>
  <c r="A262" i="1"/>
  <c r="A187" i="1"/>
  <c r="A294" i="1"/>
  <c r="A492" i="1"/>
  <c r="A314" i="1"/>
  <c r="A358" i="1"/>
  <c r="A408" i="1"/>
  <c r="A236" i="1"/>
  <c r="A105" i="1"/>
  <c r="A360" i="1"/>
  <c r="A274" i="1"/>
  <c r="A87" i="1"/>
  <c r="A479" i="1"/>
  <c r="A128" i="1"/>
  <c r="A301" i="1"/>
  <c r="A77" i="1"/>
  <c r="A423" i="1"/>
  <c r="A249" i="1"/>
  <c r="A25" i="1"/>
  <c r="A237" i="1"/>
  <c r="A212" i="1"/>
  <c r="A318" i="1"/>
  <c r="A203" i="1"/>
  <c r="A74" i="1"/>
  <c r="A288" i="1"/>
  <c r="A418" i="1"/>
  <c r="A456" i="1"/>
  <c r="A260" i="1"/>
  <c r="A254" i="1"/>
  <c r="A470" i="1"/>
  <c r="A375" i="1"/>
  <c r="A422" i="1"/>
  <c r="A368" i="1"/>
  <c r="A132" i="1"/>
  <c r="A467" i="1"/>
  <c r="A119" i="1"/>
  <c r="A295" i="1"/>
  <c r="A238" i="1"/>
  <c r="A327" i="1"/>
  <c r="A497" i="1"/>
  <c r="A420" i="1"/>
  <c r="A130" i="1"/>
  <c r="A65" i="1"/>
  <c r="A354" i="1"/>
  <c r="A126" i="1"/>
  <c r="A50" i="1"/>
  <c r="A336" i="1"/>
  <c r="A355" i="1"/>
  <c r="A72" i="1"/>
  <c r="A342" i="1"/>
  <c r="A124" i="1"/>
  <c r="A109" i="1"/>
  <c r="A391" i="1"/>
  <c r="A285" i="1"/>
  <c r="A243" i="1"/>
  <c r="A5" i="1"/>
  <c r="A315" i="1"/>
  <c r="A371" i="1"/>
  <c r="A48" i="1"/>
  <c r="A468" i="1"/>
  <c r="A98" i="1"/>
  <c r="A266" i="1"/>
  <c r="A214" i="1"/>
  <c r="A81" i="1"/>
  <c r="A457" i="1"/>
  <c r="A304" i="1"/>
  <c r="A139" i="1"/>
  <c r="A325" i="1"/>
  <c r="A473" i="1"/>
  <c r="A361" i="1"/>
  <c r="A393" i="1"/>
  <c r="A259" i="1"/>
  <c r="A283" i="1"/>
  <c r="A43" i="1"/>
  <c r="A233" i="1"/>
  <c r="A448" i="1"/>
  <c r="A436" i="1"/>
  <c r="A363" i="1"/>
  <c r="A116" i="1"/>
  <c r="A319" i="1"/>
  <c r="A30" i="1"/>
  <c r="A232" i="1"/>
  <c r="A257" i="1"/>
  <c r="A51" i="1"/>
  <c r="A40" i="1"/>
  <c r="A45" i="1"/>
  <c r="A54" i="1"/>
  <c r="A322" i="1"/>
  <c r="A184" i="1"/>
  <c r="A364" i="1"/>
  <c r="A227" i="1"/>
  <c r="A133" i="1"/>
  <c r="A32" i="1"/>
  <c r="A390" i="1"/>
  <c r="A97" i="1"/>
  <c r="A427" i="1"/>
  <c r="A104" i="1"/>
  <c r="A70" i="1"/>
  <c r="A454" i="1"/>
  <c r="A205" i="1"/>
  <c r="A223" i="1"/>
  <c r="A305" i="1"/>
  <c r="A316" i="1"/>
  <c r="A298" i="1"/>
  <c r="A208" i="1"/>
  <c r="A99" i="1"/>
  <c r="A411" i="1"/>
  <c r="A185" i="1"/>
  <c r="A345" i="1"/>
  <c r="A374" i="1"/>
  <c r="A131" i="1"/>
  <c r="A183" i="1"/>
  <c r="A53" i="1"/>
  <c r="A385" i="1"/>
  <c r="A103" i="1"/>
  <c r="A125" i="1"/>
  <c r="A489" i="1"/>
  <c r="A224" i="1"/>
  <c r="A350" i="1"/>
  <c r="A252" i="1"/>
  <c r="A416" i="1"/>
  <c r="A11" i="1"/>
  <c r="A158" i="1"/>
  <c r="A264" i="1"/>
  <c r="A59" i="1"/>
  <c r="A157" i="1"/>
  <c r="A142" i="1"/>
  <c r="A256" i="1"/>
  <c r="A253" i="1"/>
  <c r="A431" i="1"/>
  <c r="A57" i="1"/>
  <c r="A9" i="1"/>
  <c r="B217" i="1"/>
  <c r="B331" i="1"/>
  <c r="B432" i="1"/>
  <c r="B225" i="1"/>
  <c r="B79" i="1"/>
  <c r="B370" i="1"/>
  <c r="B405" i="1"/>
  <c r="B150" i="1"/>
  <c r="B71" i="1"/>
  <c r="B105" i="1"/>
  <c r="B363" i="1"/>
  <c r="B245" i="1"/>
  <c r="B66" i="1"/>
  <c r="B72" i="1"/>
  <c r="B220" i="1"/>
  <c r="B52" i="1"/>
  <c r="B195" i="1"/>
  <c r="B444" i="1"/>
  <c r="B278" i="1"/>
  <c r="B250" i="1"/>
  <c r="B487" i="1"/>
  <c r="B279" i="1"/>
  <c r="B130" i="1"/>
  <c r="B187" i="1"/>
  <c r="B305" i="1"/>
  <c r="B104" i="1"/>
  <c r="B253" i="1"/>
  <c r="B194" i="1"/>
  <c r="B88" i="1"/>
  <c r="B340" i="1"/>
  <c r="B12" i="1"/>
  <c r="B320" i="1"/>
  <c r="B128" i="1"/>
  <c r="B393" i="1"/>
  <c r="B257" i="1"/>
  <c r="B462" i="1"/>
  <c r="B114" i="1"/>
  <c r="B41" i="1"/>
  <c r="B215" i="1"/>
  <c r="B32" i="1"/>
  <c r="B100" i="1"/>
  <c r="B453" i="1"/>
  <c r="B9" i="1"/>
  <c r="B167" i="1"/>
  <c r="B440" i="1"/>
  <c r="B297" i="1"/>
  <c r="B266" i="1"/>
  <c r="B241" i="1"/>
  <c r="B321" i="1"/>
  <c r="B468" i="1"/>
  <c r="B207" i="1"/>
  <c r="B463" i="1"/>
  <c r="B375" i="1"/>
  <c r="B376" i="1"/>
  <c r="B146" i="1"/>
  <c r="B161" i="1"/>
  <c r="B121" i="1"/>
  <c r="B385" i="1"/>
  <c r="B53" i="1"/>
  <c r="B162" i="1"/>
  <c r="B498" i="1"/>
  <c r="B314" i="1"/>
  <c r="B269" i="1"/>
  <c r="B470" i="1"/>
  <c r="B190" i="1"/>
  <c r="B427" i="1"/>
  <c r="B495" i="1"/>
  <c r="B222" i="1"/>
  <c r="B211" i="1"/>
  <c r="B272" i="1"/>
  <c r="B47" i="1"/>
  <c r="B166" i="1"/>
  <c r="B103" i="1"/>
  <c r="B202" i="1"/>
  <c r="B212" i="1"/>
  <c r="B86" i="1"/>
  <c r="B151" i="1"/>
  <c r="B442" i="1"/>
  <c r="B142" i="1"/>
  <c r="B307" i="1"/>
  <c r="B327" i="1"/>
  <c r="B491" i="1"/>
  <c r="B497" i="1"/>
  <c r="B144" i="1"/>
  <c r="B199" i="1"/>
  <c r="B383" i="1"/>
  <c r="B163" i="1"/>
  <c r="B24" i="1"/>
  <c r="B196" i="1"/>
  <c r="B330" i="1"/>
  <c r="B50" i="1"/>
  <c r="B149" i="1"/>
  <c r="B496" i="1"/>
  <c r="B94" i="1"/>
  <c r="B54" i="1"/>
  <c r="B39" i="1"/>
  <c r="B223" i="1"/>
  <c r="B411" i="1"/>
  <c r="B247" i="1"/>
  <c r="B230" i="1"/>
  <c r="B169" i="1"/>
  <c r="B472" i="1"/>
  <c r="B328" i="1"/>
  <c r="B323" i="1"/>
  <c r="B73" i="1"/>
  <c r="B36" i="1"/>
  <c r="B97" i="1"/>
  <c r="B424" i="1"/>
  <c r="B369" i="1"/>
  <c r="B75" i="1"/>
  <c r="B238" i="1"/>
  <c r="B396" i="1"/>
  <c r="B471" i="1"/>
  <c r="B395" i="1"/>
  <c r="B244" i="1"/>
  <c r="B35" i="1"/>
  <c r="B260" i="1"/>
  <c r="B137" i="1"/>
  <c r="B277" i="1"/>
  <c r="B113" i="1"/>
  <c r="B361" i="1"/>
  <c r="B29" i="1"/>
  <c r="B344" i="1"/>
  <c r="B89" i="1"/>
  <c r="B98" i="1"/>
  <c r="B28" i="1"/>
  <c r="B264" i="1"/>
  <c r="B310" i="1"/>
  <c r="B407" i="1"/>
  <c r="B210" i="1"/>
  <c r="B171" i="1"/>
  <c r="B431" i="1"/>
  <c r="B416" i="1"/>
  <c r="B380" i="1"/>
  <c r="B435" i="1"/>
  <c r="B293" i="1"/>
  <c r="B342" i="1"/>
  <c r="B138" i="1"/>
  <c r="B295" i="1"/>
  <c r="B412" i="1"/>
  <c r="B389" i="1"/>
  <c r="B420" i="1"/>
  <c r="B126" i="1"/>
  <c r="B95" i="1"/>
  <c r="B287" i="1"/>
  <c r="B285" i="1"/>
  <c r="B390" i="1"/>
  <c r="B325" i="1"/>
  <c r="B255" i="1"/>
  <c r="B454" i="1"/>
  <c r="B401" i="1"/>
  <c r="B469" i="1"/>
  <c r="B372" i="1"/>
  <c r="B237" i="1"/>
  <c r="B219" i="1"/>
  <c r="B193" i="1"/>
  <c r="B120" i="1"/>
  <c r="B15" i="1"/>
  <c r="B226" i="1"/>
  <c r="B153" i="1"/>
  <c r="B43" i="1"/>
  <c r="B156" i="1"/>
  <c r="B102" i="1"/>
  <c r="B139" i="1"/>
  <c r="B78" i="1"/>
  <c r="B11" i="1"/>
  <c r="B315" i="1"/>
  <c r="B451" i="1"/>
  <c r="B181" i="1"/>
  <c r="B170" i="1"/>
  <c r="B488" i="1"/>
  <c r="B68" i="1"/>
  <c r="B258" i="1"/>
  <c r="B49" i="1"/>
  <c r="B309" i="1"/>
  <c r="B419" i="1"/>
  <c r="B218" i="1"/>
  <c r="B248" i="1"/>
  <c r="B500" i="1"/>
  <c r="B176" i="1"/>
  <c r="B304" i="1"/>
  <c r="B336" i="1"/>
  <c r="B473" i="1"/>
  <c r="B452" i="1"/>
  <c r="B107" i="1"/>
  <c r="B301" i="1"/>
  <c r="B332" i="1"/>
  <c r="B203" i="1"/>
  <c r="B408" i="1"/>
  <c r="B388" i="1"/>
  <c r="B346" i="1"/>
  <c r="B300" i="1"/>
  <c r="B30" i="1"/>
  <c r="B23" i="1"/>
  <c r="B394" i="1"/>
  <c r="B477" i="1"/>
  <c r="B134" i="1"/>
  <c r="B81" i="1"/>
  <c r="B227" i="1"/>
  <c r="B235" i="1"/>
  <c r="B101" i="1"/>
  <c r="B61" i="1"/>
  <c r="B353" i="1"/>
  <c r="B273" i="1"/>
  <c r="B356" i="1"/>
  <c r="B38" i="1"/>
  <c r="B109" i="1"/>
  <c r="B466" i="1"/>
  <c r="B62" i="1"/>
  <c r="B381" i="1"/>
  <c r="B274" i="1"/>
  <c r="B251" i="1"/>
  <c r="B21" i="1"/>
  <c r="B456" i="1"/>
  <c r="B433" i="1"/>
  <c r="B489" i="1"/>
  <c r="B82" i="1"/>
  <c r="B343" i="1"/>
  <c r="B318" i="1"/>
  <c r="B157" i="1"/>
  <c r="B56" i="1"/>
  <c r="B90" i="1"/>
  <c r="B467" i="1"/>
  <c r="B143" i="1"/>
  <c r="B449" i="1"/>
  <c r="B182" i="1"/>
  <c r="B347" i="1"/>
  <c r="B177" i="1"/>
  <c r="B155" i="1"/>
  <c r="B110" i="1"/>
  <c r="B63" i="1"/>
  <c r="B26" i="1"/>
  <c r="B288" i="1"/>
  <c r="B154" i="1"/>
  <c r="B306" i="1"/>
  <c r="B249" i="1"/>
  <c r="B341" i="1"/>
  <c r="B410" i="1"/>
  <c r="B418" i="1"/>
  <c r="B13" i="1"/>
  <c r="B148" i="1"/>
  <c r="B34" i="1"/>
  <c r="B417" i="1"/>
  <c r="B443" i="1"/>
  <c r="B339" i="1"/>
  <c r="B20" i="1"/>
  <c r="B160" i="1"/>
  <c r="B441" i="1"/>
  <c r="B365" i="1"/>
  <c r="B80" i="1"/>
  <c r="B367" i="1"/>
  <c r="B263" i="1"/>
  <c r="B290" i="1"/>
  <c r="B87" i="1"/>
  <c r="B379" i="1"/>
  <c r="B165" i="1"/>
  <c r="B460" i="1"/>
  <c r="B164" i="1"/>
  <c r="B10" i="1"/>
  <c r="B69" i="1"/>
  <c r="B209" i="1"/>
  <c r="B271" i="1"/>
  <c r="B147" i="1"/>
  <c r="B366" i="1"/>
  <c r="B267" i="1"/>
  <c r="B299" i="1"/>
  <c r="B482" i="1"/>
  <c r="B85" i="1"/>
  <c r="B476" i="1"/>
  <c r="B386" i="1"/>
  <c r="B189" i="1"/>
  <c r="B174" i="1"/>
  <c r="B6" i="1"/>
  <c r="B64" i="1"/>
  <c r="B461" i="1"/>
  <c r="B362" i="1"/>
  <c r="B140" i="1"/>
  <c r="B430" i="1"/>
  <c r="B426" i="1"/>
  <c r="B70" i="1"/>
  <c r="B326" i="1"/>
  <c r="B312" i="1"/>
  <c r="B374" i="1"/>
  <c r="B132" i="1"/>
  <c r="B158" i="1"/>
  <c r="B46" i="1"/>
  <c r="B378" i="1"/>
  <c r="B239" i="1"/>
  <c r="B185" i="1"/>
  <c r="B334" i="1"/>
  <c r="B319" i="1"/>
  <c r="B436" i="1"/>
  <c r="B280" i="1"/>
  <c r="B67" i="1"/>
  <c r="B493" i="1"/>
  <c r="B115" i="1"/>
  <c r="B403" i="1"/>
  <c r="B17" i="1"/>
  <c r="B308" i="1"/>
  <c r="B201" i="1"/>
  <c r="B37" i="1"/>
  <c r="B129" i="1"/>
  <c r="B457" i="1"/>
  <c r="B276" i="1"/>
  <c r="B33" i="1"/>
  <c r="B234" i="1"/>
  <c r="B351" i="1"/>
  <c r="B294" i="1"/>
  <c r="B494" i="1"/>
  <c r="B57" i="1"/>
  <c r="B400" i="1"/>
  <c r="B8" i="1"/>
  <c r="B233" i="1"/>
  <c r="B213" i="1"/>
  <c r="B204" i="1"/>
  <c r="B296" i="1"/>
  <c r="B2" i="1"/>
  <c r="B357" i="1"/>
  <c r="B197" i="1"/>
  <c r="B398" i="1"/>
  <c r="B413" i="1"/>
  <c r="B242" i="1"/>
  <c r="B84" i="1"/>
  <c r="B474" i="1"/>
  <c r="B289" i="1"/>
  <c r="B131" i="1"/>
  <c r="B348" i="1"/>
  <c r="B191" i="1"/>
  <c r="B246" i="1"/>
  <c r="B478" i="1"/>
  <c r="B31" i="1"/>
  <c r="B425" i="1"/>
  <c r="B338" i="1"/>
  <c r="B358" i="1"/>
  <c r="B438" i="1"/>
  <c r="B458" i="1"/>
  <c r="B439" i="1"/>
  <c r="B423" i="1"/>
  <c r="B345" i="1"/>
  <c r="B243" i="1"/>
  <c r="B352" i="1"/>
  <c r="B302" i="1"/>
  <c r="B91" i="1"/>
  <c r="B268" i="1"/>
  <c r="B485" i="1"/>
  <c r="B406" i="1"/>
  <c r="B122" i="1"/>
  <c r="B421" i="1"/>
  <c r="B127" i="1"/>
  <c r="B455" i="1"/>
  <c r="B364" i="1"/>
  <c r="B133" i="1"/>
  <c r="B490" i="1"/>
  <c r="B183" i="1"/>
  <c r="B175" i="1"/>
  <c r="B446" i="1"/>
  <c r="B4" i="1"/>
  <c r="B14" i="1"/>
  <c r="B22" i="1"/>
  <c r="B229" i="1"/>
  <c r="B392" i="1"/>
  <c r="B275" i="1"/>
  <c r="B188" i="1"/>
  <c r="B399" i="1"/>
  <c r="B198" i="1"/>
  <c r="B415" i="1"/>
  <c r="B27" i="1"/>
  <c r="B236" i="1"/>
  <c r="B360" i="1"/>
  <c r="B179" i="1"/>
  <c r="B141" i="1"/>
  <c r="B286" i="1"/>
  <c r="B116" i="1"/>
  <c r="B221" i="1"/>
  <c r="B262" i="1"/>
  <c r="B59" i="1"/>
  <c r="B228" i="1"/>
  <c r="B74" i="1"/>
  <c r="B499" i="1"/>
  <c r="B252" i="1"/>
  <c r="B354" i="1"/>
  <c r="B186" i="1"/>
  <c r="B384" i="1"/>
  <c r="B168" i="1"/>
  <c r="B492" i="1"/>
  <c r="B303" i="1"/>
  <c r="B111" i="1"/>
  <c r="B459" i="1"/>
  <c r="B337" i="1"/>
  <c r="B484" i="1"/>
  <c r="B265" i="1"/>
  <c r="B409" i="1"/>
  <c r="B317" i="1"/>
  <c r="B311" i="1"/>
  <c r="B124" i="1"/>
  <c r="B450" i="1"/>
  <c r="B422" i="1"/>
  <c r="B270" i="1"/>
  <c r="B180" i="1"/>
  <c r="B125" i="1"/>
  <c r="B292" i="1"/>
  <c r="B397" i="1"/>
  <c r="B359" i="1"/>
  <c r="B464" i="1"/>
  <c r="B281" i="1"/>
  <c r="B483" i="1"/>
  <c r="B16" i="1"/>
  <c r="B19" i="1"/>
  <c r="B145" i="1"/>
  <c r="B112" i="1"/>
  <c r="B428" i="1"/>
  <c r="B3" i="1"/>
  <c r="B119" i="1"/>
  <c r="B76" i="1"/>
  <c r="B283" i="1"/>
  <c r="B355" i="1"/>
  <c r="B178" i="1"/>
  <c r="B208" i="1"/>
  <c r="B83" i="1"/>
  <c r="B434" i="1"/>
  <c r="B350" i="1"/>
  <c r="B92" i="1"/>
  <c r="B51" i="1"/>
  <c r="B414" i="1"/>
  <c r="B200" i="1"/>
  <c r="B465" i="1"/>
  <c r="B259" i="1"/>
  <c r="B445" i="1"/>
  <c r="B99" i="1"/>
  <c r="B322" i="1"/>
  <c r="B254" i="1"/>
  <c r="B282" i="1"/>
  <c r="B60" i="1"/>
  <c r="B240" i="1"/>
  <c r="B214" i="1"/>
  <c r="B118" i="1"/>
  <c r="B48" i="1"/>
  <c r="B231" i="1"/>
  <c r="B40" i="1"/>
  <c r="B93" i="1"/>
  <c r="B55" i="1"/>
  <c r="B333" i="1"/>
  <c r="B382" i="1"/>
  <c r="B261" i="1"/>
  <c r="B316" i="1"/>
  <c r="B159" i="1"/>
  <c r="B402" i="1"/>
  <c r="B152" i="1"/>
  <c r="B172" i="1"/>
  <c r="B313" i="1"/>
  <c r="B136" i="1"/>
  <c r="B224" i="1"/>
  <c r="B373" i="1"/>
  <c r="B216" i="1"/>
  <c r="B184" i="1"/>
  <c r="B324" i="1"/>
  <c r="B106" i="1"/>
  <c r="B298" i="1"/>
  <c r="B437" i="1"/>
  <c r="B5" i="1"/>
  <c r="B205" i="1"/>
  <c r="B481" i="1"/>
  <c r="B329" i="1"/>
  <c r="B284" i="1"/>
  <c r="B65" i="1"/>
  <c r="B192" i="1"/>
  <c r="B256" i="1"/>
  <c r="B96" i="1"/>
  <c r="B391" i="1"/>
  <c r="B371" i="1"/>
  <c r="B25" i="1"/>
  <c r="B368" i="1"/>
  <c r="B108" i="1"/>
  <c r="B486" i="1"/>
  <c r="B206" i="1"/>
  <c r="B349" i="1"/>
  <c r="B480" i="1"/>
  <c r="B448" i="1"/>
  <c r="B18" i="1"/>
  <c r="B291" i="1"/>
  <c r="B173" i="1"/>
  <c r="B475" i="1"/>
  <c r="B123" i="1"/>
  <c r="B232" i="1"/>
  <c r="B42" i="1"/>
  <c r="B479" i="1"/>
  <c r="B335" i="1"/>
  <c r="B447" i="1"/>
  <c r="B44" i="1"/>
  <c r="B58" i="1"/>
  <c r="B404" i="1"/>
  <c r="B135" i="1"/>
  <c r="B77" i="1"/>
  <c r="B7" i="1"/>
  <c r="B117" i="1"/>
  <c r="B387" i="1"/>
  <c r="B45" i="1"/>
  <c r="B429" i="1"/>
  <c r="B377" i="1"/>
  <c r="I377" i="1" l="1"/>
  <c r="G377" i="1"/>
  <c r="H377" i="1" s="1"/>
  <c r="I429" i="1"/>
  <c r="G429" i="1"/>
  <c r="H429" i="1" s="1"/>
  <c r="I45" i="1"/>
  <c r="G45" i="1"/>
  <c r="H45" i="1" s="1"/>
  <c r="I387" i="1"/>
  <c r="G387" i="1"/>
  <c r="H387" i="1" s="1"/>
  <c r="I117" i="1"/>
  <c r="G117" i="1"/>
  <c r="H117" i="1" s="1"/>
  <c r="I7" i="1"/>
  <c r="G7" i="1"/>
  <c r="H7" i="1" s="1"/>
  <c r="I77" i="1"/>
  <c r="G77" i="1"/>
  <c r="H77" i="1" s="1"/>
  <c r="I135" i="1"/>
  <c r="G135" i="1"/>
  <c r="H135" i="1" s="1"/>
  <c r="I404" i="1"/>
  <c r="G404" i="1"/>
  <c r="H404" i="1" s="1"/>
  <c r="I58" i="1"/>
  <c r="G58" i="1"/>
  <c r="H58" i="1" s="1"/>
  <c r="I44" i="1"/>
  <c r="G44" i="1"/>
  <c r="H44" i="1" s="1"/>
  <c r="I447" i="1"/>
  <c r="G447" i="1"/>
  <c r="H447" i="1" s="1"/>
  <c r="I335" i="1"/>
  <c r="G335" i="1"/>
  <c r="H335" i="1" s="1"/>
  <c r="I479" i="1"/>
  <c r="G479" i="1"/>
  <c r="H479" i="1" s="1"/>
  <c r="I42" i="1"/>
  <c r="G42" i="1"/>
  <c r="H42" i="1" s="1"/>
  <c r="I232" i="1"/>
  <c r="G232" i="1"/>
  <c r="H232" i="1" s="1"/>
  <c r="I123" i="1"/>
  <c r="G123" i="1"/>
  <c r="H123" i="1" s="1"/>
  <c r="I475" i="1"/>
  <c r="G475" i="1"/>
  <c r="H475" i="1" s="1"/>
  <c r="I173" i="1"/>
  <c r="G173" i="1"/>
  <c r="H173" i="1" s="1"/>
  <c r="I291" i="1"/>
  <c r="G291" i="1"/>
  <c r="H291" i="1" s="1"/>
  <c r="I18" i="1"/>
  <c r="G18" i="1"/>
  <c r="H18" i="1" s="1"/>
  <c r="I448" i="1"/>
  <c r="G448" i="1"/>
  <c r="H448" i="1" s="1"/>
  <c r="I480" i="1"/>
  <c r="G480" i="1"/>
  <c r="H480" i="1" s="1"/>
  <c r="I349" i="1"/>
  <c r="G349" i="1"/>
  <c r="H349" i="1" s="1"/>
  <c r="I206" i="1"/>
  <c r="G206" i="1"/>
  <c r="H206" i="1" s="1"/>
  <c r="I486" i="1"/>
  <c r="G486" i="1"/>
  <c r="H486" i="1" s="1"/>
  <c r="I108" i="1"/>
  <c r="G108" i="1"/>
  <c r="H108" i="1" s="1"/>
  <c r="I368" i="1"/>
  <c r="G368" i="1"/>
  <c r="H368" i="1" s="1"/>
  <c r="I25" i="1"/>
  <c r="G25" i="1"/>
  <c r="H25" i="1" s="1"/>
  <c r="I371" i="1"/>
  <c r="G371" i="1"/>
  <c r="H371" i="1" s="1"/>
  <c r="I391" i="1"/>
  <c r="G391" i="1"/>
  <c r="H391" i="1" s="1"/>
  <c r="I96" i="1"/>
  <c r="G96" i="1"/>
  <c r="H96" i="1" s="1"/>
  <c r="I256" i="1"/>
  <c r="G256" i="1"/>
  <c r="H256" i="1" s="1"/>
  <c r="I192" i="1"/>
  <c r="G192" i="1"/>
  <c r="H192" i="1" s="1"/>
  <c r="I65" i="1"/>
  <c r="G65" i="1"/>
  <c r="H65" i="1" s="1"/>
  <c r="I284" i="1"/>
  <c r="G284" i="1"/>
  <c r="H284" i="1" s="1"/>
  <c r="I329" i="1"/>
  <c r="G329" i="1"/>
  <c r="H329" i="1" s="1"/>
  <c r="I481" i="1"/>
  <c r="G481" i="1"/>
  <c r="H481" i="1" s="1"/>
  <c r="I205" i="1"/>
  <c r="G205" i="1"/>
  <c r="H205" i="1" s="1"/>
  <c r="I5" i="1"/>
  <c r="G5" i="1"/>
  <c r="H5" i="1" s="1"/>
  <c r="I437" i="1"/>
  <c r="G437" i="1"/>
  <c r="H437" i="1" s="1"/>
  <c r="I298" i="1"/>
  <c r="G298" i="1"/>
  <c r="H298" i="1" s="1"/>
  <c r="I106" i="1"/>
  <c r="G106" i="1"/>
  <c r="H106" i="1" s="1"/>
  <c r="I324" i="1"/>
  <c r="G324" i="1"/>
  <c r="H324" i="1" s="1"/>
  <c r="I184" i="1"/>
  <c r="G184" i="1"/>
  <c r="H184" i="1" s="1"/>
  <c r="I216" i="1"/>
  <c r="G216" i="1"/>
  <c r="H216" i="1" s="1"/>
  <c r="I373" i="1"/>
  <c r="G373" i="1"/>
  <c r="H373" i="1" s="1"/>
  <c r="I224" i="1"/>
  <c r="G224" i="1"/>
  <c r="H224" i="1" s="1"/>
  <c r="I136" i="1"/>
  <c r="G136" i="1"/>
  <c r="H136" i="1" s="1"/>
  <c r="I313" i="1"/>
  <c r="G313" i="1"/>
  <c r="H313" i="1" s="1"/>
  <c r="I172" i="1"/>
  <c r="G172" i="1"/>
  <c r="H172" i="1" s="1"/>
  <c r="I152" i="1"/>
  <c r="G152" i="1"/>
  <c r="H152" i="1" s="1"/>
  <c r="I402" i="1"/>
  <c r="G402" i="1"/>
  <c r="H402" i="1" s="1"/>
  <c r="I159" i="1"/>
  <c r="G159" i="1"/>
  <c r="H159" i="1" s="1"/>
  <c r="I316" i="1"/>
  <c r="G316" i="1"/>
  <c r="H316" i="1" s="1"/>
  <c r="I261" i="1"/>
  <c r="G261" i="1"/>
  <c r="H261" i="1" s="1"/>
  <c r="I382" i="1"/>
  <c r="G382" i="1"/>
  <c r="H382" i="1" s="1"/>
  <c r="I333" i="1"/>
  <c r="G333" i="1"/>
  <c r="H333" i="1" s="1"/>
  <c r="I55" i="1"/>
  <c r="G55" i="1"/>
  <c r="H55" i="1" s="1"/>
  <c r="I93" i="1"/>
  <c r="G93" i="1"/>
  <c r="H93" i="1" s="1"/>
  <c r="I40" i="1"/>
  <c r="G40" i="1"/>
  <c r="H40" i="1" s="1"/>
  <c r="I231" i="1"/>
  <c r="G231" i="1"/>
  <c r="H231" i="1" s="1"/>
  <c r="I48" i="1"/>
  <c r="G48" i="1"/>
  <c r="H48" i="1" s="1"/>
  <c r="I118" i="1"/>
  <c r="G118" i="1"/>
  <c r="H118" i="1" s="1"/>
  <c r="I214" i="1"/>
  <c r="G214" i="1"/>
  <c r="H214" i="1" s="1"/>
  <c r="I240" i="1"/>
  <c r="G240" i="1"/>
  <c r="H240" i="1" s="1"/>
  <c r="I60" i="1"/>
  <c r="G60" i="1"/>
  <c r="H60" i="1" s="1"/>
  <c r="I282" i="1"/>
  <c r="G282" i="1"/>
  <c r="H282" i="1" s="1"/>
  <c r="I254" i="1"/>
  <c r="G254" i="1"/>
  <c r="H254" i="1" s="1"/>
  <c r="I322" i="1"/>
  <c r="G322" i="1"/>
  <c r="H322" i="1" s="1"/>
  <c r="I99" i="1"/>
  <c r="G99" i="1"/>
  <c r="H99" i="1" s="1"/>
  <c r="I445" i="1"/>
  <c r="G445" i="1"/>
  <c r="H445" i="1" s="1"/>
  <c r="I259" i="1"/>
  <c r="G259" i="1"/>
  <c r="H259" i="1" s="1"/>
  <c r="I465" i="1"/>
  <c r="G465" i="1"/>
  <c r="H465" i="1" s="1"/>
  <c r="I200" i="1"/>
  <c r="G200" i="1"/>
  <c r="H200" i="1" s="1"/>
  <c r="I414" i="1"/>
  <c r="G414" i="1"/>
  <c r="H414" i="1" s="1"/>
  <c r="I51" i="1"/>
  <c r="G51" i="1"/>
  <c r="H51" i="1" s="1"/>
  <c r="I92" i="1"/>
  <c r="G92" i="1"/>
  <c r="H92" i="1" s="1"/>
  <c r="I350" i="1"/>
  <c r="G350" i="1"/>
  <c r="H350" i="1" s="1"/>
  <c r="I434" i="1"/>
  <c r="G434" i="1"/>
  <c r="H434" i="1" s="1"/>
  <c r="I83" i="1"/>
  <c r="G83" i="1"/>
  <c r="H83" i="1" s="1"/>
  <c r="I208" i="1"/>
  <c r="G208" i="1"/>
  <c r="H208" i="1" s="1"/>
  <c r="I178" i="1"/>
  <c r="G178" i="1"/>
  <c r="H178" i="1" s="1"/>
  <c r="I355" i="1"/>
  <c r="G355" i="1"/>
  <c r="H355" i="1" s="1"/>
  <c r="I283" i="1"/>
  <c r="G283" i="1"/>
  <c r="H283" i="1" s="1"/>
  <c r="I76" i="1"/>
  <c r="G76" i="1"/>
  <c r="H76" i="1" s="1"/>
  <c r="I119" i="1"/>
  <c r="G119" i="1"/>
  <c r="H119" i="1" s="1"/>
  <c r="I3" i="1"/>
  <c r="G3" i="1"/>
  <c r="H3" i="1" s="1"/>
  <c r="I428" i="1"/>
  <c r="G428" i="1"/>
  <c r="H428" i="1" s="1"/>
  <c r="I112" i="1"/>
  <c r="G112" i="1"/>
  <c r="H112" i="1" s="1"/>
  <c r="I145" i="1"/>
  <c r="G145" i="1"/>
  <c r="H145" i="1" s="1"/>
  <c r="I19" i="1"/>
  <c r="G19" i="1"/>
  <c r="H19" i="1" s="1"/>
  <c r="I16" i="1"/>
  <c r="G16" i="1"/>
  <c r="H16" i="1" s="1"/>
  <c r="I483" i="1"/>
  <c r="G483" i="1"/>
  <c r="H483" i="1" s="1"/>
  <c r="I281" i="1"/>
  <c r="G281" i="1"/>
  <c r="H281" i="1" s="1"/>
  <c r="I464" i="1"/>
  <c r="G464" i="1"/>
  <c r="H464" i="1" s="1"/>
  <c r="I359" i="1"/>
  <c r="G359" i="1"/>
  <c r="H359" i="1" s="1"/>
  <c r="I397" i="1"/>
  <c r="G397" i="1"/>
  <c r="H397" i="1" s="1"/>
  <c r="I292" i="1"/>
  <c r="G292" i="1"/>
  <c r="H292" i="1" s="1"/>
  <c r="I125" i="1"/>
  <c r="G125" i="1"/>
  <c r="H125" i="1" s="1"/>
  <c r="I180" i="1"/>
  <c r="G180" i="1"/>
  <c r="H180" i="1" s="1"/>
  <c r="I270" i="1"/>
  <c r="G270" i="1"/>
  <c r="H270" i="1" s="1"/>
  <c r="I422" i="1"/>
  <c r="G422" i="1"/>
  <c r="H422" i="1" s="1"/>
  <c r="I450" i="1"/>
  <c r="G450" i="1"/>
  <c r="H450" i="1" s="1"/>
  <c r="I124" i="1"/>
  <c r="G124" i="1"/>
  <c r="H124" i="1" s="1"/>
  <c r="I311" i="1"/>
  <c r="G311" i="1"/>
  <c r="H311" i="1" s="1"/>
  <c r="I317" i="1"/>
  <c r="G317" i="1"/>
  <c r="H317" i="1" s="1"/>
  <c r="I409" i="1"/>
  <c r="G409" i="1"/>
  <c r="H409" i="1" s="1"/>
  <c r="I265" i="1"/>
  <c r="G265" i="1"/>
  <c r="H265" i="1" s="1"/>
  <c r="I484" i="1"/>
  <c r="G484" i="1"/>
  <c r="H484" i="1" s="1"/>
  <c r="I337" i="1"/>
  <c r="G337" i="1"/>
  <c r="H337" i="1" s="1"/>
  <c r="I459" i="1"/>
  <c r="G459" i="1"/>
  <c r="H459" i="1" s="1"/>
  <c r="I111" i="1"/>
  <c r="G111" i="1"/>
  <c r="H111" i="1" s="1"/>
  <c r="I303" i="1"/>
  <c r="G303" i="1"/>
  <c r="H303" i="1" s="1"/>
  <c r="I492" i="1"/>
  <c r="G492" i="1"/>
  <c r="H492" i="1" s="1"/>
  <c r="I168" i="1"/>
  <c r="G168" i="1"/>
  <c r="H168" i="1" s="1"/>
  <c r="I384" i="1"/>
  <c r="G384" i="1"/>
  <c r="H384" i="1" s="1"/>
  <c r="I186" i="1"/>
  <c r="G186" i="1"/>
  <c r="H186" i="1" s="1"/>
  <c r="I354" i="1"/>
  <c r="G354" i="1"/>
  <c r="H354" i="1" s="1"/>
  <c r="I252" i="1"/>
  <c r="G252" i="1"/>
  <c r="H252" i="1" s="1"/>
  <c r="I499" i="1"/>
  <c r="G499" i="1"/>
  <c r="H499" i="1" s="1"/>
  <c r="I74" i="1"/>
  <c r="G74" i="1"/>
  <c r="H74" i="1" s="1"/>
  <c r="I228" i="1"/>
  <c r="G228" i="1"/>
  <c r="H228" i="1" s="1"/>
  <c r="I59" i="1"/>
  <c r="G59" i="1"/>
  <c r="H59" i="1" s="1"/>
  <c r="I262" i="1"/>
  <c r="G262" i="1"/>
  <c r="H262" i="1" s="1"/>
  <c r="I221" i="1"/>
  <c r="G221" i="1"/>
  <c r="H221" i="1" s="1"/>
  <c r="I116" i="1"/>
  <c r="G116" i="1"/>
  <c r="H116" i="1" s="1"/>
  <c r="I286" i="1"/>
  <c r="G286" i="1"/>
  <c r="H286" i="1" s="1"/>
  <c r="I141" i="1"/>
  <c r="G141" i="1"/>
  <c r="H141" i="1" s="1"/>
  <c r="I179" i="1"/>
  <c r="G179" i="1"/>
  <c r="H179" i="1" s="1"/>
  <c r="I360" i="1"/>
  <c r="G360" i="1"/>
  <c r="H360" i="1" s="1"/>
  <c r="I236" i="1"/>
  <c r="G236" i="1"/>
  <c r="H236" i="1" s="1"/>
  <c r="I27" i="1"/>
  <c r="G27" i="1"/>
  <c r="H27" i="1" s="1"/>
  <c r="I415" i="1"/>
  <c r="G415" i="1"/>
  <c r="H415" i="1" s="1"/>
  <c r="I198" i="1"/>
  <c r="G198" i="1"/>
  <c r="H198" i="1" s="1"/>
  <c r="I399" i="1"/>
  <c r="G399" i="1"/>
  <c r="H399" i="1" s="1"/>
  <c r="I188" i="1"/>
  <c r="G188" i="1"/>
  <c r="H188" i="1" s="1"/>
  <c r="I275" i="1"/>
  <c r="G275" i="1"/>
  <c r="H275" i="1" s="1"/>
  <c r="I392" i="1"/>
  <c r="G392" i="1"/>
  <c r="H392" i="1" s="1"/>
  <c r="I229" i="1"/>
  <c r="G229" i="1"/>
  <c r="H229" i="1" s="1"/>
  <c r="I22" i="1"/>
  <c r="G22" i="1"/>
  <c r="H22" i="1" s="1"/>
  <c r="I14" i="1"/>
  <c r="G14" i="1"/>
  <c r="H14" i="1" s="1"/>
  <c r="I4" i="1"/>
  <c r="G4" i="1"/>
  <c r="H4" i="1" s="1"/>
  <c r="I446" i="1"/>
  <c r="G446" i="1"/>
  <c r="H446" i="1" s="1"/>
  <c r="I175" i="1"/>
  <c r="G175" i="1"/>
  <c r="H175" i="1" s="1"/>
  <c r="I183" i="1"/>
  <c r="G183" i="1"/>
  <c r="H183" i="1" s="1"/>
  <c r="I490" i="1"/>
  <c r="G490" i="1"/>
  <c r="H490" i="1" s="1"/>
  <c r="I133" i="1"/>
  <c r="G133" i="1"/>
  <c r="H133" i="1" s="1"/>
  <c r="I364" i="1"/>
  <c r="G364" i="1"/>
  <c r="H364" i="1" s="1"/>
  <c r="I455" i="1"/>
  <c r="G455" i="1"/>
  <c r="H455" i="1" s="1"/>
  <c r="I127" i="1"/>
  <c r="G127" i="1"/>
  <c r="H127" i="1" s="1"/>
  <c r="I421" i="1"/>
  <c r="G421" i="1"/>
  <c r="H421" i="1" s="1"/>
  <c r="I122" i="1"/>
  <c r="G122" i="1"/>
  <c r="H122" i="1" s="1"/>
  <c r="I406" i="1"/>
  <c r="G406" i="1"/>
  <c r="H406" i="1" s="1"/>
  <c r="I485" i="1"/>
  <c r="G485" i="1"/>
  <c r="H485" i="1" s="1"/>
  <c r="I268" i="1"/>
  <c r="G268" i="1"/>
  <c r="H268" i="1" s="1"/>
  <c r="I91" i="1"/>
  <c r="G91" i="1"/>
  <c r="H91" i="1" s="1"/>
  <c r="I302" i="1"/>
  <c r="G302" i="1"/>
  <c r="H302" i="1" s="1"/>
  <c r="I352" i="1"/>
  <c r="G352" i="1"/>
  <c r="H352" i="1" s="1"/>
  <c r="I243" i="1"/>
  <c r="G243" i="1"/>
  <c r="H243" i="1" s="1"/>
  <c r="I345" i="1"/>
  <c r="G345" i="1"/>
  <c r="H345" i="1" s="1"/>
  <c r="I423" i="1"/>
  <c r="G423" i="1"/>
  <c r="H423" i="1" s="1"/>
  <c r="I439" i="1"/>
  <c r="G439" i="1"/>
  <c r="H439" i="1" s="1"/>
  <c r="I458" i="1"/>
  <c r="G458" i="1"/>
  <c r="H458" i="1" s="1"/>
  <c r="I438" i="1"/>
  <c r="G438" i="1"/>
  <c r="H438" i="1" s="1"/>
  <c r="I358" i="1"/>
  <c r="G358" i="1"/>
  <c r="H358" i="1" s="1"/>
  <c r="I338" i="1"/>
  <c r="G338" i="1"/>
  <c r="H338" i="1" s="1"/>
  <c r="I425" i="1"/>
  <c r="G425" i="1"/>
  <c r="H425" i="1" s="1"/>
  <c r="I31" i="1"/>
  <c r="G31" i="1"/>
  <c r="H31" i="1" s="1"/>
  <c r="I478" i="1"/>
  <c r="G478" i="1"/>
  <c r="H478" i="1" s="1"/>
  <c r="I246" i="1"/>
  <c r="G246" i="1"/>
  <c r="H246" i="1" s="1"/>
  <c r="I191" i="1"/>
  <c r="G191" i="1"/>
  <c r="H191" i="1" s="1"/>
  <c r="I348" i="1"/>
  <c r="G348" i="1"/>
  <c r="H348" i="1" s="1"/>
  <c r="I131" i="1"/>
  <c r="G131" i="1"/>
  <c r="H131" i="1" s="1"/>
  <c r="I289" i="1"/>
  <c r="G289" i="1"/>
  <c r="H289" i="1" s="1"/>
  <c r="I474" i="1"/>
  <c r="G474" i="1"/>
  <c r="H474" i="1" s="1"/>
  <c r="I84" i="1"/>
  <c r="G84" i="1"/>
  <c r="H84" i="1" s="1"/>
  <c r="I242" i="1"/>
  <c r="G242" i="1"/>
  <c r="H242" i="1" s="1"/>
  <c r="I413" i="1"/>
  <c r="G413" i="1"/>
  <c r="H413" i="1" s="1"/>
  <c r="I398" i="1"/>
  <c r="G398" i="1"/>
  <c r="H398" i="1" s="1"/>
  <c r="I197" i="1"/>
  <c r="G197" i="1"/>
  <c r="H197" i="1" s="1"/>
  <c r="I357" i="1"/>
  <c r="G357" i="1"/>
  <c r="H357" i="1" s="1"/>
  <c r="I2" i="1"/>
  <c r="G2" i="1"/>
  <c r="H2" i="1" s="1"/>
  <c r="I296" i="1"/>
  <c r="G296" i="1"/>
  <c r="H296" i="1" s="1"/>
  <c r="I204" i="1"/>
  <c r="G204" i="1"/>
  <c r="H204" i="1" s="1"/>
  <c r="I213" i="1"/>
  <c r="G213" i="1"/>
  <c r="H213" i="1" s="1"/>
  <c r="I233" i="1"/>
  <c r="G233" i="1"/>
  <c r="H233" i="1" s="1"/>
  <c r="I8" i="1"/>
  <c r="G8" i="1"/>
  <c r="H8" i="1" s="1"/>
  <c r="I400" i="1"/>
  <c r="G400" i="1"/>
  <c r="H400" i="1" s="1"/>
  <c r="I57" i="1"/>
  <c r="G57" i="1"/>
  <c r="H57" i="1" s="1"/>
  <c r="I494" i="1"/>
  <c r="G494" i="1"/>
  <c r="H494" i="1" s="1"/>
  <c r="I294" i="1"/>
  <c r="G294" i="1"/>
  <c r="H294" i="1" s="1"/>
  <c r="I351" i="1"/>
  <c r="G351" i="1"/>
  <c r="H351" i="1" s="1"/>
  <c r="I234" i="1"/>
  <c r="G234" i="1"/>
  <c r="H234" i="1" s="1"/>
  <c r="I33" i="1"/>
  <c r="G33" i="1"/>
  <c r="H33" i="1" s="1"/>
  <c r="I276" i="1"/>
  <c r="G276" i="1"/>
  <c r="H276" i="1" s="1"/>
  <c r="I457" i="1"/>
  <c r="G457" i="1"/>
  <c r="H457" i="1" s="1"/>
  <c r="I129" i="1"/>
  <c r="G129" i="1"/>
  <c r="H129" i="1" s="1"/>
  <c r="I37" i="1"/>
  <c r="G37" i="1"/>
  <c r="H37" i="1" s="1"/>
  <c r="I201" i="1"/>
  <c r="G201" i="1"/>
  <c r="H201" i="1" s="1"/>
  <c r="I308" i="1"/>
  <c r="G308" i="1"/>
  <c r="H308" i="1" s="1"/>
  <c r="I17" i="1"/>
  <c r="G17" i="1"/>
  <c r="H17" i="1" s="1"/>
  <c r="I403" i="1"/>
  <c r="G403" i="1"/>
  <c r="H403" i="1" s="1"/>
  <c r="I115" i="1"/>
  <c r="G115" i="1"/>
  <c r="H115" i="1" s="1"/>
  <c r="I493" i="1"/>
  <c r="G493" i="1"/>
  <c r="H493" i="1" s="1"/>
  <c r="I67" i="1"/>
  <c r="G67" i="1"/>
  <c r="H67" i="1" s="1"/>
  <c r="I280" i="1"/>
  <c r="G280" i="1"/>
  <c r="H280" i="1" s="1"/>
  <c r="I436" i="1"/>
  <c r="G436" i="1"/>
  <c r="H436" i="1" s="1"/>
  <c r="I319" i="1"/>
  <c r="G319" i="1"/>
  <c r="H319" i="1" s="1"/>
  <c r="I334" i="1"/>
  <c r="G334" i="1"/>
  <c r="H334" i="1" s="1"/>
  <c r="I185" i="1"/>
  <c r="G185" i="1"/>
  <c r="H185" i="1" s="1"/>
  <c r="I239" i="1"/>
  <c r="G239" i="1"/>
  <c r="H239" i="1" s="1"/>
  <c r="I378" i="1"/>
  <c r="G378" i="1"/>
  <c r="H378" i="1" s="1"/>
  <c r="I46" i="1"/>
  <c r="G46" i="1"/>
  <c r="H46" i="1" s="1"/>
  <c r="I158" i="1"/>
  <c r="G158" i="1"/>
  <c r="H158" i="1" s="1"/>
  <c r="I132" i="1"/>
  <c r="G132" i="1"/>
  <c r="H132" i="1" s="1"/>
  <c r="I374" i="1"/>
  <c r="G374" i="1"/>
  <c r="H374" i="1" s="1"/>
  <c r="I312" i="1"/>
  <c r="G312" i="1"/>
  <c r="H312" i="1" s="1"/>
  <c r="I326" i="1"/>
  <c r="G326" i="1"/>
  <c r="H326" i="1" s="1"/>
  <c r="I70" i="1"/>
  <c r="G70" i="1"/>
  <c r="H70" i="1" s="1"/>
  <c r="I426" i="1"/>
  <c r="G426" i="1"/>
  <c r="H426" i="1" s="1"/>
  <c r="I430" i="1"/>
  <c r="G430" i="1"/>
  <c r="H430" i="1" s="1"/>
  <c r="I140" i="1"/>
  <c r="G140" i="1"/>
  <c r="H140" i="1" s="1"/>
  <c r="I362" i="1"/>
  <c r="G362" i="1"/>
  <c r="H362" i="1" s="1"/>
  <c r="I461" i="1"/>
  <c r="G461" i="1"/>
  <c r="H461" i="1" s="1"/>
  <c r="I64" i="1"/>
  <c r="G64" i="1"/>
  <c r="H64" i="1" s="1"/>
  <c r="I6" i="1"/>
  <c r="G6" i="1"/>
  <c r="H6" i="1" s="1"/>
  <c r="I174" i="1"/>
  <c r="G174" i="1"/>
  <c r="H174" i="1" s="1"/>
  <c r="I189" i="1"/>
  <c r="G189" i="1"/>
  <c r="H189" i="1" s="1"/>
  <c r="I386" i="1"/>
  <c r="G386" i="1"/>
  <c r="H386" i="1" s="1"/>
  <c r="I476" i="1"/>
  <c r="G476" i="1"/>
  <c r="H476" i="1" s="1"/>
  <c r="I85" i="1"/>
  <c r="G85" i="1"/>
  <c r="H85" i="1" s="1"/>
  <c r="I482" i="1"/>
  <c r="G482" i="1"/>
  <c r="H482" i="1" s="1"/>
  <c r="I299" i="1"/>
  <c r="G299" i="1"/>
  <c r="H299" i="1" s="1"/>
  <c r="I267" i="1"/>
  <c r="G267" i="1"/>
  <c r="H267" i="1" s="1"/>
  <c r="I366" i="1"/>
  <c r="G366" i="1"/>
  <c r="H366" i="1" s="1"/>
  <c r="I147" i="1"/>
  <c r="G147" i="1"/>
  <c r="H147" i="1" s="1"/>
  <c r="I271" i="1"/>
  <c r="G271" i="1"/>
  <c r="H271" i="1" s="1"/>
  <c r="I209" i="1"/>
  <c r="G209" i="1"/>
  <c r="H209" i="1" s="1"/>
  <c r="I69" i="1"/>
  <c r="G69" i="1"/>
  <c r="H69" i="1" s="1"/>
  <c r="I10" i="1"/>
  <c r="G10" i="1"/>
  <c r="H10" i="1" s="1"/>
  <c r="I164" i="1"/>
  <c r="G164" i="1"/>
  <c r="H164" i="1" s="1"/>
  <c r="I460" i="1"/>
  <c r="G460" i="1"/>
  <c r="H460" i="1" s="1"/>
  <c r="I165" i="1"/>
  <c r="G165" i="1"/>
  <c r="H165" i="1" s="1"/>
  <c r="I379" i="1"/>
  <c r="G379" i="1"/>
  <c r="H379" i="1" s="1"/>
  <c r="I87" i="1"/>
  <c r="G87" i="1"/>
  <c r="H87" i="1" s="1"/>
  <c r="I290" i="1"/>
  <c r="G290" i="1"/>
  <c r="H290" i="1" s="1"/>
  <c r="I263" i="1"/>
  <c r="G263" i="1"/>
  <c r="H263" i="1" s="1"/>
  <c r="I367" i="1"/>
  <c r="G367" i="1"/>
  <c r="H367" i="1" s="1"/>
  <c r="I80" i="1"/>
  <c r="G80" i="1"/>
  <c r="H80" i="1" s="1"/>
  <c r="I365" i="1"/>
  <c r="G365" i="1"/>
  <c r="H365" i="1" s="1"/>
  <c r="I441" i="1"/>
  <c r="G441" i="1"/>
  <c r="H441" i="1" s="1"/>
  <c r="I160" i="1"/>
  <c r="G160" i="1"/>
  <c r="H160" i="1" s="1"/>
  <c r="I20" i="1"/>
  <c r="G20" i="1"/>
  <c r="H20" i="1" s="1"/>
  <c r="I339" i="1"/>
  <c r="G339" i="1"/>
  <c r="H339" i="1" s="1"/>
  <c r="I443" i="1"/>
  <c r="G443" i="1"/>
  <c r="H443" i="1" s="1"/>
  <c r="I417" i="1"/>
  <c r="G417" i="1"/>
  <c r="H417" i="1" s="1"/>
  <c r="I34" i="1"/>
  <c r="G34" i="1"/>
  <c r="H34" i="1" s="1"/>
  <c r="I148" i="1"/>
  <c r="G148" i="1"/>
  <c r="H148" i="1" s="1"/>
  <c r="I13" i="1"/>
  <c r="G13" i="1"/>
  <c r="H13" i="1" s="1"/>
  <c r="I418" i="1"/>
  <c r="G418" i="1"/>
  <c r="H418" i="1" s="1"/>
  <c r="I410" i="1"/>
  <c r="G410" i="1"/>
  <c r="H410" i="1" s="1"/>
  <c r="I341" i="1"/>
  <c r="G341" i="1"/>
  <c r="H341" i="1" s="1"/>
  <c r="I249" i="1"/>
  <c r="G249" i="1"/>
  <c r="H249" i="1" s="1"/>
  <c r="I306" i="1"/>
  <c r="G306" i="1"/>
  <c r="H306" i="1" s="1"/>
  <c r="I154" i="1"/>
  <c r="G154" i="1"/>
  <c r="H154" i="1" s="1"/>
  <c r="I288" i="1"/>
  <c r="G288" i="1"/>
  <c r="H288" i="1" s="1"/>
  <c r="I26" i="1"/>
  <c r="G26" i="1"/>
  <c r="H26" i="1" s="1"/>
  <c r="I63" i="1"/>
  <c r="G63" i="1"/>
  <c r="H63" i="1" s="1"/>
  <c r="I110" i="1"/>
  <c r="G110" i="1"/>
  <c r="H110" i="1" s="1"/>
  <c r="I155" i="1"/>
  <c r="G155" i="1"/>
  <c r="H155" i="1" s="1"/>
  <c r="I177" i="1"/>
  <c r="G177" i="1"/>
  <c r="H177" i="1" s="1"/>
  <c r="I347" i="1"/>
  <c r="G347" i="1"/>
  <c r="H347" i="1" s="1"/>
  <c r="I182" i="1"/>
  <c r="G182" i="1"/>
  <c r="H182" i="1" s="1"/>
  <c r="I449" i="1"/>
  <c r="G449" i="1"/>
  <c r="H449" i="1" s="1"/>
  <c r="I143" i="1"/>
  <c r="G143" i="1"/>
  <c r="H143" i="1" s="1"/>
  <c r="I467" i="1"/>
  <c r="G467" i="1"/>
  <c r="H467" i="1" s="1"/>
  <c r="I90" i="1"/>
  <c r="G90" i="1"/>
  <c r="H90" i="1" s="1"/>
  <c r="I56" i="1"/>
  <c r="G56" i="1"/>
  <c r="H56" i="1" s="1"/>
  <c r="I157" i="1"/>
  <c r="G157" i="1"/>
  <c r="H157" i="1" s="1"/>
  <c r="I318" i="1"/>
  <c r="G318" i="1"/>
  <c r="H318" i="1" s="1"/>
  <c r="I343" i="1"/>
  <c r="G343" i="1"/>
  <c r="H343" i="1" s="1"/>
  <c r="I82" i="1"/>
  <c r="G82" i="1"/>
  <c r="H82" i="1" s="1"/>
  <c r="I489" i="1"/>
  <c r="G489" i="1"/>
  <c r="H489" i="1" s="1"/>
  <c r="I433" i="1"/>
  <c r="G433" i="1"/>
  <c r="H433" i="1" s="1"/>
  <c r="I456" i="1"/>
  <c r="G456" i="1"/>
  <c r="H456" i="1" s="1"/>
  <c r="I21" i="1"/>
  <c r="G21" i="1"/>
  <c r="H21" i="1" s="1"/>
  <c r="I251" i="1"/>
  <c r="G251" i="1"/>
  <c r="H251" i="1" s="1"/>
  <c r="I274" i="1"/>
  <c r="G274" i="1"/>
  <c r="H274" i="1" s="1"/>
  <c r="I381" i="1"/>
  <c r="G381" i="1"/>
  <c r="H381" i="1" s="1"/>
  <c r="I62" i="1"/>
  <c r="G62" i="1"/>
  <c r="H62" i="1" s="1"/>
  <c r="I466" i="1"/>
  <c r="G466" i="1"/>
  <c r="H466" i="1" s="1"/>
  <c r="I109" i="1"/>
  <c r="G109" i="1"/>
  <c r="H109" i="1" s="1"/>
  <c r="I38" i="1"/>
  <c r="G38" i="1"/>
  <c r="H38" i="1" s="1"/>
  <c r="I356" i="1"/>
  <c r="G356" i="1"/>
  <c r="H356" i="1" s="1"/>
  <c r="I273" i="1"/>
  <c r="G273" i="1"/>
  <c r="H273" i="1" s="1"/>
  <c r="I353" i="1"/>
  <c r="G353" i="1"/>
  <c r="H353" i="1" s="1"/>
  <c r="I61" i="1"/>
  <c r="G61" i="1"/>
  <c r="H61" i="1" s="1"/>
  <c r="I101" i="1"/>
  <c r="G101" i="1"/>
  <c r="H101" i="1" s="1"/>
  <c r="I235" i="1"/>
  <c r="G235" i="1"/>
  <c r="H235" i="1" s="1"/>
  <c r="I227" i="1"/>
  <c r="G227" i="1"/>
  <c r="H227" i="1" s="1"/>
  <c r="I81" i="1"/>
  <c r="G81" i="1"/>
  <c r="H81" i="1" s="1"/>
  <c r="I134" i="1"/>
  <c r="G134" i="1"/>
  <c r="H134" i="1" s="1"/>
  <c r="I477" i="1"/>
  <c r="G477" i="1"/>
  <c r="H477" i="1" s="1"/>
  <c r="I394" i="1"/>
  <c r="G394" i="1"/>
  <c r="H394" i="1" s="1"/>
  <c r="I23" i="1"/>
  <c r="G23" i="1"/>
  <c r="H23" i="1" s="1"/>
  <c r="I30" i="1"/>
  <c r="G30" i="1"/>
  <c r="H30" i="1" s="1"/>
  <c r="I300" i="1"/>
  <c r="G300" i="1"/>
  <c r="H300" i="1" s="1"/>
  <c r="I346" i="1"/>
  <c r="G346" i="1"/>
  <c r="H346" i="1" s="1"/>
  <c r="I388" i="1"/>
  <c r="G388" i="1"/>
  <c r="H388" i="1" s="1"/>
  <c r="I408" i="1"/>
  <c r="G408" i="1"/>
  <c r="H408" i="1" s="1"/>
  <c r="I203" i="1"/>
  <c r="G203" i="1"/>
  <c r="H203" i="1" s="1"/>
  <c r="I332" i="1"/>
  <c r="G332" i="1"/>
  <c r="H332" i="1" s="1"/>
  <c r="I301" i="1"/>
  <c r="G301" i="1"/>
  <c r="H301" i="1" s="1"/>
  <c r="I107" i="1"/>
  <c r="G107" i="1"/>
  <c r="H107" i="1" s="1"/>
  <c r="I452" i="1"/>
  <c r="G452" i="1"/>
  <c r="H452" i="1" s="1"/>
  <c r="I473" i="1"/>
  <c r="G473" i="1"/>
  <c r="H473" i="1" s="1"/>
  <c r="I336" i="1"/>
  <c r="G336" i="1"/>
  <c r="H336" i="1" s="1"/>
  <c r="I304" i="1"/>
  <c r="G304" i="1"/>
  <c r="H304" i="1" s="1"/>
  <c r="I176" i="1"/>
  <c r="G176" i="1"/>
  <c r="H176" i="1" s="1"/>
  <c r="I500" i="1"/>
  <c r="G500" i="1"/>
  <c r="H500" i="1" s="1"/>
  <c r="I248" i="1"/>
  <c r="G248" i="1"/>
  <c r="H248" i="1" s="1"/>
  <c r="I218" i="1"/>
  <c r="G218" i="1"/>
  <c r="H218" i="1" s="1"/>
  <c r="I419" i="1"/>
  <c r="G419" i="1"/>
  <c r="H419" i="1" s="1"/>
  <c r="I309" i="1"/>
  <c r="G309" i="1"/>
  <c r="H309" i="1" s="1"/>
  <c r="I49" i="1"/>
  <c r="G49" i="1"/>
  <c r="H49" i="1" s="1"/>
  <c r="I258" i="1"/>
  <c r="G258" i="1"/>
  <c r="H258" i="1" s="1"/>
  <c r="I68" i="1"/>
  <c r="G68" i="1"/>
  <c r="H68" i="1" s="1"/>
  <c r="I488" i="1"/>
  <c r="G488" i="1"/>
  <c r="H488" i="1" s="1"/>
  <c r="I170" i="1"/>
  <c r="G170" i="1"/>
  <c r="H170" i="1" s="1"/>
  <c r="I181" i="1"/>
  <c r="G181" i="1"/>
  <c r="H181" i="1" s="1"/>
  <c r="I451" i="1"/>
  <c r="G451" i="1"/>
  <c r="H451" i="1" s="1"/>
  <c r="I315" i="1"/>
  <c r="G315" i="1"/>
  <c r="H315" i="1" s="1"/>
  <c r="I11" i="1"/>
  <c r="G11" i="1"/>
  <c r="H11" i="1" s="1"/>
  <c r="I78" i="1"/>
  <c r="G78" i="1"/>
  <c r="H78" i="1" s="1"/>
  <c r="I139" i="1"/>
  <c r="G139" i="1"/>
  <c r="H139" i="1" s="1"/>
  <c r="I102" i="1"/>
  <c r="G102" i="1"/>
  <c r="H102" i="1" s="1"/>
  <c r="I156" i="1"/>
  <c r="G156" i="1"/>
  <c r="H156" i="1" s="1"/>
  <c r="I43" i="1"/>
  <c r="G43" i="1"/>
  <c r="H43" i="1" s="1"/>
  <c r="I153" i="1"/>
  <c r="G153" i="1"/>
  <c r="H153" i="1" s="1"/>
  <c r="I226" i="1"/>
  <c r="G226" i="1"/>
  <c r="H226" i="1" s="1"/>
  <c r="I15" i="1"/>
  <c r="G15" i="1"/>
  <c r="H15" i="1" s="1"/>
  <c r="I120" i="1"/>
  <c r="G120" i="1"/>
  <c r="H120" i="1" s="1"/>
  <c r="I193" i="1"/>
  <c r="G193" i="1"/>
  <c r="H193" i="1" s="1"/>
  <c r="I219" i="1"/>
  <c r="G219" i="1"/>
  <c r="H219" i="1" s="1"/>
  <c r="I237" i="1"/>
  <c r="G237" i="1"/>
  <c r="H237" i="1" s="1"/>
  <c r="I372" i="1"/>
  <c r="G372" i="1"/>
  <c r="H372" i="1" s="1"/>
  <c r="I469" i="1"/>
  <c r="G469" i="1"/>
  <c r="H469" i="1" s="1"/>
  <c r="I401" i="1"/>
  <c r="G401" i="1"/>
  <c r="H401" i="1" s="1"/>
  <c r="I454" i="1"/>
  <c r="G454" i="1"/>
  <c r="H454" i="1" s="1"/>
  <c r="I255" i="1"/>
  <c r="G255" i="1"/>
  <c r="H255" i="1" s="1"/>
  <c r="I325" i="1"/>
  <c r="G325" i="1"/>
  <c r="H325" i="1" s="1"/>
  <c r="I390" i="1"/>
  <c r="G390" i="1"/>
  <c r="H390" i="1" s="1"/>
  <c r="I285" i="1"/>
  <c r="G285" i="1"/>
  <c r="H285" i="1" s="1"/>
  <c r="I287" i="1"/>
  <c r="G287" i="1"/>
  <c r="H287" i="1" s="1"/>
  <c r="I95" i="1"/>
  <c r="G95" i="1"/>
  <c r="H95" i="1" s="1"/>
  <c r="I126" i="1"/>
  <c r="G126" i="1"/>
  <c r="H126" i="1" s="1"/>
  <c r="I420" i="1"/>
  <c r="G420" i="1"/>
  <c r="H420" i="1" s="1"/>
  <c r="I389" i="1"/>
  <c r="G389" i="1"/>
  <c r="H389" i="1" s="1"/>
  <c r="I412" i="1"/>
  <c r="G412" i="1"/>
  <c r="H412" i="1" s="1"/>
  <c r="I295" i="1"/>
  <c r="G295" i="1"/>
  <c r="H295" i="1" s="1"/>
  <c r="I138" i="1"/>
  <c r="G138" i="1"/>
  <c r="H138" i="1" s="1"/>
  <c r="I342" i="1"/>
  <c r="G342" i="1"/>
  <c r="H342" i="1" s="1"/>
  <c r="I293" i="1"/>
  <c r="G293" i="1"/>
  <c r="H293" i="1" s="1"/>
  <c r="I435" i="1"/>
  <c r="G435" i="1"/>
  <c r="H435" i="1" s="1"/>
  <c r="I380" i="1"/>
  <c r="G380" i="1"/>
  <c r="H380" i="1" s="1"/>
  <c r="I416" i="1"/>
  <c r="G416" i="1"/>
  <c r="H416" i="1" s="1"/>
  <c r="I431" i="1"/>
  <c r="G431" i="1"/>
  <c r="H431" i="1" s="1"/>
  <c r="I171" i="1"/>
  <c r="G171" i="1"/>
  <c r="H171" i="1" s="1"/>
  <c r="I210" i="1"/>
  <c r="G210" i="1"/>
  <c r="H210" i="1" s="1"/>
  <c r="I407" i="1"/>
  <c r="G407" i="1"/>
  <c r="H407" i="1" s="1"/>
  <c r="I310" i="1"/>
  <c r="G310" i="1"/>
  <c r="H310" i="1" s="1"/>
  <c r="I264" i="1"/>
  <c r="G264" i="1"/>
  <c r="H264" i="1" s="1"/>
  <c r="I28" i="1"/>
  <c r="G28" i="1"/>
  <c r="H28" i="1" s="1"/>
  <c r="I98" i="1"/>
  <c r="G98" i="1"/>
  <c r="H98" i="1" s="1"/>
  <c r="I89" i="1"/>
  <c r="G89" i="1"/>
  <c r="H89" i="1" s="1"/>
  <c r="I344" i="1"/>
  <c r="G344" i="1"/>
  <c r="H344" i="1" s="1"/>
  <c r="I29" i="1"/>
  <c r="G29" i="1"/>
  <c r="H29" i="1" s="1"/>
  <c r="I361" i="1"/>
  <c r="G361" i="1"/>
  <c r="H361" i="1" s="1"/>
  <c r="I113" i="1"/>
  <c r="G113" i="1"/>
  <c r="H113" i="1" s="1"/>
  <c r="I277" i="1"/>
  <c r="G277" i="1"/>
  <c r="H277" i="1" s="1"/>
  <c r="I137" i="1"/>
  <c r="G137" i="1"/>
  <c r="H137" i="1" s="1"/>
  <c r="I260" i="1"/>
  <c r="G260" i="1"/>
  <c r="H260" i="1" s="1"/>
  <c r="I35" i="1"/>
  <c r="G35" i="1"/>
  <c r="H35" i="1" s="1"/>
  <c r="I244" i="1"/>
  <c r="G244" i="1"/>
  <c r="H244" i="1" s="1"/>
  <c r="I395" i="1"/>
  <c r="G395" i="1"/>
  <c r="H395" i="1" s="1"/>
  <c r="I471" i="1"/>
  <c r="G471" i="1"/>
  <c r="H471" i="1" s="1"/>
  <c r="I396" i="1"/>
  <c r="G396" i="1"/>
  <c r="H396" i="1" s="1"/>
  <c r="I238" i="1"/>
  <c r="G238" i="1"/>
  <c r="H238" i="1" s="1"/>
  <c r="I75" i="1"/>
  <c r="G75" i="1"/>
  <c r="H75" i="1" s="1"/>
  <c r="I369" i="1"/>
  <c r="G369" i="1"/>
  <c r="H369" i="1" s="1"/>
  <c r="I424" i="1"/>
  <c r="G424" i="1"/>
  <c r="H424" i="1" s="1"/>
  <c r="I97" i="1"/>
  <c r="G97" i="1"/>
  <c r="H97" i="1" s="1"/>
  <c r="I36" i="1"/>
  <c r="G36" i="1"/>
  <c r="H36" i="1" s="1"/>
  <c r="I73" i="1"/>
  <c r="G73" i="1"/>
  <c r="H73" i="1" s="1"/>
  <c r="I323" i="1"/>
  <c r="G323" i="1"/>
  <c r="H323" i="1" s="1"/>
  <c r="I328" i="1"/>
  <c r="G328" i="1"/>
  <c r="H328" i="1" s="1"/>
  <c r="I472" i="1"/>
  <c r="G472" i="1"/>
  <c r="H472" i="1" s="1"/>
  <c r="I169" i="1"/>
  <c r="G169" i="1"/>
  <c r="H169" i="1" s="1"/>
  <c r="I230" i="1"/>
  <c r="G230" i="1"/>
  <c r="H230" i="1" s="1"/>
  <c r="I247" i="1"/>
  <c r="G247" i="1"/>
  <c r="H247" i="1"/>
  <c r="I411" i="1"/>
  <c r="G411" i="1"/>
  <c r="H411" i="1" s="1"/>
  <c r="I223" i="1"/>
  <c r="G223" i="1"/>
  <c r="H223" i="1" s="1"/>
  <c r="I39" i="1"/>
  <c r="G39" i="1"/>
  <c r="H39" i="1" s="1"/>
  <c r="I54" i="1"/>
  <c r="G54" i="1"/>
  <c r="H54" i="1" s="1"/>
  <c r="I94" i="1"/>
  <c r="G94" i="1"/>
  <c r="H94" i="1" s="1"/>
  <c r="I496" i="1"/>
  <c r="G496" i="1"/>
  <c r="H496" i="1" s="1"/>
  <c r="I149" i="1"/>
  <c r="G149" i="1"/>
  <c r="H149" i="1" s="1"/>
  <c r="I50" i="1"/>
  <c r="G50" i="1"/>
  <c r="H50" i="1" s="1"/>
  <c r="I330" i="1"/>
  <c r="G330" i="1"/>
  <c r="H330" i="1" s="1"/>
  <c r="I196" i="1"/>
  <c r="G196" i="1"/>
  <c r="H196" i="1" s="1"/>
  <c r="I24" i="1"/>
  <c r="G24" i="1"/>
  <c r="H24" i="1" s="1"/>
  <c r="I163" i="1"/>
  <c r="G163" i="1"/>
  <c r="H163" i="1" s="1"/>
  <c r="I383" i="1"/>
  <c r="G383" i="1"/>
  <c r="H383" i="1" s="1"/>
  <c r="I199" i="1"/>
  <c r="G199" i="1"/>
  <c r="H199" i="1" s="1"/>
  <c r="I144" i="1"/>
  <c r="G144" i="1"/>
  <c r="H144" i="1" s="1"/>
  <c r="I497" i="1"/>
  <c r="G497" i="1"/>
  <c r="H497" i="1" s="1"/>
  <c r="I491" i="1"/>
  <c r="G491" i="1"/>
  <c r="H491" i="1" s="1"/>
  <c r="I327" i="1"/>
  <c r="G327" i="1"/>
  <c r="H327" i="1" s="1"/>
  <c r="I307" i="1"/>
  <c r="G307" i="1"/>
  <c r="H307" i="1" s="1"/>
  <c r="I142" i="1"/>
  <c r="G142" i="1"/>
  <c r="H142" i="1" s="1"/>
  <c r="I442" i="1"/>
  <c r="G442" i="1"/>
  <c r="H442" i="1" s="1"/>
  <c r="I151" i="1"/>
  <c r="G151" i="1"/>
  <c r="H151" i="1" s="1"/>
  <c r="I86" i="1"/>
  <c r="G86" i="1"/>
  <c r="H86" i="1" s="1"/>
  <c r="I212" i="1"/>
  <c r="G212" i="1"/>
  <c r="H212" i="1" s="1"/>
  <c r="I202" i="1"/>
  <c r="G202" i="1"/>
  <c r="H202" i="1" s="1"/>
  <c r="I103" i="1"/>
  <c r="G103" i="1"/>
  <c r="H103" i="1" s="1"/>
  <c r="I166" i="1"/>
  <c r="G166" i="1"/>
  <c r="H166" i="1" s="1"/>
  <c r="I47" i="1"/>
  <c r="G47" i="1"/>
  <c r="H47" i="1" s="1"/>
  <c r="I272" i="1"/>
  <c r="G272" i="1"/>
  <c r="H272" i="1" s="1"/>
  <c r="I211" i="1"/>
  <c r="G211" i="1"/>
  <c r="H211" i="1" s="1"/>
  <c r="I222" i="1"/>
  <c r="G222" i="1"/>
  <c r="H222" i="1" s="1"/>
  <c r="I495" i="1"/>
  <c r="G495" i="1"/>
  <c r="H495" i="1" s="1"/>
  <c r="I427" i="1"/>
  <c r="G427" i="1"/>
  <c r="H427" i="1" s="1"/>
  <c r="I190" i="1"/>
  <c r="G190" i="1"/>
  <c r="H190" i="1" s="1"/>
  <c r="I470" i="1"/>
  <c r="G470" i="1"/>
  <c r="H470" i="1" s="1"/>
  <c r="I269" i="1"/>
  <c r="G269" i="1"/>
  <c r="H269" i="1" s="1"/>
  <c r="I314" i="1"/>
  <c r="G314" i="1"/>
  <c r="H314" i="1" s="1"/>
  <c r="I498" i="1"/>
  <c r="G498" i="1"/>
  <c r="H498" i="1" s="1"/>
  <c r="I162" i="1"/>
  <c r="G162" i="1"/>
  <c r="H162" i="1" s="1"/>
  <c r="I53" i="1"/>
  <c r="G53" i="1"/>
  <c r="H53" i="1" s="1"/>
  <c r="I385" i="1"/>
  <c r="G385" i="1"/>
  <c r="H385" i="1" s="1"/>
  <c r="I121" i="1"/>
  <c r="G121" i="1"/>
  <c r="H121" i="1" s="1"/>
  <c r="I161" i="1"/>
  <c r="G161" i="1"/>
  <c r="H161" i="1" s="1"/>
  <c r="I146" i="1"/>
  <c r="G146" i="1"/>
  <c r="H146" i="1" s="1"/>
  <c r="I376" i="1"/>
  <c r="G376" i="1"/>
  <c r="H376" i="1" s="1"/>
  <c r="I375" i="1"/>
  <c r="G375" i="1"/>
  <c r="H375" i="1" s="1"/>
  <c r="I463" i="1"/>
  <c r="G463" i="1"/>
  <c r="H463" i="1" s="1"/>
  <c r="I207" i="1"/>
  <c r="G207" i="1"/>
  <c r="H207" i="1" s="1"/>
  <c r="I468" i="1"/>
  <c r="G468" i="1"/>
  <c r="H468" i="1" s="1"/>
  <c r="I321" i="1"/>
  <c r="G321" i="1"/>
  <c r="H321" i="1" s="1"/>
  <c r="I241" i="1"/>
  <c r="G241" i="1"/>
  <c r="H241" i="1" s="1"/>
  <c r="I266" i="1"/>
  <c r="G266" i="1"/>
  <c r="H266" i="1" s="1"/>
  <c r="I297" i="1"/>
  <c r="G297" i="1"/>
  <c r="H297" i="1" s="1"/>
  <c r="I440" i="1"/>
  <c r="G440" i="1"/>
  <c r="H440" i="1" s="1"/>
  <c r="I167" i="1"/>
  <c r="G167" i="1"/>
  <c r="H167" i="1" s="1"/>
  <c r="I9" i="1"/>
  <c r="G9" i="1"/>
  <c r="H9" i="1" s="1"/>
  <c r="I453" i="1"/>
  <c r="G453" i="1"/>
  <c r="H453" i="1" s="1"/>
  <c r="I100" i="1"/>
  <c r="G100" i="1"/>
  <c r="H100" i="1" s="1"/>
  <c r="I32" i="1"/>
  <c r="G32" i="1"/>
  <c r="H32" i="1" s="1"/>
  <c r="I215" i="1"/>
  <c r="G215" i="1"/>
  <c r="H215" i="1" s="1"/>
  <c r="I41" i="1"/>
  <c r="G41" i="1"/>
  <c r="H41" i="1" s="1"/>
  <c r="I114" i="1"/>
  <c r="G114" i="1"/>
  <c r="H114" i="1" s="1"/>
  <c r="I462" i="1"/>
  <c r="G462" i="1"/>
  <c r="H462" i="1" s="1"/>
  <c r="I257" i="1"/>
  <c r="G257" i="1"/>
  <c r="H257" i="1" s="1"/>
  <c r="I393" i="1"/>
  <c r="G393" i="1"/>
  <c r="H393" i="1" s="1"/>
  <c r="I128" i="1"/>
  <c r="G128" i="1"/>
  <c r="H128" i="1" s="1"/>
  <c r="I320" i="1"/>
  <c r="G320" i="1"/>
  <c r="H320" i="1" s="1"/>
  <c r="I12" i="1"/>
  <c r="G12" i="1"/>
  <c r="H12" i="1" s="1"/>
  <c r="I340" i="1"/>
  <c r="G340" i="1"/>
  <c r="H340" i="1" s="1"/>
  <c r="I88" i="1"/>
  <c r="G88" i="1"/>
  <c r="H88" i="1" s="1"/>
  <c r="I194" i="1"/>
  <c r="G194" i="1"/>
  <c r="H194" i="1" s="1"/>
  <c r="I253" i="1"/>
  <c r="G253" i="1"/>
  <c r="H253" i="1" s="1"/>
  <c r="I104" i="1"/>
  <c r="G104" i="1"/>
  <c r="H104" i="1" s="1"/>
  <c r="I305" i="1"/>
  <c r="G305" i="1"/>
  <c r="H305" i="1" s="1"/>
  <c r="I187" i="1"/>
  <c r="G187" i="1"/>
  <c r="H187" i="1" s="1"/>
  <c r="I130" i="1"/>
  <c r="G130" i="1"/>
  <c r="H130" i="1" s="1"/>
  <c r="I279" i="1"/>
  <c r="G279" i="1"/>
  <c r="H279" i="1" s="1"/>
  <c r="I487" i="1"/>
  <c r="G487" i="1"/>
  <c r="H487" i="1" s="1"/>
  <c r="I250" i="1"/>
  <c r="G250" i="1"/>
  <c r="H250" i="1" s="1"/>
  <c r="I278" i="1"/>
  <c r="G278" i="1"/>
  <c r="H278" i="1" s="1"/>
  <c r="I444" i="1"/>
  <c r="G444" i="1"/>
  <c r="H444" i="1" s="1"/>
  <c r="I195" i="1"/>
  <c r="G195" i="1"/>
  <c r="H195" i="1" s="1"/>
  <c r="I52" i="1"/>
  <c r="G52" i="1"/>
  <c r="H52" i="1" s="1"/>
  <c r="I220" i="1"/>
  <c r="G220" i="1"/>
  <c r="H220" i="1" s="1"/>
  <c r="I72" i="1"/>
  <c r="G72" i="1"/>
  <c r="H72" i="1" s="1"/>
  <c r="I66" i="1"/>
  <c r="G66" i="1"/>
  <c r="H66" i="1" s="1"/>
  <c r="I245" i="1"/>
  <c r="G245" i="1"/>
  <c r="H245" i="1" s="1"/>
  <c r="I363" i="1"/>
  <c r="G363" i="1"/>
  <c r="H363" i="1" s="1"/>
  <c r="I105" i="1"/>
  <c r="G105" i="1"/>
  <c r="H105" i="1" s="1"/>
  <c r="I71" i="1"/>
  <c r="G71" i="1"/>
  <c r="H71" i="1" s="1"/>
  <c r="I150" i="1"/>
  <c r="G150" i="1"/>
  <c r="H150" i="1" s="1"/>
  <c r="I405" i="1"/>
  <c r="G405" i="1"/>
  <c r="H405" i="1" s="1"/>
  <c r="I370" i="1"/>
  <c r="G370" i="1"/>
  <c r="H370" i="1" s="1"/>
  <c r="I79" i="1"/>
  <c r="G79" i="1"/>
  <c r="H79" i="1" s="1"/>
  <c r="I225" i="1"/>
  <c r="G225" i="1"/>
  <c r="H225" i="1" s="1"/>
  <c r="I432" i="1"/>
  <c r="G432" i="1"/>
  <c r="H432" i="1" s="1"/>
  <c r="I331" i="1"/>
  <c r="G331" i="1"/>
  <c r="H331" i="1" s="1"/>
  <c r="I217" i="1"/>
  <c r="G217" i="1"/>
  <c r="H217" i="1" s="1"/>
</calcChain>
</file>

<file path=xl/sharedStrings.xml><?xml version="1.0" encoding="utf-8"?>
<sst xmlns="http://schemas.openxmlformats.org/spreadsheetml/2006/main" count="115" uniqueCount="91">
  <si>
    <t>First Sort by Custom List</t>
  </si>
  <si>
    <t>CollectionName</t>
  </si>
  <si>
    <t>CallNumber</t>
  </si>
  <si>
    <t>Title</t>
  </si>
  <si>
    <t>Second Sort from A - Z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</si>
  <si>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</si>
  <si>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</si>
  <si>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</si>
  <si>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</si>
  <si>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</si>
  <si>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</si>
  <si>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</si>
  <si>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</si>
  <si>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</si>
  <si>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</si>
  <si>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</si>
  <si>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</si>
  <si>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</si>
  <si>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</si>
  <si>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</si>
  <si>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</si>
  <si>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</si>
  <si>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</si>
  <si>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</si>
  <si>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</si>
  <si>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</si>
  <si>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</si>
  <si>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</si>
  <si>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</si>
  <si>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</si>
  <si>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</si>
  <si>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</si>
  <si>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</si>
  <si>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</si>
  <si>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</si>
  <si>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</si>
  <si>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</si>
  <si>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</si>
  <si>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</si>
  <si>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</si>
  <si>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</si>
  <si>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</si>
  <si>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</si>
  <si>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</si>
  <si>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</si>
  <si>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</si>
  <si>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</si>
  <si>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</si>
  <si>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</si>
  <si>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</si>
  <si>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</si>
  <si>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</si>
  <si>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</si>
  <si>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</si>
  <si>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</si>
  <si>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</si>
  <si>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</si>
  <si>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</si>
  <si>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</si>
  <si>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</si>
  <si>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</si>
  <si>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</si>
  <si>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</si>
  <si>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</si>
  <si>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</si>
  <si>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</si>
  <si>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</si>
  <si>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</si>
  <si>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</si>
  <si>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</si>
  <si>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</si>
  <si>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</si>
  <si>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</si>
  <si>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</si>
  <si>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</si>
  <si>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</si>
  <si>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</si>
  <si>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International Juvenile</t>
  </si>
  <si>
    <t>International Easy</t>
  </si>
  <si>
    <t>Compact Disc</t>
  </si>
  <si>
    <t>Juvenile Magazines</t>
  </si>
  <si>
    <t>Magazine</t>
  </si>
  <si>
    <t>Teen Magazines</t>
  </si>
  <si>
    <t>Juvenile Audiobook</t>
  </si>
  <si>
    <t>International Russian</t>
  </si>
  <si>
    <t>International Teen</t>
  </si>
  <si>
    <t>New Books</t>
  </si>
  <si>
    <t>In Library Use Only</t>
  </si>
  <si>
    <t>Location Sort</t>
  </si>
  <si>
    <t>Custom List Sort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</si>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</sst>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3" fillId="0" borderId="4" xfId="0" applyFont="1" applyBorder="1" applyAlignment="1">
      <alignment wrapText="1"/>
    </xf>
    <xf numFmtId="0" fontId="3" fillId="0" borderId="8" xfId="0" applyFont="1" applyBorder="1"/>
    <xf numFmtId="0" fontId="3" fillId="0" borderId="9" xfId="0" applyFont="1" applyBorder="1"/>
    <xf numFmtId="0" fontId="2" fillId="2" borderId="2" xfId="0" applyFont="1" applyFill="1" applyBorder="1" applyAlignment="1" applyProtection="1">
      <alignment horizontal="left" vertical="top" wrapText="1" readingOrder="1"/>
    </xf>
    <xf numFmtId="0" fontId="3" fillId="2" borderId="0" xfId="0" applyFont="1" applyFill="1" applyBorder="1" applyAlignment="1" applyProtection="1">
      <alignment vertical="top" wrapText="1"/>
    </xf>
    <xf numFmtId="0" fontId="3" fillId="2" borderId="0" xfId="0" applyFont="1" applyFill="1" applyAlignment="1" applyProtection="1"/>
    <xf numFmtId="0" fontId="1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4" fillId="3" borderId="9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/>
    <xf numFmtId="0" fontId="7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left style="medium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</xdr:row>
          <xdr:rowOff>38100</xdr:rowOff>
        </xdr:from>
        <xdr:to>
          <xdr:col>12</xdr:col>
          <xdr:colOff>289560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4</xdr:row>
      <xdr:rowOff>85725</xdr:rowOff>
    </xdr:from>
    <xdr:to>
      <xdr:col>12</xdr:col>
      <xdr:colOff>447675</xdr:colOff>
      <xdr:row>6</xdr:row>
      <xdr:rowOff>76200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8069580" y="1457325"/>
          <a:ext cx="1697355" cy="676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607694</xdr:colOff>
      <xdr:row>6</xdr:row>
      <xdr:rowOff>121920</xdr:rowOff>
    </xdr:from>
    <xdr:to>
      <xdr:col>11</xdr:col>
      <xdr:colOff>137159</xdr:colOff>
      <xdr:row>18</xdr:row>
      <xdr:rowOff>150495</xdr:rowOff>
    </xdr:to>
    <xdr:sp macro="" textlink="">
      <xdr:nvSpPr>
        <xdr:cNvPr id="2" name="TextBox 1"/>
        <xdr:cNvSpPr txBox="1"/>
      </xdr:nvSpPr>
      <xdr:spPr>
        <a:xfrm>
          <a:off x="4432934" y="1143000"/>
          <a:ext cx="3796665" cy="20402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WARNING</a:t>
          </a:r>
        </a:p>
        <a:p>
          <a:r>
            <a:rPr lang="en-US" sz="1100"/>
            <a:t>Editing</a:t>
          </a:r>
          <a:r>
            <a:rPr lang="en-US" sz="1100" baseline="0"/>
            <a:t> the tables to the left will change the sort order for all RTF records.</a:t>
          </a:r>
        </a:p>
        <a:p>
          <a:endParaRPr lang="en-US" sz="1100" baseline="0"/>
        </a:p>
        <a:p>
          <a:r>
            <a:rPr lang="en-US" sz="1100" baseline="0"/>
            <a:t>Row two in the Location table is intentionally blank (it's actually a null value, = " "). </a:t>
          </a:r>
        </a:p>
        <a:p>
          <a:endParaRPr lang="en-US" sz="1100" baseline="0"/>
        </a:p>
        <a:p>
          <a:r>
            <a:rPr lang="en-US" sz="1100" baseline="0"/>
            <a:t>Otherwise, do not include empty cells in these tables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lake\Desktop\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</externalBook>
</externalLink>
</file>

<file path=xl/tables/table1.xml><?xml version="1.0" encoding="utf-8"?>
<table xmlns="http://schemas.openxmlformats.org/spreadsheetml/2006/main" id="1" name="Table1" displayName="Table1" ref="C1:D4" totalsRowShown="0" tableBorderDxfId="2">
  <autoFilter ref="C1:D4"/>
  <tableColumns count="2">
    <tableColumn id="1" name="Location" dataDxfId="1"/>
    <tableColumn id="2" name="R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A49" totalsRowShown="0" headerRowDxfId="0">
  <autoFilter ref="A1:A49"/>
  <tableColumns count="1">
    <tableColumn id="1" name="Custom List Sor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500"/>
  <sheetViews>
    <sheetView showGridLines="0" showZeros="0" workbookViewId="0">
      <pane ySplit="1" topLeftCell="A2" activePane="bottomLeft" state="frozenSplit"/>
      <selection pane="bottomLeft" activeCell="F8" sqref="F8"/>
    </sheetView>
  </sheetViews>
  <sheetFormatPr defaultColWidth="9.109375" defaultRowHeight="27" customHeight="1" x14ac:dyDescent="0.25"/>
  <cols>
    <col min="1" max="1" width="13.109375" style="13" bestFit="1" customWidth="1"/>
    <col min="2" max="2" width="25.5546875" style="14" bestFit="1" customWidth="1"/>
    <col min="3" max="3" width="55.6640625" style="14" customWidth="1"/>
    <col min="4" max="4" width="22.5546875" style="14" hidden="1" customWidth="1"/>
    <col min="5" max="5" width="5.109375" style="14" bestFit="1" customWidth="1"/>
    <col min="6" max="6" width="9.109375" style="13"/>
    <col min="7" max="7" width="23.44140625" style="13" hidden="1" customWidth="1"/>
    <col min="8" max="8" width="21.33203125" style="13" hidden="1" customWidth="1"/>
    <col min="9" max="9" width="0" style="13" hidden="1" customWidth="1"/>
    <col min="10" max="16384" width="9.109375" style="13"/>
  </cols>
  <sheetData>
    <row r="1" spans="1:9" s="11" customFormat="1" ht="27" customHeight="1" x14ac:dyDescent="0.25">
      <c r="A1" s="9" t="s">
        <v>55</v>
      </c>
      <c r="B1" s="9" t="s">
        <v>2</v>
      </c>
      <c r="C1" s="9" t="s">
        <v>3</v>
      </c>
      <c r="D1" s="9" t="s">
        <v>1</v>
      </c>
      <c r="E1" s="9" t="s">
        <v>56</v>
      </c>
      <c r="F1" s="10"/>
      <c r="G1" s="11" t="s">
        <v>0</v>
      </c>
      <c r="H1" s="11" t="s">
        <v>4</v>
      </c>
      <c r="I1" s="11" t="s">
        <v>88</v>
      </c>
    </row>
    <row r="2" spans="1:9" ht="27" customHeight="1" x14ac:dyDescent="0.25">
      <c r="A2" s="12" t="str">
        <f t="shared" ref="A2:A65" ca="1" si="0">TEXT( INDIRECT( ADDRESS( ROW() + Row_Offset, INDIRECT( "Column_Number_" &amp; A$1), 4,1, tabname) ), "")</f>
        <v/>
      </c>
      <c r="B2" s="12" t="str">
        <f t="shared" ref="B2:B65" ca="1" si="1">TEXT(  IFERROR( VLOOKUP( $D2, CName_to_Descriptor, 2, FALSE),"") &amp;
        INDIRECT( ADDRESS( ROW() + Row_Offset, INDIRECT( "Column_Number_" &amp; $B$1), 4,1, tabname) ), "")</f>
        <v>CD H FRA906</v>
      </c>
      <c r="C2" s="12" t="str">
        <f t="shared" ref="C2:D21" ca="1" si="2">TEXT( INDIRECT( ADDRESS( ROW() + Row_Offset, INDIRECT( "Column_Number_" &amp; C$1), 4,1, tabname) ), "")</f>
        <v>Amazing grace</v>
      </c>
      <c r="D2" s="12" t="str">
        <f t="shared" ca="1" si="2"/>
        <v>Compact Disc</v>
      </c>
      <c r="E2" s="12" t="str">
        <f t="shared" ref="E2:E65" ca="1" si="3">TEXT( INDIRECT( ADDRESS( ROW() + Row_Offset, INDIRECT( "Column_Number_" &amp; E$1), 4,1, tabname) ), "####")</f>
        <v>2000</v>
      </c>
      <c r="F2" s="17"/>
      <c r="G2" s="13" t="str">
        <f t="shared" ref="G2:G65" ca="1" si="4">IF(IFERROR(FIND("New",$A2)&gt;0,FALSE),"New ","") &amp; IF(IFERROR(FIND("In Lib",$A2)&gt;0,FALSE),"Reference ","") &amp;
IF(AND(D2="Audiobook",LEFT(B2,6)="CD BIO"),"Biography",
IF(AND(D2="Teen Audiobook",LEFT(B2,11)="TEEN CD BIO"),"Biography",
IF(AND(D2="Juvenile Audiobook",LEFT(B2,8)="J CD BIO"),"Biography",
IF(AND(D2="Audiobook",LEFT(B2,6)="CD FIC"),"Audiobook Fiction",
IF(AND(D2="Teen Audiobook",LEFT(B2,11)="TEEN CD FIC"),"Teen Audiobook",
IF(AND(D2="Juvenile Audiobook",LEFT(B2,8)="J CD FIC"),"Juvenile Audiobook",
IF(D2="Audiobook","Nonfiction",
IF(D2="Juvenile Audiobook","Nonfiction",
IF(D2="Teen Audiobook","Nonfiction",
IF(D2="Juvenile Nonfiction","Nonfiction",
IF(D2="Teen Nonfiction","Nonfiction",
IF(D2="Juvenile Biography","Biography",
IF(D2="Teen Biography","Biography",
IF(D2="ESL","Nonfiction",
IF(LEFT(B2,11)="INTL-VIE J ","International Juvenile",IF(LEFT(B2,11)="INTL-TAG J ","International Juvenile",IF(LEFT(B2,11)="INTL-RUS J ","International Juvenile",IF(LEFT(B2,11)="INTL-KOR J ","International Juvenile",IF(LEFT(B2,11)="INTL-JAP J ","International Juvenile",IF(LEFT(B2,11)="INTL-CHI J ","International Juvenile",IF(LEFT(B2,11)="INTL-SPA J ","International Juvenile",IF(LEFT(B2,14)="INTL-VIE TEEN ","International Teen",IF(LEFT(B2,14)="INTL-TAG TEEN ","International Teen",IF(LEFT(B2,14)="INTL-RUS TEEN ","International Teen",IF(LEFT(B2,14)="INTL-KOR TEEN ","International Teen",IF(LEFT(B2,14)="INTL-JAP TEEN ","International Teen",IF(LEFT(B2,14)="INTL-CHI TEEN ","International Teen",IF(LEFT(B2,14)="INTL-SPA TEEN ","International Teen",IF(LEFT(B2,11)="INTL-VIE E ","International Easy",IF(LEFT(B2,11)="INTL-TAG E ","International Easy",IF(LEFT(B2,11)="INTL-RUS E ","International Easy",IF(LEFT(B2,11)="INTL-JAP E ","International Easy",IF(LEFT(B2,11)="INTL-KOR E ","International Easy",IF(LEFT(B2,11)="INTL-CHI E ","International Easy",IF(LEFT(B2,11)="INTL-SPA E ","International Easy",
IF(D2="Teen Large Type","Teen Fiction",
IF(D2="Juvenile Large Type","Juvenile Fiction",
IF(LEFT(B2,6)="J CD O","Juvenile Compact Disc",
IF(AND(LEFT(B2,4)="TEEN",D2="Fiction"),"Teen Fiction",
IF(D2="DVD Educational","Nonfiction",
IF(D2="Juvenile DVD Educational","Nonfiction",
IF(D2="Reference","Nonfiction",
D2))))))))))))))))))))))))))))))))))))))))))</f>
        <v>Compact Disc</v>
      </c>
      <c r="H2" s="13" t="str">
        <f t="shared" ref="H2:H65" ca="1" si="5">IF(AND(D2="Juvenile Audiobook",LEFT(B2,8)="J CD BIO"),RIGHT(B2,LEN(B2)-9),
IF(AND(D2="Juvenile Audiobook",LEFT(B2,8)="J CD FIC"),B2,
IF(D2="Juvenile Audiobook",RIGHT(B2,LEN(B2)-5),
IF(AND(D2="Teen Audiobook",LEFT(B2,11)="TEEN CD BIO"),RIGHT(B2,LEN(B2)-12),
IF(AND(D2="Teen Audiobook",LEFT(B2,11)="TEEN CD FIC"),B2,
IF(D2="Juvenile Audiobook",RIGHT(B2,LEN(B2)-8),
IF(D2="Juvenile Nonfiction",RIGHT(B2,LEN(B2)-2),
IF(D2="Teen Nonfiction",RIGHT(B2,LEN(B2)-5),
IF(AND(G2="Nonfiction",D2="Audiobook"),RIGHT(B2,LEN(B2)-3),
IF(D2="Juvenile Biography",RIGHT(B2,LEN(B2)-2),
IF(D2="Teen Biography",RIGHT(B2,LEN(B2)-5),
IF(AND(D2="Audiobook",G2="Biography"),RIGHT(B2,LEN(B2)-3),
IF(D2="Juvenile Large Type","J "&amp;RIGHT(B2,LEN(B2)-11),
IF(D2="Teen Large Type","TEEN "&amp;RIGHT(B2,LEN(B2)-14),
IF(D2="Reference",RIGHT(B2,LEN(B2)-4),
IF(D2="DVD Educational",RIGHT(B2,LEN(B2)-7),
IF(D2="Juvenile DVD Educational",RIGHT(B2,LEN(B2)-9),
B2)))))))))))))))))</f>
        <v>CD H FRA906</v>
      </c>
      <c r="I2" s="17">
        <f ca="1">IF(AND($B2="",$C2=""),"",VLOOKUP($A2,Table1[],2,FALSE))</f>
        <v>2</v>
      </c>
    </row>
    <row r="3" spans="1:9" ht="27" customHeight="1" x14ac:dyDescent="0.25">
      <c r="A3" s="12" t="str">
        <f t="shared" ca="1" si="0"/>
        <v/>
      </c>
      <c r="B3" s="12" t="str">
        <f t="shared" ca="1" si="1"/>
        <v>CD K FRE42</v>
      </c>
      <c r="C3" s="12" t="str">
        <f t="shared" ca="1" si="2"/>
        <v>Freaky Friday original soundtrack.</v>
      </c>
      <c r="D3" s="12" t="str">
        <f t="shared" ca="1" si="2"/>
        <v>Compact Disc</v>
      </c>
      <c r="E3" s="12" t="str">
        <f t="shared" ca="1" si="3"/>
        <v>2003</v>
      </c>
      <c r="F3" s="17"/>
      <c r="G3" s="13" t="str">
        <f t="shared" ca="1" si="4"/>
        <v>Compact Disc</v>
      </c>
      <c r="H3" s="13" t="str">
        <f t="shared" ca="1" si="5"/>
        <v>CD K FRE42</v>
      </c>
      <c r="I3" s="17">
        <f ca="1">IF(AND($B3="",$C3=""),"",VLOOKUP($A3,Table1[],2,FALSE))</f>
        <v>2</v>
      </c>
    </row>
    <row r="4" spans="1:9" ht="27" customHeight="1" x14ac:dyDescent="0.25">
      <c r="A4" s="12" t="str">
        <f t="shared" ca="1" si="0"/>
        <v/>
      </c>
      <c r="B4" s="12" t="str">
        <f t="shared" ca="1" si="1"/>
        <v>CD M MCC2470</v>
      </c>
      <c r="C4" s="12" t="str">
        <f t="shared" ca="1" si="2"/>
        <v>Beautiful soul</v>
      </c>
      <c r="D4" s="12" t="str">
        <f t="shared" ca="1" si="2"/>
        <v>Compact Disc</v>
      </c>
      <c r="E4" s="12" t="str">
        <f t="shared" ca="1" si="3"/>
        <v>2004</v>
      </c>
      <c r="F4" s="17"/>
      <c r="G4" s="13" t="str">
        <f t="shared" ca="1" si="4"/>
        <v>Compact Disc</v>
      </c>
      <c r="H4" s="13" t="str">
        <f t="shared" ca="1" si="5"/>
        <v>CD M MCC2470</v>
      </c>
      <c r="I4" s="17">
        <f ca="1">IF(AND($B4="",$C4=""),"",VLOOKUP($A4,Table1[],2,FALSE))</f>
        <v>2</v>
      </c>
    </row>
    <row r="5" spans="1:9" ht="27" customHeight="1" x14ac:dyDescent="0.25">
      <c r="A5" s="12" t="str">
        <f t="shared" ca="1" si="0"/>
        <v/>
      </c>
      <c r="B5" s="12" t="str">
        <f t="shared" ca="1" si="1"/>
        <v>CD MA NEO6578</v>
      </c>
      <c r="C5" s="12" t="str">
        <f t="shared" ca="1" si="2"/>
        <v>Picture show</v>
      </c>
      <c r="D5" s="12" t="str">
        <f t="shared" ca="1" si="2"/>
        <v>Compact Disc</v>
      </c>
      <c r="E5" s="12" t="str">
        <f t="shared" ca="1" si="3"/>
        <v>2012</v>
      </c>
      <c r="F5" s="17"/>
      <c r="G5" s="13" t="str">
        <f t="shared" ca="1" si="4"/>
        <v>Compact Disc</v>
      </c>
      <c r="H5" s="13" t="str">
        <f t="shared" ca="1" si="5"/>
        <v>CD MA NEO6578</v>
      </c>
      <c r="I5" s="17">
        <f ca="1">IF(AND($B5="",$C5=""),"",VLOOKUP($A5,Table1[],2,FALSE))</f>
        <v>2</v>
      </c>
    </row>
    <row r="6" spans="1:9" ht="27" customHeight="1" x14ac:dyDescent="0.25">
      <c r="A6" s="12" t="str">
        <f t="shared" ca="1" si="0"/>
        <v/>
      </c>
      <c r="B6" s="12" t="str">
        <f t="shared" ca="1" si="1"/>
        <v>CD U CHE7445</v>
      </c>
      <c r="C6" s="12" t="str">
        <f t="shared" ca="1" si="2"/>
        <v>Hemingway's whiskey</v>
      </c>
      <c r="D6" s="12" t="str">
        <f t="shared" ca="1" si="2"/>
        <v>Compact Disc</v>
      </c>
      <c r="E6" s="12" t="str">
        <f t="shared" ca="1" si="3"/>
        <v>2010</v>
      </c>
      <c r="F6" s="17"/>
      <c r="G6" s="13" t="str">
        <f t="shared" ca="1" si="4"/>
        <v>Compact Disc</v>
      </c>
      <c r="H6" s="13" t="str">
        <f t="shared" ca="1" si="5"/>
        <v>CD U CHE7445</v>
      </c>
      <c r="I6" s="17">
        <f ca="1">IF(AND($B6="",$C6=""),"",VLOOKUP($A6,Table1[],2,FALSE))</f>
        <v>2</v>
      </c>
    </row>
    <row r="7" spans="1:9" ht="27" customHeight="1" x14ac:dyDescent="0.25">
      <c r="A7" s="12" t="str">
        <f t="shared" ca="1" si="0"/>
        <v/>
      </c>
      <c r="B7" s="12" t="str">
        <f t="shared" ca="1" si="1"/>
        <v>Drama DVD BEHINDT</v>
      </c>
      <c r="C7" s="12" t="str">
        <f t="shared" ca="1" si="2"/>
        <v>Behind the candelabra</v>
      </c>
      <c r="D7" s="12" t="str">
        <f t="shared" ca="1" si="2"/>
        <v>DVD Drama</v>
      </c>
      <c r="E7" s="12" t="str">
        <f t="shared" ca="1" si="3"/>
        <v>2013</v>
      </c>
      <c r="F7" s="17"/>
      <c r="G7" s="13" t="str">
        <f t="shared" ca="1" si="4"/>
        <v>DVD Drama</v>
      </c>
      <c r="H7" s="13" t="str">
        <f t="shared" ca="1" si="5"/>
        <v>Drama DVD BEHINDT</v>
      </c>
      <c r="I7" s="17">
        <f ca="1">IF(AND($B7="",$C7=""),"",VLOOKUP($A7,Table1[],2,FALSE))</f>
        <v>2</v>
      </c>
    </row>
    <row r="8" spans="1:9" ht="27" customHeight="1" x14ac:dyDescent="0.25">
      <c r="A8" s="12" t="str">
        <f t="shared" ca="1" si="0"/>
        <v/>
      </c>
      <c r="B8" s="12" t="str">
        <f t="shared" ca="1" si="1"/>
        <v>Drama DVD HUNTER</v>
      </c>
      <c r="C8" s="12" t="str">
        <f t="shared" ca="1" si="2"/>
        <v>The hunter</v>
      </c>
      <c r="D8" s="12" t="str">
        <f t="shared" ca="1" si="2"/>
        <v>DVD Drama</v>
      </c>
      <c r="E8" s="12" t="str">
        <f t="shared" ca="1" si="3"/>
        <v>2012</v>
      </c>
      <c r="F8" s="17"/>
      <c r="G8" s="13" t="str">
        <f t="shared" ca="1" si="4"/>
        <v>DVD Drama</v>
      </c>
      <c r="H8" s="13" t="str">
        <f t="shared" ca="1" si="5"/>
        <v>Drama DVD HUNTER</v>
      </c>
      <c r="I8" s="17">
        <f ca="1">IF(AND($B8="",$C8=""),"",VLOOKUP($A8,Table1[],2,FALSE))</f>
        <v>2</v>
      </c>
    </row>
    <row r="9" spans="1:9" ht="27" customHeight="1" x14ac:dyDescent="0.25">
      <c r="A9" s="12" t="str">
        <f t="shared" ca="1" si="0"/>
        <v/>
      </c>
      <c r="B9" s="12" t="str">
        <f t="shared" ca="1" si="1"/>
        <v>DVD-ED 209 CUL3490</v>
      </c>
      <c r="C9" s="12" t="str">
        <f t="shared" ca="1" si="2"/>
        <v>Cults dangerous devotion</v>
      </c>
      <c r="D9" s="12" t="str">
        <f t="shared" ca="1" si="2"/>
        <v>DVD Educational</v>
      </c>
      <c r="E9" s="12" t="str">
        <f t="shared" ca="1" si="3"/>
        <v>2009</v>
      </c>
      <c r="F9" s="17"/>
      <c r="G9" s="13" t="str">
        <f t="shared" ca="1" si="4"/>
        <v>Nonfiction</v>
      </c>
      <c r="H9" s="13" t="str">
        <f t="shared" ca="1" si="5"/>
        <v>209 CUL3490</v>
      </c>
      <c r="I9" s="17">
        <f ca="1">IF(AND($B9="",$C9=""),"",VLOOKUP($A9,Table1[],2,FALSE))</f>
        <v>2</v>
      </c>
    </row>
    <row r="10" spans="1:9" ht="27" customHeight="1" x14ac:dyDescent="0.25">
      <c r="A10" s="12" t="str">
        <f t="shared" ca="1" si="0"/>
        <v/>
      </c>
      <c r="B10" s="12" t="str">
        <f t="shared" ca="1" si="1"/>
        <v>DVD-ED 338.4762 SIL601</v>
      </c>
      <c r="C10" s="12" t="str">
        <f t="shared" ca="1" si="2"/>
        <v>Silicon Valley</v>
      </c>
      <c r="D10" s="12" t="str">
        <f t="shared" ca="1" si="2"/>
        <v>DVD Educational</v>
      </c>
      <c r="E10" s="12" t="str">
        <f t="shared" ca="1" si="3"/>
        <v>2013</v>
      </c>
      <c r="F10" s="17"/>
      <c r="G10" s="13" t="str">
        <f t="shared" ca="1" si="4"/>
        <v>Nonfiction</v>
      </c>
      <c r="H10" s="13" t="str">
        <f t="shared" ca="1" si="5"/>
        <v>338.4762 SIL601</v>
      </c>
      <c r="I10" s="17">
        <f ca="1">IF(AND($B10="",$C10=""),"",VLOOKUP($A10,Table1[],2,FALSE))</f>
        <v>2</v>
      </c>
    </row>
    <row r="11" spans="1:9" ht="27" customHeight="1" x14ac:dyDescent="0.25">
      <c r="A11" s="12" t="str">
        <f t="shared" ca="1" si="0"/>
        <v/>
      </c>
      <c r="B11" s="12" t="str">
        <f t="shared" ca="1" si="1"/>
        <v>DVD-ED 512 ALG108</v>
      </c>
      <c r="C11" s="12" t="str">
        <f t="shared" ca="1" si="2"/>
        <v>Algebra I DVD series. A1, Introduction to real numbers and variables</v>
      </c>
      <c r="D11" s="12" t="str">
        <f t="shared" ca="1" si="2"/>
        <v>DVD Educational</v>
      </c>
      <c r="E11" s="12" t="str">
        <f t="shared" ca="1" si="3"/>
        <v>2007</v>
      </c>
      <c r="F11" s="17"/>
      <c r="G11" s="13" t="str">
        <f t="shared" ca="1" si="4"/>
        <v>Nonfiction</v>
      </c>
      <c r="H11" s="13" t="str">
        <f t="shared" ca="1" si="5"/>
        <v>512 ALG108</v>
      </c>
      <c r="I11" s="17">
        <f ca="1">IF(AND($B11="",$C11=""),"",VLOOKUP($A11,Table1[],2,FALSE))</f>
        <v>2</v>
      </c>
    </row>
    <row r="12" spans="1:9" ht="27" customHeight="1" x14ac:dyDescent="0.25">
      <c r="A12" s="12" t="str">
        <f t="shared" ca="1" si="0"/>
        <v/>
      </c>
      <c r="B12" s="12" t="str">
        <f t="shared" ca="1" si="1"/>
        <v>DVD-ED 782.4216 HEA559</v>
      </c>
      <c r="C12" s="12" t="str">
        <f t="shared" ca="1" si="2"/>
        <v>Heart, alive in Seattle</v>
      </c>
      <c r="D12" s="12" t="str">
        <f t="shared" ca="1" si="2"/>
        <v>DVD Educational</v>
      </c>
      <c r="E12" s="12" t="str">
        <f t="shared" ca="1" si="3"/>
        <v>2003</v>
      </c>
      <c r="F12" s="17"/>
      <c r="G12" s="13" t="str">
        <f t="shared" ca="1" si="4"/>
        <v>Nonfiction</v>
      </c>
      <c r="H12" s="13" t="str">
        <f t="shared" ca="1" si="5"/>
        <v>782.4216 HEA559</v>
      </c>
      <c r="I12" s="17">
        <f ca="1">IF(AND($B12="",$C12=""),"",VLOOKUP($A12,Table1[],2,FALSE))</f>
        <v>2</v>
      </c>
    </row>
    <row r="13" spans="1:9" ht="27" customHeight="1" x14ac:dyDescent="0.25">
      <c r="A13" s="12" t="str">
        <f t="shared" ca="1" si="0"/>
        <v/>
      </c>
      <c r="B13" s="12" t="str">
        <f t="shared" ca="1" si="1"/>
        <v>TV DVD DOC5706</v>
      </c>
      <c r="C13" s="12" t="str">
        <f t="shared" ca="1" si="2"/>
        <v>Doctor Who. Dalek war</v>
      </c>
      <c r="D13" s="12" t="str">
        <f t="shared" ca="1" si="2"/>
        <v>DVD Television Series</v>
      </c>
      <c r="E13" s="12" t="str">
        <f t="shared" ca="1" si="3"/>
        <v>2010</v>
      </c>
      <c r="F13" s="17"/>
      <c r="G13" s="13" t="str">
        <f t="shared" ca="1" si="4"/>
        <v>DVD Television Series</v>
      </c>
      <c r="H13" s="13" t="str">
        <f t="shared" ca="1" si="5"/>
        <v>TV DVD DOC5706</v>
      </c>
      <c r="I13" s="17">
        <f ca="1">IF(AND($B13="",$C13=""),"",VLOOKUP($A13,Table1[],2,FALSE))</f>
        <v>2</v>
      </c>
    </row>
    <row r="14" spans="1:9" ht="27" customHeight="1" x14ac:dyDescent="0.25">
      <c r="A14" s="12" t="str">
        <f t="shared" ca="1" si="0"/>
        <v/>
      </c>
      <c r="B14" s="12" t="str">
        <f t="shared" ca="1" si="1"/>
        <v>E 398.8 MY VERY</v>
      </c>
      <c r="C14" s="12" t="str">
        <f t="shared" ca="1" si="2"/>
        <v>My very first Mother Goose</v>
      </c>
      <c r="D14" s="12" t="str">
        <f t="shared" ca="1" si="2"/>
        <v>Easy Countdown</v>
      </c>
      <c r="E14" s="12" t="str">
        <f t="shared" ca="1" si="3"/>
        <v>1996</v>
      </c>
      <c r="F14" s="17"/>
      <c r="G14" s="13" t="str">
        <f t="shared" ca="1" si="4"/>
        <v>Easy Countdown</v>
      </c>
      <c r="H14" s="13" t="str">
        <f t="shared" ca="1" si="5"/>
        <v>E 398.8 MY VERY</v>
      </c>
      <c r="I14" s="17">
        <f ca="1">IF(AND($B14="",$C14=""),"",VLOOKUP($A14,Table1[],2,FALSE))</f>
        <v>2</v>
      </c>
    </row>
    <row r="15" spans="1:9" ht="27" customHeight="1" x14ac:dyDescent="0.25">
      <c r="A15" s="12" t="str">
        <f t="shared" ca="1" si="0"/>
        <v/>
      </c>
      <c r="B15" s="12" t="str">
        <f t="shared" ca="1" si="1"/>
        <v>E BURNING</v>
      </c>
      <c r="C15" s="12" t="str">
        <f t="shared" ca="1" si="2"/>
        <v>Mr. Gumpy's outing</v>
      </c>
      <c r="D15" s="12" t="str">
        <f t="shared" ca="1" si="2"/>
        <v>Easy Countdown</v>
      </c>
      <c r="E15" s="12" t="str">
        <f t="shared" ca="1" si="3"/>
        <v>1970</v>
      </c>
      <c r="F15" s="17"/>
      <c r="G15" s="13" t="str">
        <f t="shared" ca="1" si="4"/>
        <v>Easy Countdown</v>
      </c>
      <c r="H15" s="13" t="str">
        <f t="shared" ca="1" si="5"/>
        <v>E BURNING</v>
      </c>
      <c r="I15" s="17">
        <f ca="1">IF(AND($B15="",$C15=""),"",VLOOKUP($A15,Table1[],2,FALSE))</f>
        <v>2</v>
      </c>
    </row>
    <row r="16" spans="1:9" ht="27" customHeight="1" x14ac:dyDescent="0.25">
      <c r="A16" s="12" t="str">
        <f t="shared" ca="1" si="0"/>
        <v/>
      </c>
      <c r="B16" s="12" t="str">
        <f t="shared" ca="1" si="1"/>
        <v>E SHANNON</v>
      </c>
      <c r="C16" s="12" t="str">
        <f t="shared" ca="1" si="2"/>
        <v>No, David!</v>
      </c>
      <c r="D16" s="12" t="str">
        <f t="shared" ca="1" si="2"/>
        <v>Easy Countdown</v>
      </c>
      <c r="E16" s="12" t="str">
        <f t="shared" ca="1" si="3"/>
        <v>1998</v>
      </c>
      <c r="F16" s="17"/>
      <c r="G16" s="13" t="str">
        <f t="shared" ca="1" si="4"/>
        <v>Easy Countdown</v>
      </c>
      <c r="H16" s="13" t="str">
        <f t="shared" ca="1" si="5"/>
        <v>E SHANNON</v>
      </c>
      <c r="I16" s="17">
        <f ca="1">IF(AND($B16="",$C16=""),"",VLOOKUP($A16,Table1[],2,FALSE))</f>
        <v>2</v>
      </c>
    </row>
    <row r="17" spans="1:9" ht="27" customHeight="1" x14ac:dyDescent="0.25">
      <c r="A17" s="12" t="str">
        <f t="shared" ca="1" si="0"/>
        <v/>
      </c>
      <c r="B17" s="12" t="str">
        <f t="shared" ca="1" si="1"/>
        <v>FIC FITZGER</v>
      </c>
      <c r="C17" s="12" t="str">
        <f t="shared" ca="1" si="2"/>
        <v>This side of paradise</v>
      </c>
      <c r="D17" s="12" t="str">
        <f t="shared" ca="1" si="2"/>
        <v>Fiction</v>
      </c>
      <c r="E17" s="12" t="str">
        <f t="shared" ca="1" si="3"/>
        <v>1996</v>
      </c>
      <c r="F17" s="17"/>
      <c r="G17" s="13" t="str">
        <f t="shared" ca="1" si="4"/>
        <v>Fiction</v>
      </c>
      <c r="H17" s="13" t="str">
        <f t="shared" ca="1" si="5"/>
        <v>FIC FITZGER</v>
      </c>
      <c r="I17" s="17">
        <f ca="1">IF(AND($B17="",$C17=""),"",VLOOKUP($A17,Table1[],2,FALSE))</f>
        <v>2</v>
      </c>
    </row>
    <row r="18" spans="1:9" ht="27" customHeight="1" x14ac:dyDescent="0.25">
      <c r="A18" s="12" t="str">
        <f t="shared" ca="1" si="0"/>
        <v/>
      </c>
      <c r="B18" s="12" t="str">
        <f t="shared" ca="1" si="1"/>
        <v>FIC GALENOR</v>
      </c>
      <c r="C18" s="12" t="str">
        <f t="shared" ca="1" si="2"/>
        <v>Night seeker</v>
      </c>
      <c r="D18" s="12" t="str">
        <f t="shared" ca="1" si="2"/>
        <v>Fiction</v>
      </c>
      <c r="E18" s="12" t="str">
        <f t="shared" ca="1" si="3"/>
        <v>2012</v>
      </c>
      <c r="F18" s="17"/>
      <c r="G18" s="13" t="str">
        <f t="shared" ca="1" si="4"/>
        <v>Fiction</v>
      </c>
      <c r="H18" s="13" t="str">
        <f t="shared" ca="1" si="5"/>
        <v>FIC GALENOR</v>
      </c>
      <c r="I18" s="17">
        <f ca="1">IF(AND($B18="",$C18=""),"",VLOOKUP($A18,Table1[],2,FALSE))</f>
        <v>2</v>
      </c>
    </row>
    <row r="19" spans="1:9" ht="27" customHeight="1" x14ac:dyDescent="0.25">
      <c r="A19" s="12" t="str">
        <f t="shared" ca="1" si="0"/>
        <v/>
      </c>
      <c r="B19" s="12" t="str">
        <f t="shared" ca="1" si="1"/>
        <v>FIC JOHNSON</v>
      </c>
      <c r="C19" s="12" t="str">
        <f t="shared" ca="1" si="2"/>
        <v>Indian country</v>
      </c>
      <c r="D19" s="12" t="str">
        <f t="shared" ca="1" si="2"/>
        <v>Fiction</v>
      </c>
      <c r="E19" s="12" t="str">
        <f t="shared" ca="1" si="3"/>
        <v>1995</v>
      </c>
      <c r="F19" s="17"/>
      <c r="G19" s="13" t="str">
        <f t="shared" ca="1" si="4"/>
        <v>Fiction</v>
      </c>
      <c r="H19" s="13" t="str">
        <f t="shared" ca="1" si="5"/>
        <v>FIC JOHNSON</v>
      </c>
      <c r="I19" s="17">
        <f ca="1">IF(AND($B19="",$C19=""),"",VLOOKUP($A19,Table1[],2,FALSE))</f>
        <v>2</v>
      </c>
    </row>
    <row r="20" spans="1:9" ht="27" customHeight="1" x14ac:dyDescent="0.25">
      <c r="A20" s="12" t="str">
        <f t="shared" ca="1" si="0"/>
        <v/>
      </c>
      <c r="B20" s="12" t="str">
        <f t="shared" ca="1" si="1"/>
        <v>FIC PANZERA</v>
      </c>
      <c r="C20" s="12" t="str">
        <f t="shared" ca="1" si="2"/>
        <v>Sweet on you</v>
      </c>
      <c r="D20" s="12" t="str">
        <f t="shared" ca="1" si="2"/>
        <v>Fiction</v>
      </c>
      <c r="E20" s="12" t="str">
        <f t="shared" ca="1" si="3"/>
        <v>2013</v>
      </c>
      <c r="F20" s="17"/>
      <c r="G20" s="13" t="str">
        <f t="shared" ca="1" si="4"/>
        <v>Fiction</v>
      </c>
      <c r="H20" s="13" t="str">
        <f t="shared" ca="1" si="5"/>
        <v>FIC PANZERA</v>
      </c>
      <c r="I20" s="17">
        <f ca="1">IF(AND($B20="",$C20=""),"",VLOOKUP($A20,Table1[],2,FALSE))</f>
        <v>2</v>
      </c>
    </row>
    <row r="21" spans="1:9" ht="27" customHeight="1" x14ac:dyDescent="0.25">
      <c r="A21" s="12" t="str">
        <f t="shared" ca="1" si="0"/>
        <v/>
      </c>
      <c r="B21" s="12" t="str">
        <f t="shared" ca="1" si="1"/>
        <v>FIC SHORS</v>
      </c>
      <c r="C21" s="12" t="str">
        <f t="shared" ca="1" si="2"/>
        <v>Beside a burning sea</v>
      </c>
      <c r="D21" s="12" t="str">
        <f t="shared" ca="1" si="2"/>
        <v>Fiction</v>
      </c>
      <c r="E21" s="12" t="str">
        <f t="shared" ca="1" si="3"/>
        <v>2008</v>
      </c>
      <c r="F21" s="17"/>
      <c r="G21" s="13" t="str">
        <f t="shared" ca="1" si="4"/>
        <v>Fiction</v>
      </c>
      <c r="H21" s="13" t="str">
        <f t="shared" ca="1" si="5"/>
        <v>FIC SHORS</v>
      </c>
      <c r="I21" s="17">
        <f ca="1">IF(AND($B21="",$C21=""),"",VLOOKUP($A21,Table1[],2,FALSE))</f>
        <v>2</v>
      </c>
    </row>
    <row r="22" spans="1:9" ht="27" customHeight="1" x14ac:dyDescent="0.25">
      <c r="A22" s="12" t="str">
        <f t="shared" ca="1" si="0"/>
        <v/>
      </c>
      <c r="B22" s="12" t="str">
        <f t="shared" ca="1" si="1"/>
        <v>Mystery FIC BENN</v>
      </c>
      <c r="C22" s="12" t="str">
        <f t="shared" ref="C22:D41" ca="1" si="6">TEXT( INDIRECT( ADDRESS( ROW() + Row_Offset, INDIRECT( "Column_Number_" &amp; C$1), 4,1, tabname) ), "")</f>
        <v>A blind goddess</v>
      </c>
      <c r="D22" s="12" t="str">
        <f t="shared" ca="1" si="6"/>
        <v>Fiction Mystery</v>
      </c>
      <c r="E22" s="12" t="str">
        <f t="shared" ca="1" si="3"/>
        <v>2013</v>
      </c>
      <c r="F22" s="17"/>
      <c r="G22" s="13" t="str">
        <f t="shared" ca="1" si="4"/>
        <v>Fiction Mystery</v>
      </c>
      <c r="H22" s="13" t="str">
        <f t="shared" ca="1" si="5"/>
        <v>Mystery FIC BENN</v>
      </c>
      <c r="I22" s="17">
        <f ca="1">IF(AND($B22="",$C22=""),"",VLOOKUP($A22,Table1[],2,FALSE))</f>
        <v>2</v>
      </c>
    </row>
    <row r="23" spans="1:9" ht="27" customHeight="1" x14ac:dyDescent="0.25">
      <c r="A23" s="12" t="str">
        <f t="shared" ca="1" si="0"/>
        <v>New Books</v>
      </c>
      <c r="B23" s="12" t="str">
        <f t="shared" ca="1" si="1"/>
        <v>Mystery FIC DAHEIM</v>
      </c>
      <c r="C23" s="12" t="str">
        <f t="shared" ca="1" si="6"/>
        <v>The Alpine yeoman</v>
      </c>
      <c r="D23" s="12" t="str">
        <f t="shared" ca="1" si="6"/>
        <v>Fiction Mystery</v>
      </c>
      <c r="E23" s="12" t="str">
        <f t="shared" ca="1" si="3"/>
        <v>2014</v>
      </c>
      <c r="F23" s="17"/>
      <c r="G23" s="13" t="str">
        <f t="shared" ca="1" si="4"/>
        <v>New Fiction Mystery</v>
      </c>
      <c r="H23" s="13" t="str">
        <f t="shared" ca="1" si="5"/>
        <v>Mystery FIC DAHEIM</v>
      </c>
      <c r="I23" s="17">
        <f ca="1">IF(AND($B23="",$C23=""),"",VLOOKUP($A23,Table1[],2,FALSE))</f>
        <v>1</v>
      </c>
    </row>
    <row r="24" spans="1:9" ht="27" customHeight="1" x14ac:dyDescent="0.25">
      <c r="A24" s="12" t="str">
        <f t="shared" ca="1" si="0"/>
        <v/>
      </c>
      <c r="B24" s="12" t="str">
        <f t="shared" ca="1" si="1"/>
        <v>Mystery FIC FRENCH</v>
      </c>
      <c r="C24" s="12" t="str">
        <f t="shared" ca="1" si="6"/>
        <v>Faithful Place</v>
      </c>
      <c r="D24" s="12" t="str">
        <f t="shared" ca="1" si="6"/>
        <v>Fiction Mystery</v>
      </c>
      <c r="E24" s="12" t="str">
        <f t="shared" ca="1" si="3"/>
        <v>2010</v>
      </c>
      <c r="F24" s="17"/>
      <c r="G24" s="13" t="str">
        <f t="shared" ca="1" si="4"/>
        <v>Fiction Mystery</v>
      </c>
      <c r="H24" s="13" t="str">
        <f t="shared" ca="1" si="5"/>
        <v>Mystery FIC FRENCH</v>
      </c>
      <c r="I24" s="17">
        <f ca="1">IF(AND($B24="",$C24=""),"",VLOOKUP($A24,Table1[],2,FALSE))</f>
        <v>2</v>
      </c>
    </row>
    <row r="25" spans="1:9" ht="27" customHeight="1" x14ac:dyDescent="0.25">
      <c r="A25" s="12" t="str">
        <f t="shared" ca="1" si="0"/>
        <v/>
      </c>
      <c r="B25" s="12" t="str">
        <f t="shared" ca="1" si="1"/>
        <v>J CD OM ACO307</v>
      </c>
      <c r="C25" s="12" t="str">
        <f t="shared" ca="1" si="6"/>
        <v>Acoustic dreamland Putumayo kids.</v>
      </c>
      <c r="D25" s="12" t="str">
        <f t="shared" ca="1" si="6"/>
        <v>Juvenile Compact Disc</v>
      </c>
      <c r="E25" s="12" t="str">
        <f t="shared" ca="1" si="3"/>
        <v>2011</v>
      </c>
      <c r="F25" s="17"/>
      <c r="G25" s="13" t="str">
        <f t="shared" ca="1" si="4"/>
        <v>Juvenile Compact Disc</v>
      </c>
      <c r="H25" s="13" t="str">
        <f t="shared" ca="1" si="5"/>
        <v>J CD OM ACO307</v>
      </c>
      <c r="I25" s="17">
        <f ca="1">IF(AND($B25="",$C25=""),"",VLOOKUP($A25,Table1[],2,FALSE))</f>
        <v>2</v>
      </c>
    </row>
    <row r="26" spans="1:9" ht="27" customHeight="1" x14ac:dyDescent="0.25">
      <c r="A26" s="12" t="str">
        <f t="shared" ca="1" si="0"/>
        <v/>
      </c>
      <c r="B26" s="12" t="str">
        <f t="shared" ca="1" si="1"/>
        <v>J CD OM BERKNER</v>
      </c>
      <c r="C26" s="12" t="str">
        <f t="shared" ca="1" si="6"/>
        <v>Laurie Berkner lullabies.</v>
      </c>
      <c r="D26" s="12" t="str">
        <f t="shared" ca="1" si="6"/>
        <v>Juvenile Compact Disc</v>
      </c>
      <c r="E26" s="12" t="str">
        <f t="shared" ca="1" si="3"/>
        <v>2014</v>
      </c>
      <c r="F26" s="17"/>
      <c r="G26" s="13" t="str">
        <f t="shared" ca="1" si="4"/>
        <v>Juvenile Compact Disc</v>
      </c>
      <c r="H26" s="13" t="str">
        <f t="shared" ca="1" si="5"/>
        <v>J CD OM BERKNER</v>
      </c>
      <c r="I26" s="17">
        <f ca="1">IF(AND($B26="",$C26=""),"",VLOOKUP($A26,Table1[],2,FALSE))</f>
        <v>2</v>
      </c>
    </row>
    <row r="27" spans="1:9" ht="27" customHeight="1" x14ac:dyDescent="0.25">
      <c r="A27" s="12" t="str">
        <f t="shared" ca="1" si="0"/>
        <v/>
      </c>
      <c r="B27" s="12" t="str">
        <f t="shared" ca="1" si="1"/>
        <v>J CD OM CAL2419</v>
      </c>
      <c r="C27" s="12" t="str">
        <f t="shared" ca="1" si="6"/>
        <v>Calming world lullabies</v>
      </c>
      <c r="D27" s="12" t="str">
        <f t="shared" ca="1" si="6"/>
        <v>Juvenile Compact Disc</v>
      </c>
      <c r="E27" s="12" t="str">
        <f t="shared" ca="1" si="3"/>
        <v>2012</v>
      </c>
      <c r="F27" s="17"/>
      <c r="G27" s="13" t="str">
        <f t="shared" ca="1" si="4"/>
        <v>Juvenile Compact Disc</v>
      </c>
      <c r="H27" s="13" t="str">
        <f t="shared" ca="1" si="5"/>
        <v>J CD OM CAL2419</v>
      </c>
      <c r="I27" s="17">
        <f ca="1">IF(AND($B27="",$C27=""),"",VLOOKUP($A27,Table1[],2,FALSE))</f>
        <v>2</v>
      </c>
    </row>
    <row r="28" spans="1:9" ht="27" customHeight="1" x14ac:dyDescent="0.25">
      <c r="A28" s="12" t="str">
        <f t="shared" ca="1" si="0"/>
        <v/>
      </c>
      <c r="B28" s="12" t="str">
        <f t="shared" ca="1" si="1"/>
        <v>J CD OM HOT1120</v>
      </c>
      <c r="C28" s="12" t="str">
        <f t="shared" ca="1" si="6"/>
        <v>Hot peas 'n butter. Volume 6, Catchin' some peaz the lullabies.</v>
      </c>
      <c r="D28" s="12" t="str">
        <f t="shared" ca="1" si="6"/>
        <v>Juvenile Compact Disc</v>
      </c>
      <c r="E28" s="12" t="str">
        <f t="shared" ca="1" si="3"/>
        <v>2012</v>
      </c>
      <c r="F28" s="17"/>
      <c r="G28" s="13" t="str">
        <f t="shared" ca="1" si="4"/>
        <v>Juvenile Compact Disc</v>
      </c>
      <c r="H28" s="13" t="str">
        <f t="shared" ca="1" si="5"/>
        <v>J CD OM HOT1120</v>
      </c>
      <c r="I28" s="17">
        <f ca="1">IF(AND($B28="",$C28=""),"",VLOOKUP($A28,Table1[],2,FALSE))</f>
        <v>2</v>
      </c>
    </row>
    <row r="29" spans="1:9" ht="27" customHeight="1" x14ac:dyDescent="0.25">
      <c r="A29" s="12" t="str">
        <f t="shared" ca="1" si="0"/>
        <v/>
      </c>
      <c r="B29" s="12" t="str">
        <f t="shared" ca="1" si="1"/>
        <v>J CD OM JON638</v>
      </c>
      <c r="C29" s="12" t="str">
        <f t="shared" ca="1" si="6"/>
        <v>Napper's delight</v>
      </c>
      <c r="D29" s="12" t="str">
        <f t="shared" ca="1" si="6"/>
        <v>Juvenile Compact Disc</v>
      </c>
      <c r="E29" s="12" t="str">
        <f t="shared" ca="1" si="3"/>
        <v>2007</v>
      </c>
      <c r="F29" s="17"/>
      <c r="G29" s="13" t="str">
        <f t="shared" ca="1" si="4"/>
        <v>Juvenile Compact Disc</v>
      </c>
      <c r="H29" s="13" t="str">
        <f t="shared" ca="1" si="5"/>
        <v>J CD OM JON638</v>
      </c>
      <c r="I29" s="17">
        <f ca="1">IF(AND($B29="",$C29=""),"",VLOOKUP($A29,Table1[],2,FALSE))</f>
        <v>2</v>
      </c>
    </row>
    <row r="30" spans="1:9" ht="27" customHeight="1" x14ac:dyDescent="0.25">
      <c r="A30" s="12" t="str">
        <f t="shared" ca="1" si="0"/>
        <v/>
      </c>
      <c r="B30" s="12" t="str">
        <f t="shared" ca="1" si="1"/>
        <v>J CD OM MY FIRS</v>
      </c>
      <c r="C30" s="12" t="str">
        <f t="shared" ca="1" si="6"/>
        <v>My first orchestra album</v>
      </c>
      <c r="D30" s="12" t="str">
        <f t="shared" ca="1" si="6"/>
        <v>Juvenile Compact Disc</v>
      </c>
      <c r="E30" s="12" t="str">
        <f t="shared" ca="1" si="3"/>
        <v>2013</v>
      </c>
      <c r="F30" s="17"/>
      <c r="G30" s="13" t="str">
        <f t="shared" ca="1" si="4"/>
        <v>Juvenile Compact Disc</v>
      </c>
      <c r="H30" s="13" t="str">
        <f t="shared" ca="1" si="5"/>
        <v>J CD OM MY FIRS</v>
      </c>
      <c r="I30" s="17">
        <f ca="1">IF(AND($B30="",$C30=""),"",VLOOKUP($A30,Table1[],2,FALSE))</f>
        <v>2</v>
      </c>
    </row>
    <row r="31" spans="1:9" ht="27" customHeight="1" x14ac:dyDescent="0.25">
      <c r="A31" s="12" t="str">
        <f t="shared" ca="1" si="0"/>
        <v/>
      </c>
      <c r="B31" s="12" t="str">
        <f t="shared" ca="1" si="1"/>
        <v>J CD OM MYF8213</v>
      </c>
      <c r="C31" s="12" t="str">
        <f t="shared" ca="1" si="6"/>
        <v>My first lullaby album</v>
      </c>
      <c r="D31" s="12" t="str">
        <f t="shared" ca="1" si="6"/>
        <v>Juvenile Compact Disc</v>
      </c>
      <c r="E31" s="12" t="str">
        <f t="shared" ca="1" si="3"/>
        <v>2012</v>
      </c>
      <c r="F31" s="17"/>
      <c r="G31" s="13" t="str">
        <f t="shared" ca="1" si="4"/>
        <v>Juvenile Compact Disc</v>
      </c>
      <c r="H31" s="13" t="str">
        <f t="shared" ca="1" si="5"/>
        <v>J CD OM MYF8213</v>
      </c>
      <c r="I31" s="17">
        <f ca="1">IF(AND($B31="",$C31=""),"",VLOOKUP($A31,Table1[],2,FALSE))</f>
        <v>2</v>
      </c>
    </row>
    <row r="32" spans="1:9" ht="27" customHeight="1" x14ac:dyDescent="0.25">
      <c r="A32" s="12" t="str">
        <f t="shared" ca="1" si="0"/>
        <v/>
      </c>
      <c r="B32" s="12" t="str">
        <f t="shared" ca="1" si="1"/>
        <v>J CD OM PALMER</v>
      </c>
      <c r="C32" s="12" t="str">
        <f t="shared" ca="1" si="6"/>
        <v>So big activity songs for little ones</v>
      </c>
      <c r="D32" s="12" t="str">
        <f t="shared" ca="1" si="6"/>
        <v>Juvenile Compact Disc</v>
      </c>
      <c r="E32" s="12" t="str">
        <f t="shared" ca="1" si="3"/>
        <v>1994</v>
      </c>
      <c r="F32" s="17"/>
      <c r="G32" s="13" t="str">
        <f t="shared" ca="1" si="4"/>
        <v>Juvenile Compact Disc</v>
      </c>
      <c r="H32" s="13" t="str">
        <f t="shared" ca="1" si="5"/>
        <v>J CD OM PALMER</v>
      </c>
      <c r="I32" s="17">
        <f ca="1">IF(AND($B32="",$C32=""),"",VLOOKUP($A32,Table1[],2,FALSE))</f>
        <v>2</v>
      </c>
    </row>
    <row r="33" spans="1:9" ht="27" customHeight="1" x14ac:dyDescent="0.25">
      <c r="A33" s="12" t="str">
        <f t="shared" ca="1" si="0"/>
        <v/>
      </c>
      <c r="B33" s="12" t="str">
        <f t="shared" ca="1" si="1"/>
        <v>J CD OM ROC9693</v>
      </c>
      <c r="C33" s="12" t="str">
        <f t="shared" ca="1" si="6"/>
        <v>Rockabye baby!. more lullaby renditions of U2</v>
      </c>
      <c r="D33" s="12" t="str">
        <f t="shared" ca="1" si="6"/>
        <v>Juvenile Compact Disc</v>
      </c>
      <c r="E33" s="12" t="str">
        <f t="shared" ca="1" si="3"/>
        <v>2012</v>
      </c>
      <c r="F33" s="17"/>
      <c r="G33" s="13" t="str">
        <f t="shared" ca="1" si="4"/>
        <v>Juvenile Compact Disc</v>
      </c>
      <c r="H33" s="13" t="str">
        <f t="shared" ca="1" si="5"/>
        <v>J CD OM ROC9693</v>
      </c>
      <c r="I33" s="17">
        <f ca="1">IF(AND($B33="",$C33=""),"",VLOOKUP($A33,Table1[],2,FALSE))</f>
        <v>2</v>
      </c>
    </row>
    <row r="34" spans="1:9" ht="27" customHeight="1" x14ac:dyDescent="0.25">
      <c r="A34" s="12" t="str">
        <f t="shared" ca="1" si="0"/>
        <v/>
      </c>
      <c r="B34" s="12" t="str">
        <f t="shared" ca="1" si="1"/>
        <v>J DVD THO1694</v>
      </c>
      <c r="C34" s="12" t="str">
        <f t="shared" ca="1" si="6"/>
        <v>Thomas &amp; friends. Merry Christmas Thomas</v>
      </c>
      <c r="D34" s="12" t="str">
        <f t="shared" ca="1" si="6"/>
        <v>Juvenile DVD</v>
      </c>
      <c r="E34" s="12" t="str">
        <f t="shared" ca="1" si="3"/>
        <v>2011</v>
      </c>
      <c r="F34" s="17"/>
      <c r="G34" s="13" t="str">
        <f t="shared" ca="1" si="4"/>
        <v>Juvenile DVD</v>
      </c>
      <c r="H34" s="13" t="str">
        <f t="shared" ca="1" si="5"/>
        <v>J DVD THO1694</v>
      </c>
      <c r="I34" s="17">
        <f ca="1">IF(AND($B34="",$C34=""),"",VLOOKUP($A34,Table1[],2,FALSE))</f>
        <v>2</v>
      </c>
    </row>
    <row r="35" spans="1:9" ht="27" customHeight="1" x14ac:dyDescent="0.25">
      <c r="A35" s="12" t="str">
        <f t="shared" ca="1" si="0"/>
        <v/>
      </c>
      <c r="B35" s="12" t="str">
        <f t="shared" ca="1" si="1"/>
        <v>J NAPOLI</v>
      </c>
      <c r="C35" s="12" t="str">
        <f t="shared" ca="1" si="6"/>
        <v>Ugly</v>
      </c>
      <c r="D35" s="12" t="str">
        <f t="shared" ca="1" si="6"/>
        <v>Juvenile Fiction</v>
      </c>
      <c r="E35" s="12" t="str">
        <f t="shared" ca="1" si="3"/>
        <v>2006</v>
      </c>
      <c r="F35" s="17"/>
      <c r="G35" s="13" t="str">
        <f t="shared" ca="1" si="4"/>
        <v>Juvenile Fiction</v>
      </c>
      <c r="H35" s="13" t="str">
        <f t="shared" ca="1" si="5"/>
        <v>J NAPOLI</v>
      </c>
      <c r="I35" s="17">
        <f ca="1">IF(AND($B35="",$C35=""),"",VLOOKUP($A35,Table1[],2,FALSE))</f>
        <v>2</v>
      </c>
    </row>
    <row r="36" spans="1:9" ht="27" customHeight="1" x14ac:dyDescent="0.25">
      <c r="A36" s="12" t="str">
        <f t="shared" ca="1" si="0"/>
        <v/>
      </c>
      <c r="B36" s="12" t="str">
        <f t="shared" ca="1" si="1"/>
        <v>J SUTHERL</v>
      </c>
      <c r="C36" s="12" t="str">
        <f t="shared" ca="1" si="6"/>
        <v>The hidden kingdom</v>
      </c>
      <c r="D36" s="12" t="str">
        <f t="shared" ca="1" si="6"/>
        <v>Juvenile Fiction</v>
      </c>
      <c r="E36" s="12" t="str">
        <f t="shared" ca="1" si="3"/>
        <v>2013</v>
      </c>
      <c r="F36" s="17"/>
      <c r="G36" s="13" t="str">
        <f t="shared" ca="1" si="4"/>
        <v>Juvenile Fiction</v>
      </c>
      <c r="H36" s="13" t="str">
        <f t="shared" ca="1" si="5"/>
        <v>J SUTHERL</v>
      </c>
      <c r="I36" s="17">
        <f ca="1">IF(AND($B36="",$C36=""),"",VLOOKUP($A36,Table1[],2,FALSE))</f>
        <v>2</v>
      </c>
    </row>
    <row r="37" spans="1:9" ht="27" customHeight="1" x14ac:dyDescent="0.25">
      <c r="A37" s="12" t="str">
        <f t="shared" ca="1" si="0"/>
        <v>In Library Use Only</v>
      </c>
      <c r="B37" s="12" t="str">
        <f t="shared" ca="1" si="1"/>
        <v/>
      </c>
      <c r="C37" s="12" t="str">
        <f t="shared" ca="1" si="6"/>
        <v>Discovery girls. v. 14 no. 5  (Aug./Sep. 2014)</v>
      </c>
      <c r="D37" s="12" t="str">
        <f t="shared" ca="1" si="6"/>
        <v>Juvenile Magazine</v>
      </c>
      <c r="E37" s="12" t="str">
        <f t="shared" ca="1" si="3"/>
        <v>2000</v>
      </c>
      <c r="F37" s="17"/>
      <c r="G37" s="13" t="str">
        <f t="shared" ca="1" si="4"/>
        <v>Reference Juvenile Magazine</v>
      </c>
      <c r="H37" s="13" t="str">
        <f t="shared" ca="1" si="5"/>
        <v/>
      </c>
      <c r="I37" s="17">
        <f ca="1">IF(AND($B37="",$C37=""),"",VLOOKUP($A37,Table1[],2,FALSE))</f>
        <v>3</v>
      </c>
    </row>
    <row r="38" spans="1:9" ht="27" customHeight="1" x14ac:dyDescent="0.25">
      <c r="A38" s="12" t="str">
        <f t="shared" ca="1" si="0"/>
        <v>In Library Use Only</v>
      </c>
      <c r="B38" s="12" t="str">
        <f t="shared" ca="1" si="1"/>
        <v/>
      </c>
      <c r="C38" s="12" t="str">
        <f t="shared" ca="1" si="6"/>
        <v>Elle. Vol. 29 No. 12  (August 2014)</v>
      </c>
      <c r="D38" s="12" t="str">
        <f t="shared" ca="1" si="6"/>
        <v>Magazine</v>
      </c>
      <c r="E38" s="12" t="str">
        <f t="shared" ca="1" si="3"/>
        <v>1985</v>
      </c>
      <c r="F38" s="17"/>
      <c r="G38" s="13" t="str">
        <f t="shared" ca="1" si="4"/>
        <v>Reference Magazine</v>
      </c>
      <c r="H38" s="13" t="str">
        <f t="shared" ca="1" si="5"/>
        <v/>
      </c>
      <c r="I38" s="17">
        <f ca="1">IF(AND($B38="",$C38=""),"",VLOOKUP($A38,Table1[],2,FALSE))</f>
        <v>3</v>
      </c>
    </row>
    <row r="39" spans="1:9" ht="27" customHeight="1" x14ac:dyDescent="0.25">
      <c r="A39" s="12" t="str">
        <f t="shared" ca="1" si="0"/>
        <v>In Library Use Only</v>
      </c>
      <c r="B39" s="12" t="str">
        <f t="shared" ca="1" si="1"/>
        <v/>
      </c>
      <c r="C39" s="12" t="str">
        <f t="shared" ca="1" si="6"/>
        <v>Print. v. 68 no. 4  (Aug. 2014)</v>
      </c>
      <c r="D39" s="12" t="str">
        <f t="shared" ca="1" si="6"/>
        <v>Magazine</v>
      </c>
      <c r="E39" s="12" t="str">
        <f t="shared" ca="1" si="3"/>
        <v>1940</v>
      </c>
      <c r="F39" s="17"/>
      <c r="G39" s="13" t="str">
        <f t="shared" ca="1" si="4"/>
        <v>Reference Magazine</v>
      </c>
      <c r="H39" s="13" t="str">
        <f t="shared" ca="1" si="5"/>
        <v/>
      </c>
      <c r="I39" s="17">
        <f ca="1">IF(AND($B39="",$C39=""),"",VLOOKUP($A39,Table1[],2,FALSE))</f>
        <v>3</v>
      </c>
    </row>
    <row r="40" spans="1:9" ht="27" customHeight="1" x14ac:dyDescent="0.25">
      <c r="A40" s="12" t="str">
        <f t="shared" ca="1" si="0"/>
        <v>In Library Use Only</v>
      </c>
      <c r="B40" s="12" t="str">
        <f t="shared" ca="1" si="1"/>
        <v/>
      </c>
      <c r="C40" s="12" t="str">
        <f t="shared" ca="1" si="6"/>
        <v>Arts and activities. v. 155 no. 5  (June 2014)</v>
      </c>
      <c r="D40" s="12" t="str">
        <f t="shared" ca="1" si="6"/>
        <v>Magazine</v>
      </c>
      <c r="E40" s="12" t="str">
        <f t="shared" ca="1" si="3"/>
        <v>1955</v>
      </c>
      <c r="F40" s="17"/>
      <c r="G40" s="13" t="str">
        <f t="shared" ca="1" si="4"/>
        <v>Reference Magazine</v>
      </c>
      <c r="H40" s="13" t="str">
        <f t="shared" ca="1" si="5"/>
        <v/>
      </c>
      <c r="I40" s="17">
        <f ca="1">IF(AND($B40="",$C40=""),"",VLOOKUP($A40,Table1[],2,FALSE))</f>
        <v>3</v>
      </c>
    </row>
    <row r="41" spans="1:9" ht="27" customHeight="1" x14ac:dyDescent="0.25">
      <c r="A41" s="12" t="str">
        <f t="shared" ca="1" si="0"/>
        <v>In Library Use Only</v>
      </c>
      <c r="B41" s="12" t="str">
        <f t="shared" ca="1" si="1"/>
        <v/>
      </c>
      <c r="C41" s="12" t="str">
        <f t="shared" ca="1" si="6"/>
        <v>Birds &amp; blooms. Vol. 20 No. 4  (August/September 2014)</v>
      </c>
      <c r="D41" s="12" t="str">
        <f t="shared" ca="1" si="6"/>
        <v>Magazine</v>
      </c>
      <c r="E41" s="12" t="str">
        <f t="shared" ca="1" si="3"/>
        <v>1995</v>
      </c>
      <c r="F41" s="17"/>
      <c r="G41" s="13" t="str">
        <f t="shared" ca="1" si="4"/>
        <v>Reference Magazine</v>
      </c>
      <c r="H41" s="13" t="str">
        <f t="shared" ca="1" si="5"/>
        <v/>
      </c>
      <c r="I41" s="17">
        <f ca="1">IF(AND($B41="",$C41=""),"",VLOOKUP($A41,Table1[],2,FALSE))</f>
        <v>3</v>
      </c>
    </row>
    <row r="42" spans="1:9" ht="27" customHeight="1" x14ac:dyDescent="0.25">
      <c r="A42" s="12" t="str">
        <f t="shared" ca="1" si="0"/>
        <v>In Library Use Only</v>
      </c>
      <c r="B42" s="12" t="str">
        <f t="shared" ca="1" si="1"/>
        <v/>
      </c>
      <c r="C42" s="12" t="str">
        <f t="shared" ref="C42:D61" ca="1" si="7">TEXT( INDIRECT( ADDRESS( ROW() + Row_Offset, INDIRECT( "Column_Number_" &amp; C$1), 4,1, tabname) ), "")</f>
        <v>Taunton's fine cooking. Issue 130  (August/September 2014)</v>
      </c>
      <c r="D42" s="12" t="str">
        <f t="shared" ca="1" si="7"/>
        <v>Magazine</v>
      </c>
      <c r="E42" s="12" t="str">
        <f t="shared" ca="1" si="3"/>
        <v>1994</v>
      </c>
      <c r="F42" s="17"/>
      <c r="G42" s="13" t="str">
        <f t="shared" ca="1" si="4"/>
        <v>Reference Magazine</v>
      </c>
      <c r="H42" s="13" t="str">
        <f t="shared" ca="1" si="5"/>
        <v/>
      </c>
      <c r="I42" s="17">
        <f ca="1">IF(AND($B42="",$C42=""),"",VLOOKUP($A42,Table1[],2,FALSE))</f>
        <v>3</v>
      </c>
    </row>
    <row r="43" spans="1:9" ht="27" customHeight="1" x14ac:dyDescent="0.25">
      <c r="A43" s="12" t="str">
        <f t="shared" ca="1" si="0"/>
        <v>In Library Use Only</v>
      </c>
      <c r="B43" s="12" t="str">
        <f t="shared" ca="1" si="1"/>
        <v/>
      </c>
      <c r="C43" s="12" t="str">
        <f t="shared" ca="1" si="7"/>
        <v>Puget Sound consumers' checkbook. v. 5 no. 4  (Spring/Summer 2014)</v>
      </c>
      <c r="D43" s="12" t="str">
        <f t="shared" ca="1" si="7"/>
        <v>Magazine</v>
      </c>
      <c r="E43" s="12" t="str">
        <f t="shared" ca="1" si="3"/>
        <v>2003</v>
      </c>
      <c r="F43" s="17"/>
      <c r="G43" s="13" t="str">
        <f t="shared" ca="1" si="4"/>
        <v>Reference Magazine</v>
      </c>
      <c r="H43" s="13" t="str">
        <f t="shared" ca="1" si="5"/>
        <v/>
      </c>
      <c r="I43" s="17">
        <f ca="1">IF(AND($B43="",$C43=""),"",VLOOKUP($A43,Table1[],2,FALSE))</f>
        <v>3</v>
      </c>
    </row>
    <row r="44" spans="1:9" ht="27" customHeight="1" x14ac:dyDescent="0.25">
      <c r="A44" s="12" t="str">
        <f t="shared" ca="1" si="0"/>
        <v>In Library Use Only</v>
      </c>
      <c r="B44" s="12" t="str">
        <f t="shared" ca="1" si="1"/>
        <v/>
      </c>
      <c r="C44" s="12" t="str">
        <f t="shared" ca="1" si="7"/>
        <v>Beadwork. v. 17 no. 5  (Aug./Sep. 2014)</v>
      </c>
      <c r="D44" s="12" t="str">
        <f t="shared" ca="1" si="7"/>
        <v>Magazine</v>
      </c>
      <c r="E44" s="12" t="str">
        <f t="shared" ca="1" si="3"/>
        <v>1998</v>
      </c>
      <c r="F44" s="17"/>
      <c r="G44" s="13" t="str">
        <f t="shared" ca="1" si="4"/>
        <v>Reference Magazine</v>
      </c>
      <c r="H44" s="13" t="str">
        <f t="shared" ca="1" si="5"/>
        <v/>
      </c>
      <c r="I44" s="17">
        <f ca="1">IF(AND($B44="",$C44=""),"",VLOOKUP($A44,Table1[],2,FALSE))</f>
        <v>3</v>
      </c>
    </row>
    <row r="45" spans="1:9" ht="27" customHeight="1" x14ac:dyDescent="0.25">
      <c r="A45" s="12" t="str">
        <f t="shared" ca="1" si="0"/>
        <v>In Library Use Only</v>
      </c>
      <c r="B45" s="12" t="str">
        <f t="shared" ca="1" si="1"/>
        <v/>
      </c>
      <c r="C45" s="12" t="str">
        <f t="shared" ca="1" si="7"/>
        <v>Discover Britain. no. 177  (July/Aug. 2014)</v>
      </c>
      <c r="D45" s="12" t="str">
        <f t="shared" ca="1" si="7"/>
        <v>Magazine</v>
      </c>
      <c r="E45" s="12" t="str">
        <f t="shared" ca="1" si="3"/>
        <v>2011</v>
      </c>
      <c r="F45" s="17"/>
      <c r="G45" s="13" t="str">
        <f t="shared" ca="1" si="4"/>
        <v>Reference Magazine</v>
      </c>
      <c r="H45" s="13" t="str">
        <f t="shared" ca="1" si="5"/>
        <v/>
      </c>
      <c r="I45" s="17">
        <f ca="1">IF(AND($B45="",$C45=""),"",VLOOKUP($A45,Table1[],2,FALSE))</f>
        <v>3</v>
      </c>
    </row>
    <row r="46" spans="1:9" ht="27" customHeight="1" x14ac:dyDescent="0.25">
      <c r="A46" s="12" t="str">
        <f t="shared" ca="1" si="0"/>
        <v>In Library Use Only</v>
      </c>
      <c r="B46" s="12" t="str">
        <f t="shared" ca="1" si="1"/>
        <v/>
      </c>
      <c r="C46" s="12" t="str">
        <f t="shared" ca="1" si="7"/>
        <v>Vogue. Vol. 204 No. 8  (Aug. 2014)</v>
      </c>
      <c r="D46" s="12" t="str">
        <f t="shared" ca="1" si="7"/>
        <v>Magazine</v>
      </c>
      <c r="E46" s="12" t="str">
        <f t="shared" ca="1" si="3"/>
        <v>1892</v>
      </c>
      <c r="F46" s="17"/>
      <c r="G46" s="13" t="str">
        <f t="shared" ca="1" si="4"/>
        <v>Reference Magazine</v>
      </c>
      <c r="H46" s="13" t="str">
        <f t="shared" ca="1" si="5"/>
        <v/>
      </c>
      <c r="I46" s="17">
        <f ca="1">IF(AND($B46="",$C46=""),"",VLOOKUP($A46,Table1[],2,FALSE))</f>
        <v>3</v>
      </c>
    </row>
    <row r="47" spans="1:9" ht="27" customHeight="1" x14ac:dyDescent="0.25">
      <c r="A47" s="12" t="str">
        <f t="shared" ca="1" si="0"/>
        <v>In Library Use Only</v>
      </c>
      <c r="B47" s="12" t="str">
        <f t="shared" ca="1" si="1"/>
        <v/>
      </c>
      <c r="C47" s="12" t="str">
        <f t="shared" ca="1" si="7"/>
        <v>Northwest fly fishing. v. 16 no. 4  (July/Aug. 2014)</v>
      </c>
      <c r="D47" s="12" t="str">
        <f t="shared" ca="1" si="7"/>
        <v>Magazine</v>
      </c>
      <c r="E47" s="12" t="str">
        <f t="shared" ca="1" si="3"/>
        <v/>
      </c>
      <c r="F47" s="17"/>
      <c r="G47" s="13" t="str">
        <f t="shared" ca="1" si="4"/>
        <v>Reference Magazine</v>
      </c>
      <c r="H47" s="13" t="str">
        <f t="shared" ca="1" si="5"/>
        <v/>
      </c>
      <c r="I47" s="17">
        <f ca="1">IF(AND($B47="",$C47=""),"",VLOOKUP($A47,Table1[],2,FALSE))</f>
        <v>3</v>
      </c>
    </row>
    <row r="48" spans="1:9" ht="27" customHeight="1" x14ac:dyDescent="0.25">
      <c r="A48" s="12" t="str">
        <f t="shared" ca="1" si="0"/>
        <v>In Library Use Only</v>
      </c>
      <c r="B48" s="12" t="str">
        <f t="shared" ca="1" si="1"/>
        <v/>
      </c>
      <c r="C48" s="12" t="str">
        <f t="shared" ca="1" si="7"/>
        <v>Washington trails : a publication of Washington Trails Association. v. 49 no. 4  (July/Aug. 2014)</v>
      </c>
      <c r="D48" s="12" t="str">
        <f t="shared" ca="1" si="7"/>
        <v>Magazine</v>
      </c>
      <c r="E48" s="12" t="str">
        <f t="shared" ca="1" si="3"/>
        <v>2001</v>
      </c>
      <c r="F48" s="17"/>
      <c r="G48" s="13" t="str">
        <f t="shared" ca="1" si="4"/>
        <v>Reference Magazine</v>
      </c>
      <c r="H48" s="13" t="str">
        <f t="shared" ca="1" si="5"/>
        <v/>
      </c>
      <c r="I48" s="17">
        <f ca="1">IF(AND($B48="",$C48=""),"",VLOOKUP($A48,Table1[],2,FALSE))</f>
        <v>3</v>
      </c>
    </row>
    <row r="49" spans="1:9" ht="27" customHeight="1" x14ac:dyDescent="0.25">
      <c r="A49" s="12" t="str">
        <f t="shared" ca="1" si="0"/>
        <v>In Library Use Only</v>
      </c>
      <c r="B49" s="12" t="str">
        <f t="shared" ca="1" si="1"/>
        <v/>
      </c>
      <c r="C49" s="12" t="str">
        <f t="shared" ca="1" si="7"/>
        <v>Natural solutions. no. 164  (June 2014)</v>
      </c>
      <c r="D49" s="12" t="str">
        <f t="shared" ca="1" si="7"/>
        <v>Magazine</v>
      </c>
      <c r="E49" s="12" t="str">
        <f t="shared" ca="1" si="3"/>
        <v>2008</v>
      </c>
      <c r="F49" s="17"/>
      <c r="G49" s="13" t="str">
        <f t="shared" ca="1" si="4"/>
        <v>Reference Magazine</v>
      </c>
      <c r="H49" s="13" t="str">
        <f t="shared" ca="1" si="5"/>
        <v/>
      </c>
      <c r="I49" s="17">
        <f ca="1">IF(AND($B49="",$C49=""),"",VLOOKUP($A49,Table1[],2,FALSE))</f>
        <v>3</v>
      </c>
    </row>
    <row r="50" spans="1:9" ht="27" customHeight="1" x14ac:dyDescent="0.25">
      <c r="A50" s="12" t="str">
        <f t="shared" ca="1" si="0"/>
        <v>In Library Use Only</v>
      </c>
      <c r="B50" s="12" t="str">
        <f t="shared" ca="1" si="1"/>
        <v/>
      </c>
      <c r="C50" s="12" t="str">
        <f t="shared" ca="1" si="7"/>
        <v>Urban farm. Volume 6 Number 4  (July/August 2014)</v>
      </c>
      <c r="D50" s="12" t="str">
        <f t="shared" ca="1" si="7"/>
        <v>Magazine</v>
      </c>
      <c r="E50" s="12" t="str">
        <f t="shared" ca="1" si="3"/>
        <v>2009</v>
      </c>
      <c r="F50" s="17"/>
      <c r="G50" s="13" t="str">
        <f t="shared" ca="1" si="4"/>
        <v>Reference Magazine</v>
      </c>
      <c r="H50" s="13" t="str">
        <f t="shared" ca="1" si="5"/>
        <v/>
      </c>
      <c r="I50" s="17">
        <f ca="1">IF(AND($B50="",$C50=""),"",VLOOKUP($A50,Table1[],2,FALSE))</f>
        <v>3</v>
      </c>
    </row>
    <row r="51" spans="1:9" ht="27" customHeight="1" x14ac:dyDescent="0.25">
      <c r="A51" s="12" t="str">
        <f t="shared" ca="1" si="0"/>
        <v>In Library Use Only</v>
      </c>
      <c r="B51" s="12" t="str">
        <f t="shared" ca="1" si="1"/>
        <v/>
      </c>
      <c r="C51" s="12" t="str">
        <f t="shared" ca="1" si="7"/>
        <v>Horse &amp; rider v. 53 no. 8  (Aug. 2014)</v>
      </c>
      <c r="D51" s="12" t="str">
        <f t="shared" ca="1" si="7"/>
        <v>Magazine</v>
      </c>
      <c r="E51" s="12" t="str">
        <f t="shared" ca="1" si="3"/>
        <v>1968</v>
      </c>
      <c r="F51" s="17"/>
      <c r="G51" s="13" t="str">
        <f t="shared" ca="1" si="4"/>
        <v>Reference Magazine</v>
      </c>
      <c r="H51" s="13" t="str">
        <f t="shared" ca="1" si="5"/>
        <v/>
      </c>
      <c r="I51" s="17">
        <f ca="1">IF(AND($B51="",$C51=""),"",VLOOKUP($A51,Table1[],2,FALSE))</f>
        <v>3</v>
      </c>
    </row>
    <row r="52" spans="1:9" ht="27" customHeight="1" x14ac:dyDescent="0.25">
      <c r="A52" s="12" t="str">
        <f t="shared" ca="1" si="0"/>
        <v>In Library Use Only</v>
      </c>
      <c r="B52" s="12" t="str">
        <f t="shared" ca="1" si="1"/>
        <v/>
      </c>
      <c r="C52" s="12" t="str">
        <f t="shared" ca="1" si="7"/>
        <v>Shape v. 33 no. 10  (July/Aug. 2014)</v>
      </c>
      <c r="D52" s="12" t="str">
        <f t="shared" ca="1" si="7"/>
        <v>Magazine</v>
      </c>
      <c r="E52" s="12" t="str">
        <f t="shared" ca="1" si="3"/>
        <v/>
      </c>
      <c r="F52" s="17"/>
      <c r="G52" s="13" t="str">
        <f t="shared" ca="1" si="4"/>
        <v>Reference Magazine</v>
      </c>
      <c r="H52" s="13" t="str">
        <f t="shared" ca="1" si="5"/>
        <v/>
      </c>
      <c r="I52" s="17">
        <f ca="1">IF(AND($B52="",$C52=""),"",VLOOKUP($A52,Table1[],2,FALSE))</f>
        <v>3</v>
      </c>
    </row>
    <row r="53" spans="1:9" ht="27" customHeight="1" x14ac:dyDescent="0.25">
      <c r="A53" s="12" t="str">
        <f t="shared" ca="1" si="0"/>
        <v>In Library Use Only</v>
      </c>
      <c r="B53" s="12" t="str">
        <f t="shared" ca="1" si="1"/>
        <v/>
      </c>
      <c r="C53" s="12" t="str">
        <f t="shared" ca="1" si="7"/>
        <v>Fine homebuilding no. 245  (Aug./Sep. 2014)</v>
      </c>
      <c r="D53" s="12" t="str">
        <f t="shared" ca="1" si="7"/>
        <v>Magazine</v>
      </c>
      <c r="E53" s="12" t="str">
        <f t="shared" ca="1" si="3"/>
        <v>1981</v>
      </c>
      <c r="F53" s="17"/>
      <c r="G53" s="13" t="str">
        <f t="shared" ca="1" si="4"/>
        <v>Reference Magazine</v>
      </c>
      <c r="H53" s="13" t="str">
        <f t="shared" ca="1" si="5"/>
        <v/>
      </c>
      <c r="I53" s="17">
        <f ca="1">IF(AND($B53="",$C53=""),"",VLOOKUP($A53,Table1[],2,FALSE))</f>
        <v>3</v>
      </c>
    </row>
    <row r="54" spans="1:9" ht="27" customHeight="1" x14ac:dyDescent="0.25">
      <c r="A54" s="12" t="str">
        <f t="shared" ca="1" si="0"/>
        <v>In Library Use Only</v>
      </c>
      <c r="B54" s="12" t="str">
        <f t="shared" ca="1" si="1"/>
        <v/>
      </c>
      <c r="C54" s="12" t="str">
        <f t="shared" ca="1" si="7"/>
        <v>House beautiful. v. 156 no. 6  (July/Aug. 2014)</v>
      </c>
      <c r="D54" s="12" t="str">
        <f t="shared" ca="1" si="7"/>
        <v>Magazine</v>
      </c>
      <c r="E54" s="12" t="str">
        <f t="shared" ca="1" si="3"/>
        <v>1896</v>
      </c>
      <c r="F54" s="17"/>
      <c r="G54" s="13" t="str">
        <f t="shared" ca="1" si="4"/>
        <v>Reference Magazine</v>
      </c>
      <c r="H54" s="13" t="str">
        <f t="shared" ca="1" si="5"/>
        <v/>
      </c>
      <c r="I54" s="17">
        <f ca="1">IF(AND($B54="",$C54=""),"",VLOOKUP($A54,Table1[],2,FALSE))</f>
        <v>3</v>
      </c>
    </row>
    <row r="55" spans="1:9" ht="27" customHeight="1" x14ac:dyDescent="0.25">
      <c r="A55" s="12" t="str">
        <f t="shared" ca="1" si="0"/>
        <v>In Library Use Only</v>
      </c>
      <c r="B55" s="12" t="str">
        <f t="shared" ca="1" si="1"/>
        <v/>
      </c>
      <c r="C55" s="12" t="str">
        <f t="shared" ca="1" si="7"/>
        <v>Men's health. v. 29 no. 7  (Sep. 2014)</v>
      </c>
      <c r="D55" s="12" t="str">
        <f t="shared" ca="1" si="7"/>
        <v>Magazine</v>
      </c>
      <c r="E55" s="12" t="str">
        <f t="shared" ca="1" si="3"/>
        <v>1987</v>
      </c>
      <c r="F55" s="17"/>
      <c r="G55" s="13" t="str">
        <f t="shared" ca="1" si="4"/>
        <v>Reference Magazine</v>
      </c>
      <c r="H55" s="13" t="str">
        <f t="shared" ca="1" si="5"/>
        <v/>
      </c>
      <c r="I55" s="17">
        <f ca="1">IF(AND($B55="",$C55=""),"",VLOOKUP($A55,Table1[],2,FALSE))</f>
        <v>3</v>
      </c>
    </row>
    <row r="56" spans="1:9" ht="27" customHeight="1" x14ac:dyDescent="0.25">
      <c r="A56" s="12" t="str">
        <f t="shared" ca="1" si="0"/>
        <v>In Library Use Only</v>
      </c>
      <c r="B56" s="12" t="str">
        <f t="shared" ca="1" si="1"/>
        <v/>
      </c>
      <c r="C56" s="12" t="str">
        <f t="shared" ca="1" si="7"/>
        <v>Altered couture. v. 9 no. 3  (Aug./Oct. 2014)</v>
      </c>
      <c r="D56" s="12" t="str">
        <f t="shared" ca="1" si="7"/>
        <v>Magazine</v>
      </c>
      <c r="E56" s="12" t="str">
        <f t="shared" ca="1" si="3"/>
        <v>2006</v>
      </c>
      <c r="F56" s="17"/>
      <c r="G56" s="13" t="str">
        <f t="shared" ca="1" si="4"/>
        <v>Reference Magazine</v>
      </c>
      <c r="H56" s="13" t="str">
        <f t="shared" ca="1" si="5"/>
        <v/>
      </c>
      <c r="I56" s="17">
        <f ca="1">IF(AND($B56="",$C56=""),"",VLOOKUP($A56,Table1[],2,FALSE))</f>
        <v>3</v>
      </c>
    </row>
    <row r="57" spans="1:9" ht="27" customHeight="1" x14ac:dyDescent="0.25">
      <c r="A57" s="12" t="str">
        <f t="shared" ca="1" si="0"/>
        <v>In Library Use Only</v>
      </c>
      <c r="B57" s="12" t="str">
        <f t="shared" ca="1" si="1"/>
        <v/>
      </c>
      <c r="C57" s="12" t="str">
        <f t="shared" ca="1" si="7"/>
        <v>Fons and Porter's for the love of quilting. v. 19 no. 3  (July/Aug. 2014)</v>
      </c>
      <c r="D57" s="12" t="str">
        <f t="shared" ca="1" si="7"/>
        <v>Magazine</v>
      </c>
      <c r="E57" s="12" t="str">
        <f t="shared" ca="1" si="3"/>
        <v>1999</v>
      </c>
      <c r="F57" s="17"/>
      <c r="G57" s="13" t="str">
        <f t="shared" ca="1" si="4"/>
        <v>Reference Magazine</v>
      </c>
      <c r="H57" s="13" t="str">
        <f t="shared" ca="1" si="5"/>
        <v/>
      </c>
      <c r="I57" s="17">
        <f ca="1">IF(AND($B57="",$C57=""),"",VLOOKUP($A57,Table1[],2,FALSE))</f>
        <v>3</v>
      </c>
    </row>
    <row r="58" spans="1:9" ht="27" customHeight="1" x14ac:dyDescent="0.25">
      <c r="A58" s="12" t="str">
        <f t="shared" ca="1" si="0"/>
        <v>In Library Use Only</v>
      </c>
      <c r="B58" s="12" t="str">
        <f t="shared" ca="1" si="1"/>
        <v/>
      </c>
      <c r="C58" s="12" t="str">
        <f t="shared" ca="1" si="7"/>
        <v>Salmon trout steelheader v. 47 no. 10  (Aug. 2014)</v>
      </c>
      <c r="D58" s="12" t="str">
        <f t="shared" ca="1" si="7"/>
        <v>Magazine</v>
      </c>
      <c r="E58" s="12" t="str">
        <f t="shared" ca="1" si="3"/>
        <v>1967</v>
      </c>
      <c r="F58" s="17"/>
      <c r="G58" s="13" t="str">
        <f t="shared" ca="1" si="4"/>
        <v>Reference Magazine</v>
      </c>
      <c r="H58" s="13" t="str">
        <f t="shared" ca="1" si="5"/>
        <v/>
      </c>
      <c r="I58" s="17">
        <f ca="1">IF(AND($B58="",$C58=""),"",VLOOKUP($A58,Table1[],2,FALSE))</f>
        <v>3</v>
      </c>
    </row>
    <row r="59" spans="1:9" ht="27" customHeight="1" x14ac:dyDescent="0.25">
      <c r="A59" s="12" t="str">
        <f t="shared" ca="1" si="0"/>
        <v>In Library Use Only</v>
      </c>
      <c r="B59" s="12" t="str">
        <f t="shared" ca="1" si="1"/>
        <v/>
      </c>
      <c r="C59" s="12" t="str">
        <f t="shared" ca="1" si="7"/>
        <v>Model airplane news Vol. 142 No. 10  (October 2014)</v>
      </c>
      <c r="D59" s="12" t="str">
        <f t="shared" ca="1" si="7"/>
        <v>Magazine</v>
      </c>
      <c r="E59" s="12" t="str">
        <f t="shared" ca="1" si="3"/>
        <v>1935</v>
      </c>
      <c r="F59" s="17"/>
      <c r="G59" s="13" t="str">
        <f t="shared" ca="1" si="4"/>
        <v>Reference Magazine</v>
      </c>
      <c r="H59" s="13" t="str">
        <f t="shared" ca="1" si="5"/>
        <v/>
      </c>
      <c r="I59" s="17">
        <f ca="1">IF(AND($B59="",$C59=""),"",VLOOKUP($A59,Table1[],2,FALSE))</f>
        <v>3</v>
      </c>
    </row>
    <row r="60" spans="1:9" ht="27" customHeight="1" x14ac:dyDescent="0.25">
      <c r="A60" s="12" t="str">
        <f t="shared" ca="1" si="0"/>
        <v>In Library Use Only</v>
      </c>
      <c r="B60" s="12" t="str">
        <f t="shared" ca="1" si="1"/>
        <v/>
      </c>
      <c r="C60" s="12" t="str">
        <f t="shared" ca="1" si="7"/>
        <v>People. v. 82 no. 7  (Aug. 18 2014)</v>
      </c>
      <c r="D60" s="12" t="str">
        <f t="shared" ca="1" si="7"/>
        <v>Magazine</v>
      </c>
      <c r="E60" s="12" t="str">
        <f t="shared" ca="1" si="3"/>
        <v>1974</v>
      </c>
      <c r="F60" s="17"/>
      <c r="G60" s="13" t="str">
        <f t="shared" ca="1" si="4"/>
        <v>Reference Magazine</v>
      </c>
      <c r="H60" s="13" t="str">
        <f t="shared" ca="1" si="5"/>
        <v/>
      </c>
      <c r="I60" s="17">
        <f ca="1">IF(AND($B60="",$C60=""),"",VLOOKUP($A60,Table1[],2,FALSE))</f>
        <v>3</v>
      </c>
    </row>
    <row r="61" spans="1:9" ht="27" customHeight="1" x14ac:dyDescent="0.25">
      <c r="A61" s="12" t="str">
        <f t="shared" ca="1" si="0"/>
        <v>In Library Use Only</v>
      </c>
      <c r="B61" s="12" t="str">
        <f t="shared" ca="1" si="1"/>
        <v/>
      </c>
      <c r="C61" s="12" t="str">
        <f t="shared" ca="1" si="7"/>
        <v>Travel smart. (Apr. 15 2014)</v>
      </c>
      <c r="D61" s="12" t="str">
        <f t="shared" ca="1" si="7"/>
        <v>Magazine</v>
      </c>
      <c r="E61" s="12" t="str">
        <f t="shared" ca="1" si="3"/>
        <v>1976</v>
      </c>
      <c r="F61" s="17"/>
      <c r="G61" s="13" t="str">
        <f t="shared" ca="1" si="4"/>
        <v>Reference Magazine</v>
      </c>
      <c r="H61" s="13" t="str">
        <f t="shared" ca="1" si="5"/>
        <v/>
      </c>
      <c r="I61" s="17">
        <f ca="1">IF(AND($B61="",$C61=""),"",VLOOKUP($A61,Table1[],2,FALSE))</f>
        <v>3</v>
      </c>
    </row>
    <row r="62" spans="1:9" ht="27" customHeight="1" x14ac:dyDescent="0.25">
      <c r="A62" s="12" t="str">
        <f t="shared" ca="1" si="0"/>
        <v>In Library Use Only</v>
      </c>
      <c r="B62" s="12" t="str">
        <f t="shared" ca="1" si="1"/>
        <v/>
      </c>
      <c r="C62" s="12" t="str">
        <f t="shared" ref="C62:D81" ca="1" si="8">TEXT( INDIRECT( ADDRESS( ROW() + Row_Offset, INDIRECT( "Column_Number_" &amp; C$1), 4,1, tabname) ), "")</f>
        <v>Bookmarks. No. 71  (July/August 2014)</v>
      </c>
      <c r="D62" s="12" t="str">
        <f t="shared" ca="1" si="8"/>
        <v>Magazine</v>
      </c>
      <c r="E62" s="12" t="str">
        <f t="shared" ca="1" si="3"/>
        <v>2002</v>
      </c>
      <c r="F62" s="17"/>
      <c r="G62" s="13" t="str">
        <f t="shared" ca="1" si="4"/>
        <v>Reference Magazine</v>
      </c>
      <c r="H62" s="13" t="str">
        <f t="shared" ca="1" si="5"/>
        <v/>
      </c>
      <c r="I62" s="17">
        <f ca="1">IF(AND($B62="",$C62=""),"",VLOOKUP($A62,Table1[],2,FALSE))</f>
        <v>3</v>
      </c>
    </row>
    <row r="63" spans="1:9" ht="27" customHeight="1" x14ac:dyDescent="0.25">
      <c r="A63" s="12" t="str">
        <f t="shared" ca="1" si="0"/>
        <v>In Library Use Only</v>
      </c>
      <c r="B63" s="12" t="str">
        <f t="shared" ca="1" si="1"/>
        <v/>
      </c>
      <c r="C63" s="12" t="str">
        <f t="shared" ca="1" si="8"/>
        <v>Health. v. 28 no. 6  (July/Aug. 2014)</v>
      </c>
      <c r="D63" s="12" t="str">
        <f t="shared" ca="1" si="8"/>
        <v>Magazine</v>
      </c>
      <c r="E63" s="12" t="str">
        <f t="shared" ca="1" si="3"/>
        <v>1992</v>
      </c>
      <c r="F63" s="17"/>
      <c r="G63" s="13" t="str">
        <f t="shared" ca="1" si="4"/>
        <v>Reference Magazine</v>
      </c>
      <c r="H63" s="13" t="str">
        <f t="shared" ca="1" si="5"/>
        <v/>
      </c>
      <c r="I63" s="17">
        <f ca="1">IF(AND($B63="",$C63=""),"",VLOOKUP($A63,Table1[],2,FALSE))</f>
        <v>3</v>
      </c>
    </row>
    <row r="64" spans="1:9" ht="27" customHeight="1" x14ac:dyDescent="0.25">
      <c r="A64" s="12" t="str">
        <f t="shared" ca="1" si="0"/>
        <v/>
      </c>
      <c r="B64" s="12" t="str">
        <f t="shared" ca="1" si="1"/>
        <v>234.5 SMEDES</v>
      </c>
      <c r="C64" s="12" t="str">
        <f t="shared" ca="1" si="8"/>
        <v>Forgive and forget : healing the hurts we don't deserve</v>
      </c>
      <c r="D64" s="12" t="str">
        <f t="shared" ca="1" si="8"/>
        <v>Nonfiction</v>
      </c>
      <c r="E64" s="12" t="str">
        <f t="shared" ca="1" si="3"/>
        <v>1996</v>
      </c>
      <c r="F64" s="17"/>
      <c r="G64" s="13" t="str">
        <f t="shared" ca="1" si="4"/>
        <v>Nonfiction</v>
      </c>
      <c r="H64" s="13" t="str">
        <f t="shared" ca="1" si="5"/>
        <v>234.5 SMEDES</v>
      </c>
      <c r="I64" s="17">
        <f ca="1">IF(AND($B64="",$C64=""),"",VLOOKUP($A64,Table1[],2,FALSE))</f>
        <v>2</v>
      </c>
    </row>
    <row r="65" spans="1:9" ht="27" customHeight="1" x14ac:dyDescent="0.25">
      <c r="A65" s="12" t="str">
        <f t="shared" ca="1" si="0"/>
        <v/>
      </c>
      <c r="B65" s="12" t="str">
        <f t="shared" ca="1" si="1"/>
        <v>296.72 KEDAR</v>
      </c>
      <c r="C65" s="12" t="str">
        <f t="shared" ca="1" si="8"/>
        <v>The bridge to forgiveness : stories and prayers for finding God and restoring wholeness</v>
      </c>
      <c r="D65" s="12" t="str">
        <f t="shared" ca="1" si="8"/>
        <v>Nonfiction</v>
      </c>
      <c r="E65" s="12" t="str">
        <f t="shared" ca="1" si="3"/>
        <v>2007</v>
      </c>
      <c r="F65" s="17"/>
      <c r="G65" s="13" t="str">
        <f t="shared" ca="1" si="4"/>
        <v>Nonfiction</v>
      </c>
      <c r="H65" s="13" t="str">
        <f t="shared" ca="1" si="5"/>
        <v>296.72 KEDAR</v>
      </c>
      <c r="I65" s="17">
        <f ca="1">IF(AND($B65="",$C65=""),"",VLOOKUP($A65,Table1[],2,FALSE))</f>
        <v>2</v>
      </c>
    </row>
    <row r="66" spans="1:9" ht="27" customHeight="1" x14ac:dyDescent="0.25">
      <c r="A66" s="12" t="str">
        <f t="shared" ref="A66:A129" ca="1" si="9">TEXT( INDIRECT( ADDRESS( ROW() + Row_Offset, INDIRECT( "Column_Number_" &amp; A$1), 4,1, tabname) ), "")</f>
        <v/>
      </c>
      <c r="B66" s="12" t="str">
        <f t="shared" ref="B66:B129" ca="1" si="10">TEXT(  IFERROR( VLOOKUP( $D66, CName_to_Descriptor, 2, FALSE),"") &amp;
        INDIRECT( ADDRESS( ROW() + Row_Offset, INDIRECT( "Column_Number_" &amp; $B$1), 4,1, tabname) ), "")</f>
        <v>516 BHATT</v>
      </c>
      <c r="C66" s="12" t="str">
        <f t="shared" ca="1" si="8"/>
        <v>Geometry</v>
      </c>
      <c r="D66" s="12" t="str">
        <f t="shared" ca="1" si="8"/>
        <v>Nonfiction</v>
      </c>
      <c r="E66" s="12" t="str">
        <f t="shared" ref="E66:E129" ca="1" si="11">TEXT( INDIRECT( ADDRESS( ROW() + Row_Offset, INDIRECT( "Column_Number_" &amp; E$1), 4,1, tabname) ), "####")</f>
        <v>2014</v>
      </c>
      <c r="F66" s="17"/>
      <c r="G66" s="13" t="str">
        <f t="shared" ref="G66:G129" ca="1" si="12">IF(IFERROR(FIND("New",$A66)&gt;0,FALSE),"New ","") &amp; IF(IFERROR(FIND("In Lib",$A66)&gt;0,FALSE),"Reference ","") &amp;
IF(AND(D66="Audiobook",LEFT(B66,6)="CD BIO"),"Biography",
IF(AND(D66="Teen Audiobook",LEFT(B66,11)="TEEN CD BIO"),"Biography",
IF(AND(D66="Juvenile Audiobook",LEFT(B66,8)="J CD BIO"),"Biography",
IF(AND(D66="Audiobook",LEFT(B66,6)="CD FIC"),"Audiobook Fiction",
IF(AND(D66="Teen Audiobook",LEFT(B66,11)="TEEN CD FIC"),"Teen Audiobook",
IF(AND(D66="Juvenile Audiobook",LEFT(B66,8)="J CD FIC"),"Juvenile Audiobook",
IF(D66="Audiobook","Nonfiction",
IF(D66="Juvenile Audiobook","Nonfiction",
IF(D66="Teen Audiobook","Nonfiction",
IF(D66="Juvenile Nonfiction","Nonfiction",
IF(D66="Teen Nonfiction","Nonfiction",
IF(D66="Juvenile Biography","Biography",
IF(D66="Teen Biography","Biography",
IF(D66="ESL","Nonfiction",
IF(LEFT(B66,11)="INTL-VIE J ","International Juvenile",IF(LEFT(B66,11)="INTL-TAG J ","International Juvenile",IF(LEFT(B66,11)="INTL-RUS J ","International Juvenile",IF(LEFT(B66,11)="INTL-KOR J ","International Juvenile",IF(LEFT(B66,11)="INTL-JAP J ","International Juvenile",IF(LEFT(B66,11)="INTL-CHI J ","International Juvenile",IF(LEFT(B66,11)="INTL-SPA J ","International Juvenile",IF(LEFT(B66,14)="INTL-VIE TEEN ","International Teen",IF(LEFT(B66,14)="INTL-TAG TEEN ","International Teen",IF(LEFT(B66,14)="INTL-RUS TEEN ","International Teen",IF(LEFT(B66,14)="INTL-KOR TEEN ","International Teen",IF(LEFT(B66,14)="INTL-JAP TEEN ","International Teen",IF(LEFT(B66,14)="INTL-CHI TEEN ","International Teen",IF(LEFT(B66,14)="INTL-SPA TEEN ","International Teen",IF(LEFT(B66,11)="INTL-VIE E ","International Easy",IF(LEFT(B66,11)="INTL-TAG E ","International Easy",IF(LEFT(B66,11)="INTL-RUS E ","International Easy",IF(LEFT(B66,11)="INTL-JAP E ","International Easy",IF(LEFT(B66,11)="INTL-KOR E ","International Easy",IF(LEFT(B66,11)="INTL-CHI E ","International Easy",IF(LEFT(B66,11)="INTL-SPA E ","International Easy",
IF(D66="Teen Large Type","Teen Fiction",
IF(D66="Juvenile Large Type","Juvenile Fiction",
IF(LEFT(B66,6)="J CD O","Juvenile Compact Disc",
IF(AND(LEFT(B66,4)="TEEN",D66="Fiction"),"Teen Fiction",
IF(D66="DVD Educational","Nonfiction",
IF(D66="Juvenile DVD Educational","Nonfiction",
IF(D66="Reference","Nonfiction",
D66))))))))))))))))))))))))))))))))))))))))))</f>
        <v>Nonfiction</v>
      </c>
      <c r="H66" s="13" t="str">
        <f t="shared" ref="H66:H129" ca="1" si="13">IF(AND(D66="Juvenile Audiobook",LEFT(B66,8)="J CD BIO"),RIGHT(B66,LEN(B66)-9),
IF(AND(D66="Juvenile Audiobook",LEFT(B66,8)="J CD FIC"),B66,
IF(D66="Juvenile Audiobook",RIGHT(B66,LEN(B66)-5),
IF(AND(D66="Teen Audiobook",LEFT(B66,11)="TEEN CD BIO"),RIGHT(B66,LEN(B66)-12),
IF(AND(D66="Teen Audiobook",LEFT(B66,11)="TEEN CD FIC"),B66,
IF(D66="Juvenile Audiobook",RIGHT(B66,LEN(B66)-8),
IF(D66="Juvenile Nonfiction",RIGHT(B66,LEN(B66)-2),
IF(D66="Teen Nonfiction",RIGHT(B66,LEN(B66)-5),
IF(AND(G66="Nonfiction",D66="Audiobook"),RIGHT(B66,LEN(B66)-3),
IF(D66="Juvenile Biography",RIGHT(B66,LEN(B66)-2),
IF(D66="Teen Biography",RIGHT(B66,LEN(B66)-5),
IF(AND(D66="Audiobook",G66="Biography"),RIGHT(B66,LEN(B66)-3),
IF(D66="Juvenile Large Type","J "&amp;RIGHT(B66,LEN(B66)-11),
IF(D66="Teen Large Type","TEEN "&amp;RIGHT(B66,LEN(B66)-14),
IF(D66="Reference",RIGHT(B66,LEN(B66)-4),
IF(D66="DVD Educational",RIGHT(B66,LEN(B66)-7),
IF(D66="Juvenile DVD Educational",RIGHT(B66,LEN(B66)-9),
B66)))))))))))))))))</f>
        <v>516 BHATT</v>
      </c>
      <c r="I66" s="17">
        <f ca="1">IF(AND($B66="",$C66=""),"",VLOOKUP($A66,Table1[],2,FALSE))</f>
        <v>2</v>
      </c>
    </row>
    <row r="67" spans="1:9" ht="27" customHeight="1" x14ac:dyDescent="0.25">
      <c r="A67" s="12" t="str">
        <f t="shared" ca="1" si="9"/>
        <v/>
      </c>
      <c r="B67" s="12" t="str">
        <f t="shared" ca="1" si="10"/>
        <v>598.0723 ZALESKY</v>
      </c>
      <c r="C67" s="12" t="str">
        <f t="shared" ca="1" si="8"/>
        <v>Birding in Snohomish County</v>
      </c>
      <c r="D67" s="12" t="str">
        <f t="shared" ca="1" si="8"/>
        <v>Nonfiction</v>
      </c>
      <c r="E67" s="12" t="str">
        <f t="shared" ca="1" si="11"/>
        <v>2001</v>
      </c>
      <c r="F67" s="17"/>
      <c r="G67" s="13" t="str">
        <f t="shared" ca="1" si="12"/>
        <v>Nonfiction</v>
      </c>
      <c r="H67" s="13" t="str">
        <f t="shared" ca="1" si="13"/>
        <v>598.0723 ZALESKY</v>
      </c>
      <c r="I67" s="17">
        <f ca="1">IF(AND($B67="",$C67=""),"",VLOOKUP($A67,Table1[],2,FALSE))</f>
        <v>2</v>
      </c>
    </row>
    <row r="68" spans="1:9" ht="27" customHeight="1" x14ac:dyDescent="0.25">
      <c r="A68" s="12" t="str">
        <f t="shared" ca="1" si="9"/>
        <v/>
      </c>
      <c r="B68" s="12" t="str">
        <f t="shared" ca="1" si="10"/>
        <v>641.5 MCGEE</v>
      </c>
      <c r="C68" s="12" t="str">
        <f t="shared" ca="1" si="8"/>
        <v>On food and cooking : the science and lore of the kitchen</v>
      </c>
      <c r="D68" s="12" t="str">
        <f t="shared" ca="1" si="8"/>
        <v>Nonfiction</v>
      </c>
      <c r="E68" s="12" t="str">
        <f t="shared" ca="1" si="11"/>
        <v>2004</v>
      </c>
      <c r="F68" s="17"/>
      <c r="G68" s="13" t="str">
        <f t="shared" ca="1" si="12"/>
        <v>Nonfiction</v>
      </c>
      <c r="H68" s="13" t="str">
        <f t="shared" ca="1" si="13"/>
        <v>641.5 MCGEE</v>
      </c>
      <c r="I68" s="17">
        <f ca="1">IF(AND($B68="",$C68=""),"",VLOOKUP($A68,Table1[],2,FALSE))</f>
        <v>2</v>
      </c>
    </row>
    <row r="69" spans="1:9" ht="27" customHeight="1" x14ac:dyDescent="0.25">
      <c r="A69" s="12" t="str">
        <f t="shared" ca="1" si="9"/>
        <v/>
      </c>
      <c r="B69" s="12" t="str">
        <f t="shared" ca="1" si="10"/>
        <v>641.5638 HEALTHY</v>
      </c>
      <c r="C69" s="12" t="str">
        <f t="shared" ca="1" si="8"/>
        <v>Healthy slow cooker cookbook : 200 low-fuss, good-for-you recipes</v>
      </c>
      <c r="D69" s="12" t="str">
        <f t="shared" ca="1" si="8"/>
        <v>Nonfiction</v>
      </c>
      <c r="E69" s="12" t="str">
        <f t="shared" ca="1" si="11"/>
        <v>2012</v>
      </c>
      <c r="F69" s="17"/>
      <c r="G69" s="13" t="str">
        <f t="shared" ca="1" si="12"/>
        <v>Nonfiction</v>
      </c>
      <c r="H69" s="13" t="str">
        <f t="shared" ca="1" si="13"/>
        <v>641.5638 HEALTHY</v>
      </c>
      <c r="I69" s="17">
        <f ca="1">IF(AND($B69="",$C69=""),"",VLOOKUP($A69,Table1[],2,FALSE))</f>
        <v>2</v>
      </c>
    </row>
    <row r="70" spans="1:9" ht="27" customHeight="1" x14ac:dyDescent="0.25">
      <c r="A70" s="12" t="str">
        <f t="shared" ca="1" si="9"/>
        <v/>
      </c>
      <c r="B70" s="12" t="str">
        <f t="shared" ca="1" si="10"/>
        <v>759.13 VALLEJO</v>
      </c>
      <c r="C70" s="12" t="str">
        <f t="shared" ca="1" si="8"/>
        <v>Imaginistix : the art of Boris Vallejo and Julie Bell</v>
      </c>
      <c r="D70" s="12" t="str">
        <f t="shared" ca="1" si="8"/>
        <v>Nonfiction</v>
      </c>
      <c r="E70" s="12" t="str">
        <f t="shared" ca="1" si="11"/>
        <v>2007</v>
      </c>
      <c r="F70" s="17"/>
      <c r="G70" s="13" t="str">
        <f t="shared" ca="1" si="12"/>
        <v>Nonfiction</v>
      </c>
      <c r="H70" s="13" t="str">
        <f t="shared" ca="1" si="13"/>
        <v>759.13 VALLEJO</v>
      </c>
      <c r="I70" s="17">
        <f ca="1">IF(AND($B70="",$C70=""),"",VLOOKUP($A70,Table1[],2,FALSE))</f>
        <v>2</v>
      </c>
    </row>
    <row r="71" spans="1:9" ht="27" customHeight="1" x14ac:dyDescent="0.25">
      <c r="A71" s="12" t="str">
        <f t="shared" ca="1" si="9"/>
        <v/>
      </c>
      <c r="B71" s="12" t="str">
        <f t="shared" ca="1" si="10"/>
        <v>781.11 CAMPBEL</v>
      </c>
      <c r="C71" s="12" t="str">
        <f t="shared" ca="1" si="8"/>
        <v>Healing at the speed of sound : how what we hear transforms our brains and our lives</v>
      </c>
      <c r="D71" s="12" t="str">
        <f t="shared" ca="1" si="8"/>
        <v>Nonfiction</v>
      </c>
      <c r="E71" s="12" t="str">
        <f t="shared" ca="1" si="11"/>
        <v>2011</v>
      </c>
      <c r="F71" s="17"/>
      <c r="G71" s="13" t="str">
        <f t="shared" ca="1" si="12"/>
        <v>Nonfiction</v>
      </c>
      <c r="H71" s="13" t="str">
        <f t="shared" ca="1" si="13"/>
        <v>781.11 CAMPBEL</v>
      </c>
      <c r="I71" s="17">
        <f ca="1">IF(AND($B71="",$C71=""),"",VLOOKUP($A71,Table1[],2,FALSE))</f>
        <v>2</v>
      </c>
    </row>
    <row r="72" spans="1:9" ht="27" customHeight="1" x14ac:dyDescent="0.25">
      <c r="A72" s="12" t="str">
        <f t="shared" ca="1" si="9"/>
        <v/>
      </c>
      <c r="B72" s="12" t="str">
        <f t="shared" ca="1" si="10"/>
        <v>910.9164 BENEDET</v>
      </c>
      <c r="C72" s="12" t="str">
        <f t="shared" ca="1" si="8"/>
        <v>Sailing into the abyss : a true story of extreme heroism on the high seas</v>
      </c>
      <c r="D72" s="12" t="str">
        <f t="shared" ca="1" si="8"/>
        <v>Nonfiction</v>
      </c>
      <c r="E72" s="12" t="str">
        <f t="shared" ca="1" si="11"/>
        <v>2005</v>
      </c>
      <c r="F72" s="17"/>
      <c r="G72" s="13" t="str">
        <f t="shared" ca="1" si="12"/>
        <v>Nonfiction</v>
      </c>
      <c r="H72" s="13" t="str">
        <f t="shared" ca="1" si="13"/>
        <v>910.9164 BENEDET</v>
      </c>
      <c r="I72" s="17">
        <f ca="1">IF(AND($B72="",$C72=""),"",VLOOKUP($A72,Table1[],2,FALSE))</f>
        <v>2</v>
      </c>
    </row>
    <row r="73" spans="1:9" ht="27" customHeight="1" x14ac:dyDescent="0.25">
      <c r="A73" s="12" t="str">
        <f t="shared" ca="1" si="9"/>
        <v/>
      </c>
      <c r="B73" s="12" t="str">
        <f t="shared" ca="1" si="10"/>
        <v>938.0709 WATERFI</v>
      </c>
      <c r="C73" s="12" t="str">
        <f t="shared" ca="1" si="8"/>
        <v>Dividing the spoils : the war for Alexander the Great's empire</v>
      </c>
      <c r="D73" s="12" t="str">
        <f t="shared" ca="1" si="8"/>
        <v>Nonfiction</v>
      </c>
      <c r="E73" s="12" t="str">
        <f t="shared" ca="1" si="11"/>
        <v>2011</v>
      </c>
      <c r="F73" s="17"/>
      <c r="G73" s="13" t="str">
        <f t="shared" ca="1" si="12"/>
        <v>Nonfiction</v>
      </c>
      <c r="H73" s="13" t="str">
        <f t="shared" ca="1" si="13"/>
        <v>938.0709 WATERFI</v>
      </c>
      <c r="I73" s="17">
        <f ca="1">IF(AND($B73="",$C73=""),"",VLOOKUP($A73,Table1[],2,FALSE))</f>
        <v>2</v>
      </c>
    </row>
    <row r="74" spans="1:9" ht="27" customHeight="1" x14ac:dyDescent="0.25">
      <c r="A74" s="12" t="str">
        <f t="shared" ca="1" si="9"/>
        <v/>
      </c>
      <c r="B74" s="12" t="str">
        <f t="shared" ca="1" si="10"/>
        <v>973.932 SASLOW</v>
      </c>
      <c r="C74" s="12" t="str">
        <f t="shared" ca="1" si="8"/>
        <v>Ten letters : the stories Americans tell their president</v>
      </c>
      <c r="D74" s="12" t="str">
        <f t="shared" ca="1" si="8"/>
        <v>Nonfiction</v>
      </c>
      <c r="E74" s="12" t="str">
        <f t="shared" ca="1" si="11"/>
        <v>2011</v>
      </c>
      <c r="F74" s="17"/>
      <c r="G74" s="13" t="str">
        <f t="shared" ca="1" si="12"/>
        <v>Nonfiction</v>
      </c>
      <c r="H74" s="13" t="str">
        <f t="shared" ca="1" si="13"/>
        <v>973.932 SASLOW</v>
      </c>
      <c r="I74" s="17">
        <f ca="1">IF(AND($B74="",$C74=""),"",VLOOKUP($A74,Table1[],2,FALSE))</f>
        <v>2</v>
      </c>
    </row>
    <row r="75" spans="1:9" ht="27" customHeight="1" x14ac:dyDescent="0.25">
      <c r="A75" s="12" t="str">
        <f t="shared" ca="1" si="9"/>
        <v/>
      </c>
      <c r="B75" s="12" t="str">
        <f t="shared" ca="1" si="10"/>
        <v>TEEN ZUSAK</v>
      </c>
      <c r="C75" s="12" t="str">
        <f t="shared" ca="1" si="8"/>
        <v>Getting the girl</v>
      </c>
      <c r="D75" s="12" t="str">
        <f t="shared" ca="1" si="8"/>
        <v>Teen Fiction</v>
      </c>
      <c r="E75" s="12" t="str">
        <f t="shared" ca="1" si="11"/>
        <v>2004</v>
      </c>
      <c r="F75" s="17"/>
      <c r="G75" s="13" t="str">
        <f t="shared" ca="1" si="12"/>
        <v>Teen Fiction</v>
      </c>
      <c r="H75" s="13" t="str">
        <f t="shared" ca="1" si="13"/>
        <v>TEEN ZUSAK</v>
      </c>
      <c r="I75" s="17">
        <f ca="1">IF(AND($B75="",$C75=""),"",VLOOKUP($A75,Table1[],2,FALSE))</f>
        <v>2</v>
      </c>
    </row>
    <row r="76" spans="1:9" ht="27" customHeight="1" x14ac:dyDescent="0.25">
      <c r="A76" s="12" t="str">
        <f t="shared" ca="1" si="9"/>
        <v/>
      </c>
      <c r="B76" s="12" t="str">
        <f t="shared" ca="1" si="10"/>
        <v/>
      </c>
      <c r="C76" s="12" t="str">
        <f t="shared" ca="1" si="8"/>
        <v/>
      </c>
      <c r="D76" s="12" t="str">
        <f t="shared" ca="1" si="8"/>
        <v/>
      </c>
      <c r="E76" s="12" t="str">
        <f t="shared" ca="1" si="11"/>
        <v/>
      </c>
      <c r="F76" s="17"/>
      <c r="G76" s="13" t="str">
        <f t="shared" ca="1" si="12"/>
        <v/>
      </c>
      <c r="H76" s="13" t="str">
        <f t="shared" ca="1" si="13"/>
        <v/>
      </c>
      <c r="I76" s="17" t="str">
        <f ca="1">IF(AND($B76="",$C76=""),"",VLOOKUP($A76,Table1[],2,FALSE))</f>
        <v/>
      </c>
    </row>
    <row r="77" spans="1:9" ht="27" customHeight="1" x14ac:dyDescent="0.25">
      <c r="A77" s="12" t="str">
        <f t="shared" ca="1" si="9"/>
        <v/>
      </c>
      <c r="B77" s="12" t="str">
        <f t="shared" ca="1" si="10"/>
        <v/>
      </c>
      <c r="C77" s="12" t="str">
        <f t="shared" ca="1" si="8"/>
        <v/>
      </c>
      <c r="D77" s="12" t="str">
        <f t="shared" ca="1" si="8"/>
        <v/>
      </c>
      <c r="E77" s="12" t="str">
        <f t="shared" ca="1" si="11"/>
        <v/>
      </c>
      <c r="F77" s="17"/>
      <c r="G77" s="13" t="str">
        <f t="shared" ca="1" si="12"/>
        <v/>
      </c>
      <c r="H77" s="13" t="str">
        <f t="shared" ca="1" si="13"/>
        <v/>
      </c>
      <c r="I77" s="17" t="str">
        <f ca="1">IF(AND($B77="",$C77=""),"",VLOOKUP($A77,Table1[],2,FALSE))</f>
        <v/>
      </c>
    </row>
    <row r="78" spans="1:9" ht="27" customHeight="1" x14ac:dyDescent="0.25">
      <c r="A78" s="12" t="str">
        <f t="shared" ca="1" si="9"/>
        <v/>
      </c>
      <c r="B78" s="12" t="str">
        <f t="shared" ca="1" si="10"/>
        <v/>
      </c>
      <c r="C78" s="12" t="str">
        <f t="shared" ca="1" si="8"/>
        <v/>
      </c>
      <c r="D78" s="12" t="str">
        <f t="shared" ca="1" si="8"/>
        <v/>
      </c>
      <c r="E78" s="12" t="str">
        <f t="shared" ca="1" si="11"/>
        <v/>
      </c>
      <c r="F78" s="17"/>
      <c r="G78" s="13" t="str">
        <f t="shared" ca="1" si="12"/>
        <v/>
      </c>
      <c r="H78" s="13" t="str">
        <f t="shared" ca="1" si="13"/>
        <v/>
      </c>
      <c r="I78" s="17" t="str">
        <f ca="1">IF(AND($B78="",$C78=""),"",VLOOKUP($A78,Table1[],2,FALSE))</f>
        <v/>
      </c>
    </row>
    <row r="79" spans="1:9" ht="27" customHeight="1" x14ac:dyDescent="0.25">
      <c r="A79" s="12" t="str">
        <f t="shared" ca="1" si="9"/>
        <v/>
      </c>
      <c r="B79" s="12" t="str">
        <f t="shared" ca="1" si="10"/>
        <v/>
      </c>
      <c r="C79" s="12" t="str">
        <f t="shared" ca="1" si="8"/>
        <v/>
      </c>
      <c r="D79" s="12" t="str">
        <f t="shared" ca="1" si="8"/>
        <v/>
      </c>
      <c r="E79" s="12" t="str">
        <f t="shared" ca="1" si="11"/>
        <v/>
      </c>
      <c r="F79" s="17"/>
      <c r="G79" s="13" t="str">
        <f t="shared" ca="1" si="12"/>
        <v/>
      </c>
      <c r="H79" s="13" t="str">
        <f t="shared" ca="1" si="13"/>
        <v/>
      </c>
      <c r="I79" s="17" t="str">
        <f ca="1">IF(AND($B79="",$C79=""),"",VLOOKUP($A79,Table1[],2,FALSE))</f>
        <v/>
      </c>
    </row>
    <row r="80" spans="1:9" ht="27" customHeight="1" x14ac:dyDescent="0.25">
      <c r="A80" s="12" t="str">
        <f t="shared" ca="1" si="9"/>
        <v/>
      </c>
      <c r="B80" s="12" t="str">
        <f t="shared" ca="1" si="10"/>
        <v/>
      </c>
      <c r="C80" s="12" t="str">
        <f t="shared" ca="1" si="8"/>
        <v/>
      </c>
      <c r="D80" s="12" t="str">
        <f t="shared" ca="1" si="8"/>
        <v/>
      </c>
      <c r="E80" s="12" t="str">
        <f t="shared" ca="1" si="11"/>
        <v/>
      </c>
      <c r="F80" s="17"/>
      <c r="G80" s="13" t="str">
        <f t="shared" ca="1" si="12"/>
        <v/>
      </c>
      <c r="H80" s="13" t="str">
        <f t="shared" ca="1" si="13"/>
        <v/>
      </c>
      <c r="I80" s="17" t="str">
        <f ca="1">IF(AND($B80="",$C80=""),"",VLOOKUP($A80,Table1[],2,FALSE))</f>
        <v/>
      </c>
    </row>
    <row r="81" spans="1:9" ht="27" customHeight="1" x14ac:dyDescent="0.25">
      <c r="A81" s="12" t="str">
        <f t="shared" ca="1" si="9"/>
        <v/>
      </c>
      <c r="B81" s="12" t="str">
        <f t="shared" ca="1" si="10"/>
        <v/>
      </c>
      <c r="C81" s="12" t="str">
        <f t="shared" ca="1" si="8"/>
        <v/>
      </c>
      <c r="D81" s="12" t="str">
        <f t="shared" ca="1" si="8"/>
        <v/>
      </c>
      <c r="E81" s="12" t="str">
        <f t="shared" ca="1" si="11"/>
        <v/>
      </c>
      <c r="F81" s="17"/>
      <c r="G81" s="13" t="str">
        <f t="shared" ca="1" si="12"/>
        <v/>
      </c>
      <c r="H81" s="13" t="str">
        <f t="shared" ca="1" si="13"/>
        <v/>
      </c>
      <c r="I81" s="17" t="str">
        <f ca="1">IF(AND($B81="",$C81=""),"",VLOOKUP($A81,Table1[],2,FALSE))</f>
        <v/>
      </c>
    </row>
    <row r="82" spans="1:9" ht="27" customHeight="1" x14ac:dyDescent="0.25">
      <c r="A82" s="12" t="str">
        <f t="shared" ca="1" si="9"/>
        <v/>
      </c>
      <c r="B82" s="12" t="str">
        <f t="shared" ca="1" si="10"/>
        <v/>
      </c>
      <c r="C82" s="12" t="str">
        <f t="shared" ref="C82:D101" ca="1" si="14">TEXT( INDIRECT( ADDRESS( ROW() + Row_Offset, INDIRECT( "Column_Number_" &amp; C$1), 4,1, tabname) ), "")</f>
        <v/>
      </c>
      <c r="D82" s="12" t="str">
        <f t="shared" ca="1" si="14"/>
        <v/>
      </c>
      <c r="E82" s="12" t="str">
        <f t="shared" ca="1" si="11"/>
        <v/>
      </c>
      <c r="F82" s="17"/>
      <c r="G82" s="13" t="str">
        <f t="shared" ca="1" si="12"/>
        <v/>
      </c>
      <c r="H82" s="13" t="str">
        <f t="shared" ca="1" si="13"/>
        <v/>
      </c>
      <c r="I82" s="17" t="str">
        <f ca="1">IF(AND($B82="",$C82=""),"",VLOOKUP($A82,Table1[],2,FALSE))</f>
        <v/>
      </c>
    </row>
    <row r="83" spans="1:9" ht="27" customHeight="1" x14ac:dyDescent="0.25">
      <c r="A83" s="12" t="str">
        <f t="shared" ca="1" si="9"/>
        <v/>
      </c>
      <c r="B83" s="12" t="str">
        <f t="shared" ca="1" si="10"/>
        <v/>
      </c>
      <c r="C83" s="12" t="str">
        <f t="shared" ca="1" si="14"/>
        <v/>
      </c>
      <c r="D83" s="12" t="str">
        <f t="shared" ca="1" si="14"/>
        <v/>
      </c>
      <c r="E83" s="12" t="str">
        <f t="shared" ca="1" si="11"/>
        <v/>
      </c>
      <c r="F83" s="17"/>
      <c r="G83" s="13" t="str">
        <f t="shared" ca="1" si="12"/>
        <v/>
      </c>
      <c r="H83" s="13" t="str">
        <f t="shared" ca="1" si="13"/>
        <v/>
      </c>
      <c r="I83" s="17" t="str">
        <f ca="1">IF(AND($B83="",$C83=""),"",VLOOKUP($A83,Table1[],2,FALSE))</f>
        <v/>
      </c>
    </row>
    <row r="84" spans="1:9" ht="27" customHeight="1" x14ac:dyDescent="0.25">
      <c r="A84" s="12" t="str">
        <f t="shared" ca="1" si="9"/>
        <v/>
      </c>
      <c r="B84" s="12" t="str">
        <f t="shared" ca="1" si="10"/>
        <v/>
      </c>
      <c r="C84" s="12" t="str">
        <f t="shared" ca="1" si="14"/>
        <v/>
      </c>
      <c r="D84" s="12" t="str">
        <f t="shared" ca="1" si="14"/>
        <v/>
      </c>
      <c r="E84" s="12" t="str">
        <f t="shared" ca="1" si="11"/>
        <v/>
      </c>
      <c r="F84" s="17"/>
      <c r="G84" s="13" t="str">
        <f t="shared" ca="1" si="12"/>
        <v/>
      </c>
      <c r="H84" s="13" t="str">
        <f t="shared" ca="1" si="13"/>
        <v/>
      </c>
      <c r="I84" s="17" t="str">
        <f ca="1">IF(AND($B84="",$C84=""),"",VLOOKUP($A84,Table1[],2,FALSE))</f>
        <v/>
      </c>
    </row>
    <row r="85" spans="1:9" ht="27" customHeight="1" x14ac:dyDescent="0.25">
      <c r="A85" s="12" t="str">
        <f t="shared" ca="1" si="9"/>
        <v/>
      </c>
      <c r="B85" s="12" t="str">
        <f t="shared" ca="1" si="10"/>
        <v/>
      </c>
      <c r="C85" s="12" t="str">
        <f t="shared" ca="1" si="14"/>
        <v/>
      </c>
      <c r="D85" s="12" t="str">
        <f t="shared" ca="1" si="14"/>
        <v/>
      </c>
      <c r="E85" s="12" t="str">
        <f t="shared" ca="1" si="11"/>
        <v/>
      </c>
      <c r="F85" s="17"/>
      <c r="G85" s="13" t="str">
        <f t="shared" ca="1" si="12"/>
        <v/>
      </c>
      <c r="H85" s="13" t="str">
        <f t="shared" ca="1" si="13"/>
        <v/>
      </c>
      <c r="I85" s="17" t="str">
        <f ca="1">IF(AND($B85="",$C85=""),"",VLOOKUP($A85,Table1[],2,FALSE))</f>
        <v/>
      </c>
    </row>
    <row r="86" spans="1:9" ht="27" customHeight="1" x14ac:dyDescent="0.25">
      <c r="A86" s="12" t="str">
        <f t="shared" ca="1" si="9"/>
        <v/>
      </c>
      <c r="B86" s="12" t="str">
        <f t="shared" ca="1" si="10"/>
        <v/>
      </c>
      <c r="C86" s="12" t="str">
        <f t="shared" ca="1" si="14"/>
        <v/>
      </c>
      <c r="D86" s="12" t="str">
        <f t="shared" ca="1" si="14"/>
        <v/>
      </c>
      <c r="E86" s="12" t="str">
        <f t="shared" ca="1" si="11"/>
        <v/>
      </c>
      <c r="F86" s="17"/>
      <c r="G86" s="13" t="str">
        <f t="shared" ca="1" si="12"/>
        <v/>
      </c>
      <c r="H86" s="13" t="str">
        <f t="shared" ca="1" si="13"/>
        <v/>
      </c>
      <c r="I86" s="17" t="str">
        <f ca="1">IF(AND($B86="",$C86=""),"",VLOOKUP($A86,Table1[],2,FALSE))</f>
        <v/>
      </c>
    </row>
    <row r="87" spans="1:9" ht="27" customHeight="1" x14ac:dyDescent="0.25">
      <c r="A87" s="12" t="str">
        <f t="shared" ca="1" si="9"/>
        <v/>
      </c>
      <c r="B87" s="12" t="str">
        <f t="shared" ca="1" si="10"/>
        <v/>
      </c>
      <c r="C87" s="12" t="str">
        <f t="shared" ca="1" si="14"/>
        <v/>
      </c>
      <c r="D87" s="12" t="str">
        <f t="shared" ca="1" si="14"/>
        <v/>
      </c>
      <c r="E87" s="12" t="str">
        <f t="shared" ca="1" si="11"/>
        <v/>
      </c>
      <c r="F87" s="17"/>
      <c r="G87" s="13" t="str">
        <f t="shared" ca="1" si="12"/>
        <v/>
      </c>
      <c r="H87" s="13" t="str">
        <f t="shared" ca="1" si="13"/>
        <v/>
      </c>
      <c r="I87" s="17" t="str">
        <f ca="1">IF(AND($B87="",$C87=""),"",VLOOKUP($A87,Table1[],2,FALSE))</f>
        <v/>
      </c>
    </row>
    <row r="88" spans="1:9" ht="27" customHeight="1" x14ac:dyDescent="0.25">
      <c r="A88" s="12" t="str">
        <f t="shared" ca="1" si="9"/>
        <v/>
      </c>
      <c r="B88" s="12" t="str">
        <f t="shared" ca="1" si="10"/>
        <v/>
      </c>
      <c r="C88" s="12" t="str">
        <f t="shared" ca="1" si="14"/>
        <v/>
      </c>
      <c r="D88" s="12" t="str">
        <f t="shared" ca="1" si="14"/>
        <v/>
      </c>
      <c r="E88" s="12" t="str">
        <f t="shared" ca="1" si="11"/>
        <v/>
      </c>
      <c r="F88" s="17"/>
      <c r="G88" s="13" t="str">
        <f t="shared" ca="1" si="12"/>
        <v/>
      </c>
      <c r="H88" s="13" t="str">
        <f t="shared" ca="1" si="13"/>
        <v/>
      </c>
      <c r="I88" s="17" t="str">
        <f ca="1">IF(AND($B88="",$C88=""),"",VLOOKUP($A88,Table1[],2,FALSE))</f>
        <v/>
      </c>
    </row>
    <row r="89" spans="1:9" ht="27" customHeight="1" x14ac:dyDescent="0.25">
      <c r="A89" s="12" t="str">
        <f t="shared" ca="1" si="9"/>
        <v/>
      </c>
      <c r="B89" s="12" t="str">
        <f t="shared" ca="1" si="10"/>
        <v/>
      </c>
      <c r="C89" s="12" t="str">
        <f t="shared" ca="1" si="14"/>
        <v/>
      </c>
      <c r="D89" s="12" t="str">
        <f t="shared" ca="1" si="14"/>
        <v/>
      </c>
      <c r="E89" s="12" t="str">
        <f t="shared" ca="1" si="11"/>
        <v/>
      </c>
      <c r="F89" s="17"/>
      <c r="G89" s="13" t="str">
        <f t="shared" ca="1" si="12"/>
        <v/>
      </c>
      <c r="H89" s="13" t="str">
        <f t="shared" ca="1" si="13"/>
        <v/>
      </c>
      <c r="I89" s="17" t="str">
        <f ca="1">IF(AND($B89="",$C89=""),"",VLOOKUP($A89,Table1[],2,FALSE))</f>
        <v/>
      </c>
    </row>
    <row r="90" spans="1:9" ht="27" customHeight="1" x14ac:dyDescent="0.25">
      <c r="A90" s="12" t="str">
        <f t="shared" ca="1" si="9"/>
        <v/>
      </c>
      <c r="B90" s="12" t="str">
        <f t="shared" ca="1" si="10"/>
        <v/>
      </c>
      <c r="C90" s="12" t="str">
        <f t="shared" ca="1" si="14"/>
        <v/>
      </c>
      <c r="D90" s="12" t="str">
        <f t="shared" ca="1" si="14"/>
        <v/>
      </c>
      <c r="E90" s="12" t="str">
        <f t="shared" ca="1" si="11"/>
        <v/>
      </c>
      <c r="F90" s="17"/>
      <c r="G90" s="13" t="str">
        <f t="shared" ca="1" si="12"/>
        <v/>
      </c>
      <c r="H90" s="13" t="str">
        <f t="shared" ca="1" si="13"/>
        <v/>
      </c>
      <c r="I90" s="17" t="str">
        <f ca="1">IF(AND($B90="",$C90=""),"",VLOOKUP($A90,Table1[],2,FALSE))</f>
        <v/>
      </c>
    </row>
    <row r="91" spans="1:9" ht="27" customHeight="1" x14ac:dyDescent="0.25">
      <c r="A91" s="12" t="str">
        <f t="shared" ca="1" si="9"/>
        <v/>
      </c>
      <c r="B91" s="12" t="str">
        <f t="shared" ca="1" si="10"/>
        <v/>
      </c>
      <c r="C91" s="12" t="str">
        <f t="shared" ca="1" si="14"/>
        <v/>
      </c>
      <c r="D91" s="12" t="str">
        <f t="shared" ca="1" si="14"/>
        <v/>
      </c>
      <c r="E91" s="12" t="str">
        <f t="shared" ca="1" si="11"/>
        <v/>
      </c>
      <c r="F91" s="17"/>
      <c r="G91" s="13" t="str">
        <f t="shared" ca="1" si="12"/>
        <v/>
      </c>
      <c r="H91" s="13" t="str">
        <f t="shared" ca="1" si="13"/>
        <v/>
      </c>
      <c r="I91" s="17" t="str">
        <f ca="1">IF(AND($B91="",$C91=""),"",VLOOKUP($A91,Table1[],2,FALSE))</f>
        <v/>
      </c>
    </row>
    <row r="92" spans="1:9" ht="27" customHeight="1" x14ac:dyDescent="0.25">
      <c r="A92" s="12" t="str">
        <f t="shared" ca="1" si="9"/>
        <v/>
      </c>
      <c r="B92" s="12" t="str">
        <f t="shared" ca="1" si="10"/>
        <v/>
      </c>
      <c r="C92" s="12" t="str">
        <f t="shared" ca="1" si="14"/>
        <v/>
      </c>
      <c r="D92" s="12" t="str">
        <f t="shared" ca="1" si="14"/>
        <v/>
      </c>
      <c r="E92" s="12" t="str">
        <f t="shared" ca="1" si="11"/>
        <v/>
      </c>
      <c r="F92" s="17"/>
      <c r="G92" s="13" t="str">
        <f t="shared" ca="1" si="12"/>
        <v/>
      </c>
      <c r="H92" s="13" t="str">
        <f t="shared" ca="1" si="13"/>
        <v/>
      </c>
      <c r="I92" s="17" t="str">
        <f ca="1">IF(AND($B92="",$C92=""),"",VLOOKUP($A92,Table1[],2,FALSE))</f>
        <v/>
      </c>
    </row>
    <row r="93" spans="1:9" ht="27" customHeight="1" x14ac:dyDescent="0.25">
      <c r="A93" s="12" t="str">
        <f t="shared" ca="1" si="9"/>
        <v/>
      </c>
      <c r="B93" s="12" t="str">
        <f t="shared" ca="1" si="10"/>
        <v/>
      </c>
      <c r="C93" s="12" t="str">
        <f t="shared" ca="1" si="14"/>
        <v/>
      </c>
      <c r="D93" s="12" t="str">
        <f t="shared" ca="1" si="14"/>
        <v/>
      </c>
      <c r="E93" s="12" t="str">
        <f t="shared" ca="1" si="11"/>
        <v/>
      </c>
      <c r="F93" s="17"/>
      <c r="G93" s="13" t="str">
        <f t="shared" ca="1" si="12"/>
        <v/>
      </c>
      <c r="H93" s="13" t="str">
        <f t="shared" ca="1" si="13"/>
        <v/>
      </c>
      <c r="I93" s="17" t="str">
        <f ca="1">IF(AND($B93="",$C93=""),"",VLOOKUP($A93,Table1[],2,FALSE))</f>
        <v/>
      </c>
    </row>
    <row r="94" spans="1:9" ht="27" customHeight="1" x14ac:dyDescent="0.25">
      <c r="A94" s="12" t="str">
        <f t="shared" ca="1" si="9"/>
        <v/>
      </c>
      <c r="B94" s="12" t="str">
        <f t="shared" ca="1" si="10"/>
        <v/>
      </c>
      <c r="C94" s="12" t="str">
        <f t="shared" ca="1" si="14"/>
        <v/>
      </c>
      <c r="D94" s="12" t="str">
        <f t="shared" ca="1" si="14"/>
        <v/>
      </c>
      <c r="E94" s="12" t="str">
        <f t="shared" ca="1" si="11"/>
        <v/>
      </c>
      <c r="F94" s="17"/>
      <c r="G94" s="13" t="str">
        <f t="shared" ca="1" si="12"/>
        <v/>
      </c>
      <c r="H94" s="13" t="str">
        <f t="shared" ca="1" si="13"/>
        <v/>
      </c>
      <c r="I94" s="17" t="str">
        <f ca="1">IF(AND($B94="",$C94=""),"",VLOOKUP($A94,Table1[],2,FALSE))</f>
        <v/>
      </c>
    </row>
    <row r="95" spans="1:9" ht="27" customHeight="1" x14ac:dyDescent="0.25">
      <c r="A95" s="12" t="str">
        <f t="shared" ca="1" si="9"/>
        <v/>
      </c>
      <c r="B95" s="12" t="str">
        <f t="shared" ca="1" si="10"/>
        <v/>
      </c>
      <c r="C95" s="12" t="str">
        <f t="shared" ca="1" si="14"/>
        <v/>
      </c>
      <c r="D95" s="12" t="str">
        <f t="shared" ca="1" si="14"/>
        <v/>
      </c>
      <c r="E95" s="12" t="str">
        <f t="shared" ca="1" si="11"/>
        <v/>
      </c>
      <c r="F95" s="17"/>
      <c r="G95" s="13" t="str">
        <f t="shared" ca="1" si="12"/>
        <v/>
      </c>
      <c r="H95" s="13" t="str">
        <f t="shared" ca="1" si="13"/>
        <v/>
      </c>
      <c r="I95" s="17" t="str">
        <f ca="1">IF(AND($B95="",$C95=""),"",VLOOKUP($A95,Table1[],2,FALSE))</f>
        <v/>
      </c>
    </row>
    <row r="96" spans="1:9" ht="27" customHeight="1" x14ac:dyDescent="0.25">
      <c r="A96" s="12" t="str">
        <f t="shared" ca="1" si="9"/>
        <v/>
      </c>
      <c r="B96" s="12" t="str">
        <f t="shared" ca="1" si="10"/>
        <v/>
      </c>
      <c r="C96" s="12" t="str">
        <f t="shared" ca="1" si="14"/>
        <v/>
      </c>
      <c r="D96" s="12" t="str">
        <f t="shared" ca="1" si="14"/>
        <v/>
      </c>
      <c r="E96" s="12" t="str">
        <f t="shared" ca="1" si="11"/>
        <v/>
      </c>
      <c r="F96" s="17"/>
      <c r="G96" s="13" t="str">
        <f t="shared" ca="1" si="12"/>
        <v/>
      </c>
      <c r="H96" s="13" t="str">
        <f t="shared" ca="1" si="13"/>
        <v/>
      </c>
      <c r="I96" s="17" t="str">
        <f ca="1">IF(AND($B96="",$C96=""),"",VLOOKUP($A96,Table1[],2,FALSE))</f>
        <v/>
      </c>
    </row>
    <row r="97" spans="1:9" ht="27" customHeight="1" x14ac:dyDescent="0.25">
      <c r="A97" s="12" t="str">
        <f t="shared" ca="1" si="9"/>
        <v/>
      </c>
      <c r="B97" s="12" t="str">
        <f t="shared" ca="1" si="10"/>
        <v/>
      </c>
      <c r="C97" s="12" t="str">
        <f t="shared" ca="1" si="14"/>
        <v/>
      </c>
      <c r="D97" s="12" t="str">
        <f t="shared" ca="1" si="14"/>
        <v/>
      </c>
      <c r="E97" s="12" t="str">
        <f t="shared" ca="1" si="11"/>
        <v/>
      </c>
      <c r="F97" s="17"/>
      <c r="G97" s="13" t="str">
        <f t="shared" ca="1" si="12"/>
        <v/>
      </c>
      <c r="H97" s="13" t="str">
        <f t="shared" ca="1" si="13"/>
        <v/>
      </c>
      <c r="I97" s="17" t="str">
        <f ca="1">IF(AND($B97="",$C97=""),"",VLOOKUP($A97,Table1[],2,FALSE))</f>
        <v/>
      </c>
    </row>
    <row r="98" spans="1:9" ht="27" customHeight="1" x14ac:dyDescent="0.25">
      <c r="A98" s="12" t="str">
        <f t="shared" ca="1" si="9"/>
        <v/>
      </c>
      <c r="B98" s="12" t="str">
        <f t="shared" ca="1" si="10"/>
        <v/>
      </c>
      <c r="C98" s="12" t="str">
        <f t="shared" ca="1" si="14"/>
        <v/>
      </c>
      <c r="D98" s="12" t="str">
        <f t="shared" ca="1" si="14"/>
        <v/>
      </c>
      <c r="E98" s="12" t="str">
        <f t="shared" ca="1" si="11"/>
        <v/>
      </c>
      <c r="F98" s="17"/>
      <c r="G98" s="13" t="str">
        <f t="shared" ca="1" si="12"/>
        <v/>
      </c>
      <c r="H98" s="13" t="str">
        <f t="shared" ca="1" si="13"/>
        <v/>
      </c>
      <c r="I98" s="17" t="str">
        <f ca="1">IF(AND($B98="",$C98=""),"",VLOOKUP($A98,Table1[],2,FALSE))</f>
        <v/>
      </c>
    </row>
    <row r="99" spans="1:9" ht="27" customHeight="1" x14ac:dyDescent="0.25">
      <c r="A99" s="12" t="str">
        <f t="shared" ca="1" si="9"/>
        <v/>
      </c>
      <c r="B99" s="12" t="str">
        <f t="shared" ca="1" si="10"/>
        <v/>
      </c>
      <c r="C99" s="12" t="str">
        <f t="shared" ca="1" si="14"/>
        <v/>
      </c>
      <c r="D99" s="12" t="str">
        <f t="shared" ca="1" si="14"/>
        <v/>
      </c>
      <c r="E99" s="12" t="str">
        <f t="shared" ca="1" si="11"/>
        <v/>
      </c>
      <c r="F99" s="17"/>
      <c r="G99" s="13" t="str">
        <f t="shared" ca="1" si="12"/>
        <v/>
      </c>
      <c r="H99" s="13" t="str">
        <f t="shared" ca="1" si="13"/>
        <v/>
      </c>
      <c r="I99" s="17" t="str">
        <f ca="1">IF(AND($B99="",$C99=""),"",VLOOKUP($A99,Table1[],2,FALSE))</f>
        <v/>
      </c>
    </row>
    <row r="100" spans="1:9" ht="27" customHeight="1" x14ac:dyDescent="0.25">
      <c r="A100" s="12" t="str">
        <f t="shared" ca="1" si="9"/>
        <v/>
      </c>
      <c r="B100" s="12" t="str">
        <f t="shared" ca="1" si="10"/>
        <v/>
      </c>
      <c r="C100" s="12" t="str">
        <f t="shared" ca="1" si="14"/>
        <v/>
      </c>
      <c r="D100" s="12" t="str">
        <f t="shared" ca="1" si="14"/>
        <v/>
      </c>
      <c r="E100" s="12" t="str">
        <f t="shared" ca="1" si="11"/>
        <v/>
      </c>
      <c r="F100" s="17"/>
      <c r="G100" s="13" t="str">
        <f t="shared" ca="1" si="12"/>
        <v/>
      </c>
      <c r="H100" s="13" t="str">
        <f t="shared" ca="1" si="13"/>
        <v/>
      </c>
      <c r="I100" s="17" t="str">
        <f ca="1">IF(AND($B100="",$C100=""),"",VLOOKUP($A100,Table1[],2,FALSE))</f>
        <v/>
      </c>
    </row>
    <row r="101" spans="1:9" ht="27" customHeight="1" x14ac:dyDescent="0.25">
      <c r="A101" s="12" t="str">
        <f t="shared" ca="1" si="9"/>
        <v/>
      </c>
      <c r="B101" s="12" t="str">
        <f t="shared" ca="1" si="10"/>
        <v/>
      </c>
      <c r="C101" s="12" t="str">
        <f t="shared" ca="1" si="14"/>
        <v/>
      </c>
      <c r="D101" s="12" t="str">
        <f t="shared" ca="1" si="14"/>
        <v/>
      </c>
      <c r="E101" s="12" t="str">
        <f t="shared" ca="1" si="11"/>
        <v/>
      </c>
      <c r="F101" s="17"/>
      <c r="G101" s="13" t="str">
        <f t="shared" ca="1" si="12"/>
        <v/>
      </c>
      <c r="H101" s="13" t="str">
        <f t="shared" ca="1" si="13"/>
        <v/>
      </c>
      <c r="I101" s="17" t="str">
        <f ca="1">IF(AND($B101="",$C101=""),"",VLOOKUP($A101,Table1[],2,FALSE))</f>
        <v/>
      </c>
    </row>
    <row r="102" spans="1:9" ht="27" customHeight="1" x14ac:dyDescent="0.25">
      <c r="A102" s="12" t="str">
        <f t="shared" ca="1" si="9"/>
        <v/>
      </c>
      <c r="B102" s="12" t="str">
        <f t="shared" ca="1" si="10"/>
        <v/>
      </c>
      <c r="C102" s="12" t="str">
        <f t="shared" ref="C102:D121" ca="1" si="15">TEXT( INDIRECT( ADDRESS( ROW() + Row_Offset, INDIRECT( "Column_Number_" &amp; C$1), 4,1, tabname) ), "")</f>
        <v/>
      </c>
      <c r="D102" s="12" t="str">
        <f t="shared" ca="1" si="15"/>
        <v/>
      </c>
      <c r="E102" s="12" t="str">
        <f t="shared" ca="1" si="11"/>
        <v/>
      </c>
      <c r="F102" s="17"/>
      <c r="G102" s="13" t="str">
        <f t="shared" ca="1" si="12"/>
        <v/>
      </c>
      <c r="H102" s="13" t="str">
        <f t="shared" ca="1" si="13"/>
        <v/>
      </c>
      <c r="I102" s="17" t="str">
        <f ca="1">IF(AND($B102="",$C102=""),"",VLOOKUP($A102,Table1[],2,FALSE))</f>
        <v/>
      </c>
    </row>
    <row r="103" spans="1:9" ht="27" customHeight="1" x14ac:dyDescent="0.25">
      <c r="A103" s="12" t="str">
        <f t="shared" ca="1" si="9"/>
        <v/>
      </c>
      <c r="B103" s="12" t="str">
        <f t="shared" ca="1" si="10"/>
        <v/>
      </c>
      <c r="C103" s="12" t="str">
        <f t="shared" ca="1" si="15"/>
        <v/>
      </c>
      <c r="D103" s="12" t="str">
        <f t="shared" ca="1" si="15"/>
        <v/>
      </c>
      <c r="E103" s="12" t="str">
        <f t="shared" ca="1" si="11"/>
        <v/>
      </c>
      <c r="F103" s="17"/>
      <c r="G103" s="13" t="str">
        <f t="shared" ca="1" si="12"/>
        <v/>
      </c>
      <c r="H103" s="13" t="str">
        <f t="shared" ca="1" si="13"/>
        <v/>
      </c>
      <c r="I103" s="17" t="str">
        <f ca="1">IF(AND($B103="",$C103=""),"",VLOOKUP($A103,Table1[],2,FALSE))</f>
        <v/>
      </c>
    </row>
    <row r="104" spans="1:9" ht="27" customHeight="1" x14ac:dyDescent="0.25">
      <c r="A104" s="12" t="str">
        <f t="shared" ca="1" si="9"/>
        <v/>
      </c>
      <c r="B104" s="12" t="str">
        <f t="shared" ca="1" si="10"/>
        <v/>
      </c>
      <c r="C104" s="12" t="str">
        <f t="shared" ca="1" si="15"/>
        <v/>
      </c>
      <c r="D104" s="12" t="str">
        <f t="shared" ca="1" si="15"/>
        <v/>
      </c>
      <c r="E104" s="12" t="str">
        <f t="shared" ca="1" si="11"/>
        <v/>
      </c>
      <c r="F104" s="17"/>
      <c r="G104" s="13" t="str">
        <f t="shared" ca="1" si="12"/>
        <v/>
      </c>
      <c r="H104" s="13" t="str">
        <f t="shared" ca="1" si="13"/>
        <v/>
      </c>
      <c r="I104" s="17" t="str">
        <f ca="1">IF(AND($B104="",$C104=""),"",VLOOKUP($A104,Table1[],2,FALSE))</f>
        <v/>
      </c>
    </row>
    <row r="105" spans="1:9" ht="27" customHeight="1" x14ac:dyDescent="0.25">
      <c r="A105" s="12" t="str">
        <f t="shared" ca="1" si="9"/>
        <v/>
      </c>
      <c r="B105" s="12" t="str">
        <f t="shared" ca="1" si="10"/>
        <v/>
      </c>
      <c r="C105" s="12" t="str">
        <f t="shared" ca="1" si="15"/>
        <v/>
      </c>
      <c r="D105" s="12" t="str">
        <f t="shared" ca="1" si="15"/>
        <v/>
      </c>
      <c r="E105" s="12" t="str">
        <f t="shared" ca="1" si="11"/>
        <v/>
      </c>
      <c r="F105" s="17"/>
      <c r="G105" s="13" t="str">
        <f t="shared" ca="1" si="12"/>
        <v/>
      </c>
      <c r="H105" s="13" t="str">
        <f t="shared" ca="1" si="13"/>
        <v/>
      </c>
      <c r="I105" s="17" t="str">
        <f ca="1">IF(AND($B105="",$C105=""),"",VLOOKUP($A105,Table1[],2,FALSE))</f>
        <v/>
      </c>
    </row>
    <row r="106" spans="1:9" ht="27" customHeight="1" x14ac:dyDescent="0.25">
      <c r="A106" s="12" t="str">
        <f t="shared" ca="1" si="9"/>
        <v/>
      </c>
      <c r="B106" s="12" t="str">
        <f t="shared" ca="1" si="10"/>
        <v/>
      </c>
      <c r="C106" s="12" t="str">
        <f t="shared" ca="1" si="15"/>
        <v/>
      </c>
      <c r="D106" s="12" t="str">
        <f t="shared" ca="1" si="15"/>
        <v/>
      </c>
      <c r="E106" s="12" t="str">
        <f t="shared" ca="1" si="11"/>
        <v/>
      </c>
      <c r="F106" s="17"/>
      <c r="G106" s="13" t="str">
        <f t="shared" ca="1" si="12"/>
        <v/>
      </c>
      <c r="H106" s="13" t="str">
        <f t="shared" ca="1" si="13"/>
        <v/>
      </c>
      <c r="I106" s="17" t="str">
        <f ca="1">IF(AND($B106="",$C106=""),"",VLOOKUP($A106,Table1[],2,FALSE))</f>
        <v/>
      </c>
    </row>
    <row r="107" spans="1:9" ht="27" customHeight="1" x14ac:dyDescent="0.25">
      <c r="A107" s="12" t="str">
        <f t="shared" ca="1" si="9"/>
        <v/>
      </c>
      <c r="B107" s="12" t="str">
        <f t="shared" ca="1" si="10"/>
        <v/>
      </c>
      <c r="C107" s="12" t="str">
        <f t="shared" ca="1" si="15"/>
        <v/>
      </c>
      <c r="D107" s="12" t="str">
        <f t="shared" ca="1" si="15"/>
        <v/>
      </c>
      <c r="E107" s="12" t="str">
        <f t="shared" ca="1" si="11"/>
        <v/>
      </c>
      <c r="F107" s="17"/>
      <c r="G107" s="13" t="str">
        <f t="shared" ca="1" si="12"/>
        <v/>
      </c>
      <c r="H107" s="13" t="str">
        <f t="shared" ca="1" si="13"/>
        <v/>
      </c>
      <c r="I107" s="17" t="str">
        <f ca="1">IF(AND($B107="",$C107=""),"",VLOOKUP($A107,Table1[],2,FALSE))</f>
        <v/>
      </c>
    </row>
    <row r="108" spans="1:9" ht="27" customHeight="1" x14ac:dyDescent="0.25">
      <c r="A108" s="12" t="str">
        <f t="shared" ca="1" si="9"/>
        <v/>
      </c>
      <c r="B108" s="12" t="str">
        <f t="shared" ca="1" si="10"/>
        <v/>
      </c>
      <c r="C108" s="12" t="str">
        <f t="shared" ca="1" si="15"/>
        <v/>
      </c>
      <c r="D108" s="12" t="str">
        <f t="shared" ca="1" si="15"/>
        <v/>
      </c>
      <c r="E108" s="12" t="str">
        <f t="shared" ca="1" si="11"/>
        <v/>
      </c>
      <c r="F108" s="17"/>
      <c r="G108" s="13" t="str">
        <f t="shared" ca="1" si="12"/>
        <v/>
      </c>
      <c r="H108" s="13" t="str">
        <f t="shared" ca="1" si="13"/>
        <v/>
      </c>
      <c r="I108" s="17" t="str">
        <f ca="1">IF(AND($B108="",$C108=""),"",VLOOKUP($A108,Table1[],2,FALSE))</f>
        <v/>
      </c>
    </row>
    <row r="109" spans="1:9" ht="27" customHeight="1" x14ac:dyDescent="0.25">
      <c r="A109" s="12" t="str">
        <f t="shared" ca="1" si="9"/>
        <v/>
      </c>
      <c r="B109" s="12" t="str">
        <f t="shared" ca="1" si="10"/>
        <v/>
      </c>
      <c r="C109" s="12" t="str">
        <f t="shared" ca="1" si="15"/>
        <v/>
      </c>
      <c r="D109" s="12" t="str">
        <f t="shared" ca="1" si="15"/>
        <v/>
      </c>
      <c r="E109" s="12" t="str">
        <f t="shared" ca="1" si="11"/>
        <v/>
      </c>
      <c r="F109" s="17"/>
      <c r="G109" s="13" t="str">
        <f t="shared" ca="1" si="12"/>
        <v/>
      </c>
      <c r="H109" s="13" t="str">
        <f t="shared" ca="1" si="13"/>
        <v/>
      </c>
      <c r="I109" s="17" t="str">
        <f ca="1">IF(AND($B109="",$C109=""),"",VLOOKUP($A109,Table1[],2,FALSE))</f>
        <v/>
      </c>
    </row>
    <row r="110" spans="1:9" ht="27" customHeight="1" x14ac:dyDescent="0.25">
      <c r="A110" s="12" t="str">
        <f t="shared" ca="1" si="9"/>
        <v/>
      </c>
      <c r="B110" s="12" t="str">
        <f t="shared" ca="1" si="10"/>
        <v/>
      </c>
      <c r="C110" s="12" t="str">
        <f t="shared" ca="1" si="15"/>
        <v/>
      </c>
      <c r="D110" s="12" t="str">
        <f t="shared" ca="1" si="15"/>
        <v/>
      </c>
      <c r="E110" s="12" t="str">
        <f t="shared" ca="1" si="11"/>
        <v/>
      </c>
      <c r="F110" s="17"/>
      <c r="G110" s="13" t="str">
        <f t="shared" ca="1" si="12"/>
        <v/>
      </c>
      <c r="H110" s="13" t="str">
        <f t="shared" ca="1" si="13"/>
        <v/>
      </c>
      <c r="I110" s="17" t="str">
        <f ca="1">IF(AND($B110="",$C110=""),"",VLOOKUP($A110,Table1[],2,FALSE))</f>
        <v/>
      </c>
    </row>
    <row r="111" spans="1:9" ht="27" customHeight="1" x14ac:dyDescent="0.25">
      <c r="A111" s="12" t="str">
        <f t="shared" ca="1" si="9"/>
        <v/>
      </c>
      <c r="B111" s="12" t="str">
        <f t="shared" ca="1" si="10"/>
        <v/>
      </c>
      <c r="C111" s="12" t="str">
        <f t="shared" ca="1" si="15"/>
        <v/>
      </c>
      <c r="D111" s="12" t="str">
        <f t="shared" ca="1" si="15"/>
        <v/>
      </c>
      <c r="E111" s="12" t="str">
        <f t="shared" ca="1" si="11"/>
        <v/>
      </c>
      <c r="F111" s="17"/>
      <c r="G111" s="13" t="str">
        <f t="shared" ca="1" si="12"/>
        <v/>
      </c>
      <c r="H111" s="13" t="str">
        <f t="shared" ca="1" si="13"/>
        <v/>
      </c>
      <c r="I111" s="17" t="str">
        <f ca="1">IF(AND($B111="",$C111=""),"",VLOOKUP($A111,Table1[],2,FALSE))</f>
        <v/>
      </c>
    </row>
    <row r="112" spans="1:9" ht="27" customHeight="1" x14ac:dyDescent="0.25">
      <c r="A112" s="12" t="str">
        <f t="shared" ca="1" si="9"/>
        <v/>
      </c>
      <c r="B112" s="12" t="str">
        <f t="shared" ca="1" si="10"/>
        <v/>
      </c>
      <c r="C112" s="12" t="str">
        <f t="shared" ca="1" si="15"/>
        <v/>
      </c>
      <c r="D112" s="12" t="str">
        <f t="shared" ca="1" si="15"/>
        <v/>
      </c>
      <c r="E112" s="12" t="str">
        <f t="shared" ca="1" si="11"/>
        <v/>
      </c>
      <c r="F112" s="17"/>
      <c r="G112" s="13" t="str">
        <f t="shared" ca="1" si="12"/>
        <v/>
      </c>
      <c r="H112" s="13" t="str">
        <f t="shared" ca="1" si="13"/>
        <v/>
      </c>
      <c r="I112" s="17" t="str">
        <f ca="1">IF(AND($B112="",$C112=""),"",VLOOKUP($A112,Table1[],2,FALSE))</f>
        <v/>
      </c>
    </row>
    <row r="113" spans="1:9" ht="27" customHeight="1" x14ac:dyDescent="0.25">
      <c r="A113" s="12" t="str">
        <f t="shared" ca="1" si="9"/>
        <v/>
      </c>
      <c r="B113" s="12" t="str">
        <f t="shared" ca="1" si="10"/>
        <v/>
      </c>
      <c r="C113" s="12" t="str">
        <f t="shared" ca="1" si="15"/>
        <v/>
      </c>
      <c r="D113" s="12" t="str">
        <f t="shared" ca="1" si="15"/>
        <v/>
      </c>
      <c r="E113" s="12" t="str">
        <f t="shared" ca="1" si="11"/>
        <v/>
      </c>
      <c r="F113" s="17"/>
      <c r="G113" s="13" t="str">
        <f t="shared" ca="1" si="12"/>
        <v/>
      </c>
      <c r="H113" s="13" t="str">
        <f t="shared" ca="1" si="13"/>
        <v/>
      </c>
      <c r="I113" s="17" t="str">
        <f ca="1">IF(AND($B113="",$C113=""),"",VLOOKUP($A113,Table1[],2,FALSE))</f>
        <v/>
      </c>
    </row>
    <row r="114" spans="1:9" ht="27" customHeight="1" x14ac:dyDescent="0.25">
      <c r="A114" s="12" t="str">
        <f t="shared" ca="1" si="9"/>
        <v/>
      </c>
      <c r="B114" s="12" t="str">
        <f t="shared" ca="1" si="10"/>
        <v/>
      </c>
      <c r="C114" s="12" t="str">
        <f t="shared" ca="1" si="15"/>
        <v/>
      </c>
      <c r="D114" s="12" t="str">
        <f t="shared" ca="1" si="15"/>
        <v/>
      </c>
      <c r="E114" s="12" t="str">
        <f t="shared" ca="1" si="11"/>
        <v/>
      </c>
      <c r="F114" s="17"/>
      <c r="G114" s="13" t="str">
        <f t="shared" ca="1" si="12"/>
        <v/>
      </c>
      <c r="H114" s="13" t="str">
        <f t="shared" ca="1" si="13"/>
        <v/>
      </c>
      <c r="I114" s="17" t="str">
        <f ca="1">IF(AND($B114="",$C114=""),"",VLOOKUP($A114,Table1[],2,FALSE))</f>
        <v/>
      </c>
    </row>
    <row r="115" spans="1:9" ht="27" customHeight="1" x14ac:dyDescent="0.25">
      <c r="A115" s="12" t="str">
        <f t="shared" ca="1" si="9"/>
        <v/>
      </c>
      <c r="B115" s="12" t="str">
        <f t="shared" ca="1" si="10"/>
        <v/>
      </c>
      <c r="C115" s="12" t="str">
        <f t="shared" ca="1" si="15"/>
        <v/>
      </c>
      <c r="D115" s="12" t="str">
        <f t="shared" ca="1" si="15"/>
        <v/>
      </c>
      <c r="E115" s="12" t="str">
        <f t="shared" ca="1" si="11"/>
        <v/>
      </c>
      <c r="F115" s="17"/>
      <c r="G115" s="13" t="str">
        <f t="shared" ca="1" si="12"/>
        <v/>
      </c>
      <c r="H115" s="13" t="str">
        <f t="shared" ca="1" si="13"/>
        <v/>
      </c>
      <c r="I115" s="17" t="str">
        <f ca="1">IF(AND($B115="",$C115=""),"",VLOOKUP($A115,Table1[],2,FALSE))</f>
        <v/>
      </c>
    </row>
    <row r="116" spans="1:9" ht="27" customHeight="1" x14ac:dyDescent="0.25">
      <c r="A116" s="12" t="str">
        <f t="shared" ca="1" si="9"/>
        <v/>
      </c>
      <c r="B116" s="12" t="str">
        <f t="shared" ca="1" si="10"/>
        <v/>
      </c>
      <c r="C116" s="12" t="str">
        <f t="shared" ca="1" si="15"/>
        <v/>
      </c>
      <c r="D116" s="12" t="str">
        <f t="shared" ca="1" si="15"/>
        <v/>
      </c>
      <c r="E116" s="12" t="str">
        <f t="shared" ca="1" si="11"/>
        <v/>
      </c>
      <c r="F116" s="17"/>
      <c r="G116" s="13" t="str">
        <f t="shared" ca="1" si="12"/>
        <v/>
      </c>
      <c r="H116" s="13" t="str">
        <f t="shared" ca="1" si="13"/>
        <v/>
      </c>
      <c r="I116" s="17" t="str">
        <f ca="1">IF(AND($B116="",$C116=""),"",VLOOKUP($A116,Table1[],2,FALSE))</f>
        <v/>
      </c>
    </row>
    <row r="117" spans="1:9" ht="27" customHeight="1" x14ac:dyDescent="0.25">
      <c r="A117" s="12" t="str">
        <f t="shared" ca="1" si="9"/>
        <v/>
      </c>
      <c r="B117" s="12" t="str">
        <f t="shared" ca="1" si="10"/>
        <v/>
      </c>
      <c r="C117" s="12" t="str">
        <f t="shared" ca="1" si="15"/>
        <v/>
      </c>
      <c r="D117" s="12" t="str">
        <f t="shared" ca="1" si="15"/>
        <v/>
      </c>
      <c r="E117" s="12" t="str">
        <f t="shared" ca="1" si="11"/>
        <v/>
      </c>
      <c r="F117" s="17"/>
      <c r="G117" s="13" t="str">
        <f t="shared" ca="1" si="12"/>
        <v/>
      </c>
      <c r="H117" s="13" t="str">
        <f t="shared" ca="1" si="13"/>
        <v/>
      </c>
      <c r="I117" s="17" t="str">
        <f ca="1">IF(AND($B117="",$C117=""),"",VLOOKUP($A117,Table1[],2,FALSE))</f>
        <v/>
      </c>
    </row>
    <row r="118" spans="1:9" ht="27" customHeight="1" x14ac:dyDescent="0.25">
      <c r="A118" s="12" t="str">
        <f t="shared" ca="1" si="9"/>
        <v/>
      </c>
      <c r="B118" s="12" t="str">
        <f t="shared" ca="1" si="10"/>
        <v/>
      </c>
      <c r="C118" s="12" t="str">
        <f t="shared" ca="1" si="15"/>
        <v/>
      </c>
      <c r="D118" s="12" t="str">
        <f t="shared" ca="1" si="15"/>
        <v/>
      </c>
      <c r="E118" s="12" t="str">
        <f t="shared" ca="1" si="11"/>
        <v/>
      </c>
      <c r="F118" s="17"/>
      <c r="G118" s="13" t="str">
        <f t="shared" ca="1" si="12"/>
        <v/>
      </c>
      <c r="H118" s="13" t="str">
        <f t="shared" ca="1" si="13"/>
        <v/>
      </c>
      <c r="I118" s="17" t="str">
        <f ca="1">IF(AND($B118="",$C118=""),"",VLOOKUP($A118,Table1[],2,FALSE))</f>
        <v/>
      </c>
    </row>
    <row r="119" spans="1:9" ht="27" customHeight="1" x14ac:dyDescent="0.25">
      <c r="A119" s="12" t="str">
        <f t="shared" ca="1" si="9"/>
        <v/>
      </c>
      <c r="B119" s="12" t="str">
        <f t="shared" ca="1" si="10"/>
        <v/>
      </c>
      <c r="C119" s="12" t="str">
        <f t="shared" ca="1" si="15"/>
        <v/>
      </c>
      <c r="D119" s="12" t="str">
        <f t="shared" ca="1" si="15"/>
        <v/>
      </c>
      <c r="E119" s="12" t="str">
        <f t="shared" ca="1" si="11"/>
        <v/>
      </c>
      <c r="F119" s="17"/>
      <c r="G119" s="13" t="str">
        <f t="shared" ca="1" si="12"/>
        <v/>
      </c>
      <c r="H119" s="13" t="str">
        <f t="shared" ca="1" si="13"/>
        <v/>
      </c>
      <c r="I119" s="17" t="str">
        <f ca="1">IF(AND($B119="",$C119=""),"",VLOOKUP($A119,Table1[],2,FALSE))</f>
        <v/>
      </c>
    </row>
    <row r="120" spans="1:9" ht="27" customHeight="1" x14ac:dyDescent="0.25">
      <c r="A120" s="12" t="str">
        <f t="shared" ca="1" si="9"/>
        <v/>
      </c>
      <c r="B120" s="12" t="str">
        <f t="shared" ca="1" si="10"/>
        <v/>
      </c>
      <c r="C120" s="12" t="str">
        <f t="shared" ca="1" si="15"/>
        <v/>
      </c>
      <c r="D120" s="12" t="str">
        <f t="shared" ca="1" si="15"/>
        <v/>
      </c>
      <c r="E120" s="12" t="str">
        <f t="shared" ca="1" si="11"/>
        <v/>
      </c>
      <c r="F120" s="17"/>
      <c r="G120" s="13" t="str">
        <f t="shared" ca="1" si="12"/>
        <v/>
      </c>
      <c r="H120" s="13" t="str">
        <f t="shared" ca="1" si="13"/>
        <v/>
      </c>
      <c r="I120" s="17" t="str">
        <f ca="1">IF(AND($B120="",$C120=""),"",VLOOKUP($A120,Table1[],2,FALSE))</f>
        <v/>
      </c>
    </row>
    <row r="121" spans="1:9" ht="27" customHeight="1" x14ac:dyDescent="0.25">
      <c r="A121" s="12" t="str">
        <f t="shared" ca="1" si="9"/>
        <v/>
      </c>
      <c r="B121" s="12" t="str">
        <f t="shared" ca="1" si="10"/>
        <v/>
      </c>
      <c r="C121" s="12" t="str">
        <f t="shared" ca="1" si="15"/>
        <v/>
      </c>
      <c r="D121" s="12" t="str">
        <f t="shared" ca="1" si="15"/>
        <v/>
      </c>
      <c r="E121" s="12" t="str">
        <f t="shared" ca="1" si="11"/>
        <v/>
      </c>
      <c r="F121" s="17"/>
      <c r="G121" s="13" t="str">
        <f t="shared" ca="1" si="12"/>
        <v/>
      </c>
      <c r="H121" s="13" t="str">
        <f t="shared" ca="1" si="13"/>
        <v/>
      </c>
      <c r="I121" s="17" t="str">
        <f ca="1">IF(AND($B121="",$C121=""),"",VLOOKUP($A121,Table1[],2,FALSE))</f>
        <v/>
      </c>
    </row>
    <row r="122" spans="1:9" ht="27" customHeight="1" x14ac:dyDescent="0.25">
      <c r="A122" s="12" t="str">
        <f t="shared" ca="1" si="9"/>
        <v/>
      </c>
      <c r="B122" s="12" t="str">
        <f t="shared" ca="1" si="10"/>
        <v/>
      </c>
      <c r="C122" s="12" t="str">
        <f t="shared" ref="C122:D141" ca="1" si="16">TEXT( INDIRECT( ADDRESS( ROW() + Row_Offset, INDIRECT( "Column_Number_" &amp; C$1), 4,1, tabname) ), "")</f>
        <v/>
      </c>
      <c r="D122" s="12" t="str">
        <f t="shared" ca="1" si="16"/>
        <v/>
      </c>
      <c r="E122" s="12" t="str">
        <f t="shared" ca="1" si="11"/>
        <v/>
      </c>
      <c r="F122" s="17"/>
      <c r="G122" s="13" t="str">
        <f t="shared" ca="1" si="12"/>
        <v/>
      </c>
      <c r="H122" s="13" t="str">
        <f t="shared" ca="1" si="13"/>
        <v/>
      </c>
      <c r="I122" s="17" t="str">
        <f ca="1">IF(AND($B122="",$C122=""),"",VLOOKUP($A122,Table1[],2,FALSE))</f>
        <v/>
      </c>
    </row>
    <row r="123" spans="1:9" ht="27" customHeight="1" x14ac:dyDescent="0.25">
      <c r="A123" s="12" t="str">
        <f t="shared" ca="1" si="9"/>
        <v/>
      </c>
      <c r="B123" s="12" t="str">
        <f t="shared" ca="1" si="10"/>
        <v/>
      </c>
      <c r="C123" s="12" t="str">
        <f t="shared" ca="1" si="16"/>
        <v/>
      </c>
      <c r="D123" s="12" t="str">
        <f t="shared" ca="1" si="16"/>
        <v/>
      </c>
      <c r="E123" s="12" t="str">
        <f t="shared" ca="1" si="11"/>
        <v/>
      </c>
      <c r="F123" s="17"/>
      <c r="G123" s="13" t="str">
        <f t="shared" ca="1" si="12"/>
        <v/>
      </c>
      <c r="H123" s="13" t="str">
        <f t="shared" ca="1" si="13"/>
        <v/>
      </c>
      <c r="I123" s="17" t="str">
        <f ca="1">IF(AND($B123="",$C123=""),"",VLOOKUP($A123,Table1[],2,FALSE))</f>
        <v/>
      </c>
    </row>
    <row r="124" spans="1:9" ht="27" customHeight="1" x14ac:dyDescent="0.25">
      <c r="A124" s="12" t="str">
        <f t="shared" ca="1" si="9"/>
        <v/>
      </c>
      <c r="B124" s="12" t="str">
        <f t="shared" ca="1" si="10"/>
        <v/>
      </c>
      <c r="C124" s="12" t="str">
        <f t="shared" ca="1" si="16"/>
        <v/>
      </c>
      <c r="D124" s="12" t="str">
        <f t="shared" ca="1" si="16"/>
        <v/>
      </c>
      <c r="E124" s="12" t="str">
        <f t="shared" ca="1" si="11"/>
        <v/>
      </c>
      <c r="F124" s="17"/>
      <c r="G124" s="13" t="str">
        <f t="shared" ca="1" si="12"/>
        <v/>
      </c>
      <c r="H124" s="13" t="str">
        <f t="shared" ca="1" si="13"/>
        <v/>
      </c>
      <c r="I124" s="17" t="str">
        <f ca="1">IF(AND($B124="",$C124=""),"",VLOOKUP($A124,Table1[],2,FALSE))</f>
        <v/>
      </c>
    </row>
    <row r="125" spans="1:9" ht="27" customHeight="1" x14ac:dyDescent="0.25">
      <c r="A125" s="12" t="str">
        <f t="shared" ca="1" si="9"/>
        <v/>
      </c>
      <c r="B125" s="12" t="str">
        <f t="shared" ca="1" si="10"/>
        <v/>
      </c>
      <c r="C125" s="12" t="str">
        <f t="shared" ca="1" si="16"/>
        <v/>
      </c>
      <c r="D125" s="12" t="str">
        <f t="shared" ca="1" si="16"/>
        <v/>
      </c>
      <c r="E125" s="12" t="str">
        <f t="shared" ca="1" si="11"/>
        <v/>
      </c>
      <c r="F125" s="17"/>
      <c r="G125" s="13" t="str">
        <f t="shared" ca="1" si="12"/>
        <v/>
      </c>
      <c r="H125" s="13" t="str">
        <f t="shared" ca="1" si="13"/>
        <v/>
      </c>
      <c r="I125" s="17" t="str">
        <f ca="1">IF(AND($B125="",$C125=""),"",VLOOKUP($A125,Table1[],2,FALSE))</f>
        <v/>
      </c>
    </row>
    <row r="126" spans="1:9" ht="27" customHeight="1" x14ac:dyDescent="0.25">
      <c r="A126" s="12" t="str">
        <f t="shared" ca="1" si="9"/>
        <v/>
      </c>
      <c r="B126" s="12" t="str">
        <f t="shared" ca="1" si="10"/>
        <v/>
      </c>
      <c r="C126" s="12" t="str">
        <f t="shared" ca="1" si="16"/>
        <v/>
      </c>
      <c r="D126" s="12" t="str">
        <f t="shared" ca="1" si="16"/>
        <v/>
      </c>
      <c r="E126" s="12" t="str">
        <f t="shared" ca="1" si="11"/>
        <v/>
      </c>
      <c r="F126" s="17"/>
      <c r="G126" s="13" t="str">
        <f t="shared" ca="1" si="12"/>
        <v/>
      </c>
      <c r="H126" s="13" t="str">
        <f t="shared" ca="1" si="13"/>
        <v/>
      </c>
      <c r="I126" s="17" t="str">
        <f ca="1">IF(AND($B126="",$C126=""),"",VLOOKUP($A126,Table1[],2,FALSE))</f>
        <v/>
      </c>
    </row>
    <row r="127" spans="1:9" ht="27" customHeight="1" x14ac:dyDescent="0.25">
      <c r="A127" s="12" t="str">
        <f t="shared" ca="1" si="9"/>
        <v/>
      </c>
      <c r="B127" s="12" t="str">
        <f t="shared" ca="1" si="10"/>
        <v/>
      </c>
      <c r="C127" s="12" t="str">
        <f t="shared" ca="1" si="16"/>
        <v/>
      </c>
      <c r="D127" s="12" t="str">
        <f t="shared" ca="1" si="16"/>
        <v/>
      </c>
      <c r="E127" s="12" t="str">
        <f t="shared" ca="1" si="11"/>
        <v/>
      </c>
      <c r="F127" s="17"/>
      <c r="G127" s="13" t="str">
        <f t="shared" ca="1" si="12"/>
        <v/>
      </c>
      <c r="H127" s="13" t="str">
        <f t="shared" ca="1" si="13"/>
        <v/>
      </c>
      <c r="I127" s="17" t="str">
        <f ca="1">IF(AND($B127="",$C127=""),"",VLOOKUP($A127,Table1[],2,FALSE))</f>
        <v/>
      </c>
    </row>
    <row r="128" spans="1:9" ht="27" customHeight="1" x14ac:dyDescent="0.25">
      <c r="A128" s="12" t="str">
        <f t="shared" ca="1" si="9"/>
        <v/>
      </c>
      <c r="B128" s="12" t="str">
        <f t="shared" ca="1" si="10"/>
        <v/>
      </c>
      <c r="C128" s="12" t="str">
        <f t="shared" ca="1" si="16"/>
        <v/>
      </c>
      <c r="D128" s="12" t="str">
        <f t="shared" ca="1" si="16"/>
        <v/>
      </c>
      <c r="E128" s="12" t="str">
        <f t="shared" ca="1" si="11"/>
        <v/>
      </c>
      <c r="F128" s="17"/>
      <c r="G128" s="13" t="str">
        <f t="shared" ca="1" si="12"/>
        <v/>
      </c>
      <c r="H128" s="13" t="str">
        <f t="shared" ca="1" si="13"/>
        <v/>
      </c>
      <c r="I128" s="17" t="str">
        <f ca="1">IF(AND($B128="",$C128=""),"",VLOOKUP($A128,Table1[],2,FALSE))</f>
        <v/>
      </c>
    </row>
    <row r="129" spans="1:9" ht="27" customHeight="1" x14ac:dyDescent="0.25">
      <c r="A129" s="12" t="str">
        <f t="shared" ca="1" si="9"/>
        <v/>
      </c>
      <c r="B129" s="12" t="str">
        <f t="shared" ca="1" si="10"/>
        <v/>
      </c>
      <c r="C129" s="12" t="str">
        <f t="shared" ca="1" si="16"/>
        <v/>
      </c>
      <c r="D129" s="12" t="str">
        <f t="shared" ca="1" si="16"/>
        <v/>
      </c>
      <c r="E129" s="12" t="str">
        <f t="shared" ca="1" si="11"/>
        <v/>
      </c>
      <c r="F129" s="17"/>
      <c r="G129" s="13" t="str">
        <f t="shared" ca="1" si="12"/>
        <v/>
      </c>
      <c r="H129" s="13" t="str">
        <f t="shared" ca="1" si="13"/>
        <v/>
      </c>
      <c r="I129" s="17" t="str">
        <f ca="1">IF(AND($B129="",$C129=""),"",VLOOKUP($A129,Table1[],2,FALSE))</f>
        <v/>
      </c>
    </row>
    <row r="130" spans="1:9" ht="27" customHeight="1" x14ac:dyDescent="0.25">
      <c r="A130" s="12" t="str">
        <f t="shared" ref="A130:A193" ca="1" si="17">TEXT( INDIRECT( ADDRESS( ROW() + Row_Offset, INDIRECT( "Column_Number_" &amp; A$1), 4,1, tabname) ), "")</f>
        <v/>
      </c>
      <c r="B130" s="12" t="str">
        <f t="shared" ref="B130:B193" ca="1" si="18">TEXT(  IFERROR( VLOOKUP( $D130, CName_to_Descriptor, 2, FALSE),"") &amp;
        INDIRECT( ADDRESS( ROW() + Row_Offset, INDIRECT( "Column_Number_" &amp; $B$1), 4,1, tabname) ), "")</f>
        <v/>
      </c>
      <c r="C130" s="12" t="str">
        <f t="shared" ca="1" si="16"/>
        <v/>
      </c>
      <c r="D130" s="12" t="str">
        <f t="shared" ca="1" si="16"/>
        <v/>
      </c>
      <c r="E130" s="12" t="str">
        <f t="shared" ref="E130:E193" ca="1" si="19">TEXT( INDIRECT( ADDRESS( ROW() + Row_Offset, INDIRECT( "Column_Number_" &amp; E$1), 4,1, tabname) ), "####")</f>
        <v/>
      </c>
      <c r="F130" s="17"/>
      <c r="G130" s="13" t="str">
        <f t="shared" ref="G130:G193" ca="1" si="20">IF(IFERROR(FIND("New",$A130)&gt;0,FALSE),"New ","") &amp; IF(IFERROR(FIND("In Lib",$A130)&gt;0,FALSE),"Reference ","") &amp;
IF(AND(D130="Audiobook",LEFT(B130,6)="CD BIO"),"Biography",
IF(AND(D130="Teen Audiobook",LEFT(B130,11)="TEEN CD BIO"),"Biography",
IF(AND(D130="Juvenile Audiobook",LEFT(B130,8)="J CD BIO"),"Biography",
IF(AND(D130="Audiobook",LEFT(B130,6)="CD FIC"),"Audiobook Fiction",
IF(AND(D130="Teen Audiobook",LEFT(B130,11)="TEEN CD FIC"),"Teen Audiobook",
IF(AND(D130="Juvenile Audiobook",LEFT(B130,8)="J CD FIC"),"Juvenile Audiobook",
IF(D130="Audiobook","Nonfiction",
IF(D130="Juvenile Audiobook","Nonfiction",
IF(D130="Teen Audiobook","Nonfiction",
IF(D130="Juvenile Nonfiction","Nonfiction",
IF(D130="Teen Nonfiction","Nonfiction",
IF(D130="Juvenile Biography","Biography",
IF(D130="Teen Biography","Biography",
IF(D130="ESL","Nonfiction",
IF(LEFT(B130,11)="INTL-VIE J ","International Juvenile",IF(LEFT(B130,11)="INTL-TAG J ","International Juvenile",IF(LEFT(B130,11)="INTL-RUS J ","International Juvenile",IF(LEFT(B130,11)="INTL-KOR J ","International Juvenile",IF(LEFT(B130,11)="INTL-JAP J ","International Juvenile",IF(LEFT(B130,11)="INTL-CHI J ","International Juvenile",IF(LEFT(B130,11)="INTL-SPA J ","International Juvenile",IF(LEFT(B130,14)="INTL-VIE TEEN ","International Teen",IF(LEFT(B130,14)="INTL-TAG TEEN ","International Teen",IF(LEFT(B130,14)="INTL-RUS TEEN ","International Teen",IF(LEFT(B130,14)="INTL-KOR TEEN ","International Teen",IF(LEFT(B130,14)="INTL-JAP TEEN ","International Teen",IF(LEFT(B130,14)="INTL-CHI TEEN ","International Teen",IF(LEFT(B130,14)="INTL-SPA TEEN ","International Teen",IF(LEFT(B130,11)="INTL-VIE E ","International Easy",IF(LEFT(B130,11)="INTL-TAG E ","International Easy",IF(LEFT(B130,11)="INTL-RUS E ","International Easy",IF(LEFT(B130,11)="INTL-JAP E ","International Easy",IF(LEFT(B130,11)="INTL-KOR E ","International Easy",IF(LEFT(B130,11)="INTL-CHI E ","International Easy",IF(LEFT(B130,11)="INTL-SPA E ","International Easy",
IF(D130="Teen Large Type","Teen Fiction",
IF(D130="Juvenile Large Type","Juvenile Fiction",
IF(LEFT(B130,6)="J CD O","Juvenile Compact Disc",
IF(AND(LEFT(B130,4)="TEEN",D130="Fiction"),"Teen Fiction",
IF(D130="DVD Educational","Nonfiction",
IF(D130="Juvenile DVD Educational","Nonfiction",
IF(D130="Reference","Nonfiction",
D130))))))))))))))))))))))))))))))))))))))))))</f>
        <v/>
      </c>
      <c r="H130" s="13" t="str">
        <f t="shared" ref="H130:H193" ca="1" si="21">IF(AND(D130="Juvenile Audiobook",LEFT(B130,8)="J CD BIO"),RIGHT(B130,LEN(B130)-9),
IF(AND(D130="Juvenile Audiobook",LEFT(B130,8)="J CD FIC"),B130,
IF(D130="Juvenile Audiobook",RIGHT(B130,LEN(B130)-5),
IF(AND(D130="Teen Audiobook",LEFT(B130,11)="TEEN CD BIO"),RIGHT(B130,LEN(B130)-12),
IF(AND(D130="Teen Audiobook",LEFT(B130,11)="TEEN CD FIC"),B130,
IF(D130="Juvenile Audiobook",RIGHT(B130,LEN(B130)-8),
IF(D130="Juvenile Nonfiction",RIGHT(B130,LEN(B130)-2),
IF(D130="Teen Nonfiction",RIGHT(B130,LEN(B130)-5),
IF(AND(G130="Nonfiction",D130="Audiobook"),RIGHT(B130,LEN(B130)-3),
IF(D130="Juvenile Biography",RIGHT(B130,LEN(B130)-2),
IF(D130="Teen Biography",RIGHT(B130,LEN(B130)-5),
IF(AND(D130="Audiobook",G130="Biography"),RIGHT(B130,LEN(B130)-3),
IF(D130="Juvenile Large Type","J "&amp;RIGHT(B130,LEN(B130)-11),
IF(D130="Teen Large Type","TEEN "&amp;RIGHT(B130,LEN(B130)-14),
IF(D130="Reference",RIGHT(B130,LEN(B130)-4),
IF(D130="DVD Educational",RIGHT(B130,LEN(B130)-7),
IF(D130="Juvenile DVD Educational",RIGHT(B130,LEN(B130)-9),
B130)))))))))))))))))</f>
        <v/>
      </c>
      <c r="I130" s="17" t="str">
        <f ca="1">IF(AND($B130="",$C130=""),"",VLOOKUP($A130,Table1[],2,FALSE))</f>
        <v/>
      </c>
    </row>
    <row r="131" spans="1:9" ht="27" customHeight="1" x14ac:dyDescent="0.25">
      <c r="A131" s="12" t="str">
        <f t="shared" ca="1" si="17"/>
        <v/>
      </c>
      <c r="B131" s="12" t="str">
        <f t="shared" ca="1" si="18"/>
        <v/>
      </c>
      <c r="C131" s="12" t="str">
        <f t="shared" ca="1" si="16"/>
        <v/>
      </c>
      <c r="D131" s="12" t="str">
        <f t="shared" ca="1" si="16"/>
        <v/>
      </c>
      <c r="E131" s="12" t="str">
        <f t="shared" ca="1" si="19"/>
        <v/>
      </c>
      <c r="F131" s="17"/>
      <c r="G131" s="13" t="str">
        <f t="shared" ca="1" si="20"/>
        <v/>
      </c>
      <c r="H131" s="13" t="str">
        <f t="shared" ca="1" si="21"/>
        <v/>
      </c>
      <c r="I131" s="17" t="str">
        <f ca="1">IF(AND($B131="",$C131=""),"",VLOOKUP($A131,Table1[],2,FALSE))</f>
        <v/>
      </c>
    </row>
    <row r="132" spans="1:9" ht="27" customHeight="1" x14ac:dyDescent="0.25">
      <c r="A132" s="12" t="str">
        <f t="shared" ca="1" si="17"/>
        <v/>
      </c>
      <c r="B132" s="12" t="str">
        <f t="shared" ca="1" si="18"/>
        <v/>
      </c>
      <c r="C132" s="12" t="str">
        <f t="shared" ca="1" si="16"/>
        <v/>
      </c>
      <c r="D132" s="12" t="str">
        <f t="shared" ca="1" si="16"/>
        <v/>
      </c>
      <c r="E132" s="12" t="str">
        <f t="shared" ca="1" si="19"/>
        <v/>
      </c>
      <c r="F132" s="17"/>
      <c r="G132" s="13" t="str">
        <f t="shared" ca="1" si="20"/>
        <v/>
      </c>
      <c r="H132" s="13" t="str">
        <f t="shared" ca="1" si="21"/>
        <v/>
      </c>
      <c r="I132" s="17" t="str">
        <f ca="1">IF(AND($B132="",$C132=""),"",VLOOKUP($A132,Table1[],2,FALSE))</f>
        <v/>
      </c>
    </row>
    <row r="133" spans="1:9" ht="27" customHeight="1" x14ac:dyDescent="0.25">
      <c r="A133" s="12" t="str">
        <f t="shared" ca="1" si="17"/>
        <v/>
      </c>
      <c r="B133" s="12" t="str">
        <f t="shared" ca="1" si="18"/>
        <v/>
      </c>
      <c r="C133" s="12" t="str">
        <f t="shared" ca="1" si="16"/>
        <v/>
      </c>
      <c r="D133" s="12" t="str">
        <f t="shared" ca="1" si="16"/>
        <v/>
      </c>
      <c r="E133" s="12" t="str">
        <f t="shared" ca="1" si="19"/>
        <v/>
      </c>
      <c r="F133" s="17"/>
      <c r="G133" s="13" t="str">
        <f t="shared" ca="1" si="20"/>
        <v/>
      </c>
      <c r="H133" s="13" t="str">
        <f t="shared" ca="1" si="21"/>
        <v/>
      </c>
      <c r="I133" s="17" t="str">
        <f ca="1">IF(AND($B133="",$C133=""),"",VLOOKUP($A133,Table1[],2,FALSE))</f>
        <v/>
      </c>
    </row>
    <row r="134" spans="1:9" ht="27" customHeight="1" x14ac:dyDescent="0.25">
      <c r="A134" s="12" t="str">
        <f t="shared" ca="1" si="17"/>
        <v/>
      </c>
      <c r="B134" s="12" t="str">
        <f t="shared" ca="1" si="18"/>
        <v/>
      </c>
      <c r="C134" s="12" t="str">
        <f t="shared" ca="1" si="16"/>
        <v/>
      </c>
      <c r="D134" s="12" t="str">
        <f t="shared" ca="1" si="16"/>
        <v/>
      </c>
      <c r="E134" s="12" t="str">
        <f t="shared" ca="1" si="19"/>
        <v/>
      </c>
      <c r="F134" s="17"/>
      <c r="G134" s="13" t="str">
        <f t="shared" ca="1" si="20"/>
        <v/>
      </c>
      <c r="H134" s="13" t="str">
        <f t="shared" ca="1" si="21"/>
        <v/>
      </c>
      <c r="I134" s="17" t="str">
        <f ca="1">IF(AND($B134="",$C134=""),"",VLOOKUP($A134,Table1[],2,FALSE))</f>
        <v/>
      </c>
    </row>
    <row r="135" spans="1:9" ht="27" customHeight="1" x14ac:dyDescent="0.25">
      <c r="A135" s="12" t="str">
        <f t="shared" ca="1" si="17"/>
        <v/>
      </c>
      <c r="B135" s="12" t="str">
        <f t="shared" ca="1" si="18"/>
        <v/>
      </c>
      <c r="C135" s="12" t="str">
        <f t="shared" ca="1" si="16"/>
        <v/>
      </c>
      <c r="D135" s="12" t="str">
        <f t="shared" ca="1" si="16"/>
        <v/>
      </c>
      <c r="E135" s="12" t="str">
        <f t="shared" ca="1" si="19"/>
        <v/>
      </c>
      <c r="F135" s="17"/>
      <c r="G135" s="13" t="str">
        <f t="shared" ca="1" si="20"/>
        <v/>
      </c>
      <c r="H135" s="13" t="str">
        <f t="shared" ca="1" si="21"/>
        <v/>
      </c>
      <c r="I135" s="17" t="str">
        <f ca="1">IF(AND($B135="",$C135=""),"",VLOOKUP($A135,Table1[],2,FALSE))</f>
        <v/>
      </c>
    </row>
    <row r="136" spans="1:9" ht="27" customHeight="1" x14ac:dyDescent="0.25">
      <c r="A136" s="12" t="str">
        <f t="shared" ca="1" si="17"/>
        <v/>
      </c>
      <c r="B136" s="12" t="str">
        <f t="shared" ca="1" si="18"/>
        <v/>
      </c>
      <c r="C136" s="12" t="str">
        <f t="shared" ca="1" si="16"/>
        <v/>
      </c>
      <c r="D136" s="12" t="str">
        <f t="shared" ca="1" si="16"/>
        <v/>
      </c>
      <c r="E136" s="12" t="str">
        <f t="shared" ca="1" si="19"/>
        <v/>
      </c>
      <c r="F136" s="17"/>
      <c r="G136" s="13" t="str">
        <f t="shared" ca="1" si="20"/>
        <v/>
      </c>
      <c r="H136" s="13" t="str">
        <f t="shared" ca="1" si="21"/>
        <v/>
      </c>
      <c r="I136" s="17" t="str">
        <f ca="1">IF(AND($B136="",$C136=""),"",VLOOKUP($A136,Table1[],2,FALSE))</f>
        <v/>
      </c>
    </row>
    <row r="137" spans="1:9" ht="27" customHeight="1" x14ac:dyDescent="0.25">
      <c r="A137" s="12" t="str">
        <f t="shared" ca="1" si="17"/>
        <v/>
      </c>
      <c r="B137" s="12" t="str">
        <f t="shared" ca="1" si="18"/>
        <v/>
      </c>
      <c r="C137" s="12" t="str">
        <f t="shared" ca="1" si="16"/>
        <v/>
      </c>
      <c r="D137" s="12" t="str">
        <f t="shared" ca="1" si="16"/>
        <v/>
      </c>
      <c r="E137" s="12" t="str">
        <f t="shared" ca="1" si="19"/>
        <v/>
      </c>
      <c r="F137" s="17"/>
      <c r="G137" s="13" t="str">
        <f t="shared" ca="1" si="20"/>
        <v/>
      </c>
      <c r="H137" s="13" t="str">
        <f t="shared" ca="1" si="21"/>
        <v/>
      </c>
      <c r="I137" s="17" t="str">
        <f ca="1">IF(AND($B137="",$C137=""),"",VLOOKUP($A137,Table1[],2,FALSE))</f>
        <v/>
      </c>
    </row>
    <row r="138" spans="1:9" ht="27" customHeight="1" x14ac:dyDescent="0.25">
      <c r="A138" s="12" t="str">
        <f t="shared" ca="1" si="17"/>
        <v/>
      </c>
      <c r="B138" s="12" t="str">
        <f t="shared" ca="1" si="18"/>
        <v/>
      </c>
      <c r="C138" s="12" t="str">
        <f t="shared" ca="1" si="16"/>
        <v/>
      </c>
      <c r="D138" s="12" t="str">
        <f t="shared" ca="1" si="16"/>
        <v/>
      </c>
      <c r="E138" s="12" t="str">
        <f t="shared" ca="1" si="19"/>
        <v/>
      </c>
      <c r="F138" s="17"/>
      <c r="G138" s="13" t="str">
        <f t="shared" ca="1" si="20"/>
        <v/>
      </c>
      <c r="H138" s="13" t="str">
        <f t="shared" ca="1" si="21"/>
        <v/>
      </c>
      <c r="I138" s="17" t="str">
        <f ca="1">IF(AND($B138="",$C138=""),"",VLOOKUP($A138,Table1[],2,FALSE))</f>
        <v/>
      </c>
    </row>
    <row r="139" spans="1:9" ht="27" customHeight="1" x14ac:dyDescent="0.25">
      <c r="A139" s="12" t="str">
        <f t="shared" ca="1" si="17"/>
        <v/>
      </c>
      <c r="B139" s="12" t="str">
        <f t="shared" ca="1" si="18"/>
        <v/>
      </c>
      <c r="C139" s="12" t="str">
        <f t="shared" ca="1" si="16"/>
        <v/>
      </c>
      <c r="D139" s="12" t="str">
        <f t="shared" ca="1" si="16"/>
        <v/>
      </c>
      <c r="E139" s="12" t="str">
        <f t="shared" ca="1" si="19"/>
        <v/>
      </c>
      <c r="F139" s="17"/>
      <c r="G139" s="13" t="str">
        <f t="shared" ca="1" si="20"/>
        <v/>
      </c>
      <c r="H139" s="13" t="str">
        <f t="shared" ca="1" si="21"/>
        <v/>
      </c>
      <c r="I139" s="17" t="str">
        <f ca="1">IF(AND($B139="",$C139=""),"",VLOOKUP($A139,Table1[],2,FALSE))</f>
        <v/>
      </c>
    </row>
    <row r="140" spans="1:9" ht="27" customHeight="1" x14ac:dyDescent="0.25">
      <c r="A140" s="12" t="str">
        <f t="shared" ca="1" si="17"/>
        <v/>
      </c>
      <c r="B140" s="12" t="str">
        <f t="shared" ca="1" si="18"/>
        <v/>
      </c>
      <c r="C140" s="12" t="str">
        <f t="shared" ca="1" si="16"/>
        <v/>
      </c>
      <c r="D140" s="12" t="str">
        <f t="shared" ca="1" si="16"/>
        <v/>
      </c>
      <c r="E140" s="12" t="str">
        <f t="shared" ca="1" si="19"/>
        <v/>
      </c>
      <c r="F140" s="17"/>
      <c r="G140" s="13" t="str">
        <f t="shared" ca="1" si="20"/>
        <v/>
      </c>
      <c r="H140" s="13" t="str">
        <f t="shared" ca="1" si="21"/>
        <v/>
      </c>
      <c r="I140" s="17" t="str">
        <f ca="1">IF(AND($B140="",$C140=""),"",VLOOKUP($A140,Table1[],2,FALSE))</f>
        <v/>
      </c>
    </row>
    <row r="141" spans="1:9" ht="27" customHeight="1" x14ac:dyDescent="0.25">
      <c r="A141" s="12" t="str">
        <f t="shared" ca="1" si="17"/>
        <v/>
      </c>
      <c r="B141" s="12" t="str">
        <f t="shared" ca="1" si="18"/>
        <v/>
      </c>
      <c r="C141" s="12" t="str">
        <f t="shared" ca="1" si="16"/>
        <v/>
      </c>
      <c r="D141" s="12" t="str">
        <f t="shared" ca="1" si="16"/>
        <v/>
      </c>
      <c r="E141" s="12" t="str">
        <f t="shared" ca="1" si="19"/>
        <v/>
      </c>
      <c r="F141" s="17"/>
      <c r="G141" s="13" t="str">
        <f t="shared" ca="1" si="20"/>
        <v/>
      </c>
      <c r="H141" s="13" t="str">
        <f t="shared" ca="1" si="21"/>
        <v/>
      </c>
      <c r="I141" s="17" t="str">
        <f ca="1">IF(AND($B141="",$C141=""),"",VLOOKUP($A141,Table1[],2,FALSE))</f>
        <v/>
      </c>
    </row>
    <row r="142" spans="1:9" ht="27" customHeight="1" x14ac:dyDescent="0.25">
      <c r="A142" s="12" t="str">
        <f t="shared" ca="1" si="17"/>
        <v/>
      </c>
      <c r="B142" s="12" t="str">
        <f t="shared" ca="1" si="18"/>
        <v/>
      </c>
      <c r="C142" s="12" t="str">
        <f t="shared" ref="C142:D161" ca="1" si="22">TEXT( INDIRECT( ADDRESS( ROW() + Row_Offset, INDIRECT( "Column_Number_" &amp; C$1), 4,1, tabname) ), "")</f>
        <v/>
      </c>
      <c r="D142" s="12" t="str">
        <f t="shared" ca="1" si="22"/>
        <v/>
      </c>
      <c r="E142" s="12" t="str">
        <f t="shared" ca="1" si="19"/>
        <v/>
      </c>
      <c r="F142" s="17"/>
      <c r="G142" s="13" t="str">
        <f t="shared" ca="1" si="20"/>
        <v/>
      </c>
      <c r="H142" s="13" t="str">
        <f t="shared" ca="1" si="21"/>
        <v/>
      </c>
      <c r="I142" s="17" t="str">
        <f ca="1">IF(AND($B142="",$C142=""),"",VLOOKUP($A142,Table1[],2,FALSE))</f>
        <v/>
      </c>
    </row>
    <row r="143" spans="1:9" ht="27" customHeight="1" x14ac:dyDescent="0.25">
      <c r="A143" s="12" t="str">
        <f t="shared" ca="1" si="17"/>
        <v/>
      </c>
      <c r="B143" s="12" t="str">
        <f t="shared" ca="1" si="18"/>
        <v/>
      </c>
      <c r="C143" s="12" t="str">
        <f t="shared" ca="1" si="22"/>
        <v/>
      </c>
      <c r="D143" s="12" t="str">
        <f t="shared" ca="1" si="22"/>
        <v/>
      </c>
      <c r="E143" s="12" t="str">
        <f t="shared" ca="1" si="19"/>
        <v/>
      </c>
      <c r="F143" s="17"/>
      <c r="G143" s="13" t="str">
        <f t="shared" ca="1" si="20"/>
        <v/>
      </c>
      <c r="H143" s="13" t="str">
        <f t="shared" ca="1" si="21"/>
        <v/>
      </c>
      <c r="I143" s="17" t="str">
        <f ca="1">IF(AND($B143="",$C143=""),"",VLOOKUP($A143,Table1[],2,FALSE))</f>
        <v/>
      </c>
    </row>
    <row r="144" spans="1:9" ht="27" customHeight="1" x14ac:dyDescent="0.25">
      <c r="A144" s="12" t="str">
        <f t="shared" ca="1" si="17"/>
        <v/>
      </c>
      <c r="B144" s="12" t="str">
        <f t="shared" ca="1" si="18"/>
        <v/>
      </c>
      <c r="C144" s="12" t="str">
        <f t="shared" ca="1" si="22"/>
        <v/>
      </c>
      <c r="D144" s="12" t="str">
        <f t="shared" ca="1" si="22"/>
        <v/>
      </c>
      <c r="E144" s="12" t="str">
        <f t="shared" ca="1" si="19"/>
        <v/>
      </c>
      <c r="F144" s="17"/>
      <c r="G144" s="13" t="str">
        <f t="shared" ca="1" si="20"/>
        <v/>
      </c>
      <c r="H144" s="13" t="str">
        <f t="shared" ca="1" si="21"/>
        <v/>
      </c>
      <c r="I144" s="17" t="str">
        <f ca="1">IF(AND($B144="",$C144=""),"",VLOOKUP($A144,Table1[],2,FALSE))</f>
        <v/>
      </c>
    </row>
    <row r="145" spans="1:9" ht="27" customHeight="1" x14ac:dyDescent="0.25">
      <c r="A145" s="12" t="str">
        <f t="shared" ca="1" si="17"/>
        <v/>
      </c>
      <c r="B145" s="12" t="str">
        <f t="shared" ca="1" si="18"/>
        <v/>
      </c>
      <c r="C145" s="12" t="str">
        <f t="shared" ca="1" si="22"/>
        <v/>
      </c>
      <c r="D145" s="12" t="str">
        <f t="shared" ca="1" si="22"/>
        <v/>
      </c>
      <c r="E145" s="12" t="str">
        <f t="shared" ca="1" si="19"/>
        <v/>
      </c>
      <c r="F145" s="17"/>
      <c r="G145" s="13" t="str">
        <f t="shared" ca="1" si="20"/>
        <v/>
      </c>
      <c r="H145" s="13" t="str">
        <f t="shared" ca="1" si="21"/>
        <v/>
      </c>
      <c r="I145" s="17" t="str">
        <f ca="1">IF(AND($B145="",$C145=""),"",VLOOKUP($A145,Table1[],2,FALSE))</f>
        <v/>
      </c>
    </row>
    <row r="146" spans="1:9" ht="27" customHeight="1" x14ac:dyDescent="0.25">
      <c r="A146" s="12" t="str">
        <f t="shared" ca="1" si="17"/>
        <v/>
      </c>
      <c r="B146" s="12" t="str">
        <f t="shared" ca="1" si="18"/>
        <v/>
      </c>
      <c r="C146" s="12" t="str">
        <f t="shared" ca="1" si="22"/>
        <v/>
      </c>
      <c r="D146" s="12" t="str">
        <f t="shared" ca="1" si="22"/>
        <v/>
      </c>
      <c r="E146" s="12" t="str">
        <f t="shared" ca="1" si="19"/>
        <v/>
      </c>
      <c r="F146" s="17"/>
      <c r="G146" s="13" t="str">
        <f t="shared" ca="1" si="20"/>
        <v/>
      </c>
      <c r="H146" s="13" t="str">
        <f t="shared" ca="1" si="21"/>
        <v/>
      </c>
      <c r="I146" s="17" t="str">
        <f ca="1">IF(AND($B146="",$C146=""),"",VLOOKUP($A146,Table1[],2,FALSE))</f>
        <v/>
      </c>
    </row>
    <row r="147" spans="1:9" ht="27" customHeight="1" x14ac:dyDescent="0.25">
      <c r="A147" s="12" t="str">
        <f t="shared" ca="1" si="17"/>
        <v/>
      </c>
      <c r="B147" s="12" t="str">
        <f t="shared" ca="1" si="18"/>
        <v/>
      </c>
      <c r="C147" s="12" t="str">
        <f t="shared" ca="1" si="22"/>
        <v/>
      </c>
      <c r="D147" s="12" t="str">
        <f t="shared" ca="1" si="22"/>
        <v/>
      </c>
      <c r="E147" s="12" t="str">
        <f t="shared" ca="1" si="19"/>
        <v/>
      </c>
      <c r="F147" s="17"/>
      <c r="G147" s="13" t="str">
        <f t="shared" ca="1" si="20"/>
        <v/>
      </c>
      <c r="H147" s="13" t="str">
        <f t="shared" ca="1" si="21"/>
        <v/>
      </c>
      <c r="I147" s="17" t="str">
        <f ca="1">IF(AND($B147="",$C147=""),"",VLOOKUP($A147,Table1[],2,FALSE))</f>
        <v/>
      </c>
    </row>
    <row r="148" spans="1:9" ht="27" customHeight="1" x14ac:dyDescent="0.25">
      <c r="A148" s="12" t="str">
        <f t="shared" ca="1" si="17"/>
        <v/>
      </c>
      <c r="B148" s="12" t="str">
        <f t="shared" ca="1" si="18"/>
        <v/>
      </c>
      <c r="C148" s="12" t="str">
        <f t="shared" ca="1" si="22"/>
        <v/>
      </c>
      <c r="D148" s="12" t="str">
        <f t="shared" ca="1" si="22"/>
        <v/>
      </c>
      <c r="E148" s="12" t="str">
        <f t="shared" ca="1" si="19"/>
        <v/>
      </c>
      <c r="F148" s="17"/>
      <c r="G148" s="13" t="str">
        <f t="shared" ca="1" si="20"/>
        <v/>
      </c>
      <c r="H148" s="13" t="str">
        <f t="shared" ca="1" si="21"/>
        <v/>
      </c>
      <c r="I148" s="17" t="str">
        <f ca="1">IF(AND($B148="",$C148=""),"",VLOOKUP($A148,Table1[],2,FALSE))</f>
        <v/>
      </c>
    </row>
    <row r="149" spans="1:9" ht="27" customHeight="1" x14ac:dyDescent="0.25">
      <c r="A149" s="12" t="str">
        <f t="shared" ca="1" si="17"/>
        <v/>
      </c>
      <c r="B149" s="12" t="str">
        <f t="shared" ca="1" si="18"/>
        <v/>
      </c>
      <c r="C149" s="12" t="str">
        <f t="shared" ca="1" si="22"/>
        <v/>
      </c>
      <c r="D149" s="12" t="str">
        <f t="shared" ca="1" si="22"/>
        <v/>
      </c>
      <c r="E149" s="12" t="str">
        <f t="shared" ca="1" si="19"/>
        <v/>
      </c>
      <c r="F149" s="17"/>
      <c r="G149" s="13" t="str">
        <f t="shared" ca="1" si="20"/>
        <v/>
      </c>
      <c r="H149" s="13" t="str">
        <f t="shared" ca="1" si="21"/>
        <v/>
      </c>
      <c r="I149" s="17" t="str">
        <f ca="1">IF(AND($B149="",$C149=""),"",VLOOKUP($A149,Table1[],2,FALSE))</f>
        <v/>
      </c>
    </row>
    <row r="150" spans="1:9" ht="27" customHeight="1" x14ac:dyDescent="0.25">
      <c r="A150" s="12" t="str">
        <f t="shared" ca="1" si="17"/>
        <v/>
      </c>
      <c r="B150" s="12" t="str">
        <f t="shared" ca="1" si="18"/>
        <v/>
      </c>
      <c r="C150" s="12" t="str">
        <f t="shared" ca="1" si="22"/>
        <v/>
      </c>
      <c r="D150" s="12" t="str">
        <f t="shared" ca="1" si="22"/>
        <v/>
      </c>
      <c r="E150" s="12" t="str">
        <f t="shared" ca="1" si="19"/>
        <v/>
      </c>
      <c r="F150" s="17"/>
      <c r="G150" s="13" t="str">
        <f t="shared" ca="1" si="20"/>
        <v/>
      </c>
      <c r="H150" s="13" t="str">
        <f t="shared" ca="1" si="21"/>
        <v/>
      </c>
      <c r="I150" s="17" t="str">
        <f ca="1">IF(AND($B150="",$C150=""),"",VLOOKUP($A150,Table1[],2,FALSE))</f>
        <v/>
      </c>
    </row>
    <row r="151" spans="1:9" ht="27" customHeight="1" x14ac:dyDescent="0.25">
      <c r="A151" s="12" t="str">
        <f t="shared" ca="1" si="17"/>
        <v/>
      </c>
      <c r="B151" s="12" t="str">
        <f t="shared" ca="1" si="18"/>
        <v/>
      </c>
      <c r="C151" s="12" t="str">
        <f t="shared" ca="1" si="22"/>
        <v/>
      </c>
      <c r="D151" s="12" t="str">
        <f t="shared" ca="1" si="22"/>
        <v/>
      </c>
      <c r="E151" s="12" t="str">
        <f t="shared" ca="1" si="19"/>
        <v/>
      </c>
      <c r="F151" s="17"/>
      <c r="G151" s="13" t="str">
        <f t="shared" ca="1" si="20"/>
        <v/>
      </c>
      <c r="H151" s="13" t="str">
        <f t="shared" ca="1" si="21"/>
        <v/>
      </c>
      <c r="I151" s="17" t="str">
        <f ca="1">IF(AND($B151="",$C151=""),"",VLOOKUP($A151,Table1[],2,FALSE))</f>
        <v/>
      </c>
    </row>
    <row r="152" spans="1:9" ht="27" customHeight="1" x14ac:dyDescent="0.25">
      <c r="A152" s="12" t="str">
        <f t="shared" ca="1" si="17"/>
        <v/>
      </c>
      <c r="B152" s="12" t="str">
        <f t="shared" ca="1" si="18"/>
        <v/>
      </c>
      <c r="C152" s="12" t="str">
        <f t="shared" ca="1" si="22"/>
        <v/>
      </c>
      <c r="D152" s="12" t="str">
        <f t="shared" ca="1" si="22"/>
        <v/>
      </c>
      <c r="E152" s="12" t="str">
        <f t="shared" ca="1" si="19"/>
        <v/>
      </c>
      <c r="F152" s="17"/>
      <c r="G152" s="13" t="str">
        <f t="shared" ca="1" si="20"/>
        <v/>
      </c>
      <c r="H152" s="13" t="str">
        <f t="shared" ca="1" si="21"/>
        <v/>
      </c>
      <c r="I152" s="17" t="str">
        <f ca="1">IF(AND($B152="",$C152=""),"",VLOOKUP($A152,Table1[],2,FALSE))</f>
        <v/>
      </c>
    </row>
    <row r="153" spans="1:9" ht="27" customHeight="1" x14ac:dyDescent="0.25">
      <c r="A153" s="12" t="str">
        <f t="shared" ca="1" si="17"/>
        <v/>
      </c>
      <c r="B153" s="12" t="str">
        <f t="shared" ca="1" si="18"/>
        <v/>
      </c>
      <c r="C153" s="12" t="str">
        <f t="shared" ca="1" si="22"/>
        <v/>
      </c>
      <c r="D153" s="12" t="str">
        <f t="shared" ca="1" si="22"/>
        <v/>
      </c>
      <c r="E153" s="12" t="str">
        <f t="shared" ca="1" si="19"/>
        <v/>
      </c>
      <c r="F153" s="17"/>
      <c r="G153" s="13" t="str">
        <f t="shared" ca="1" si="20"/>
        <v/>
      </c>
      <c r="H153" s="13" t="str">
        <f t="shared" ca="1" si="21"/>
        <v/>
      </c>
      <c r="I153" s="17" t="str">
        <f ca="1">IF(AND($B153="",$C153=""),"",VLOOKUP($A153,Table1[],2,FALSE))</f>
        <v/>
      </c>
    </row>
    <row r="154" spans="1:9" ht="27" customHeight="1" x14ac:dyDescent="0.25">
      <c r="A154" s="12" t="str">
        <f t="shared" ca="1" si="17"/>
        <v/>
      </c>
      <c r="B154" s="12" t="str">
        <f t="shared" ca="1" si="18"/>
        <v/>
      </c>
      <c r="C154" s="12" t="str">
        <f t="shared" ca="1" si="22"/>
        <v/>
      </c>
      <c r="D154" s="12" t="str">
        <f t="shared" ca="1" si="22"/>
        <v/>
      </c>
      <c r="E154" s="12" t="str">
        <f t="shared" ca="1" si="19"/>
        <v/>
      </c>
      <c r="F154" s="17"/>
      <c r="G154" s="13" t="str">
        <f t="shared" ca="1" si="20"/>
        <v/>
      </c>
      <c r="H154" s="13" t="str">
        <f t="shared" ca="1" si="21"/>
        <v/>
      </c>
      <c r="I154" s="17" t="str">
        <f ca="1">IF(AND($B154="",$C154=""),"",VLOOKUP($A154,Table1[],2,FALSE))</f>
        <v/>
      </c>
    </row>
    <row r="155" spans="1:9" ht="27" customHeight="1" x14ac:dyDescent="0.25">
      <c r="A155" s="12" t="str">
        <f t="shared" ca="1" si="17"/>
        <v/>
      </c>
      <c r="B155" s="12" t="str">
        <f t="shared" ca="1" si="18"/>
        <v/>
      </c>
      <c r="C155" s="12" t="str">
        <f t="shared" ca="1" si="22"/>
        <v/>
      </c>
      <c r="D155" s="12" t="str">
        <f t="shared" ca="1" si="22"/>
        <v/>
      </c>
      <c r="E155" s="12" t="str">
        <f t="shared" ca="1" si="19"/>
        <v/>
      </c>
      <c r="F155" s="17"/>
      <c r="G155" s="13" t="str">
        <f t="shared" ca="1" si="20"/>
        <v/>
      </c>
      <c r="H155" s="13" t="str">
        <f t="shared" ca="1" si="21"/>
        <v/>
      </c>
      <c r="I155" s="17" t="str">
        <f ca="1">IF(AND($B155="",$C155=""),"",VLOOKUP($A155,Table1[],2,FALSE))</f>
        <v/>
      </c>
    </row>
    <row r="156" spans="1:9" ht="27" customHeight="1" x14ac:dyDescent="0.25">
      <c r="A156" s="12" t="str">
        <f t="shared" ca="1" si="17"/>
        <v/>
      </c>
      <c r="B156" s="12" t="str">
        <f t="shared" ca="1" si="18"/>
        <v/>
      </c>
      <c r="C156" s="12" t="str">
        <f t="shared" ca="1" si="22"/>
        <v/>
      </c>
      <c r="D156" s="12" t="str">
        <f t="shared" ca="1" si="22"/>
        <v/>
      </c>
      <c r="E156" s="12" t="str">
        <f t="shared" ca="1" si="19"/>
        <v/>
      </c>
      <c r="F156" s="17"/>
      <c r="G156" s="13" t="str">
        <f t="shared" ca="1" si="20"/>
        <v/>
      </c>
      <c r="H156" s="13" t="str">
        <f t="shared" ca="1" si="21"/>
        <v/>
      </c>
      <c r="I156" s="17" t="str">
        <f ca="1">IF(AND($B156="",$C156=""),"",VLOOKUP($A156,Table1[],2,FALSE))</f>
        <v/>
      </c>
    </row>
    <row r="157" spans="1:9" ht="27" customHeight="1" x14ac:dyDescent="0.25">
      <c r="A157" s="12" t="str">
        <f t="shared" ca="1" si="17"/>
        <v/>
      </c>
      <c r="B157" s="12" t="str">
        <f t="shared" ca="1" si="18"/>
        <v/>
      </c>
      <c r="C157" s="12" t="str">
        <f t="shared" ca="1" si="22"/>
        <v/>
      </c>
      <c r="D157" s="12" t="str">
        <f t="shared" ca="1" si="22"/>
        <v/>
      </c>
      <c r="E157" s="12" t="str">
        <f t="shared" ca="1" si="19"/>
        <v/>
      </c>
      <c r="F157" s="17"/>
      <c r="G157" s="13" t="str">
        <f t="shared" ca="1" si="20"/>
        <v/>
      </c>
      <c r="H157" s="13" t="str">
        <f t="shared" ca="1" si="21"/>
        <v/>
      </c>
      <c r="I157" s="17" t="str">
        <f ca="1">IF(AND($B157="",$C157=""),"",VLOOKUP($A157,Table1[],2,FALSE))</f>
        <v/>
      </c>
    </row>
    <row r="158" spans="1:9" ht="27" customHeight="1" x14ac:dyDescent="0.25">
      <c r="A158" s="12" t="str">
        <f t="shared" ca="1" si="17"/>
        <v/>
      </c>
      <c r="B158" s="12" t="str">
        <f t="shared" ca="1" si="18"/>
        <v/>
      </c>
      <c r="C158" s="12" t="str">
        <f t="shared" ca="1" si="22"/>
        <v/>
      </c>
      <c r="D158" s="12" t="str">
        <f t="shared" ca="1" si="22"/>
        <v/>
      </c>
      <c r="E158" s="12" t="str">
        <f t="shared" ca="1" si="19"/>
        <v/>
      </c>
      <c r="F158" s="17"/>
      <c r="G158" s="13" t="str">
        <f t="shared" ca="1" si="20"/>
        <v/>
      </c>
      <c r="H158" s="13" t="str">
        <f t="shared" ca="1" si="21"/>
        <v/>
      </c>
      <c r="I158" s="17" t="str">
        <f ca="1">IF(AND($B158="",$C158=""),"",VLOOKUP($A158,Table1[],2,FALSE))</f>
        <v/>
      </c>
    </row>
    <row r="159" spans="1:9" ht="27" customHeight="1" x14ac:dyDescent="0.25">
      <c r="A159" s="12" t="str">
        <f t="shared" ca="1" si="17"/>
        <v/>
      </c>
      <c r="B159" s="12" t="str">
        <f t="shared" ca="1" si="18"/>
        <v/>
      </c>
      <c r="C159" s="12" t="str">
        <f t="shared" ca="1" si="22"/>
        <v/>
      </c>
      <c r="D159" s="12" t="str">
        <f t="shared" ca="1" si="22"/>
        <v/>
      </c>
      <c r="E159" s="12" t="str">
        <f t="shared" ca="1" si="19"/>
        <v/>
      </c>
      <c r="F159" s="17"/>
      <c r="G159" s="13" t="str">
        <f t="shared" ca="1" si="20"/>
        <v/>
      </c>
      <c r="H159" s="13" t="str">
        <f t="shared" ca="1" si="21"/>
        <v/>
      </c>
      <c r="I159" s="17" t="str">
        <f ca="1">IF(AND($B159="",$C159=""),"",VLOOKUP($A159,Table1[],2,FALSE))</f>
        <v/>
      </c>
    </row>
    <row r="160" spans="1:9" ht="27" customHeight="1" x14ac:dyDescent="0.25">
      <c r="A160" s="12" t="str">
        <f t="shared" ca="1" si="17"/>
        <v/>
      </c>
      <c r="B160" s="12" t="str">
        <f t="shared" ca="1" si="18"/>
        <v/>
      </c>
      <c r="C160" s="12" t="str">
        <f t="shared" ca="1" si="22"/>
        <v/>
      </c>
      <c r="D160" s="12" t="str">
        <f t="shared" ca="1" si="22"/>
        <v/>
      </c>
      <c r="E160" s="12" t="str">
        <f t="shared" ca="1" si="19"/>
        <v/>
      </c>
      <c r="F160" s="17"/>
      <c r="G160" s="13" t="str">
        <f t="shared" ca="1" si="20"/>
        <v/>
      </c>
      <c r="H160" s="13" t="str">
        <f t="shared" ca="1" si="21"/>
        <v/>
      </c>
      <c r="I160" s="17" t="str">
        <f ca="1">IF(AND($B160="",$C160=""),"",VLOOKUP($A160,Table1[],2,FALSE))</f>
        <v/>
      </c>
    </row>
    <row r="161" spans="1:9" ht="27" customHeight="1" x14ac:dyDescent="0.25">
      <c r="A161" s="12" t="str">
        <f t="shared" ca="1" si="17"/>
        <v/>
      </c>
      <c r="B161" s="12" t="str">
        <f t="shared" ca="1" si="18"/>
        <v/>
      </c>
      <c r="C161" s="12" t="str">
        <f t="shared" ca="1" si="22"/>
        <v/>
      </c>
      <c r="D161" s="12" t="str">
        <f t="shared" ca="1" si="22"/>
        <v/>
      </c>
      <c r="E161" s="12" t="str">
        <f t="shared" ca="1" si="19"/>
        <v/>
      </c>
      <c r="F161" s="17"/>
      <c r="G161" s="13" t="str">
        <f t="shared" ca="1" si="20"/>
        <v/>
      </c>
      <c r="H161" s="13" t="str">
        <f t="shared" ca="1" si="21"/>
        <v/>
      </c>
      <c r="I161" s="17" t="str">
        <f ca="1">IF(AND($B161="",$C161=""),"",VLOOKUP($A161,Table1[],2,FALSE))</f>
        <v/>
      </c>
    </row>
    <row r="162" spans="1:9" ht="27" customHeight="1" x14ac:dyDescent="0.25">
      <c r="A162" s="12" t="str">
        <f t="shared" ca="1" si="17"/>
        <v/>
      </c>
      <c r="B162" s="12" t="str">
        <f t="shared" ca="1" si="18"/>
        <v/>
      </c>
      <c r="C162" s="12" t="str">
        <f t="shared" ref="C162:D181" ca="1" si="23">TEXT( INDIRECT( ADDRESS( ROW() + Row_Offset, INDIRECT( "Column_Number_" &amp; C$1), 4,1, tabname) ), "")</f>
        <v/>
      </c>
      <c r="D162" s="12" t="str">
        <f t="shared" ca="1" si="23"/>
        <v/>
      </c>
      <c r="E162" s="12" t="str">
        <f t="shared" ca="1" si="19"/>
        <v/>
      </c>
      <c r="F162" s="17"/>
      <c r="G162" s="13" t="str">
        <f t="shared" ca="1" si="20"/>
        <v/>
      </c>
      <c r="H162" s="13" t="str">
        <f t="shared" ca="1" si="21"/>
        <v/>
      </c>
      <c r="I162" s="17" t="str">
        <f ca="1">IF(AND($B162="",$C162=""),"",VLOOKUP($A162,Table1[],2,FALSE))</f>
        <v/>
      </c>
    </row>
    <row r="163" spans="1:9" ht="27" customHeight="1" x14ac:dyDescent="0.25">
      <c r="A163" s="12" t="str">
        <f t="shared" ca="1" si="17"/>
        <v/>
      </c>
      <c r="B163" s="12" t="str">
        <f t="shared" ca="1" si="18"/>
        <v/>
      </c>
      <c r="C163" s="12" t="str">
        <f t="shared" ca="1" si="23"/>
        <v/>
      </c>
      <c r="D163" s="12" t="str">
        <f t="shared" ca="1" si="23"/>
        <v/>
      </c>
      <c r="E163" s="12" t="str">
        <f t="shared" ca="1" si="19"/>
        <v/>
      </c>
      <c r="F163" s="17"/>
      <c r="G163" s="13" t="str">
        <f t="shared" ca="1" si="20"/>
        <v/>
      </c>
      <c r="H163" s="13" t="str">
        <f t="shared" ca="1" si="21"/>
        <v/>
      </c>
      <c r="I163" s="17" t="str">
        <f ca="1">IF(AND($B163="",$C163=""),"",VLOOKUP($A163,Table1[],2,FALSE))</f>
        <v/>
      </c>
    </row>
    <row r="164" spans="1:9" ht="27" customHeight="1" x14ac:dyDescent="0.25">
      <c r="A164" s="12" t="str">
        <f t="shared" ca="1" si="17"/>
        <v/>
      </c>
      <c r="B164" s="12" t="str">
        <f t="shared" ca="1" si="18"/>
        <v/>
      </c>
      <c r="C164" s="12" t="str">
        <f t="shared" ca="1" si="23"/>
        <v/>
      </c>
      <c r="D164" s="12" t="str">
        <f t="shared" ca="1" si="23"/>
        <v/>
      </c>
      <c r="E164" s="12" t="str">
        <f t="shared" ca="1" si="19"/>
        <v/>
      </c>
      <c r="F164" s="17"/>
      <c r="G164" s="13" t="str">
        <f t="shared" ca="1" si="20"/>
        <v/>
      </c>
      <c r="H164" s="13" t="str">
        <f t="shared" ca="1" si="21"/>
        <v/>
      </c>
      <c r="I164" s="17" t="str">
        <f ca="1">IF(AND($B164="",$C164=""),"",VLOOKUP($A164,Table1[],2,FALSE))</f>
        <v/>
      </c>
    </row>
    <row r="165" spans="1:9" ht="27" customHeight="1" x14ac:dyDescent="0.25">
      <c r="A165" s="12" t="str">
        <f t="shared" ca="1" si="17"/>
        <v/>
      </c>
      <c r="B165" s="12" t="str">
        <f t="shared" ca="1" si="18"/>
        <v/>
      </c>
      <c r="C165" s="12" t="str">
        <f t="shared" ca="1" si="23"/>
        <v/>
      </c>
      <c r="D165" s="12" t="str">
        <f t="shared" ca="1" si="23"/>
        <v/>
      </c>
      <c r="E165" s="12" t="str">
        <f t="shared" ca="1" si="19"/>
        <v/>
      </c>
      <c r="F165" s="17"/>
      <c r="G165" s="13" t="str">
        <f t="shared" ca="1" si="20"/>
        <v/>
      </c>
      <c r="H165" s="13" t="str">
        <f t="shared" ca="1" si="21"/>
        <v/>
      </c>
      <c r="I165" s="17" t="str">
        <f ca="1">IF(AND($B165="",$C165=""),"",VLOOKUP($A165,Table1[],2,FALSE))</f>
        <v/>
      </c>
    </row>
    <row r="166" spans="1:9" ht="27" customHeight="1" x14ac:dyDescent="0.25">
      <c r="A166" s="12" t="str">
        <f t="shared" ca="1" si="17"/>
        <v/>
      </c>
      <c r="B166" s="12" t="str">
        <f t="shared" ca="1" si="18"/>
        <v/>
      </c>
      <c r="C166" s="12" t="str">
        <f t="shared" ca="1" si="23"/>
        <v/>
      </c>
      <c r="D166" s="12" t="str">
        <f t="shared" ca="1" si="23"/>
        <v/>
      </c>
      <c r="E166" s="12" t="str">
        <f t="shared" ca="1" si="19"/>
        <v/>
      </c>
      <c r="F166" s="17"/>
      <c r="G166" s="13" t="str">
        <f t="shared" ca="1" si="20"/>
        <v/>
      </c>
      <c r="H166" s="13" t="str">
        <f t="shared" ca="1" si="21"/>
        <v/>
      </c>
      <c r="I166" s="17" t="str">
        <f ca="1">IF(AND($B166="",$C166=""),"",VLOOKUP($A166,Table1[],2,FALSE))</f>
        <v/>
      </c>
    </row>
    <row r="167" spans="1:9" ht="27" customHeight="1" x14ac:dyDescent="0.25">
      <c r="A167" s="12" t="str">
        <f t="shared" ca="1" si="17"/>
        <v/>
      </c>
      <c r="B167" s="12" t="str">
        <f t="shared" ca="1" si="18"/>
        <v/>
      </c>
      <c r="C167" s="12" t="str">
        <f t="shared" ca="1" si="23"/>
        <v/>
      </c>
      <c r="D167" s="12" t="str">
        <f t="shared" ca="1" si="23"/>
        <v/>
      </c>
      <c r="E167" s="12" t="str">
        <f t="shared" ca="1" si="19"/>
        <v/>
      </c>
      <c r="F167" s="17"/>
      <c r="G167" s="13" t="str">
        <f t="shared" ca="1" si="20"/>
        <v/>
      </c>
      <c r="H167" s="13" t="str">
        <f t="shared" ca="1" si="21"/>
        <v/>
      </c>
      <c r="I167" s="17" t="str">
        <f ca="1">IF(AND($B167="",$C167=""),"",VLOOKUP($A167,Table1[],2,FALSE))</f>
        <v/>
      </c>
    </row>
    <row r="168" spans="1:9" ht="27" customHeight="1" x14ac:dyDescent="0.25">
      <c r="A168" s="12" t="str">
        <f t="shared" ca="1" si="17"/>
        <v/>
      </c>
      <c r="B168" s="12" t="str">
        <f t="shared" ca="1" si="18"/>
        <v/>
      </c>
      <c r="C168" s="12" t="str">
        <f t="shared" ca="1" si="23"/>
        <v/>
      </c>
      <c r="D168" s="12" t="str">
        <f t="shared" ca="1" si="23"/>
        <v/>
      </c>
      <c r="E168" s="12" t="str">
        <f t="shared" ca="1" si="19"/>
        <v/>
      </c>
      <c r="F168" s="17"/>
      <c r="G168" s="13" t="str">
        <f t="shared" ca="1" si="20"/>
        <v/>
      </c>
      <c r="H168" s="13" t="str">
        <f t="shared" ca="1" si="21"/>
        <v/>
      </c>
      <c r="I168" s="17" t="str">
        <f ca="1">IF(AND($B168="",$C168=""),"",VLOOKUP($A168,Table1[],2,FALSE))</f>
        <v/>
      </c>
    </row>
    <row r="169" spans="1:9" ht="27" customHeight="1" x14ac:dyDescent="0.25">
      <c r="A169" s="12" t="str">
        <f t="shared" ca="1" si="17"/>
        <v/>
      </c>
      <c r="B169" s="12" t="str">
        <f t="shared" ca="1" si="18"/>
        <v/>
      </c>
      <c r="C169" s="12" t="str">
        <f t="shared" ca="1" si="23"/>
        <v/>
      </c>
      <c r="D169" s="12" t="str">
        <f t="shared" ca="1" si="23"/>
        <v/>
      </c>
      <c r="E169" s="12" t="str">
        <f t="shared" ca="1" si="19"/>
        <v/>
      </c>
      <c r="F169" s="17"/>
      <c r="G169" s="13" t="str">
        <f t="shared" ca="1" si="20"/>
        <v/>
      </c>
      <c r="H169" s="13" t="str">
        <f t="shared" ca="1" si="21"/>
        <v/>
      </c>
      <c r="I169" s="17" t="str">
        <f ca="1">IF(AND($B169="",$C169=""),"",VLOOKUP($A169,Table1[],2,FALSE))</f>
        <v/>
      </c>
    </row>
    <row r="170" spans="1:9" ht="27" customHeight="1" x14ac:dyDescent="0.25">
      <c r="A170" s="12" t="str">
        <f t="shared" ca="1" si="17"/>
        <v/>
      </c>
      <c r="B170" s="12" t="str">
        <f t="shared" ca="1" si="18"/>
        <v/>
      </c>
      <c r="C170" s="12" t="str">
        <f t="shared" ca="1" si="23"/>
        <v/>
      </c>
      <c r="D170" s="12" t="str">
        <f t="shared" ca="1" si="23"/>
        <v/>
      </c>
      <c r="E170" s="12" t="str">
        <f t="shared" ca="1" si="19"/>
        <v/>
      </c>
      <c r="F170" s="17"/>
      <c r="G170" s="13" t="str">
        <f t="shared" ca="1" si="20"/>
        <v/>
      </c>
      <c r="H170" s="13" t="str">
        <f t="shared" ca="1" si="21"/>
        <v/>
      </c>
      <c r="I170" s="17" t="str">
        <f ca="1">IF(AND($B170="",$C170=""),"",VLOOKUP($A170,Table1[],2,FALSE))</f>
        <v/>
      </c>
    </row>
    <row r="171" spans="1:9" ht="27" customHeight="1" x14ac:dyDescent="0.25">
      <c r="A171" s="12" t="str">
        <f t="shared" ca="1" si="17"/>
        <v/>
      </c>
      <c r="B171" s="12" t="str">
        <f t="shared" ca="1" si="18"/>
        <v/>
      </c>
      <c r="C171" s="12" t="str">
        <f t="shared" ca="1" si="23"/>
        <v/>
      </c>
      <c r="D171" s="12" t="str">
        <f t="shared" ca="1" si="23"/>
        <v/>
      </c>
      <c r="E171" s="12" t="str">
        <f t="shared" ca="1" si="19"/>
        <v/>
      </c>
      <c r="F171" s="17"/>
      <c r="G171" s="13" t="str">
        <f t="shared" ca="1" si="20"/>
        <v/>
      </c>
      <c r="H171" s="13" t="str">
        <f t="shared" ca="1" si="21"/>
        <v/>
      </c>
      <c r="I171" s="17" t="str">
        <f ca="1">IF(AND($B171="",$C171=""),"",VLOOKUP($A171,Table1[],2,FALSE))</f>
        <v/>
      </c>
    </row>
    <row r="172" spans="1:9" ht="27" customHeight="1" x14ac:dyDescent="0.25">
      <c r="A172" s="12" t="str">
        <f t="shared" ca="1" si="17"/>
        <v/>
      </c>
      <c r="B172" s="12" t="str">
        <f t="shared" ca="1" si="18"/>
        <v/>
      </c>
      <c r="C172" s="12" t="str">
        <f t="shared" ca="1" si="23"/>
        <v/>
      </c>
      <c r="D172" s="12" t="str">
        <f t="shared" ca="1" si="23"/>
        <v/>
      </c>
      <c r="E172" s="12" t="str">
        <f t="shared" ca="1" si="19"/>
        <v/>
      </c>
      <c r="F172" s="17"/>
      <c r="G172" s="13" t="str">
        <f t="shared" ca="1" si="20"/>
        <v/>
      </c>
      <c r="H172" s="13" t="str">
        <f t="shared" ca="1" si="21"/>
        <v/>
      </c>
      <c r="I172" s="17" t="str">
        <f ca="1">IF(AND($B172="",$C172=""),"",VLOOKUP($A172,Table1[],2,FALSE))</f>
        <v/>
      </c>
    </row>
    <row r="173" spans="1:9" ht="27" customHeight="1" x14ac:dyDescent="0.25">
      <c r="A173" s="12" t="str">
        <f t="shared" ca="1" si="17"/>
        <v/>
      </c>
      <c r="B173" s="12" t="str">
        <f t="shared" ca="1" si="18"/>
        <v/>
      </c>
      <c r="C173" s="12" t="str">
        <f t="shared" ca="1" si="23"/>
        <v/>
      </c>
      <c r="D173" s="12" t="str">
        <f t="shared" ca="1" si="23"/>
        <v/>
      </c>
      <c r="E173" s="12" t="str">
        <f t="shared" ca="1" si="19"/>
        <v/>
      </c>
      <c r="F173" s="17"/>
      <c r="G173" s="13" t="str">
        <f t="shared" ca="1" si="20"/>
        <v/>
      </c>
      <c r="H173" s="13" t="str">
        <f t="shared" ca="1" si="21"/>
        <v/>
      </c>
      <c r="I173" s="17" t="str">
        <f ca="1">IF(AND($B173="",$C173=""),"",VLOOKUP($A173,Table1[],2,FALSE))</f>
        <v/>
      </c>
    </row>
    <row r="174" spans="1:9" ht="27" customHeight="1" x14ac:dyDescent="0.25">
      <c r="A174" s="12" t="str">
        <f t="shared" ca="1" si="17"/>
        <v/>
      </c>
      <c r="B174" s="12" t="str">
        <f t="shared" ca="1" si="18"/>
        <v/>
      </c>
      <c r="C174" s="12" t="str">
        <f t="shared" ca="1" si="23"/>
        <v/>
      </c>
      <c r="D174" s="12" t="str">
        <f t="shared" ca="1" si="23"/>
        <v/>
      </c>
      <c r="E174" s="12" t="str">
        <f t="shared" ca="1" si="19"/>
        <v/>
      </c>
      <c r="F174" s="17"/>
      <c r="G174" s="13" t="str">
        <f t="shared" ca="1" si="20"/>
        <v/>
      </c>
      <c r="H174" s="13" t="str">
        <f t="shared" ca="1" si="21"/>
        <v/>
      </c>
      <c r="I174" s="17" t="str">
        <f ca="1">IF(AND($B174="",$C174=""),"",VLOOKUP($A174,Table1[],2,FALSE))</f>
        <v/>
      </c>
    </row>
    <row r="175" spans="1:9" ht="27" customHeight="1" x14ac:dyDescent="0.25">
      <c r="A175" s="12" t="str">
        <f t="shared" ca="1" si="17"/>
        <v/>
      </c>
      <c r="B175" s="12" t="str">
        <f t="shared" ca="1" si="18"/>
        <v/>
      </c>
      <c r="C175" s="12" t="str">
        <f t="shared" ca="1" si="23"/>
        <v/>
      </c>
      <c r="D175" s="12" t="str">
        <f t="shared" ca="1" si="23"/>
        <v/>
      </c>
      <c r="E175" s="12" t="str">
        <f t="shared" ca="1" si="19"/>
        <v/>
      </c>
      <c r="F175" s="17"/>
      <c r="G175" s="13" t="str">
        <f t="shared" ca="1" si="20"/>
        <v/>
      </c>
      <c r="H175" s="13" t="str">
        <f t="shared" ca="1" si="21"/>
        <v/>
      </c>
      <c r="I175" s="17" t="str">
        <f ca="1">IF(AND($B175="",$C175=""),"",VLOOKUP($A175,Table1[],2,FALSE))</f>
        <v/>
      </c>
    </row>
    <row r="176" spans="1:9" ht="27" customHeight="1" x14ac:dyDescent="0.25">
      <c r="A176" s="12" t="str">
        <f t="shared" ca="1" si="17"/>
        <v/>
      </c>
      <c r="B176" s="12" t="str">
        <f t="shared" ca="1" si="18"/>
        <v/>
      </c>
      <c r="C176" s="12" t="str">
        <f t="shared" ca="1" si="23"/>
        <v/>
      </c>
      <c r="D176" s="12" t="str">
        <f t="shared" ca="1" si="23"/>
        <v/>
      </c>
      <c r="E176" s="12" t="str">
        <f t="shared" ca="1" si="19"/>
        <v/>
      </c>
      <c r="F176" s="17"/>
      <c r="G176" s="13" t="str">
        <f t="shared" ca="1" si="20"/>
        <v/>
      </c>
      <c r="H176" s="13" t="str">
        <f t="shared" ca="1" si="21"/>
        <v/>
      </c>
      <c r="I176" s="17" t="str">
        <f ca="1">IF(AND($B176="",$C176=""),"",VLOOKUP($A176,Table1[],2,FALSE))</f>
        <v/>
      </c>
    </row>
    <row r="177" spans="1:9" ht="27" customHeight="1" x14ac:dyDescent="0.25">
      <c r="A177" s="12" t="str">
        <f t="shared" ca="1" si="17"/>
        <v/>
      </c>
      <c r="B177" s="12" t="str">
        <f t="shared" ca="1" si="18"/>
        <v/>
      </c>
      <c r="C177" s="12" t="str">
        <f t="shared" ca="1" si="23"/>
        <v/>
      </c>
      <c r="D177" s="12" t="str">
        <f t="shared" ca="1" si="23"/>
        <v/>
      </c>
      <c r="E177" s="12" t="str">
        <f t="shared" ca="1" si="19"/>
        <v/>
      </c>
      <c r="F177" s="17"/>
      <c r="G177" s="13" t="str">
        <f t="shared" ca="1" si="20"/>
        <v/>
      </c>
      <c r="H177" s="13" t="str">
        <f t="shared" ca="1" si="21"/>
        <v/>
      </c>
      <c r="I177" s="17" t="str">
        <f ca="1">IF(AND($B177="",$C177=""),"",VLOOKUP($A177,Table1[],2,FALSE))</f>
        <v/>
      </c>
    </row>
    <row r="178" spans="1:9" ht="27" customHeight="1" x14ac:dyDescent="0.25">
      <c r="A178" s="12" t="str">
        <f t="shared" ca="1" si="17"/>
        <v/>
      </c>
      <c r="B178" s="12" t="str">
        <f t="shared" ca="1" si="18"/>
        <v/>
      </c>
      <c r="C178" s="12" t="str">
        <f t="shared" ca="1" si="23"/>
        <v/>
      </c>
      <c r="D178" s="12" t="str">
        <f t="shared" ca="1" si="23"/>
        <v/>
      </c>
      <c r="E178" s="12" t="str">
        <f t="shared" ca="1" si="19"/>
        <v/>
      </c>
      <c r="F178" s="17"/>
      <c r="G178" s="13" t="str">
        <f t="shared" ca="1" si="20"/>
        <v/>
      </c>
      <c r="H178" s="13" t="str">
        <f t="shared" ca="1" si="21"/>
        <v/>
      </c>
      <c r="I178" s="17" t="str">
        <f ca="1">IF(AND($B178="",$C178=""),"",VLOOKUP($A178,Table1[],2,FALSE))</f>
        <v/>
      </c>
    </row>
    <row r="179" spans="1:9" ht="27" customHeight="1" x14ac:dyDescent="0.25">
      <c r="A179" s="12" t="str">
        <f t="shared" ca="1" si="17"/>
        <v/>
      </c>
      <c r="B179" s="12" t="str">
        <f t="shared" ca="1" si="18"/>
        <v/>
      </c>
      <c r="C179" s="12" t="str">
        <f t="shared" ca="1" si="23"/>
        <v/>
      </c>
      <c r="D179" s="12" t="str">
        <f t="shared" ca="1" si="23"/>
        <v/>
      </c>
      <c r="E179" s="12" t="str">
        <f t="shared" ca="1" si="19"/>
        <v/>
      </c>
      <c r="F179" s="17"/>
      <c r="G179" s="13" t="str">
        <f t="shared" ca="1" si="20"/>
        <v/>
      </c>
      <c r="H179" s="13" t="str">
        <f t="shared" ca="1" si="21"/>
        <v/>
      </c>
      <c r="I179" s="17" t="str">
        <f ca="1">IF(AND($B179="",$C179=""),"",VLOOKUP($A179,Table1[],2,FALSE))</f>
        <v/>
      </c>
    </row>
    <row r="180" spans="1:9" ht="27" customHeight="1" x14ac:dyDescent="0.25">
      <c r="A180" s="12" t="str">
        <f t="shared" ca="1" si="17"/>
        <v/>
      </c>
      <c r="B180" s="12" t="str">
        <f t="shared" ca="1" si="18"/>
        <v/>
      </c>
      <c r="C180" s="12" t="str">
        <f t="shared" ca="1" si="23"/>
        <v/>
      </c>
      <c r="D180" s="12" t="str">
        <f t="shared" ca="1" si="23"/>
        <v/>
      </c>
      <c r="E180" s="12" t="str">
        <f t="shared" ca="1" si="19"/>
        <v/>
      </c>
      <c r="F180" s="17"/>
      <c r="G180" s="13" t="str">
        <f t="shared" ca="1" si="20"/>
        <v/>
      </c>
      <c r="H180" s="13" t="str">
        <f t="shared" ca="1" si="21"/>
        <v/>
      </c>
      <c r="I180" s="17" t="str">
        <f ca="1">IF(AND($B180="",$C180=""),"",VLOOKUP($A180,Table1[],2,FALSE))</f>
        <v/>
      </c>
    </row>
    <row r="181" spans="1:9" ht="27" customHeight="1" x14ac:dyDescent="0.25">
      <c r="A181" s="12" t="str">
        <f t="shared" ca="1" si="17"/>
        <v/>
      </c>
      <c r="B181" s="12" t="str">
        <f t="shared" ca="1" si="18"/>
        <v/>
      </c>
      <c r="C181" s="12" t="str">
        <f t="shared" ca="1" si="23"/>
        <v/>
      </c>
      <c r="D181" s="12" t="str">
        <f t="shared" ca="1" si="23"/>
        <v/>
      </c>
      <c r="E181" s="12" t="str">
        <f t="shared" ca="1" si="19"/>
        <v/>
      </c>
      <c r="F181" s="17"/>
      <c r="G181" s="13" t="str">
        <f t="shared" ca="1" si="20"/>
        <v/>
      </c>
      <c r="H181" s="13" t="str">
        <f t="shared" ca="1" si="21"/>
        <v/>
      </c>
      <c r="I181" s="17" t="str">
        <f ca="1">IF(AND($B181="",$C181=""),"",VLOOKUP($A181,Table1[],2,FALSE))</f>
        <v/>
      </c>
    </row>
    <row r="182" spans="1:9" ht="27" customHeight="1" x14ac:dyDescent="0.25">
      <c r="A182" s="12" t="str">
        <f t="shared" ca="1" si="17"/>
        <v/>
      </c>
      <c r="B182" s="12" t="str">
        <f t="shared" ca="1" si="18"/>
        <v/>
      </c>
      <c r="C182" s="12" t="str">
        <f t="shared" ref="C182:D201" ca="1" si="24">TEXT( INDIRECT( ADDRESS( ROW() + Row_Offset, INDIRECT( "Column_Number_" &amp; C$1), 4,1, tabname) ), "")</f>
        <v/>
      </c>
      <c r="D182" s="12" t="str">
        <f t="shared" ca="1" si="24"/>
        <v/>
      </c>
      <c r="E182" s="12" t="str">
        <f t="shared" ca="1" si="19"/>
        <v/>
      </c>
      <c r="F182" s="17"/>
      <c r="G182" s="13" t="str">
        <f t="shared" ca="1" si="20"/>
        <v/>
      </c>
      <c r="H182" s="13" t="str">
        <f t="shared" ca="1" si="21"/>
        <v/>
      </c>
      <c r="I182" s="17" t="str">
        <f ca="1">IF(AND($B182="",$C182=""),"",VLOOKUP($A182,Table1[],2,FALSE))</f>
        <v/>
      </c>
    </row>
    <row r="183" spans="1:9" ht="27" customHeight="1" x14ac:dyDescent="0.25">
      <c r="A183" s="12" t="str">
        <f t="shared" ca="1" si="17"/>
        <v/>
      </c>
      <c r="B183" s="12" t="str">
        <f t="shared" ca="1" si="18"/>
        <v/>
      </c>
      <c r="C183" s="12" t="str">
        <f t="shared" ca="1" si="24"/>
        <v/>
      </c>
      <c r="D183" s="12" t="str">
        <f t="shared" ca="1" si="24"/>
        <v/>
      </c>
      <c r="E183" s="12" t="str">
        <f t="shared" ca="1" si="19"/>
        <v/>
      </c>
      <c r="F183" s="17"/>
      <c r="G183" s="13" t="str">
        <f t="shared" ca="1" si="20"/>
        <v/>
      </c>
      <c r="H183" s="13" t="str">
        <f t="shared" ca="1" si="21"/>
        <v/>
      </c>
      <c r="I183" s="17" t="str">
        <f ca="1">IF(AND($B183="",$C183=""),"",VLOOKUP($A183,Table1[],2,FALSE))</f>
        <v/>
      </c>
    </row>
    <row r="184" spans="1:9" ht="27" customHeight="1" x14ac:dyDescent="0.25">
      <c r="A184" s="12" t="str">
        <f t="shared" ca="1" si="17"/>
        <v/>
      </c>
      <c r="B184" s="12" t="str">
        <f t="shared" ca="1" si="18"/>
        <v/>
      </c>
      <c r="C184" s="12" t="str">
        <f t="shared" ca="1" si="24"/>
        <v/>
      </c>
      <c r="D184" s="12" t="str">
        <f t="shared" ca="1" si="24"/>
        <v/>
      </c>
      <c r="E184" s="12" t="str">
        <f t="shared" ca="1" si="19"/>
        <v/>
      </c>
      <c r="F184" s="17"/>
      <c r="G184" s="13" t="str">
        <f t="shared" ca="1" si="20"/>
        <v/>
      </c>
      <c r="H184" s="13" t="str">
        <f t="shared" ca="1" si="21"/>
        <v/>
      </c>
      <c r="I184" s="17" t="str">
        <f ca="1">IF(AND($B184="",$C184=""),"",VLOOKUP($A184,Table1[],2,FALSE))</f>
        <v/>
      </c>
    </row>
    <row r="185" spans="1:9" ht="27" customHeight="1" x14ac:dyDescent="0.25">
      <c r="A185" s="12" t="str">
        <f t="shared" ca="1" si="17"/>
        <v/>
      </c>
      <c r="B185" s="12" t="str">
        <f t="shared" ca="1" si="18"/>
        <v/>
      </c>
      <c r="C185" s="12" t="str">
        <f t="shared" ca="1" si="24"/>
        <v/>
      </c>
      <c r="D185" s="12" t="str">
        <f t="shared" ca="1" si="24"/>
        <v/>
      </c>
      <c r="E185" s="12" t="str">
        <f t="shared" ca="1" si="19"/>
        <v/>
      </c>
      <c r="F185" s="17"/>
      <c r="G185" s="13" t="str">
        <f t="shared" ca="1" si="20"/>
        <v/>
      </c>
      <c r="H185" s="13" t="str">
        <f t="shared" ca="1" si="21"/>
        <v/>
      </c>
      <c r="I185" s="17" t="str">
        <f ca="1">IF(AND($B185="",$C185=""),"",VLOOKUP($A185,Table1[],2,FALSE))</f>
        <v/>
      </c>
    </row>
    <row r="186" spans="1:9" ht="27" customHeight="1" x14ac:dyDescent="0.25">
      <c r="A186" s="12" t="str">
        <f t="shared" ca="1" si="17"/>
        <v/>
      </c>
      <c r="B186" s="12" t="str">
        <f t="shared" ca="1" si="18"/>
        <v/>
      </c>
      <c r="C186" s="12" t="str">
        <f t="shared" ca="1" si="24"/>
        <v/>
      </c>
      <c r="D186" s="12" t="str">
        <f t="shared" ca="1" si="24"/>
        <v/>
      </c>
      <c r="E186" s="12" t="str">
        <f t="shared" ca="1" si="19"/>
        <v/>
      </c>
      <c r="F186" s="17"/>
      <c r="G186" s="13" t="str">
        <f t="shared" ca="1" si="20"/>
        <v/>
      </c>
      <c r="H186" s="13" t="str">
        <f t="shared" ca="1" si="21"/>
        <v/>
      </c>
      <c r="I186" s="17" t="str">
        <f ca="1">IF(AND($B186="",$C186=""),"",VLOOKUP($A186,Table1[],2,FALSE))</f>
        <v/>
      </c>
    </row>
    <row r="187" spans="1:9" ht="27" customHeight="1" x14ac:dyDescent="0.25">
      <c r="A187" s="12" t="str">
        <f t="shared" ca="1" si="17"/>
        <v/>
      </c>
      <c r="B187" s="12" t="str">
        <f t="shared" ca="1" si="18"/>
        <v/>
      </c>
      <c r="C187" s="12" t="str">
        <f t="shared" ca="1" si="24"/>
        <v/>
      </c>
      <c r="D187" s="12" t="str">
        <f t="shared" ca="1" si="24"/>
        <v/>
      </c>
      <c r="E187" s="12" t="str">
        <f t="shared" ca="1" si="19"/>
        <v/>
      </c>
      <c r="F187" s="17"/>
      <c r="G187" s="13" t="str">
        <f t="shared" ca="1" si="20"/>
        <v/>
      </c>
      <c r="H187" s="13" t="str">
        <f t="shared" ca="1" si="21"/>
        <v/>
      </c>
      <c r="I187" s="17" t="str">
        <f ca="1">IF(AND($B187="",$C187=""),"",VLOOKUP($A187,Table1[],2,FALSE))</f>
        <v/>
      </c>
    </row>
    <row r="188" spans="1:9" ht="27" customHeight="1" x14ac:dyDescent="0.25">
      <c r="A188" s="12" t="str">
        <f t="shared" ca="1" si="17"/>
        <v/>
      </c>
      <c r="B188" s="12" t="str">
        <f t="shared" ca="1" si="18"/>
        <v/>
      </c>
      <c r="C188" s="12" t="str">
        <f t="shared" ca="1" si="24"/>
        <v/>
      </c>
      <c r="D188" s="12" t="str">
        <f t="shared" ca="1" si="24"/>
        <v/>
      </c>
      <c r="E188" s="12" t="str">
        <f t="shared" ca="1" si="19"/>
        <v/>
      </c>
      <c r="F188" s="17"/>
      <c r="G188" s="13" t="str">
        <f t="shared" ca="1" si="20"/>
        <v/>
      </c>
      <c r="H188" s="13" t="str">
        <f t="shared" ca="1" si="21"/>
        <v/>
      </c>
      <c r="I188" s="17" t="str">
        <f ca="1">IF(AND($B188="",$C188=""),"",VLOOKUP($A188,Table1[],2,FALSE))</f>
        <v/>
      </c>
    </row>
    <row r="189" spans="1:9" ht="27" customHeight="1" x14ac:dyDescent="0.25">
      <c r="A189" s="12" t="str">
        <f t="shared" ca="1" si="17"/>
        <v/>
      </c>
      <c r="B189" s="12" t="str">
        <f t="shared" ca="1" si="18"/>
        <v/>
      </c>
      <c r="C189" s="12" t="str">
        <f t="shared" ca="1" si="24"/>
        <v/>
      </c>
      <c r="D189" s="12" t="str">
        <f t="shared" ca="1" si="24"/>
        <v/>
      </c>
      <c r="E189" s="12" t="str">
        <f t="shared" ca="1" si="19"/>
        <v/>
      </c>
      <c r="F189" s="17"/>
      <c r="G189" s="13" t="str">
        <f t="shared" ca="1" si="20"/>
        <v/>
      </c>
      <c r="H189" s="13" t="str">
        <f t="shared" ca="1" si="21"/>
        <v/>
      </c>
      <c r="I189" s="17" t="str">
        <f ca="1">IF(AND($B189="",$C189=""),"",VLOOKUP($A189,Table1[],2,FALSE))</f>
        <v/>
      </c>
    </row>
    <row r="190" spans="1:9" ht="27" customHeight="1" x14ac:dyDescent="0.25">
      <c r="A190" s="12" t="str">
        <f t="shared" ca="1" si="17"/>
        <v/>
      </c>
      <c r="B190" s="12" t="str">
        <f t="shared" ca="1" si="18"/>
        <v/>
      </c>
      <c r="C190" s="12" t="str">
        <f t="shared" ca="1" si="24"/>
        <v/>
      </c>
      <c r="D190" s="12" t="str">
        <f t="shared" ca="1" si="24"/>
        <v/>
      </c>
      <c r="E190" s="12" t="str">
        <f t="shared" ca="1" si="19"/>
        <v/>
      </c>
      <c r="F190" s="17"/>
      <c r="G190" s="13" t="str">
        <f t="shared" ca="1" si="20"/>
        <v/>
      </c>
      <c r="H190" s="13" t="str">
        <f t="shared" ca="1" si="21"/>
        <v/>
      </c>
      <c r="I190" s="17" t="str">
        <f ca="1">IF(AND($B190="",$C190=""),"",VLOOKUP($A190,Table1[],2,FALSE))</f>
        <v/>
      </c>
    </row>
    <row r="191" spans="1:9" ht="27" customHeight="1" x14ac:dyDescent="0.25">
      <c r="A191" s="12" t="str">
        <f t="shared" ca="1" si="17"/>
        <v/>
      </c>
      <c r="B191" s="12" t="str">
        <f t="shared" ca="1" si="18"/>
        <v/>
      </c>
      <c r="C191" s="12" t="str">
        <f t="shared" ca="1" si="24"/>
        <v/>
      </c>
      <c r="D191" s="12" t="str">
        <f t="shared" ca="1" si="24"/>
        <v/>
      </c>
      <c r="E191" s="12" t="str">
        <f t="shared" ca="1" si="19"/>
        <v/>
      </c>
      <c r="F191" s="17"/>
      <c r="G191" s="13" t="str">
        <f t="shared" ca="1" si="20"/>
        <v/>
      </c>
      <c r="H191" s="13" t="str">
        <f t="shared" ca="1" si="21"/>
        <v/>
      </c>
      <c r="I191" s="17" t="str">
        <f ca="1">IF(AND($B191="",$C191=""),"",VLOOKUP($A191,Table1[],2,FALSE))</f>
        <v/>
      </c>
    </row>
    <row r="192" spans="1:9" ht="27" customHeight="1" x14ac:dyDescent="0.25">
      <c r="A192" s="12" t="str">
        <f t="shared" ca="1" si="17"/>
        <v/>
      </c>
      <c r="B192" s="12" t="str">
        <f t="shared" ca="1" si="18"/>
        <v/>
      </c>
      <c r="C192" s="12" t="str">
        <f t="shared" ca="1" si="24"/>
        <v/>
      </c>
      <c r="D192" s="12" t="str">
        <f t="shared" ca="1" si="24"/>
        <v/>
      </c>
      <c r="E192" s="12" t="str">
        <f t="shared" ca="1" si="19"/>
        <v/>
      </c>
      <c r="F192" s="17"/>
      <c r="G192" s="13" t="str">
        <f t="shared" ca="1" si="20"/>
        <v/>
      </c>
      <c r="H192" s="13" t="str">
        <f t="shared" ca="1" si="21"/>
        <v/>
      </c>
      <c r="I192" s="17" t="str">
        <f ca="1">IF(AND($B192="",$C192=""),"",VLOOKUP($A192,Table1[],2,FALSE))</f>
        <v/>
      </c>
    </row>
    <row r="193" spans="1:9" ht="27" customHeight="1" x14ac:dyDescent="0.25">
      <c r="A193" s="12" t="str">
        <f t="shared" ca="1" si="17"/>
        <v/>
      </c>
      <c r="B193" s="12" t="str">
        <f t="shared" ca="1" si="18"/>
        <v/>
      </c>
      <c r="C193" s="12" t="str">
        <f t="shared" ca="1" si="24"/>
        <v/>
      </c>
      <c r="D193" s="12" t="str">
        <f t="shared" ca="1" si="24"/>
        <v/>
      </c>
      <c r="E193" s="12" t="str">
        <f t="shared" ca="1" si="19"/>
        <v/>
      </c>
      <c r="F193" s="17"/>
      <c r="G193" s="13" t="str">
        <f t="shared" ca="1" si="20"/>
        <v/>
      </c>
      <c r="H193" s="13" t="str">
        <f t="shared" ca="1" si="21"/>
        <v/>
      </c>
      <c r="I193" s="17" t="str">
        <f ca="1">IF(AND($B193="",$C193=""),"",VLOOKUP($A193,Table1[],2,FALSE))</f>
        <v/>
      </c>
    </row>
    <row r="194" spans="1:9" ht="27" customHeight="1" x14ac:dyDescent="0.25">
      <c r="A194" s="12" t="str">
        <f t="shared" ref="A194:A257" ca="1" si="25">TEXT( INDIRECT( ADDRESS( ROW() + Row_Offset, INDIRECT( "Column_Number_" &amp; A$1), 4,1, tabname) ), "")</f>
        <v/>
      </c>
      <c r="B194" s="12" t="str">
        <f t="shared" ref="B194:B257" ca="1" si="26">TEXT(  IFERROR( VLOOKUP( $D194, CName_to_Descriptor, 2, FALSE),"") &amp;
        INDIRECT( ADDRESS( ROW() + Row_Offset, INDIRECT( "Column_Number_" &amp; $B$1), 4,1, tabname) ), "")</f>
        <v/>
      </c>
      <c r="C194" s="12" t="str">
        <f t="shared" ca="1" si="24"/>
        <v/>
      </c>
      <c r="D194" s="12" t="str">
        <f t="shared" ca="1" si="24"/>
        <v/>
      </c>
      <c r="E194" s="12" t="str">
        <f t="shared" ref="E194:E257" ca="1" si="27">TEXT( INDIRECT( ADDRESS( ROW() + Row_Offset, INDIRECT( "Column_Number_" &amp; E$1), 4,1, tabname) ), "####")</f>
        <v/>
      </c>
      <c r="F194" s="17"/>
      <c r="G194" s="13" t="str">
        <f t="shared" ref="G194:G257" ca="1" si="28">IF(IFERROR(FIND("New",$A194)&gt;0,FALSE),"New ","") &amp; IF(IFERROR(FIND("In Lib",$A194)&gt;0,FALSE),"Reference ","") &amp;
IF(AND(D194="Audiobook",LEFT(B194,6)="CD BIO"),"Biography",
IF(AND(D194="Teen Audiobook",LEFT(B194,11)="TEEN CD BIO"),"Biography",
IF(AND(D194="Juvenile Audiobook",LEFT(B194,8)="J CD BIO"),"Biography",
IF(AND(D194="Audiobook",LEFT(B194,6)="CD FIC"),"Audiobook Fiction",
IF(AND(D194="Teen Audiobook",LEFT(B194,11)="TEEN CD FIC"),"Teen Audiobook",
IF(AND(D194="Juvenile Audiobook",LEFT(B194,8)="J CD FIC"),"Juvenile Audiobook",
IF(D194="Audiobook","Nonfiction",
IF(D194="Juvenile Audiobook","Nonfiction",
IF(D194="Teen Audiobook","Nonfiction",
IF(D194="Juvenile Nonfiction","Nonfiction",
IF(D194="Teen Nonfiction","Nonfiction",
IF(D194="Juvenile Biography","Biography",
IF(D194="Teen Biography","Biography",
IF(D194="ESL","Nonfiction",
IF(LEFT(B194,11)="INTL-VIE J ","International Juvenile",IF(LEFT(B194,11)="INTL-TAG J ","International Juvenile",IF(LEFT(B194,11)="INTL-RUS J ","International Juvenile",IF(LEFT(B194,11)="INTL-KOR J ","International Juvenile",IF(LEFT(B194,11)="INTL-JAP J ","International Juvenile",IF(LEFT(B194,11)="INTL-CHI J ","International Juvenile",IF(LEFT(B194,11)="INTL-SPA J ","International Juvenile",IF(LEFT(B194,14)="INTL-VIE TEEN ","International Teen",IF(LEFT(B194,14)="INTL-TAG TEEN ","International Teen",IF(LEFT(B194,14)="INTL-RUS TEEN ","International Teen",IF(LEFT(B194,14)="INTL-KOR TEEN ","International Teen",IF(LEFT(B194,14)="INTL-JAP TEEN ","International Teen",IF(LEFT(B194,14)="INTL-CHI TEEN ","International Teen",IF(LEFT(B194,14)="INTL-SPA TEEN ","International Teen",IF(LEFT(B194,11)="INTL-VIE E ","International Easy",IF(LEFT(B194,11)="INTL-TAG E ","International Easy",IF(LEFT(B194,11)="INTL-RUS E ","International Easy",IF(LEFT(B194,11)="INTL-JAP E ","International Easy",IF(LEFT(B194,11)="INTL-KOR E ","International Easy",IF(LEFT(B194,11)="INTL-CHI E ","International Easy",IF(LEFT(B194,11)="INTL-SPA E ","International Easy",
IF(D194="Teen Large Type","Teen Fiction",
IF(D194="Juvenile Large Type","Juvenile Fiction",
IF(LEFT(B194,6)="J CD O","Juvenile Compact Disc",
IF(AND(LEFT(B194,4)="TEEN",D194="Fiction"),"Teen Fiction",
IF(D194="DVD Educational","Nonfiction",
IF(D194="Juvenile DVD Educational","Nonfiction",
IF(D194="Reference","Nonfiction",
D194))))))))))))))))))))))))))))))))))))))))))</f>
        <v/>
      </c>
      <c r="H194" s="13" t="str">
        <f t="shared" ref="H194:H257" ca="1" si="29">IF(AND(D194="Juvenile Audiobook",LEFT(B194,8)="J CD BIO"),RIGHT(B194,LEN(B194)-9),
IF(AND(D194="Juvenile Audiobook",LEFT(B194,8)="J CD FIC"),B194,
IF(D194="Juvenile Audiobook",RIGHT(B194,LEN(B194)-5),
IF(AND(D194="Teen Audiobook",LEFT(B194,11)="TEEN CD BIO"),RIGHT(B194,LEN(B194)-12),
IF(AND(D194="Teen Audiobook",LEFT(B194,11)="TEEN CD FIC"),B194,
IF(D194="Juvenile Audiobook",RIGHT(B194,LEN(B194)-8),
IF(D194="Juvenile Nonfiction",RIGHT(B194,LEN(B194)-2),
IF(D194="Teen Nonfiction",RIGHT(B194,LEN(B194)-5),
IF(AND(G194="Nonfiction",D194="Audiobook"),RIGHT(B194,LEN(B194)-3),
IF(D194="Juvenile Biography",RIGHT(B194,LEN(B194)-2),
IF(D194="Teen Biography",RIGHT(B194,LEN(B194)-5),
IF(AND(D194="Audiobook",G194="Biography"),RIGHT(B194,LEN(B194)-3),
IF(D194="Juvenile Large Type","J "&amp;RIGHT(B194,LEN(B194)-11),
IF(D194="Teen Large Type","TEEN "&amp;RIGHT(B194,LEN(B194)-14),
IF(D194="Reference",RIGHT(B194,LEN(B194)-4),
IF(D194="DVD Educational",RIGHT(B194,LEN(B194)-7),
IF(D194="Juvenile DVD Educational",RIGHT(B194,LEN(B194)-9),
B194)))))))))))))))))</f>
        <v/>
      </c>
      <c r="I194" s="17" t="str">
        <f ca="1">IF(AND($B194="",$C194=""),"",VLOOKUP($A194,Table1[],2,FALSE))</f>
        <v/>
      </c>
    </row>
    <row r="195" spans="1:9" ht="27" customHeight="1" x14ac:dyDescent="0.25">
      <c r="A195" s="12" t="str">
        <f t="shared" ca="1" si="25"/>
        <v/>
      </c>
      <c r="B195" s="12" t="str">
        <f t="shared" ca="1" si="26"/>
        <v/>
      </c>
      <c r="C195" s="12" t="str">
        <f t="shared" ca="1" si="24"/>
        <v/>
      </c>
      <c r="D195" s="12" t="str">
        <f t="shared" ca="1" si="24"/>
        <v/>
      </c>
      <c r="E195" s="12" t="str">
        <f t="shared" ca="1" si="27"/>
        <v/>
      </c>
      <c r="F195" s="17"/>
      <c r="G195" s="13" t="str">
        <f t="shared" ca="1" si="28"/>
        <v/>
      </c>
      <c r="H195" s="13" t="str">
        <f t="shared" ca="1" si="29"/>
        <v/>
      </c>
      <c r="I195" s="17" t="str">
        <f ca="1">IF(AND($B195="",$C195=""),"",VLOOKUP($A195,Table1[],2,FALSE))</f>
        <v/>
      </c>
    </row>
    <row r="196" spans="1:9" ht="27" customHeight="1" x14ac:dyDescent="0.25">
      <c r="A196" s="12" t="str">
        <f t="shared" ca="1" si="25"/>
        <v/>
      </c>
      <c r="B196" s="12" t="str">
        <f t="shared" ca="1" si="26"/>
        <v/>
      </c>
      <c r="C196" s="12" t="str">
        <f t="shared" ca="1" si="24"/>
        <v/>
      </c>
      <c r="D196" s="12" t="str">
        <f t="shared" ca="1" si="24"/>
        <v/>
      </c>
      <c r="E196" s="12" t="str">
        <f t="shared" ca="1" si="27"/>
        <v/>
      </c>
      <c r="F196" s="17"/>
      <c r="G196" s="13" t="str">
        <f t="shared" ca="1" si="28"/>
        <v/>
      </c>
      <c r="H196" s="13" t="str">
        <f t="shared" ca="1" si="29"/>
        <v/>
      </c>
      <c r="I196" s="17" t="str">
        <f ca="1">IF(AND($B196="",$C196=""),"",VLOOKUP($A196,Table1[],2,FALSE))</f>
        <v/>
      </c>
    </row>
    <row r="197" spans="1:9" ht="27" customHeight="1" x14ac:dyDescent="0.25">
      <c r="A197" s="12" t="str">
        <f t="shared" ca="1" si="25"/>
        <v/>
      </c>
      <c r="B197" s="12" t="str">
        <f t="shared" ca="1" si="26"/>
        <v/>
      </c>
      <c r="C197" s="12" t="str">
        <f t="shared" ca="1" si="24"/>
        <v/>
      </c>
      <c r="D197" s="12" t="str">
        <f t="shared" ca="1" si="24"/>
        <v/>
      </c>
      <c r="E197" s="12" t="str">
        <f t="shared" ca="1" si="27"/>
        <v/>
      </c>
      <c r="F197" s="17"/>
      <c r="G197" s="13" t="str">
        <f t="shared" ca="1" si="28"/>
        <v/>
      </c>
      <c r="H197" s="13" t="str">
        <f t="shared" ca="1" si="29"/>
        <v/>
      </c>
      <c r="I197" s="17" t="str">
        <f ca="1">IF(AND($B197="",$C197=""),"",VLOOKUP($A197,Table1[],2,FALSE))</f>
        <v/>
      </c>
    </row>
    <row r="198" spans="1:9" ht="27" customHeight="1" x14ac:dyDescent="0.25">
      <c r="A198" s="12" t="str">
        <f t="shared" ca="1" si="25"/>
        <v/>
      </c>
      <c r="B198" s="12" t="str">
        <f t="shared" ca="1" si="26"/>
        <v/>
      </c>
      <c r="C198" s="12" t="str">
        <f t="shared" ca="1" si="24"/>
        <v/>
      </c>
      <c r="D198" s="12" t="str">
        <f t="shared" ca="1" si="24"/>
        <v/>
      </c>
      <c r="E198" s="12" t="str">
        <f t="shared" ca="1" si="27"/>
        <v/>
      </c>
      <c r="F198" s="17"/>
      <c r="G198" s="13" t="str">
        <f t="shared" ca="1" si="28"/>
        <v/>
      </c>
      <c r="H198" s="13" t="str">
        <f t="shared" ca="1" si="29"/>
        <v/>
      </c>
      <c r="I198" s="17" t="str">
        <f ca="1">IF(AND($B198="",$C198=""),"",VLOOKUP($A198,Table1[],2,FALSE))</f>
        <v/>
      </c>
    </row>
    <row r="199" spans="1:9" ht="27" customHeight="1" x14ac:dyDescent="0.25">
      <c r="A199" s="12" t="str">
        <f t="shared" ca="1" si="25"/>
        <v/>
      </c>
      <c r="B199" s="12" t="str">
        <f t="shared" ca="1" si="26"/>
        <v/>
      </c>
      <c r="C199" s="12" t="str">
        <f t="shared" ca="1" si="24"/>
        <v/>
      </c>
      <c r="D199" s="12" t="str">
        <f t="shared" ca="1" si="24"/>
        <v/>
      </c>
      <c r="E199" s="12" t="str">
        <f t="shared" ca="1" si="27"/>
        <v/>
      </c>
      <c r="F199" s="17"/>
      <c r="G199" s="13" t="str">
        <f t="shared" ca="1" si="28"/>
        <v/>
      </c>
      <c r="H199" s="13" t="str">
        <f t="shared" ca="1" si="29"/>
        <v/>
      </c>
      <c r="I199" s="17" t="str">
        <f ca="1">IF(AND($B199="",$C199=""),"",VLOOKUP($A199,Table1[],2,FALSE))</f>
        <v/>
      </c>
    </row>
    <row r="200" spans="1:9" ht="27" customHeight="1" x14ac:dyDescent="0.25">
      <c r="A200" s="12" t="str">
        <f t="shared" ca="1" si="25"/>
        <v/>
      </c>
      <c r="B200" s="12" t="str">
        <f t="shared" ca="1" si="26"/>
        <v/>
      </c>
      <c r="C200" s="12" t="str">
        <f t="shared" ca="1" si="24"/>
        <v/>
      </c>
      <c r="D200" s="12" t="str">
        <f t="shared" ca="1" si="24"/>
        <v/>
      </c>
      <c r="E200" s="12" t="str">
        <f t="shared" ca="1" si="27"/>
        <v/>
      </c>
      <c r="F200" s="17"/>
      <c r="G200" s="13" t="str">
        <f t="shared" ca="1" si="28"/>
        <v/>
      </c>
      <c r="H200" s="13" t="str">
        <f t="shared" ca="1" si="29"/>
        <v/>
      </c>
      <c r="I200" s="17" t="str">
        <f ca="1">IF(AND($B200="",$C200=""),"",VLOOKUP($A200,Table1[],2,FALSE))</f>
        <v/>
      </c>
    </row>
    <row r="201" spans="1:9" ht="27" customHeight="1" x14ac:dyDescent="0.25">
      <c r="A201" s="12" t="str">
        <f t="shared" ca="1" si="25"/>
        <v/>
      </c>
      <c r="B201" s="12" t="str">
        <f t="shared" ca="1" si="26"/>
        <v/>
      </c>
      <c r="C201" s="12" t="str">
        <f t="shared" ca="1" si="24"/>
        <v/>
      </c>
      <c r="D201" s="12" t="str">
        <f t="shared" ca="1" si="24"/>
        <v/>
      </c>
      <c r="E201" s="12" t="str">
        <f t="shared" ca="1" si="27"/>
        <v/>
      </c>
      <c r="F201" s="17"/>
      <c r="G201" s="13" t="str">
        <f t="shared" ca="1" si="28"/>
        <v/>
      </c>
      <c r="H201" s="13" t="str">
        <f t="shared" ca="1" si="29"/>
        <v/>
      </c>
      <c r="I201" s="17" t="str">
        <f ca="1">IF(AND($B201="",$C201=""),"",VLOOKUP($A201,Table1[],2,FALSE))</f>
        <v/>
      </c>
    </row>
    <row r="202" spans="1:9" ht="27" customHeight="1" x14ac:dyDescent="0.25">
      <c r="A202" s="12" t="str">
        <f t="shared" ca="1" si="25"/>
        <v/>
      </c>
      <c r="B202" s="12" t="str">
        <f t="shared" ca="1" si="26"/>
        <v/>
      </c>
      <c r="C202" s="12" t="str">
        <f t="shared" ref="C202:D221" ca="1" si="30">TEXT( INDIRECT( ADDRESS( ROW() + Row_Offset, INDIRECT( "Column_Number_" &amp; C$1), 4,1, tabname) ), "")</f>
        <v/>
      </c>
      <c r="D202" s="12" t="str">
        <f t="shared" ca="1" si="30"/>
        <v/>
      </c>
      <c r="E202" s="12" t="str">
        <f t="shared" ca="1" si="27"/>
        <v/>
      </c>
      <c r="F202" s="17"/>
      <c r="G202" s="13" t="str">
        <f t="shared" ca="1" si="28"/>
        <v/>
      </c>
      <c r="H202" s="13" t="str">
        <f t="shared" ca="1" si="29"/>
        <v/>
      </c>
      <c r="I202" s="17" t="str">
        <f ca="1">IF(AND($B202="",$C202=""),"",VLOOKUP($A202,Table1[],2,FALSE))</f>
        <v/>
      </c>
    </row>
    <row r="203" spans="1:9" ht="27" customHeight="1" x14ac:dyDescent="0.25">
      <c r="A203" s="12" t="str">
        <f t="shared" ca="1" si="25"/>
        <v/>
      </c>
      <c r="B203" s="12" t="str">
        <f t="shared" ca="1" si="26"/>
        <v/>
      </c>
      <c r="C203" s="12" t="str">
        <f t="shared" ca="1" si="30"/>
        <v/>
      </c>
      <c r="D203" s="12" t="str">
        <f t="shared" ca="1" si="30"/>
        <v/>
      </c>
      <c r="E203" s="12" t="str">
        <f t="shared" ca="1" si="27"/>
        <v/>
      </c>
      <c r="F203" s="17"/>
      <c r="G203" s="13" t="str">
        <f t="shared" ca="1" si="28"/>
        <v/>
      </c>
      <c r="H203" s="13" t="str">
        <f t="shared" ca="1" si="29"/>
        <v/>
      </c>
      <c r="I203" s="17" t="str">
        <f ca="1">IF(AND($B203="",$C203=""),"",VLOOKUP($A203,Table1[],2,FALSE))</f>
        <v/>
      </c>
    </row>
    <row r="204" spans="1:9" ht="27" customHeight="1" x14ac:dyDescent="0.25">
      <c r="A204" s="12" t="str">
        <f t="shared" ca="1" si="25"/>
        <v/>
      </c>
      <c r="B204" s="12" t="str">
        <f t="shared" ca="1" si="26"/>
        <v/>
      </c>
      <c r="C204" s="12" t="str">
        <f t="shared" ca="1" si="30"/>
        <v/>
      </c>
      <c r="D204" s="12" t="str">
        <f t="shared" ca="1" si="30"/>
        <v/>
      </c>
      <c r="E204" s="12" t="str">
        <f t="shared" ca="1" si="27"/>
        <v/>
      </c>
      <c r="F204" s="17"/>
      <c r="G204" s="13" t="str">
        <f t="shared" ca="1" si="28"/>
        <v/>
      </c>
      <c r="H204" s="13" t="str">
        <f t="shared" ca="1" si="29"/>
        <v/>
      </c>
      <c r="I204" s="17" t="str">
        <f ca="1">IF(AND($B204="",$C204=""),"",VLOOKUP($A204,Table1[],2,FALSE))</f>
        <v/>
      </c>
    </row>
    <row r="205" spans="1:9" ht="27" customHeight="1" x14ac:dyDescent="0.25">
      <c r="A205" s="12" t="str">
        <f t="shared" ca="1" si="25"/>
        <v/>
      </c>
      <c r="B205" s="12" t="str">
        <f t="shared" ca="1" si="26"/>
        <v/>
      </c>
      <c r="C205" s="12" t="str">
        <f t="shared" ca="1" si="30"/>
        <v/>
      </c>
      <c r="D205" s="12" t="str">
        <f t="shared" ca="1" si="30"/>
        <v/>
      </c>
      <c r="E205" s="12" t="str">
        <f t="shared" ca="1" si="27"/>
        <v/>
      </c>
      <c r="F205" s="17"/>
      <c r="G205" s="13" t="str">
        <f t="shared" ca="1" si="28"/>
        <v/>
      </c>
      <c r="H205" s="13" t="str">
        <f t="shared" ca="1" si="29"/>
        <v/>
      </c>
      <c r="I205" s="17" t="str">
        <f ca="1">IF(AND($B205="",$C205=""),"",VLOOKUP($A205,Table1[],2,FALSE))</f>
        <v/>
      </c>
    </row>
    <row r="206" spans="1:9" ht="27" customHeight="1" x14ac:dyDescent="0.25">
      <c r="A206" s="12" t="str">
        <f t="shared" ca="1" si="25"/>
        <v/>
      </c>
      <c r="B206" s="12" t="str">
        <f t="shared" ca="1" si="26"/>
        <v/>
      </c>
      <c r="C206" s="12" t="str">
        <f t="shared" ca="1" si="30"/>
        <v/>
      </c>
      <c r="D206" s="12" t="str">
        <f t="shared" ca="1" si="30"/>
        <v/>
      </c>
      <c r="E206" s="12" t="str">
        <f t="shared" ca="1" si="27"/>
        <v/>
      </c>
      <c r="F206" s="17"/>
      <c r="G206" s="13" t="str">
        <f t="shared" ca="1" si="28"/>
        <v/>
      </c>
      <c r="H206" s="13" t="str">
        <f t="shared" ca="1" si="29"/>
        <v/>
      </c>
      <c r="I206" s="17" t="str">
        <f ca="1">IF(AND($B206="",$C206=""),"",VLOOKUP($A206,Table1[],2,FALSE))</f>
        <v/>
      </c>
    </row>
    <row r="207" spans="1:9" ht="27" customHeight="1" x14ac:dyDescent="0.25">
      <c r="A207" s="12" t="str">
        <f t="shared" ca="1" si="25"/>
        <v/>
      </c>
      <c r="B207" s="12" t="str">
        <f t="shared" ca="1" si="26"/>
        <v/>
      </c>
      <c r="C207" s="12" t="str">
        <f t="shared" ca="1" si="30"/>
        <v/>
      </c>
      <c r="D207" s="12" t="str">
        <f t="shared" ca="1" si="30"/>
        <v/>
      </c>
      <c r="E207" s="12" t="str">
        <f t="shared" ca="1" si="27"/>
        <v/>
      </c>
      <c r="F207" s="17"/>
      <c r="G207" s="13" t="str">
        <f t="shared" ca="1" si="28"/>
        <v/>
      </c>
      <c r="H207" s="13" t="str">
        <f t="shared" ca="1" si="29"/>
        <v/>
      </c>
      <c r="I207" s="17" t="str">
        <f ca="1">IF(AND($B207="",$C207=""),"",VLOOKUP($A207,Table1[],2,FALSE))</f>
        <v/>
      </c>
    </row>
    <row r="208" spans="1:9" ht="27" customHeight="1" x14ac:dyDescent="0.25">
      <c r="A208" s="12" t="str">
        <f t="shared" ca="1" si="25"/>
        <v/>
      </c>
      <c r="B208" s="12" t="str">
        <f t="shared" ca="1" si="26"/>
        <v/>
      </c>
      <c r="C208" s="12" t="str">
        <f t="shared" ca="1" si="30"/>
        <v/>
      </c>
      <c r="D208" s="12" t="str">
        <f t="shared" ca="1" si="30"/>
        <v/>
      </c>
      <c r="E208" s="12" t="str">
        <f t="shared" ca="1" si="27"/>
        <v/>
      </c>
      <c r="F208" s="17"/>
      <c r="G208" s="13" t="str">
        <f t="shared" ca="1" si="28"/>
        <v/>
      </c>
      <c r="H208" s="13" t="str">
        <f t="shared" ca="1" si="29"/>
        <v/>
      </c>
      <c r="I208" s="17" t="str">
        <f ca="1">IF(AND($B208="",$C208=""),"",VLOOKUP($A208,Table1[],2,FALSE))</f>
        <v/>
      </c>
    </row>
    <row r="209" spans="1:9" ht="27" customHeight="1" x14ac:dyDescent="0.25">
      <c r="A209" s="12" t="str">
        <f t="shared" ca="1" si="25"/>
        <v/>
      </c>
      <c r="B209" s="12" t="str">
        <f t="shared" ca="1" si="26"/>
        <v/>
      </c>
      <c r="C209" s="12" t="str">
        <f t="shared" ca="1" si="30"/>
        <v/>
      </c>
      <c r="D209" s="12" t="str">
        <f t="shared" ca="1" si="30"/>
        <v/>
      </c>
      <c r="E209" s="12" t="str">
        <f t="shared" ca="1" si="27"/>
        <v/>
      </c>
      <c r="F209" s="17"/>
      <c r="G209" s="13" t="str">
        <f t="shared" ca="1" si="28"/>
        <v/>
      </c>
      <c r="H209" s="13" t="str">
        <f t="shared" ca="1" si="29"/>
        <v/>
      </c>
      <c r="I209" s="17" t="str">
        <f ca="1">IF(AND($B209="",$C209=""),"",VLOOKUP($A209,Table1[],2,FALSE))</f>
        <v/>
      </c>
    </row>
    <row r="210" spans="1:9" ht="27" customHeight="1" x14ac:dyDescent="0.25">
      <c r="A210" s="12" t="str">
        <f t="shared" ca="1" si="25"/>
        <v/>
      </c>
      <c r="B210" s="12" t="str">
        <f t="shared" ca="1" si="26"/>
        <v/>
      </c>
      <c r="C210" s="12" t="str">
        <f t="shared" ca="1" si="30"/>
        <v/>
      </c>
      <c r="D210" s="12" t="str">
        <f t="shared" ca="1" si="30"/>
        <v/>
      </c>
      <c r="E210" s="12" t="str">
        <f t="shared" ca="1" si="27"/>
        <v/>
      </c>
      <c r="F210" s="17"/>
      <c r="G210" s="13" t="str">
        <f t="shared" ca="1" si="28"/>
        <v/>
      </c>
      <c r="H210" s="13" t="str">
        <f t="shared" ca="1" si="29"/>
        <v/>
      </c>
      <c r="I210" s="17" t="str">
        <f ca="1">IF(AND($B210="",$C210=""),"",VLOOKUP($A210,Table1[],2,FALSE))</f>
        <v/>
      </c>
    </row>
    <row r="211" spans="1:9" ht="27" customHeight="1" x14ac:dyDescent="0.25">
      <c r="A211" s="12" t="str">
        <f t="shared" ca="1" si="25"/>
        <v/>
      </c>
      <c r="B211" s="12" t="str">
        <f t="shared" ca="1" si="26"/>
        <v/>
      </c>
      <c r="C211" s="12" t="str">
        <f t="shared" ca="1" si="30"/>
        <v/>
      </c>
      <c r="D211" s="12" t="str">
        <f t="shared" ca="1" si="30"/>
        <v/>
      </c>
      <c r="E211" s="12" t="str">
        <f t="shared" ca="1" si="27"/>
        <v/>
      </c>
      <c r="F211" s="17"/>
      <c r="G211" s="13" t="str">
        <f t="shared" ca="1" si="28"/>
        <v/>
      </c>
      <c r="H211" s="13" t="str">
        <f t="shared" ca="1" si="29"/>
        <v/>
      </c>
      <c r="I211" s="17" t="str">
        <f ca="1">IF(AND($B211="",$C211=""),"",VLOOKUP($A211,Table1[],2,FALSE))</f>
        <v/>
      </c>
    </row>
    <row r="212" spans="1:9" ht="27" customHeight="1" x14ac:dyDescent="0.25">
      <c r="A212" s="12" t="str">
        <f t="shared" ca="1" si="25"/>
        <v/>
      </c>
      <c r="B212" s="12" t="str">
        <f t="shared" ca="1" si="26"/>
        <v/>
      </c>
      <c r="C212" s="12" t="str">
        <f t="shared" ca="1" si="30"/>
        <v/>
      </c>
      <c r="D212" s="12" t="str">
        <f t="shared" ca="1" si="30"/>
        <v/>
      </c>
      <c r="E212" s="12" t="str">
        <f t="shared" ca="1" si="27"/>
        <v/>
      </c>
      <c r="F212" s="17"/>
      <c r="G212" s="13" t="str">
        <f t="shared" ca="1" si="28"/>
        <v/>
      </c>
      <c r="H212" s="13" t="str">
        <f t="shared" ca="1" si="29"/>
        <v/>
      </c>
      <c r="I212" s="17" t="str">
        <f ca="1">IF(AND($B212="",$C212=""),"",VLOOKUP($A212,Table1[],2,FALSE))</f>
        <v/>
      </c>
    </row>
    <row r="213" spans="1:9" ht="27" customHeight="1" x14ac:dyDescent="0.25">
      <c r="A213" s="12" t="str">
        <f t="shared" ca="1" si="25"/>
        <v/>
      </c>
      <c r="B213" s="12" t="str">
        <f t="shared" ca="1" si="26"/>
        <v/>
      </c>
      <c r="C213" s="12" t="str">
        <f t="shared" ca="1" si="30"/>
        <v/>
      </c>
      <c r="D213" s="12" t="str">
        <f t="shared" ca="1" si="30"/>
        <v/>
      </c>
      <c r="E213" s="12" t="str">
        <f t="shared" ca="1" si="27"/>
        <v/>
      </c>
      <c r="F213" s="17"/>
      <c r="G213" s="13" t="str">
        <f t="shared" ca="1" si="28"/>
        <v/>
      </c>
      <c r="H213" s="13" t="str">
        <f t="shared" ca="1" si="29"/>
        <v/>
      </c>
      <c r="I213" s="17" t="str">
        <f ca="1">IF(AND($B213="",$C213=""),"",VLOOKUP($A213,Table1[],2,FALSE))</f>
        <v/>
      </c>
    </row>
    <row r="214" spans="1:9" ht="27" customHeight="1" x14ac:dyDescent="0.25">
      <c r="A214" s="12" t="str">
        <f t="shared" ca="1" si="25"/>
        <v/>
      </c>
      <c r="B214" s="12" t="str">
        <f t="shared" ca="1" si="26"/>
        <v/>
      </c>
      <c r="C214" s="12" t="str">
        <f t="shared" ca="1" si="30"/>
        <v/>
      </c>
      <c r="D214" s="12" t="str">
        <f t="shared" ca="1" si="30"/>
        <v/>
      </c>
      <c r="E214" s="12" t="str">
        <f t="shared" ca="1" si="27"/>
        <v/>
      </c>
      <c r="F214" s="17"/>
      <c r="G214" s="13" t="str">
        <f t="shared" ca="1" si="28"/>
        <v/>
      </c>
      <c r="H214" s="13" t="str">
        <f t="shared" ca="1" si="29"/>
        <v/>
      </c>
      <c r="I214" s="17" t="str">
        <f ca="1">IF(AND($B214="",$C214=""),"",VLOOKUP($A214,Table1[],2,FALSE))</f>
        <v/>
      </c>
    </row>
    <row r="215" spans="1:9" ht="27" customHeight="1" x14ac:dyDescent="0.25">
      <c r="A215" s="12" t="str">
        <f t="shared" ca="1" si="25"/>
        <v/>
      </c>
      <c r="B215" s="12" t="str">
        <f t="shared" ca="1" si="26"/>
        <v/>
      </c>
      <c r="C215" s="12" t="str">
        <f t="shared" ca="1" si="30"/>
        <v/>
      </c>
      <c r="D215" s="12" t="str">
        <f t="shared" ca="1" si="30"/>
        <v/>
      </c>
      <c r="E215" s="12" t="str">
        <f t="shared" ca="1" si="27"/>
        <v/>
      </c>
      <c r="F215" s="17"/>
      <c r="G215" s="13" t="str">
        <f t="shared" ca="1" si="28"/>
        <v/>
      </c>
      <c r="H215" s="13" t="str">
        <f t="shared" ca="1" si="29"/>
        <v/>
      </c>
      <c r="I215" s="17" t="str">
        <f ca="1">IF(AND($B215="",$C215=""),"",VLOOKUP($A215,Table1[],2,FALSE))</f>
        <v/>
      </c>
    </row>
    <row r="216" spans="1:9" ht="27" customHeight="1" x14ac:dyDescent="0.25">
      <c r="A216" s="12" t="str">
        <f t="shared" ca="1" si="25"/>
        <v/>
      </c>
      <c r="B216" s="12" t="str">
        <f t="shared" ca="1" si="26"/>
        <v/>
      </c>
      <c r="C216" s="12" t="str">
        <f t="shared" ca="1" si="30"/>
        <v/>
      </c>
      <c r="D216" s="12" t="str">
        <f t="shared" ca="1" si="30"/>
        <v/>
      </c>
      <c r="E216" s="12" t="str">
        <f t="shared" ca="1" si="27"/>
        <v/>
      </c>
      <c r="F216" s="17"/>
      <c r="G216" s="13" t="str">
        <f t="shared" ca="1" si="28"/>
        <v/>
      </c>
      <c r="H216" s="13" t="str">
        <f t="shared" ca="1" si="29"/>
        <v/>
      </c>
      <c r="I216" s="17" t="str">
        <f ca="1">IF(AND($B216="",$C216=""),"",VLOOKUP($A216,Table1[],2,FALSE))</f>
        <v/>
      </c>
    </row>
    <row r="217" spans="1:9" ht="27" customHeight="1" x14ac:dyDescent="0.25">
      <c r="A217" s="12" t="str">
        <f t="shared" ca="1" si="25"/>
        <v/>
      </c>
      <c r="B217" s="12" t="str">
        <f t="shared" ca="1" si="26"/>
        <v/>
      </c>
      <c r="C217" s="12" t="str">
        <f t="shared" ca="1" si="30"/>
        <v/>
      </c>
      <c r="D217" s="12" t="str">
        <f t="shared" ca="1" si="30"/>
        <v/>
      </c>
      <c r="E217" s="12" t="str">
        <f t="shared" ca="1" si="27"/>
        <v/>
      </c>
      <c r="F217" s="17"/>
      <c r="G217" s="13" t="str">
        <f t="shared" ca="1" si="28"/>
        <v/>
      </c>
      <c r="H217" s="13" t="str">
        <f t="shared" ca="1" si="29"/>
        <v/>
      </c>
      <c r="I217" s="17" t="str">
        <f ca="1">IF(AND($B217="",$C217=""),"",VLOOKUP($A217,Table1[],2,FALSE))</f>
        <v/>
      </c>
    </row>
    <row r="218" spans="1:9" ht="27" customHeight="1" x14ac:dyDescent="0.25">
      <c r="A218" s="12" t="str">
        <f t="shared" ca="1" si="25"/>
        <v/>
      </c>
      <c r="B218" s="12" t="str">
        <f t="shared" ca="1" si="26"/>
        <v/>
      </c>
      <c r="C218" s="12" t="str">
        <f t="shared" ca="1" si="30"/>
        <v/>
      </c>
      <c r="D218" s="12" t="str">
        <f t="shared" ca="1" si="30"/>
        <v/>
      </c>
      <c r="E218" s="12" t="str">
        <f t="shared" ca="1" si="27"/>
        <v/>
      </c>
      <c r="F218" s="17"/>
      <c r="G218" s="13" t="str">
        <f t="shared" ca="1" si="28"/>
        <v/>
      </c>
      <c r="H218" s="13" t="str">
        <f t="shared" ca="1" si="29"/>
        <v/>
      </c>
      <c r="I218" s="17" t="str">
        <f ca="1">IF(AND($B218="",$C218=""),"",VLOOKUP($A218,Table1[],2,FALSE))</f>
        <v/>
      </c>
    </row>
    <row r="219" spans="1:9" ht="27" customHeight="1" x14ac:dyDescent="0.25">
      <c r="A219" s="12" t="str">
        <f t="shared" ca="1" si="25"/>
        <v/>
      </c>
      <c r="B219" s="12" t="str">
        <f t="shared" ca="1" si="26"/>
        <v/>
      </c>
      <c r="C219" s="12" t="str">
        <f t="shared" ca="1" si="30"/>
        <v/>
      </c>
      <c r="D219" s="12" t="str">
        <f t="shared" ca="1" si="30"/>
        <v/>
      </c>
      <c r="E219" s="12" t="str">
        <f t="shared" ca="1" si="27"/>
        <v/>
      </c>
      <c r="F219" s="17"/>
      <c r="G219" s="13" t="str">
        <f t="shared" ca="1" si="28"/>
        <v/>
      </c>
      <c r="H219" s="13" t="str">
        <f t="shared" ca="1" si="29"/>
        <v/>
      </c>
      <c r="I219" s="17" t="str">
        <f ca="1">IF(AND($B219="",$C219=""),"",VLOOKUP($A219,Table1[],2,FALSE))</f>
        <v/>
      </c>
    </row>
    <row r="220" spans="1:9" ht="27" customHeight="1" x14ac:dyDescent="0.25">
      <c r="A220" s="12" t="str">
        <f t="shared" ca="1" si="25"/>
        <v/>
      </c>
      <c r="B220" s="12" t="str">
        <f t="shared" ca="1" si="26"/>
        <v/>
      </c>
      <c r="C220" s="12" t="str">
        <f t="shared" ca="1" si="30"/>
        <v/>
      </c>
      <c r="D220" s="12" t="str">
        <f t="shared" ca="1" si="30"/>
        <v/>
      </c>
      <c r="E220" s="12" t="str">
        <f t="shared" ca="1" si="27"/>
        <v/>
      </c>
      <c r="F220" s="17"/>
      <c r="G220" s="13" t="str">
        <f t="shared" ca="1" si="28"/>
        <v/>
      </c>
      <c r="H220" s="13" t="str">
        <f t="shared" ca="1" si="29"/>
        <v/>
      </c>
      <c r="I220" s="17" t="str">
        <f ca="1">IF(AND($B220="",$C220=""),"",VLOOKUP($A220,Table1[],2,FALSE))</f>
        <v/>
      </c>
    </row>
    <row r="221" spans="1:9" ht="27" customHeight="1" x14ac:dyDescent="0.25">
      <c r="A221" s="12" t="str">
        <f t="shared" ca="1" si="25"/>
        <v/>
      </c>
      <c r="B221" s="12" t="str">
        <f t="shared" ca="1" si="26"/>
        <v/>
      </c>
      <c r="C221" s="12" t="str">
        <f t="shared" ca="1" si="30"/>
        <v/>
      </c>
      <c r="D221" s="12" t="str">
        <f t="shared" ca="1" si="30"/>
        <v/>
      </c>
      <c r="E221" s="12" t="str">
        <f t="shared" ca="1" si="27"/>
        <v/>
      </c>
      <c r="F221" s="17"/>
      <c r="G221" s="13" t="str">
        <f t="shared" ca="1" si="28"/>
        <v/>
      </c>
      <c r="H221" s="13" t="str">
        <f t="shared" ca="1" si="29"/>
        <v/>
      </c>
      <c r="I221" s="17" t="str">
        <f ca="1">IF(AND($B221="",$C221=""),"",VLOOKUP($A221,Table1[],2,FALSE))</f>
        <v/>
      </c>
    </row>
    <row r="222" spans="1:9" ht="27" customHeight="1" x14ac:dyDescent="0.25">
      <c r="A222" s="12" t="str">
        <f t="shared" ca="1" si="25"/>
        <v/>
      </c>
      <c r="B222" s="12" t="str">
        <f t="shared" ca="1" si="26"/>
        <v/>
      </c>
      <c r="C222" s="12" t="str">
        <f t="shared" ref="C222:D241" ca="1" si="31">TEXT( INDIRECT( ADDRESS( ROW() + Row_Offset, INDIRECT( "Column_Number_" &amp; C$1), 4,1, tabname) ), "")</f>
        <v/>
      </c>
      <c r="D222" s="12" t="str">
        <f t="shared" ca="1" si="31"/>
        <v/>
      </c>
      <c r="E222" s="12" t="str">
        <f t="shared" ca="1" si="27"/>
        <v/>
      </c>
      <c r="F222" s="17"/>
      <c r="G222" s="13" t="str">
        <f t="shared" ca="1" si="28"/>
        <v/>
      </c>
      <c r="H222" s="13" t="str">
        <f t="shared" ca="1" si="29"/>
        <v/>
      </c>
      <c r="I222" s="17" t="str">
        <f ca="1">IF(AND($B222="",$C222=""),"",VLOOKUP($A222,Table1[],2,FALSE))</f>
        <v/>
      </c>
    </row>
    <row r="223" spans="1:9" ht="27" customHeight="1" x14ac:dyDescent="0.25">
      <c r="A223" s="12" t="str">
        <f t="shared" ca="1" si="25"/>
        <v/>
      </c>
      <c r="B223" s="12" t="str">
        <f t="shared" ca="1" si="26"/>
        <v/>
      </c>
      <c r="C223" s="12" t="str">
        <f t="shared" ca="1" si="31"/>
        <v/>
      </c>
      <c r="D223" s="12" t="str">
        <f t="shared" ca="1" si="31"/>
        <v/>
      </c>
      <c r="E223" s="12" t="str">
        <f t="shared" ca="1" si="27"/>
        <v/>
      </c>
      <c r="F223" s="17"/>
      <c r="G223" s="13" t="str">
        <f t="shared" ca="1" si="28"/>
        <v/>
      </c>
      <c r="H223" s="13" t="str">
        <f t="shared" ca="1" si="29"/>
        <v/>
      </c>
      <c r="I223" s="17" t="str">
        <f ca="1">IF(AND($B223="",$C223=""),"",VLOOKUP($A223,Table1[],2,FALSE))</f>
        <v/>
      </c>
    </row>
    <row r="224" spans="1:9" ht="27" customHeight="1" x14ac:dyDescent="0.25">
      <c r="A224" s="12" t="str">
        <f t="shared" ca="1" si="25"/>
        <v/>
      </c>
      <c r="B224" s="12" t="str">
        <f t="shared" ca="1" si="26"/>
        <v/>
      </c>
      <c r="C224" s="12" t="str">
        <f t="shared" ca="1" si="31"/>
        <v/>
      </c>
      <c r="D224" s="12" t="str">
        <f t="shared" ca="1" si="31"/>
        <v/>
      </c>
      <c r="E224" s="12" t="str">
        <f t="shared" ca="1" si="27"/>
        <v/>
      </c>
      <c r="F224" s="17"/>
      <c r="G224" s="13" t="str">
        <f t="shared" ca="1" si="28"/>
        <v/>
      </c>
      <c r="H224" s="13" t="str">
        <f t="shared" ca="1" si="29"/>
        <v/>
      </c>
      <c r="I224" s="17" t="str">
        <f ca="1">IF(AND($B224="",$C224=""),"",VLOOKUP($A224,Table1[],2,FALSE))</f>
        <v/>
      </c>
    </row>
    <row r="225" spans="1:9" ht="27" customHeight="1" x14ac:dyDescent="0.25">
      <c r="A225" s="12" t="str">
        <f t="shared" ca="1" si="25"/>
        <v/>
      </c>
      <c r="B225" s="12" t="str">
        <f t="shared" ca="1" si="26"/>
        <v/>
      </c>
      <c r="C225" s="12" t="str">
        <f t="shared" ca="1" si="31"/>
        <v/>
      </c>
      <c r="D225" s="12" t="str">
        <f t="shared" ca="1" si="31"/>
        <v/>
      </c>
      <c r="E225" s="12" t="str">
        <f t="shared" ca="1" si="27"/>
        <v/>
      </c>
      <c r="F225" s="17"/>
      <c r="G225" s="13" t="str">
        <f t="shared" ca="1" si="28"/>
        <v/>
      </c>
      <c r="H225" s="13" t="str">
        <f t="shared" ca="1" si="29"/>
        <v/>
      </c>
      <c r="I225" s="17" t="str">
        <f ca="1">IF(AND($B225="",$C225=""),"",VLOOKUP($A225,Table1[],2,FALSE))</f>
        <v/>
      </c>
    </row>
    <row r="226" spans="1:9" ht="27" customHeight="1" x14ac:dyDescent="0.25">
      <c r="A226" s="12" t="str">
        <f t="shared" ca="1" si="25"/>
        <v/>
      </c>
      <c r="B226" s="12" t="str">
        <f t="shared" ca="1" si="26"/>
        <v/>
      </c>
      <c r="C226" s="12" t="str">
        <f t="shared" ca="1" si="31"/>
        <v/>
      </c>
      <c r="D226" s="12" t="str">
        <f t="shared" ca="1" si="31"/>
        <v/>
      </c>
      <c r="E226" s="12" t="str">
        <f t="shared" ca="1" si="27"/>
        <v/>
      </c>
      <c r="F226" s="17"/>
      <c r="G226" s="13" t="str">
        <f t="shared" ca="1" si="28"/>
        <v/>
      </c>
      <c r="H226" s="13" t="str">
        <f t="shared" ca="1" si="29"/>
        <v/>
      </c>
      <c r="I226" s="17" t="str">
        <f ca="1">IF(AND($B226="",$C226=""),"",VLOOKUP($A226,Table1[],2,FALSE))</f>
        <v/>
      </c>
    </row>
    <row r="227" spans="1:9" ht="27" customHeight="1" x14ac:dyDescent="0.25">
      <c r="A227" s="12" t="str">
        <f t="shared" ca="1" si="25"/>
        <v/>
      </c>
      <c r="B227" s="12" t="str">
        <f t="shared" ca="1" si="26"/>
        <v/>
      </c>
      <c r="C227" s="12" t="str">
        <f t="shared" ca="1" si="31"/>
        <v/>
      </c>
      <c r="D227" s="12" t="str">
        <f t="shared" ca="1" si="31"/>
        <v/>
      </c>
      <c r="E227" s="12" t="str">
        <f t="shared" ca="1" si="27"/>
        <v/>
      </c>
      <c r="F227" s="17"/>
      <c r="G227" s="13" t="str">
        <f t="shared" ca="1" si="28"/>
        <v/>
      </c>
      <c r="H227" s="13" t="str">
        <f t="shared" ca="1" si="29"/>
        <v/>
      </c>
      <c r="I227" s="17" t="str">
        <f ca="1">IF(AND($B227="",$C227=""),"",VLOOKUP($A227,Table1[],2,FALSE))</f>
        <v/>
      </c>
    </row>
    <row r="228" spans="1:9" ht="27" customHeight="1" x14ac:dyDescent="0.25">
      <c r="A228" s="12" t="str">
        <f t="shared" ca="1" si="25"/>
        <v/>
      </c>
      <c r="B228" s="12" t="str">
        <f t="shared" ca="1" si="26"/>
        <v/>
      </c>
      <c r="C228" s="12" t="str">
        <f t="shared" ca="1" si="31"/>
        <v/>
      </c>
      <c r="D228" s="12" t="str">
        <f t="shared" ca="1" si="31"/>
        <v/>
      </c>
      <c r="E228" s="12" t="str">
        <f t="shared" ca="1" si="27"/>
        <v/>
      </c>
      <c r="F228" s="17"/>
      <c r="G228" s="13" t="str">
        <f t="shared" ca="1" si="28"/>
        <v/>
      </c>
      <c r="H228" s="13" t="str">
        <f t="shared" ca="1" si="29"/>
        <v/>
      </c>
      <c r="I228" s="17" t="str">
        <f ca="1">IF(AND($B228="",$C228=""),"",VLOOKUP($A228,Table1[],2,FALSE))</f>
        <v/>
      </c>
    </row>
    <row r="229" spans="1:9" ht="27" customHeight="1" x14ac:dyDescent="0.25">
      <c r="A229" s="12" t="str">
        <f t="shared" ca="1" si="25"/>
        <v/>
      </c>
      <c r="B229" s="12" t="str">
        <f t="shared" ca="1" si="26"/>
        <v/>
      </c>
      <c r="C229" s="12" t="str">
        <f t="shared" ca="1" si="31"/>
        <v/>
      </c>
      <c r="D229" s="12" t="str">
        <f t="shared" ca="1" si="31"/>
        <v/>
      </c>
      <c r="E229" s="12" t="str">
        <f t="shared" ca="1" si="27"/>
        <v/>
      </c>
      <c r="F229" s="17"/>
      <c r="G229" s="13" t="str">
        <f t="shared" ca="1" si="28"/>
        <v/>
      </c>
      <c r="H229" s="13" t="str">
        <f t="shared" ca="1" si="29"/>
        <v/>
      </c>
      <c r="I229" s="17" t="str">
        <f ca="1">IF(AND($B229="",$C229=""),"",VLOOKUP($A229,Table1[],2,FALSE))</f>
        <v/>
      </c>
    </row>
    <row r="230" spans="1:9" ht="27" customHeight="1" x14ac:dyDescent="0.25">
      <c r="A230" s="12" t="str">
        <f t="shared" ca="1" si="25"/>
        <v/>
      </c>
      <c r="B230" s="12" t="str">
        <f t="shared" ca="1" si="26"/>
        <v/>
      </c>
      <c r="C230" s="12" t="str">
        <f t="shared" ca="1" si="31"/>
        <v/>
      </c>
      <c r="D230" s="12" t="str">
        <f t="shared" ca="1" si="31"/>
        <v/>
      </c>
      <c r="E230" s="12" t="str">
        <f t="shared" ca="1" si="27"/>
        <v/>
      </c>
      <c r="F230" s="17"/>
      <c r="G230" s="13" t="str">
        <f t="shared" ca="1" si="28"/>
        <v/>
      </c>
      <c r="H230" s="13" t="str">
        <f t="shared" ca="1" si="29"/>
        <v/>
      </c>
      <c r="I230" s="17" t="str">
        <f ca="1">IF(AND($B230="",$C230=""),"",VLOOKUP($A230,Table1[],2,FALSE))</f>
        <v/>
      </c>
    </row>
    <row r="231" spans="1:9" ht="27" customHeight="1" x14ac:dyDescent="0.25">
      <c r="A231" s="12" t="str">
        <f t="shared" ca="1" si="25"/>
        <v/>
      </c>
      <c r="B231" s="12" t="str">
        <f t="shared" ca="1" si="26"/>
        <v/>
      </c>
      <c r="C231" s="12" t="str">
        <f t="shared" ca="1" si="31"/>
        <v/>
      </c>
      <c r="D231" s="12" t="str">
        <f t="shared" ca="1" si="31"/>
        <v/>
      </c>
      <c r="E231" s="12" t="str">
        <f t="shared" ca="1" si="27"/>
        <v/>
      </c>
      <c r="F231" s="17"/>
      <c r="G231" s="13" t="str">
        <f t="shared" ca="1" si="28"/>
        <v/>
      </c>
      <c r="H231" s="13" t="str">
        <f t="shared" ca="1" si="29"/>
        <v/>
      </c>
      <c r="I231" s="17" t="str">
        <f ca="1">IF(AND($B231="",$C231=""),"",VLOOKUP($A231,Table1[],2,FALSE))</f>
        <v/>
      </c>
    </row>
    <row r="232" spans="1:9" ht="27" customHeight="1" x14ac:dyDescent="0.25">
      <c r="A232" s="12" t="str">
        <f t="shared" ca="1" si="25"/>
        <v/>
      </c>
      <c r="B232" s="12" t="str">
        <f t="shared" ca="1" si="26"/>
        <v/>
      </c>
      <c r="C232" s="12" t="str">
        <f t="shared" ca="1" si="31"/>
        <v/>
      </c>
      <c r="D232" s="12" t="str">
        <f t="shared" ca="1" si="31"/>
        <v/>
      </c>
      <c r="E232" s="12" t="str">
        <f t="shared" ca="1" si="27"/>
        <v/>
      </c>
      <c r="F232" s="17"/>
      <c r="G232" s="13" t="str">
        <f t="shared" ca="1" si="28"/>
        <v/>
      </c>
      <c r="H232" s="13" t="str">
        <f t="shared" ca="1" si="29"/>
        <v/>
      </c>
      <c r="I232" s="17" t="str">
        <f ca="1">IF(AND($B232="",$C232=""),"",VLOOKUP($A232,Table1[],2,FALSE))</f>
        <v/>
      </c>
    </row>
    <row r="233" spans="1:9" ht="27" customHeight="1" x14ac:dyDescent="0.25">
      <c r="A233" s="12" t="str">
        <f t="shared" ca="1" si="25"/>
        <v/>
      </c>
      <c r="B233" s="12" t="str">
        <f t="shared" ca="1" si="26"/>
        <v/>
      </c>
      <c r="C233" s="12" t="str">
        <f t="shared" ca="1" si="31"/>
        <v/>
      </c>
      <c r="D233" s="12" t="str">
        <f t="shared" ca="1" si="31"/>
        <v/>
      </c>
      <c r="E233" s="12" t="str">
        <f t="shared" ca="1" si="27"/>
        <v/>
      </c>
      <c r="F233" s="17"/>
      <c r="G233" s="13" t="str">
        <f t="shared" ca="1" si="28"/>
        <v/>
      </c>
      <c r="H233" s="13" t="str">
        <f t="shared" ca="1" si="29"/>
        <v/>
      </c>
      <c r="I233" s="17" t="str">
        <f ca="1">IF(AND($B233="",$C233=""),"",VLOOKUP($A233,Table1[],2,FALSE))</f>
        <v/>
      </c>
    </row>
    <row r="234" spans="1:9" ht="27" customHeight="1" x14ac:dyDescent="0.25">
      <c r="A234" s="12" t="str">
        <f t="shared" ca="1" si="25"/>
        <v/>
      </c>
      <c r="B234" s="12" t="str">
        <f t="shared" ca="1" si="26"/>
        <v/>
      </c>
      <c r="C234" s="12" t="str">
        <f t="shared" ca="1" si="31"/>
        <v/>
      </c>
      <c r="D234" s="12" t="str">
        <f t="shared" ca="1" si="31"/>
        <v/>
      </c>
      <c r="E234" s="12" t="str">
        <f t="shared" ca="1" si="27"/>
        <v/>
      </c>
      <c r="F234" s="17"/>
      <c r="G234" s="13" t="str">
        <f t="shared" ca="1" si="28"/>
        <v/>
      </c>
      <c r="H234" s="13" t="str">
        <f t="shared" ca="1" si="29"/>
        <v/>
      </c>
      <c r="I234" s="17" t="str">
        <f ca="1">IF(AND($B234="",$C234=""),"",VLOOKUP($A234,Table1[],2,FALSE))</f>
        <v/>
      </c>
    </row>
    <row r="235" spans="1:9" ht="27" customHeight="1" x14ac:dyDescent="0.25">
      <c r="A235" s="12" t="str">
        <f t="shared" ca="1" si="25"/>
        <v/>
      </c>
      <c r="B235" s="12" t="str">
        <f t="shared" ca="1" si="26"/>
        <v/>
      </c>
      <c r="C235" s="12" t="str">
        <f t="shared" ca="1" si="31"/>
        <v/>
      </c>
      <c r="D235" s="12" t="str">
        <f t="shared" ca="1" si="31"/>
        <v/>
      </c>
      <c r="E235" s="12" t="str">
        <f t="shared" ca="1" si="27"/>
        <v/>
      </c>
      <c r="F235" s="17"/>
      <c r="G235" s="13" t="str">
        <f t="shared" ca="1" si="28"/>
        <v/>
      </c>
      <c r="H235" s="13" t="str">
        <f t="shared" ca="1" si="29"/>
        <v/>
      </c>
      <c r="I235" s="17" t="str">
        <f ca="1">IF(AND($B235="",$C235=""),"",VLOOKUP($A235,Table1[],2,FALSE))</f>
        <v/>
      </c>
    </row>
    <row r="236" spans="1:9" ht="27" customHeight="1" x14ac:dyDescent="0.25">
      <c r="A236" s="12" t="str">
        <f t="shared" ca="1" si="25"/>
        <v/>
      </c>
      <c r="B236" s="12" t="str">
        <f t="shared" ca="1" si="26"/>
        <v/>
      </c>
      <c r="C236" s="12" t="str">
        <f t="shared" ca="1" si="31"/>
        <v/>
      </c>
      <c r="D236" s="12" t="str">
        <f t="shared" ca="1" si="31"/>
        <v/>
      </c>
      <c r="E236" s="12" t="str">
        <f t="shared" ca="1" si="27"/>
        <v/>
      </c>
      <c r="F236" s="17"/>
      <c r="G236" s="13" t="str">
        <f t="shared" ca="1" si="28"/>
        <v/>
      </c>
      <c r="H236" s="13" t="str">
        <f t="shared" ca="1" si="29"/>
        <v/>
      </c>
      <c r="I236" s="17" t="str">
        <f ca="1">IF(AND($B236="",$C236=""),"",VLOOKUP($A236,Table1[],2,FALSE))</f>
        <v/>
      </c>
    </row>
    <row r="237" spans="1:9" ht="27" customHeight="1" x14ac:dyDescent="0.25">
      <c r="A237" s="12" t="str">
        <f t="shared" ca="1" si="25"/>
        <v/>
      </c>
      <c r="B237" s="12" t="str">
        <f t="shared" ca="1" si="26"/>
        <v/>
      </c>
      <c r="C237" s="12" t="str">
        <f t="shared" ca="1" si="31"/>
        <v/>
      </c>
      <c r="D237" s="12" t="str">
        <f t="shared" ca="1" si="31"/>
        <v/>
      </c>
      <c r="E237" s="12" t="str">
        <f t="shared" ca="1" si="27"/>
        <v/>
      </c>
      <c r="F237" s="17"/>
      <c r="G237" s="13" t="str">
        <f t="shared" ca="1" si="28"/>
        <v/>
      </c>
      <c r="H237" s="13" t="str">
        <f t="shared" ca="1" si="29"/>
        <v/>
      </c>
      <c r="I237" s="17" t="str">
        <f ca="1">IF(AND($B237="",$C237=""),"",VLOOKUP($A237,Table1[],2,FALSE))</f>
        <v/>
      </c>
    </row>
    <row r="238" spans="1:9" ht="27" customHeight="1" x14ac:dyDescent="0.25">
      <c r="A238" s="12" t="str">
        <f t="shared" ca="1" si="25"/>
        <v/>
      </c>
      <c r="B238" s="12" t="str">
        <f t="shared" ca="1" si="26"/>
        <v/>
      </c>
      <c r="C238" s="12" t="str">
        <f t="shared" ca="1" si="31"/>
        <v/>
      </c>
      <c r="D238" s="12" t="str">
        <f t="shared" ca="1" si="31"/>
        <v/>
      </c>
      <c r="E238" s="12" t="str">
        <f t="shared" ca="1" si="27"/>
        <v/>
      </c>
      <c r="F238" s="17"/>
      <c r="G238" s="13" t="str">
        <f t="shared" ca="1" si="28"/>
        <v/>
      </c>
      <c r="H238" s="13" t="str">
        <f t="shared" ca="1" si="29"/>
        <v/>
      </c>
      <c r="I238" s="17" t="str">
        <f ca="1">IF(AND($B238="",$C238=""),"",VLOOKUP($A238,Table1[],2,FALSE))</f>
        <v/>
      </c>
    </row>
    <row r="239" spans="1:9" ht="27" customHeight="1" x14ac:dyDescent="0.25">
      <c r="A239" s="12" t="str">
        <f t="shared" ca="1" si="25"/>
        <v/>
      </c>
      <c r="B239" s="12" t="str">
        <f t="shared" ca="1" si="26"/>
        <v/>
      </c>
      <c r="C239" s="12" t="str">
        <f t="shared" ca="1" si="31"/>
        <v/>
      </c>
      <c r="D239" s="12" t="str">
        <f t="shared" ca="1" si="31"/>
        <v/>
      </c>
      <c r="E239" s="12" t="str">
        <f t="shared" ca="1" si="27"/>
        <v/>
      </c>
      <c r="F239" s="17"/>
      <c r="G239" s="13" t="str">
        <f t="shared" ca="1" si="28"/>
        <v/>
      </c>
      <c r="H239" s="13" t="str">
        <f t="shared" ca="1" si="29"/>
        <v/>
      </c>
      <c r="I239" s="17" t="str">
        <f ca="1">IF(AND($B239="",$C239=""),"",VLOOKUP($A239,Table1[],2,FALSE))</f>
        <v/>
      </c>
    </row>
    <row r="240" spans="1:9" ht="27" customHeight="1" x14ac:dyDescent="0.25">
      <c r="A240" s="12" t="str">
        <f t="shared" ca="1" si="25"/>
        <v/>
      </c>
      <c r="B240" s="12" t="str">
        <f t="shared" ca="1" si="26"/>
        <v/>
      </c>
      <c r="C240" s="12" t="str">
        <f t="shared" ca="1" si="31"/>
        <v/>
      </c>
      <c r="D240" s="12" t="str">
        <f t="shared" ca="1" si="31"/>
        <v/>
      </c>
      <c r="E240" s="12" t="str">
        <f t="shared" ca="1" si="27"/>
        <v/>
      </c>
      <c r="F240" s="17"/>
      <c r="G240" s="13" t="str">
        <f t="shared" ca="1" si="28"/>
        <v/>
      </c>
      <c r="H240" s="13" t="str">
        <f t="shared" ca="1" si="29"/>
        <v/>
      </c>
      <c r="I240" s="17" t="str">
        <f ca="1">IF(AND($B240="",$C240=""),"",VLOOKUP($A240,Table1[],2,FALSE))</f>
        <v/>
      </c>
    </row>
    <row r="241" spans="1:9" ht="27" customHeight="1" x14ac:dyDescent="0.25">
      <c r="A241" s="12" t="str">
        <f t="shared" ca="1" si="25"/>
        <v/>
      </c>
      <c r="B241" s="12" t="str">
        <f t="shared" ca="1" si="26"/>
        <v/>
      </c>
      <c r="C241" s="12" t="str">
        <f t="shared" ca="1" si="31"/>
        <v/>
      </c>
      <c r="D241" s="12" t="str">
        <f t="shared" ca="1" si="31"/>
        <v/>
      </c>
      <c r="E241" s="12" t="str">
        <f t="shared" ca="1" si="27"/>
        <v/>
      </c>
      <c r="F241" s="17"/>
      <c r="G241" s="13" t="str">
        <f t="shared" ca="1" si="28"/>
        <v/>
      </c>
      <c r="H241" s="13" t="str">
        <f t="shared" ca="1" si="29"/>
        <v/>
      </c>
      <c r="I241" s="17" t="str">
        <f ca="1">IF(AND($B241="",$C241=""),"",VLOOKUP($A241,Table1[],2,FALSE))</f>
        <v/>
      </c>
    </row>
    <row r="242" spans="1:9" ht="27" customHeight="1" x14ac:dyDescent="0.25">
      <c r="A242" s="12" t="str">
        <f t="shared" ca="1" si="25"/>
        <v/>
      </c>
      <c r="B242" s="12" t="str">
        <f t="shared" ca="1" si="26"/>
        <v/>
      </c>
      <c r="C242" s="12" t="str">
        <f t="shared" ref="C242:D261" ca="1" si="32">TEXT( INDIRECT( ADDRESS( ROW() + Row_Offset, INDIRECT( "Column_Number_" &amp; C$1), 4,1, tabname) ), "")</f>
        <v/>
      </c>
      <c r="D242" s="12" t="str">
        <f t="shared" ca="1" si="32"/>
        <v/>
      </c>
      <c r="E242" s="12" t="str">
        <f t="shared" ca="1" si="27"/>
        <v/>
      </c>
      <c r="F242" s="17"/>
      <c r="G242" s="13" t="str">
        <f t="shared" ca="1" si="28"/>
        <v/>
      </c>
      <c r="H242" s="13" t="str">
        <f t="shared" ca="1" si="29"/>
        <v/>
      </c>
      <c r="I242" s="17" t="str">
        <f ca="1">IF(AND($B242="",$C242=""),"",VLOOKUP($A242,Table1[],2,FALSE))</f>
        <v/>
      </c>
    </row>
    <row r="243" spans="1:9" ht="27" customHeight="1" x14ac:dyDescent="0.25">
      <c r="A243" s="12" t="str">
        <f t="shared" ca="1" si="25"/>
        <v/>
      </c>
      <c r="B243" s="12" t="str">
        <f t="shared" ca="1" si="26"/>
        <v/>
      </c>
      <c r="C243" s="12" t="str">
        <f t="shared" ca="1" si="32"/>
        <v/>
      </c>
      <c r="D243" s="12" t="str">
        <f t="shared" ca="1" si="32"/>
        <v/>
      </c>
      <c r="E243" s="12" t="str">
        <f t="shared" ca="1" si="27"/>
        <v/>
      </c>
      <c r="F243" s="17"/>
      <c r="G243" s="13" t="str">
        <f t="shared" ca="1" si="28"/>
        <v/>
      </c>
      <c r="H243" s="13" t="str">
        <f t="shared" ca="1" si="29"/>
        <v/>
      </c>
      <c r="I243" s="17" t="str">
        <f ca="1">IF(AND($B243="",$C243=""),"",VLOOKUP($A243,Table1[],2,FALSE))</f>
        <v/>
      </c>
    </row>
    <row r="244" spans="1:9" ht="27" customHeight="1" x14ac:dyDescent="0.25">
      <c r="A244" s="12" t="str">
        <f t="shared" ca="1" si="25"/>
        <v/>
      </c>
      <c r="B244" s="12" t="str">
        <f t="shared" ca="1" si="26"/>
        <v/>
      </c>
      <c r="C244" s="12" t="str">
        <f t="shared" ca="1" si="32"/>
        <v/>
      </c>
      <c r="D244" s="12" t="str">
        <f t="shared" ca="1" si="32"/>
        <v/>
      </c>
      <c r="E244" s="12" t="str">
        <f t="shared" ca="1" si="27"/>
        <v/>
      </c>
      <c r="F244" s="17"/>
      <c r="G244" s="13" t="str">
        <f t="shared" ca="1" si="28"/>
        <v/>
      </c>
      <c r="H244" s="13" t="str">
        <f t="shared" ca="1" si="29"/>
        <v/>
      </c>
      <c r="I244" s="17" t="str">
        <f ca="1">IF(AND($B244="",$C244=""),"",VLOOKUP($A244,Table1[],2,FALSE))</f>
        <v/>
      </c>
    </row>
    <row r="245" spans="1:9" ht="27" customHeight="1" x14ac:dyDescent="0.25">
      <c r="A245" s="12" t="str">
        <f t="shared" ca="1" si="25"/>
        <v/>
      </c>
      <c r="B245" s="12" t="str">
        <f t="shared" ca="1" si="26"/>
        <v/>
      </c>
      <c r="C245" s="12" t="str">
        <f t="shared" ca="1" si="32"/>
        <v/>
      </c>
      <c r="D245" s="12" t="str">
        <f t="shared" ca="1" si="32"/>
        <v/>
      </c>
      <c r="E245" s="12" t="str">
        <f t="shared" ca="1" si="27"/>
        <v/>
      </c>
      <c r="F245" s="17"/>
      <c r="G245" s="13" t="str">
        <f t="shared" ca="1" si="28"/>
        <v/>
      </c>
      <c r="H245" s="13" t="str">
        <f t="shared" ca="1" si="29"/>
        <v/>
      </c>
      <c r="I245" s="17" t="str">
        <f ca="1">IF(AND($B245="",$C245=""),"",VLOOKUP($A245,Table1[],2,FALSE))</f>
        <v/>
      </c>
    </row>
    <row r="246" spans="1:9" ht="27" customHeight="1" x14ac:dyDescent="0.25">
      <c r="A246" s="12" t="str">
        <f t="shared" ca="1" si="25"/>
        <v/>
      </c>
      <c r="B246" s="12" t="str">
        <f t="shared" ca="1" si="26"/>
        <v/>
      </c>
      <c r="C246" s="12" t="str">
        <f t="shared" ca="1" si="32"/>
        <v/>
      </c>
      <c r="D246" s="12" t="str">
        <f t="shared" ca="1" si="32"/>
        <v/>
      </c>
      <c r="E246" s="12" t="str">
        <f t="shared" ca="1" si="27"/>
        <v/>
      </c>
      <c r="F246" s="17"/>
      <c r="G246" s="13" t="str">
        <f t="shared" ca="1" si="28"/>
        <v/>
      </c>
      <c r="H246" s="13" t="str">
        <f t="shared" ca="1" si="29"/>
        <v/>
      </c>
      <c r="I246" s="17" t="str">
        <f ca="1">IF(AND($B246="",$C246=""),"",VLOOKUP($A246,Table1[],2,FALSE))</f>
        <v/>
      </c>
    </row>
    <row r="247" spans="1:9" ht="27" customHeight="1" x14ac:dyDescent="0.25">
      <c r="A247" s="12" t="str">
        <f t="shared" ca="1" si="25"/>
        <v/>
      </c>
      <c r="B247" s="12" t="str">
        <f t="shared" ca="1" si="26"/>
        <v/>
      </c>
      <c r="C247" s="12" t="str">
        <f t="shared" ca="1" si="32"/>
        <v/>
      </c>
      <c r="D247" s="12" t="str">
        <f t="shared" ca="1" si="32"/>
        <v/>
      </c>
      <c r="E247" s="12" t="str">
        <f t="shared" ca="1" si="27"/>
        <v/>
      </c>
      <c r="F247" s="17"/>
      <c r="G247" s="13" t="str">
        <f t="shared" ca="1" si="28"/>
        <v/>
      </c>
      <c r="H247" s="13" t="str">
        <f t="shared" ca="1" si="29"/>
        <v/>
      </c>
      <c r="I247" s="17" t="str">
        <f ca="1">IF(AND($B247="",$C247=""),"",VLOOKUP($A247,Table1[],2,FALSE))</f>
        <v/>
      </c>
    </row>
    <row r="248" spans="1:9" ht="27" customHeight="1" x14ac:dyDescent="0.25">
      <c r="A248" s="12" t="str">
        <f t="shared" ca="1" si="25"/>
        <v/>
      </c>
      <c r="B248" s="12" t="str">
        <f t="shared" ca="1" si="26"/>
        <v/>
      </c>
      <c r="C248" s="12" t="str">
        <f t="shared" ca="1" si="32"/>
        <v/>
      </c>
      <c r="D248" s="12" t="str">
        <f t="shared" ca="1" si="32"/>
        <v/>
      </c>
      <c r="E248" s="12" t="str">
        <f t="shared" ca="1" si="27"/>
        <v/>
      </c>
      <c r="F248" s="17"/>
      <c r="G248" s="13" t="str">
        <f t="shared" ca="1" si="28"/>
        <v/>
      </c>
      <c r="H248" s="13" t="str">
        <f t="shared" ca="1" si="29"/>
        <v/>
      </c>
      <c r="I248" s="17" t="str">
        <f ca="1">IF(AND($B248="",$C248=""),"",VLOOKUP($A248,Table1[],2,FALSE))</f>
        <v/>
      </c>
    </row>
    <row r="249" spans="1:9" ht="27" customHeight="1" x14ac:dyDescent="0.25">
      <c r="A249" s="12" t="str">
        <f t="shared" ca="1" si="25"/>
        <v/>
      </c>
      <c r="B249" s="12" t="str">
        <f t="shared" ca="1" si="26"/>
        <v/>
      </c>
      <c r="C249" s="12" t="str">
        <f t="shared" ca="1" si="32"/>
        <v/>
      </c>
      <c r="D249" s="12" t="str">
        <f t="shared" ca="1" si="32"/>
        <v/>
      </c>
      <c r="E249" s="12" t="str">
        <f t="shared" ca="1" si="27"/>
        <v/>
      </c>
      <c r="F249" s="17"/>
      <c r="G249" s="13" t="str">
        <f t="shared" ca="1" si="28"/>
        <v/>
      </c>
      <c r="H249" s="13" t="str">
        <f t="shared" ca="1" si="29"/>
        <v/>
      </c>
      <c r="I249" s="17" t="str">
        <f ca="1">IF(AND($B249="",$C249=""),"",VLOOKUP($A249,Table1[],2,FALSE))</f>
        <v/>
      </c>
    </row>
    <row r="250" spans="1:9" ht="27" customHeight="1" x14ac:dyDescent="0.25">
      <c r="A250" s="12" t="str">
        <f t="shared" ca="1" si="25"/>
        <v/>
      </c>
      <c r="B250" s="12" t="str">
        <f t="shared" ca="1" si="26"/>
        <v/>
      </c>
      <c r="C250" s="12" t="str">
        <f t="shared" ca="1" si="32"/>
        <v/>
      </c>
      <c r="D250" s="12" t="str">
        <f t="shared" ca="1" si="32"/>
        <v/>
      </c>
      <c r="E250" s="12" t="str">
        <f t="shared" ca="1" si="27"/>
        <v/>
      </c>
      <c r="F250" s="17"/>
      <c r="G250" s="13" t="str">
        <f t="shared" ca="1" si="28"/>
        <v/>
      </c>
      <c r="H250" s="13" t="str">
        <f t="shared" ca="1" si="29"/>
        <v/>
      </c>
      <c r="I250" s="17" t="str">
        <f ca="1">IF(AND($B250="",$C250=""),"",VLOOKUP($A250,Table1[],2,FALSE))</f>
        <v/>
      </c>
    </row>
    <row r="251" spans="1:9" ht="27" customHeight="1" x14ac:dyDescent="0.25">
      <c r="A251" s="12" t="str">
        <f t="shared" ca="1" si="25"/>
        <v/>
      </c>
      <c r="B251" s="12" t="str">
        <f t="shared" ca="1" si="26"/>
        <v/>
      </c>
      <c r="C251" s="12" t="str">
        <f t="shared" ca="1" si="32"/>
        <v/>
      </c>
      <c r="D251" s="12" t="str">
        <f t="shared" ca="1" si="32"/>
        <v/>
      </c>
      <c r="E251" s="12" t="str">
        <f t="shared" ca="1" si="27"/>
        <v/>
      </c>
      <c r="F251" s="17"/>
      <c r="G251" s="13" t="str">
        <f t="shared" ca="1" si="28"/>
        <v/>
      </c>
      <c r="H251" s="13" t="str">
        <f t="shared" ca="1" si="29"/>
        <v/>
      </c>
      <c r="I251" s="17" t="str">
        <f ca="1">IF(AND($B251="",$C251=""),"",VLOOKUP($A251,Table1[],2,FALSE))</f>
        <v/>
      </c>
    </row>
    <row r="252" spans="1:9" ht="27" customHeight="1" x14ac:dyDescent="0.25">
      <c r="A252" s="12" t="str">
        <f t="shared" ca="1" si="25"/>
        <v/>
      </c>
      <c r="B252" s="12" t="str">
        <f t="shared" ca="1" si="26"/>
        <v/>
      </c>
      <c r="C252" s="12" t="str">
        <f t="shared" ca="1" si="32"/>
        <v/>
      </c>
      <c r="D252" s="12" t="str">
        <f t="shared" ca="1" si="32"/>
        <v/>
      </c>
      <c r="E252" s="12" t="str">
        <f t="shared" ca="1" si="27"/>
        <v/>
      </c>
      <c r="F252" s="17"/>
      <c r="G252" s="13" t="str">
        <f t="shared" ca="1" si="28"/>
        <v/>
      </c>
      <c r="H252" s="13" t="str">
        <f t="shared" ca="1" si="29"/>
        <v/>
      </c>
      <c r="I252" s="17" t="str">
        <f ca="1">IF(AND($B252="",$C252=""),"",VLOOKUP($A252,Table1[],2,FALSE))</f>
        <v/>
      </c>
    </row>
    <row r="253" spans="1:9" ht="27" customHeight="1" x14ac:dyDescent="0.25">
      <c r="A253" s="12" t="str">
        <f t="shared" ca="1" si="25"/>
        <v/>
      </c>
      <c r="B253" s="12" t="str">
        <f t="shared" ca="1" si="26"/>
        <v/>
      </c>
      <c r="C253" s="12" t="str">
        <f t="shared" ca="1" si="32"/>
        <v/>
      </c>
      <c r="D253" s="12" t="str">
        <f t="shared" ca="1" si="32"/>
        <v/>
      </c>
      <c r="E253" s="12" t="str">
        <f t="shared" ca="1" si="27"/>
        <v/>
      </c>
      <c r="F253" s="17"/>
      <c r="G253" s="13" t="str">
        <f t="shared" ca="1" si="28"/>
        <v/>
      </c>
      <c r="H253" s="13" t="str">
        <f t="shared" ca="1" si="29"/>
        <v/>
      </c>
      <c r="I253" s="17" t="str">
        <f ca="1">IF(AND($B253="",$C253=""),"",VLOOKUP($A253,Table1[],2,FALSE))</f>
        <v/>
      </c>
    </row>
    <row r="254" spans="1:9" ht="27" customHeight="1" x14ac:dyDescent="0.25">
      <c r="A254" s="12" t="str">
        <f t="shared" ca="1" si="25"/>
        <v/>
      </c>
      <c r="B254" s="12" t="str">
        <f t="shared" ca="1" si="26"/>
        <v/>
      </c>
      <c r="C254" s="12" t="str">
        <f t="shared" ca="1" si="32"/>
        <v/>
      </c>
      <c r="D254" s="12" t="str">
        <f t="shared" ca="1" si="32"/>
        <v/>
      </c>
      <c r="E254" s="12" t="str">
        <f t="shared" ca="1" si="27"/>
        <v/>
      </c>
      <c r="F254" s="17"/>
      <c r="G254" s="13" t="str">
        <f t="shared" ca="1" si="28"/>
        <v/>
      </c>
      <c r="H254" s="13" t="str">
        <f t="shared" ca="1" si="29"/>
        <v/>
      </c>
      <c r="I254" s="17" t="str">
        <f ca="1">IF(AND($B254="",$C254=""),"",VLOOKUP($A254,Table1[],2,FALSE))</f>
        <v/>
      </c>
    </row>
    <row r="255" spans="1:9" ht="27" customHeight="1" x14ac:dyDescent="0.25">
      <c r="A255" s="12" t="str">
        <f t="shared" ca="1" si="25"/>
        <v/>
      </c>
      <c r="B255" s="12" t="str">
        <f t="shared" ca="1" si="26"/>
        <v/>
      </c>
      <c r="C255" s="12" t="str">
        <f t="shared" ca="1" si="32"/>
        <v/>
      </c>
      <c r="D255" s="12" t="str">
        <f t="shared" ca="1" si="32"/>
        <v/>
      </c>
      <c r="E255" s="12" t="str">
        <f t="shared" ca="1" si="27"/>
        <v/>
      </c>
      <c r="F255" s="17"/>
      <c r="G255" s="13" t="str">
        <f t="shared" ca="1" si="28"/>
        <v/>
      </c>
      <c r="H255" s="13" t="str">
        <f t="shared" ca="1" si="29"/>
        <v/>
      </c>
      <c r="I255" s="17" t="str">
        <f ca="1">IF(AND($B255="",$C255=""),"",VLOOKUP($A255,Table1[],2,FALSE))</f>
        <v/>
      </c>
    </row>
    <row r="256" spans="1:9" ht="27" customHeight="1" x14ac:dyDescent="0.25">
      <c r="A256" s="12" t="str">
        <f t="shared" ca="1" si="25"/>
        <v/>
      </c>
      <c r="B256" s="12" t="str">
        <f t="shared" ca="1" si="26"/>
        <v/>
      </c>
      <c r="C256" s="12" t="str">
        <f t="shared" ca="1" si="32"/>
        <v/>
      </c>
      <c r="D256" s="12" t="str">
        <f t="shared" ca="1" si="32"/>
        <v/>
      </c>
      <c r="E256" s="12" t="str">
        <f t="shared" ca="1" si="27"/>
        <v/>
      </c>
      <c r="F256" s="17"/>
      <c r="G256" s="13" t="str">
        <f t="shared" ca="1" si="28"/>
        <v/>
      </c>
      <c r="H256" s="13" t="str">
        <f t="shared" ca="1" si="29"/>
        <v/>
      </c>
      <c r="I256" s="17" t="str">
        <f ca="1">IF(AND($B256="",$C256=""),"",VLOOKUP($A256,Table1[],2,FALSE))</f>
        <v/>
      </c>
    </row>
    <row r="257" spans="1:9" ht="27" customHeight="1" x14ac:dyDescent="0.25">
      <c r="A257" s="12" t="str">
        <f t="shared" ca="1" si="25"/>
        <v/>
      </c>
      <c r="B257" s="12" t="str">
        <f t="shared" ca="1" si="26"/>
        <v/>
      </c>
      <c r="C257" s="12" t="str">
        <f t="shared" ca="1" si="32"/>
        <v/>
      </c>
      <c r="D257" s="12" t="str">
        <f t="shared" ca="1" si="32"/>
        <v/>
      </c>
      <c r="E257" s="12" t="str">
        <f t="shared" ca="1" si="27"/>
        <v/>
      </c>
      <c r="F257" s="17"/>
      <c r="G257" s="13" t="str">
        <f t="shared" ca="1" si="28"/>
        <v/>
      </c>
      <c r="H257" s="13" t="str">
        <f t="shared" ca="1" si="29"/>
        <v/>
      </c>
      <c r="I257" s="17" t="str">
        <f ca="1">IF(AND($B257="",$C257=""),"",VLOOKUP($A257,Table1[],2,FALSE))</f>
        <v/>
      </c>
    </row>
    <row r="258" spans="1:9" ht="27" customHeight="1" x14ac:dyDescent="0.25">
      <c r="A258" s="12" t="str">
        <f t="shared" ref="A258:A321" ca="1" si="33">TEXT( INDIRECT( ADDRESS( ROW() + Row_Offset, INDIRECT( "Column_Number_" &amp; A$1), 4,1, tabname) ), "")</f>
        <v/>
      </c>
      <c r="B258" s="12" t="str">
        <f t="shared" ref="B258:B321" ca="1" si="34">TEXT(  IFERROR( VLOOKUP( $D258, CName_to_Descriptor, 2, FALSE),"") &amp;
        INDIRECT( ADDRESS( ROW() + Row_Offset, INDIRECT( "Column_Number_" &amp; $B$1), 4,1, tabname) ), "")</f>
        <v/>
      </c>
      <c r="C258" s="12" t="str">
        <f t="shared" ca="1" si="32"/>
        <v/>
      </c>
      <c r="D258" s="12" t="str">
        <f t="shared" ca="1" si="32"/>
        <v/>
      </c>
      <c r="E258" s="12" t="str">
        <f t="shared" ref="E258:E321" ca="1" si="35">TEXT( INDIRECT( ADDRESS( ROW() + Row_Offset, INDIRECT( "Column_Number_" &amp; E$1), 4,1, tabname) ), "####")</f>
        <v/>
      </c>
      <c r="F258" s="17"/>
      <c r="G258" s="13" t="str">
        <f t="shared" ref="G258:G321" ca="1" si="36">IF(IFERROR(FIND("New",$A258)&gt;0,FALSE),"New ","") &amp; IF(IFERROR(FIND("In Lib",$A258)&gt;0,FALSE),"Reference ","") &amp;
IF(AND(D258="Audiobook",LEFT(B258,6)="CD BIO"),"Biography",
IF(AND(D258="Teen Audiobook",LEFT(B258,11)="TEEN CD BIO"),"Biography",
IF(AND(D258="Juvenile Audiobook",LEFT(B258,8)="J CD BIO"),"Biography",
IF(AND(D258="Audiobook",LEFT(B258,6)="CD FIC"),"Audiobook Fiction",
IF(AND(D258="Teen Audiobook",LEFT(B258,11)="TEEN CD FIC"),"Teen Audiobook",
IF(AND(D258="Juvenile Audiobook",LEFT(B258,8)="J CD FIC"),"Juvenile Audiobook",
IF(D258="Audiobook","Nonfiction",
IF(D258="Juvenile Audiobook","Nonfiction",
IF(D258="Teen Audiobook","Nonfiction",
IF(D258="Juvenile Nonfiction","Nonfiction",
IF(D258="Teen Nonfiction","Nonfiction",
IF(D258="Juvenile Biography","Biography",
IF(D258="Teen Biography","Biography",
IF(D258="ESL","Nonfiction",
IF(LEFT(B258,11)="INTL-VIE J ","International Juvenile",IF(LEFT(B258,11)="INTL-TAG J ","International Juvenile",IF(LEFT(B258,11)="INTL-RUS J ","International Juvenile",IF(LEFT(B258,11)="INTL-KOR J ","International Juvenile",IF(LEFT(B258,11)="INTL-JAP J ","International Juvenile",IF(LEFT(B258,11)="INTL-CHI J ","International Juvenile",IF(LEFT(B258,11)="INTL-SPA J ","International Juvenile",IF(LEFT(B258,14)="INTL-VIE TEEN ","International Teen",IF(LEFT(B258,14)="INTL-TAG TEEN ","International Teen",IF(LEFT(B258,14)="INTL-RUS TEEN ","International Teen",IF(LEFT(B258,14)="INTL-KOR TEEN ","International Teen",IF(LEFT(B258,14)="INTL-JAP TEEN ","International Teen",IF(LEFT(B258,14)="INTL-CHI TEEN ","International Teen",IF(LEFT(B258,14)="INTL-SPA TEEN ","International Teen",IF(LEFT(B258,11)="INTL-VIE E ","International Easy",IF(LEFT(B258,11)="INTL-TAG E ","International Easy",IF(LEFT(B258,11)="INTL-RUS E ","International Easy",IF(LEFT(B258,11)="INTL-JAP E ","International Easy",IF(LEFT(B258,11)="INTL-KOR E ","International Easy",IF(LEFT(B258,11)="INTL-CHI E ","International Easy",IF(LEFT(B258,11)="INTL-SPA E ","International Easy",
IF(D258="Teen Large Type","Teen Fiction",
IF(D258="Juvenile Large Type","Juvenile Fiction",
IF(LEFT(B258,6)="J CD O","Juvenile Compact Disc",
IF(AND(LEFT(B258,4)="TEEN",D258="Fiction"),"Teen Fiction",
IF(D258="DVD Educational","Nonfiction",
IF(D258="Juvenile DVD Educational","Nonfiction",
IF(D258="Reference","Nonfiction",
D258))))))))))))))))))))))))))))))))))))))))))</f>
        <v/>
      </c>
      <c r="H258" s="13" t="str">
        <f t="shared" ref="H258:H321" ca="1" si="37">IF(AND(D258="Juvenile Audiobook",LEFT(B258,8)="J CD BIO"),RIGHT(B258,LEN(B258)-9),
IF(AND(D258="Juvenile Audiobook",LEFT(B258,8)="J CD FIC"),B258,
IF(D258="Juvenile Audiobook",RIGHT(B258,LEN(B258)-5),
IF(AND(D258="Teen Audiobook",LEFT(B258,11)="TEEN CD BIO"),RIGHT(B258,LEN(B258)-12),
IF(AND(D258="Teen Audiobook",LEFT(B258,11)="TEEN CD FIC"),B258,
IF(D258="Juvenile Audiobook",RIGHT(B258,LEN(B258)-8),
IF(D258="Juvenile Nonfiction",RIGHT(B258,LEN(B258)-2),
IF(D258="Teen Nonfiction",RIGHT(B258,LEN(B258)-5),
IF(AND(G258="Nonfiction",D258="Audiobook"),RIGHT(B258,LEN(B258)-3),
IF(D258="Juvenile Biography",RIGHT(B258,LEN(B258)-2),
IF(D258="Teen Biography",RIGHT(B258,LEN(B258)-5),
IF(AND(D258="Audiobook",G258="Biography"),RIGHT(B258,LEN(B258)-3),
IF(D258="Juvenile Large Type","J "&amp;RIGHT(B258,LEN(B258)-11),
IF(D258="Teen Large Type","TEEN "&amp;RIGHT(B258,LEN(B258)-14),
IF(D258="Reference",RIGHT(B258,LEN(B258)-4),
IF(D258="DVD Educational",RIGHT(B258,LEN(B258)-7),
IF(D258="Juvenile DVD Educational",RIGHT(B258,LEN(B258)-9),
B258)))))))))))))))))</f>
        <v/>
      </c>
      <c r="I258" s="17" t="str">
        <f ca="1">IF(AND($B258="",$C258=""),"",VLOOKUP($A258,Table1[],2,FALSE))</f>
        <v/>
      </c>
    </row>
    <row r="259" spans="1:9" ht="27" customHeight="1" x14ac:dyDescent="0.25">
      <c r="A259" s="12" t="str">
        <f t="shared" ca="1" si="33"/>
        <v/>
      </c>
      <c r="B259" s="12" t="str">
        <f t="shared" ca="1" si="34"/>
        <v/>
      </c>
      <c r="C259" s="12" t="str">
        <f t="shared" ca="1" si="32"/>
        <v/>
      </c>
      <c r="D259" s="12" t="str">
        <f t="shared" ca="1" si="32"/>
        <v/>
      </c>
      <c r="E259" s="12" t="str">
        <f t="shared" ca="1" si="35"/>
        <v/>
      </c>
      <c r="F259" s="17"/>
      <c r="G259" s="13" t="str">
        <f t="shared" ca="1" si="36"/>
        <v/>
      </c>
      <c r="H259" s="13" t="str">
        <f t="shared" ca="1" si="37"/>
        <v/>
      </c>
      <c r="I259" s="17" t="str">
        <f ca="1">IF(AND($B259="",$C259=""),"",VLOOKUP($A259,Table1[],2,FALSE))</f>
        <v/>
      </c>
    </row>
    <row r="260" spans="1:9" ht="27" customHeight="1" x14ac:dyDescent="0.25">
      <c r="A260" s="12" t="str">
        <f t="shared" ca="1" si="33"/>
        <v/>
      </c>
      <c r="B260" s="12" t="str">
        <f t="shared" ca="1" si="34"/>
        <v/>
      </c>
      <c r="C260" s="12" t="str">
        <f t="shared" ca="1" si="32"/>
        <v/>
      </c>
      <c r="D260" s="12" t="str">
        <f t="shared" ca="1" si="32"/>
        <v/>
      </c>
      <c r="E260" s="12" t="str">
        <f t="shared" ca="1" si="35"/>
        <v/>
      </c>
      <c r="F260" s="17"/>
      <c r="G260" s="13" t="str">
        <f t="shared" ca="1" si="36"/>
        <v/>
      </c>
      <c r="H260" s="13" t="str">
        <f t="shared" ca="1" si="37"/>
        <v/>
      </c>
      <c r="I260" s="17" t="str">
        <f ca="1">IF(AND($B260="",$C260=""),"",VLOOKUP($A260,Table1[],2,FALSE))</f>
        <v/>
      </c>
    </row>
    <row r="261" spans="1:9" ht="27" customHeight="1" x14ac:dyDescent="0.25">
      <c r="A261" s="12" t="str">
        <f t="shared" ca="1" si="33"/>
        <v/>
      </c>
      <c r="B261" s="12" t="str">
        <f t="shared" ca="1" si="34"/>
        <v/>
      </c>
      <c r="C261" s="12" t="str">
        <f t="shared" ca="1" si="32"/>
        <v/>
      </c>
      <c r="D261" s="12" t="str">
        <f t="shared" ca="1" si="32"/>
        <v/>
      </c>
      <c r="E261" s="12" t="str">
        <f t="shared" ca="1" si="35"/>
        <v/>
      </c>
      <c r="F261" s="17"/>
      <c r="G261" s="13" t="str">
        <f t="shared" ca="1" si="36"/>
        <v/>
      </c>
      <c r="H261" s="13" t="str">
        <f t="shared" ca="1" si="37"/>
        <v/>
      </c>
      <c r="I261" s="17" t="str">
        <f ca="1">IF(AND($B261="",$C261=""),"",VLOOKUP($A261,Table1[],2,FALSE))</f>
        <v/>
      </c>
    </row>
    <row r="262" spans="1:9" ht="27" customHeight="1" x14ac:dyDescent="0.25">
      <c r="A262" s="12" t="str">
        <f t="shared" ca="1" si="33"/>
        <v/>
      </c>
      <c r="B262" s="12" t="str">
        <f t="shared" ca="1" si="34"/>
        <v/>
      </c>
      <c r="C262" s="12" t="str">
        <f t="shared" ref="C262:D281" ca="1" si="38">TEXT( INDIRECT( ADDRESS( ROW() + Row_Offset, INDIRECT( "Column_Number_" &amp; C$1), 4,1, tabname) ), "")</f>
        <v/>
      </c>
      <c r="D262" s="12" t="str">
        <f t="shared" ca="1" si="38"/>
        <v/>
      </c>
      <c r="E262" s="12" t="str">
        <f t="shared" ca="1" si="35"/>
        <v/>
      </c>
      <c r="F262" s="17"/>
      <c r="G262" s="13" t="str">
        <f t="shared" ca="1" si="36"/>
        <v/>
      </c>
      <c r="H262" s="13" t="str">
        <f t="shared" ca="1" si="37"/>
        <v/>
      </c>
      <c r="I262" s="17" t="str">
        <f ca="1">IF(AND($B262="",$C262=""),"",VLOOKUP($A262,Table1[],2,FALSE))</f>
        <v/>
      </c>
    </row>
    <row r="263" spans="1:9" ht="27" customHeight="1" x14ac:dyDescent="0.25">
      <c r="A263" s="12" t="str">
        <f t="shared" ca="1" si="33"/>
        <v/>
      </c>
      <c r="B263" s="12" t="str">
        <f t="shared" ca="1" si="34"/>
        <v/>
      </c>
      <c r="C263" s="12" t="str">
        <f t="shared" ca="1" si="38"/>
        <v/>
      </c>
      <c r="D263" s="12" t="str">
        <f t="shared" ca="1" si="38"/>
        <v/>
      </c>
      <c r="E263" s="12" t="str">
        <f t="shared" ca="1" si="35"/>
        <v/>
      </c>
      <c r="F263" s="17"/>
      <c r="G263" s="13" t="str">
        <f t="shared" ca="1" si="36"/>
        <v/>
      </c>
      <c r="H263" s="13" t="str">
        <f t="shared" ca="1" si="37"/>
        <v/>
      </c>
      <c r="I263" s="17" t="str">
        <f ca="1">IF(AND($B263="",$C263=""),"",VLOOKUP($A263,Table1[],2,FALSE))</f>
        <v/>
      </c>
    </row>
    <row r="264" spans="1:9" ht="27" customHeight="1" x14ac:dyDescent="0.25">
      <c r="A264" s="12" t="str">
        <f t="shared" ca="1" si="33"/>
        <v/>
      </c>
      <c r="B264" s="12" t="str">
        <f t="shared" ca="1" si="34"/>
        <v/>
      </c>
      <c r="C264" s="12" t="str">
        <f t="shared" ca="1" si="38"/>
        <v/>
      </c>
      <c r="D264" s="12" t="str">
        <f t="shared" ca="1" si="38"/>
        <v/>
      </c>
      <c r="E264" s="12" t="str">
        <f t="shared" ca="1" si="35"/>
        <v/>
      </c>
      <c r="F264" s="17"/>
      <c r="G264" s="13" t="str">
        <f t="shared" ca="1" si="36"/>
        <v/>
      </c>
      <c r="H264" s="13" t="str">
        <f t="shared" ca="1" si="37"/>
        <v/>
      </c>
      <c r="I264" s="17" t="str">
        <f ca="1">IF(AND($B264="",$C264=""),"",VLOOKUP($A264,Table1[],2,FALSE))</f>
        <v/>
      </c>
    </row>
    <row r="265" spans="1:9" ht="27" customHeight="1" x14ac:dyDescent="0.25">
      <c r="A265" s="12" t="str">
        <f t="shared" ca="1" si="33"/>
        <v/>
      </c>
      <c r="B265" s="12" t="str">
        <f t="shared" ca="1" si="34"/>
        <v/>
      </c>
      <c r="C265" s="12" t="str">
        <f t="shared" ca="1" si="38"/>
        <v/>
      </c>
      <c r="D265" s="12" t="str">
        <f t="shared" ca="1" si="38"/>
        <v/>
      </c>
      <c r="E265" s="12" t="str">
        <f t="shared" ca="1" si="35"/>
        <v/>
      </c>
      <c r="F265" s="17"/>
      <c r="G265" s="13" t="str">
        <f t="shared" ca="1" si="36"/>
        <v/>
      </c>
      <c r="H265" s="13" t="str">
        <f t="shared" ca="1" si="37"/>
        <v/>
      </c>
      <c r="I265" s="17" t="str">
        <f ca="1">IF(AND($B265="",$C265=""),"",VLOOKUP($A265,Table1[],2,FALSE))</f>
        <v/>
      </c>
    </row>
    <row r="266" spans="1:9" ht="27" customHeight="1" x14ac:dyDescent="0.25">
      <c r="A266" s="12" t="str">
        <f t="shared" ca="1" si="33"/>
        <v/>
      </c>
      <c r="B266" s="12" t="str">
        <f t="shared" ca="1" si="34"/>
        <v/>
      </c>
      <c r="C266" s="12" t="str">
        <f t="shared" ca="1" si="38"/>
        <v/>
      </c>
      <c r="D266" s="12" t="str">
        <f t="shared" ca="1" si="38"/>
        <v/>
      </c>
      <c r="E266" s="12" t="str">
        <f t="shared" ca="1" si="35"/>
        <v/>
      </c>
      <c r="F266" s="17"/>
      <c r="G266" s="13" t="str">
        <f t="shared" ca="1" si="36"/>
        <v/>
      </c>
      <c r="H266" s="13" t="str">
        <f t="shared" ca="1" si="37"/>
        <v/>
      </c>
      <c r="I266" s="17" t="str">
        <f ca="1">IF(AND($B266="",$C266=""),"",VLOOKUP($A266,Table1[],2,FALSE))</f>
        <v/>
      </c>
    </row>
    <row r="267" spans="1:9" ht="27" customHeight="1" x14ac:dyDescent="0.25">
      <c r="A267" s="12" t="str">
        <f t="shared" ca="1" si="33"/>
        <v/>
      </c>
      <c r="B267" s="12" t="str">
        <f t="shared" ca="1" si="34"/>
        <v/>
      </c>
      <c r="C267" s="12" t="str">
        <f t="shared" ca="1" si="38"/>
        <v/>
      </c>
      <c r="D267" s="12" t="str">
        <f t="shared" ca="1" si="38"/>
        <v/>
      </c>
      <c r="E267" s="12" t="str">
        <f t="shared" ca="1" si="35"/>
        <v/>
      </c>
      <c r="F267" s="17"/>
      <c r="G267" s="13" t="str">
        <f t="shared" ca="1" si="36"/>
        <v/>
      </c>
      <c r="H267" s="13" t="str">
        <f t="shared" ca="1" si="37"/>
        <v/>
      </c>
      <c r="I267" s="17" t="str">
        <f ca="1">IF(AND($B267="",$C267=""),"",VLOOKUP($A267,Table1[],2,FALSE))</f>
        <v/>
      </c>
    </row>
    <row r="268" spans="1:9" ht="27" customHeight="1" x14ac:dyDescent="0.25">
      <c r="A268" s="12" t="str">
        <f t="shared" ca="1" si="33"/>
        <v/>
      </c>
      <c r="B268" s="12" t="str">
        <f t="shared" ca="1" si="34"/>
        <v/>
      </c>
      <c r="C268" s="12" t="str">
        <f t="shared" ca="1" si="38"/>
        <v/>
      </c>
      <c r="D268" s="12" t="str">
        <f t="shared" ca="1" si="38"/>
        <v/>
      </c>
      <c r="E268" s="12" t="str">
        <f t="shared" ca="1" si="35"/>
        <v/>
      </c>
      <c r="F268" s="17"/>
      <c r="G268" s="13" t="str">
        <f t="shared" ca="1" si="36"/>
        <v/>
      </c>
      <c r="H268" s="13" t="str">
        <f t="shared" ca="1" si="37"/>
        <v/>
      </c>
      <c r="I268" s="17" t="str">
        <f ca="1">IF(AND($B268="",$C268=""),"",VLOOKUP($A268,Table1[],2,FALSE))</f>
        <v/>
      </c>
    </row>
    <row r="269" spans="1:9" ht="27" customHeight="1" x14ac:dyDescent="0.25">
      <c r="A269" s="12" t="str">
        <f t="shared" ca="1" si="33"/>
        <v/>
      </c>
      <c r="B269" s="12" t="str">
        <f t="shared" ca="1" si="34"/>
        <v/>
      </c>
      <c r="C269" s="12" t="str">
        <f t="shared" ca="1" si="38"/>
        <v/>
      </c>
      <c r="D269" s="12" t="str">
        <f t="shared" ca="1" si="38"/>
        <v/>
      </c>
      <c r="E269" s="12" t="str">
        <f t="shared" ca="1" si="35"/>
        <v/>
      </c>
      <c r="F269" s="17"/>
      <c r="G269" s="13" t="str">
        <f t="shared" ca="1" si="36"/>
        <v/>
      </c>
      <c r="H269" s="13" t="str">
        <f t="shared" ca="1" si="37"/>
        <v/>
      </c>
      <c r="I269" s="17" t="str">
        <f ca="1">IF(AND($B269="",$C269=""),"",VLOOKUP($A269,Table1[],2,FALSE))</f>
        <v/>
      </c>
    </row>
    <row r="270" spans="1:9" ht="27" customHeight="1" x14ac:dyDescent="0.25">
      <c r="A270" s="12" t="str">
        <f t="shared" ca="1" si="33"/>
        <v/>
      </c>
      <c r="B270" s="12" t="str">
        <f t="shared" ca="1" si="34"/>
        <v/>
      </c>
      <c r="C270" s="12" t="str">
        <f t="shared" ca="1" si="38"/>
        <v/>
      </c>
      <c r="D270" s="12" t="str">
        <f t="shared" ca="1" si="38"/>
        <v/>
      </c>
      <c r="E270" s="12" t="str">
        <f t="shared" ca="1" si="35"/>
        <v/>
      </c>
      <c r="F270" s="17"/>
      <c r="G270" s="13" t="str">
        <f t="shared" ca="1" si="36"/>
        <v/>
      </c>
      <c r="H270" s="13" t="str">
        <f t="shared" ca="1" si="37"/>
        <v/>
      </c>
      <c r="I270" s="17" t="str">
        <f ca="1">IF(AND($B270="",$C270=""),"",VLOOKUP($A270,Table1[],2,FALSE))</f>
        <v/>
      </c>
    </row>
    <row r="271" spans="1:9" ht="27" customHeight="1" x14ac:dyDescent="0.25">
      <c r="A271" s="12" t="str">
        <f t="shared" ca="1" si="33"/>
        <v/>
      </c>
      <c r="B271" s="12" t="str">
        <f t="shared" ca="1" si="34"/>
        <v/>
      </c>
      <c r="C271" s="12" t="str">
        <f t="shared" ca="1" si="38"/>
        <v/>
      </c>
      <c r="D271" s="12" t="str">
        <f t="shared" ca="1" si="38"/>
        <v/>
      </c>
      <c r="E271" s="12" t="str">
        <f t="shared" ca="1" si="35"/>
        <v/>
      </c>
      <c r="F271" s="17"/>
      <c r="G271" s="13" t="str">
        <f t="shared" ca="1" si="36"/>
        <v/>
      </c>
      <c r="H271" s="13" t="str">
        <f t="shared" ca="1" si="37"/>
        <v/>
      </c>
      <c r="I271" s="17" t="str">
        <f ca="1">IF(AND($B271="",$C271=""),"",VLOOKUP($A271,Table1[],2,FALSE))</f>
        <v/>
      </c>
    </row>
    <row r="272" spans="1:9" ht="27" customHeight="1" x14ac:dyDescent="0.25">
      <c r="A272" s="12" t="str">
        <f t="shared" ca="1" si="33"/>
        <v/>
      </c>
      <c r="B272" s="12" t="str">
        <f t="shared" ca="1" si="34"/>
        <v/>
      </c>
      <c r="C272" s="12" t="str">
        <f t="shared" ca="1" si="38"/>
        <v/>
      </c>
      <c r="D272" s="12" t="str">
        <f t="shared" ca="1" si="38"/>
        <v/>
      </c>
      <c r="E272" s="12" t="str">
        <f t="shared" ca="1" si="35"/>
        <v/>
      </c>
      <c r="F272" s="17"/>
      <c r="G272" s="13" t="str">
        <f t="shared" ca="1" si="36"/>
        <v/>
      </c>
      <c r="H272" s="13" t="str">
        <f t="shared" ca="1" si="37"/>
        <v/>
      </c>
      <c r="I272" s="17" t="str">
        <f ca="1">IF(AND($B272="",$C272=""),"",VLOOKUP($A272,Table1[],2,FALSE))</f>
        <v/>
      </c>
    </row>
    <row r="273" spans="1:9" ht="27" customHeight="1" x14ac:dyDescent="0.25">
      <c r="A273" s="12" t="str">
        <f t="shared" ca="1" si="33"/>
        <v/>
      </c>
      <c r="B273" s="12" t="str">
        <f t="shared" ca="1" si="34"/>
        <v/>
      </c>
      <c r="C273" s="12" t="str">
        <f t="shared" ca="1" si="38"/>
        <v/>
      </c>
      <c r="D273" s="12" t="str">
        <f t="shared" ca="1" si="38"/>
        <v/>
      </c>
      <c r="E273" s="12" t="str">
        <f t="shared" ca="1" si="35"/>
        <v/>
      </c>
      <c r="F273" s="17"/>
      <c r="G273" s="13" t="str">
        <f t="shared" ca="1" si="36"/>
        <v/>
      </c>
      <c r="H273" s="13" t="str">
        <f t="shared" ca="1" si="37"/>
        <v/>
      </c>
      <c r="I273" s="17" t="str">
        <f ca="1">IF(AND($B273="",$C273=""),"",VLOOKUP($A273,Table1[],2,FALSE))</f>
        <v/>
      </c>
    </row>
    <row r="274" spans="1:9" ht="27" customHeight="1" x14ac:dyDescent="0.25">
      <c r="A274" s="12" t="str">
        <f t="shared" ca="1" si="33"/>
        <v/>
      </c>
      <c r="B274" s="12" t="str">
        <f t="shared" ca="1" si="34"/>
        <v/>
      </c>
      <c r="C274" s="12" t="str">
        <f t="shared" ca="1" si="38"/>
        <v/>
      </c>
      <c r="D274" s="12" t="str">
        <f t="shared" ca="1" si="38"/>
        <v/>
      </c>
      <c r="E274" s="12" t="str">
        <f t="shared" ca="1" si="35"/>
        <v/>
      </c>
      <c r="F274" s="17"/>
      <c r="G274" s="13" t="str">
        <f t="shared" ca="1" si="36"/>
        <v/>
      </c>
      <c r="H274" s="13" t="str">
        <f t="shared" ca="1" si="37"/>
        <v/>
      </c>
      <c r="I274" s="17" t="str">
        <f ca="1">IF(AND($B274="",$C274=""),"",VLOOKUP($A274,Table1[],2,FALSE))</f>
        <v/>
      </c>
    </row>
    <row r="275" spans="1:9" ht="27" customHeight="1" x14ac:dyDescent="0.25">
      <c r="A275" s="12" t="str">
        <f t="shared" ca="1" si="33"/>
        <v/>
      </c>
      <c r="B275" s="12" t="str">
        <f t="shared" ca="1" si="34"/>
        <v/>
      </c>
      <c r="C275" s="12" t="str">
        <f t="shared" ca="1" si="38"/>
        <v/>
      </c>
      <c r="D275" s="12" t="str">
        <f t="shared" ca="1" si="38"/>
        <v/>
      </c>
      <c r="E275" s="12" t="str">
        <f t="shared" ca="1" si="35"/>
        <v/>
      </c>
      <c r="F275" s="17"/>
      <c r="G275" s="13" t="str">
        <f t="shared" ca="1" si="36"/>
        <v/>
      </c>
      <c r="H275" s="13" t="str">
        <f t="shared" ca="1" si="37"/>
        <v/>
      </c>
      <c r="I275" s="17" t="str">
        <f ca="1">IF(AND($B275="",$C275=""),"",VLOOKUP($A275,Table1[],2,FALSE))</f>
        <v/>
      </c>
    </row>
    <row r="276" spans="1:9" ht="27" customHeight="1" x14ac:dyDescent="0.25">
      <c r="A276" s="12" t="str">
        <f t="shared" ca="1" si="33"/>
        <v/>
      </c>
      <c r="B276" s="12" t="str">
        <f t="shared" ca="1" si="34"/>
        <v/>
      </c>
      <c r="C276" s="12" t="str">
        <f t="shared" ca="1" si="38"/>
        <v/>
      </c>
      <c r="D276" s="12" t="str">
        <f t="shared" ca="1" si="38"/>
        <v/>
      </c>
      <c r="E276" s="12" t="str">
        <f t="shared" ca="1" si="35"/>
        <v/>
      </c>
      <c r="F276" s="17"/>
      <c r="G276" s="13" t="str">
        <f t="shared" ca="1" si="36"/>
        <v/>
      </c>
      <c r="H276" s="13" t="str">
        <f t="shared" ca="1" si="37"/>
        <v/>
      </c>
      <c r="I276" s="17" t="str">
        <f ca="1">IF(AND($B276="",$C276=""),"",VLOOKUP($A276,Table1[],2,FALSE))</f>
        <v/>
      </c>
    </row>
    <row r="277" spans="1:9" ht="27" customHeight="1" x14ac:dyDescent="0.25">
      <c r="A277" s="12" t="str">
        <f t="shared" ca="1" si="33"/>
        <v/>
      </c>
      <c r="B277" s="12" t="str">
        <f t="shared" ca="1" si="34"/>
        <v/>
      </c>
      <c r="C277" s="12" t="str">
        <f t="shared" ca="1" si="38"/>
        <v/>
      </c>
      <c r="D277" s="12" t="str">
        <f t="shared" ca="1" si="38"/>
        <v/>
      </c>
      <c r="E277" s="12" t="str">
        <f t="shared" ca="1" si="35"/>
        <v/>
      </c>
      <c r="F277" s="17"/>
      <c r="G277" s="13" t="str">
        <f t="shared" ca="1" si="36"/>
        <v/>
      </c>
      <c r="H277" s="13" t="str">
        <f t="shared" ca="1" si="37"/>
        <v/>
      </c>
      <c r="I277" s="17" t="str">
        <f ca="1">IF(AND($B277="",$C277=""),"",VLOOKUP($A277,Table1[],2,FALSE))</f>
        <v/>
      </c>
    </row>
    <row r="278" spans="1:9" ht="27" customHeight="1" x14ac:dyDescent="0.25">
      <c r="A278" s="12" t="str">
        <f t="shared" ca="1" si="33"/>
        <v/>
      </c>
      <c r="B278" s="12" t="str">
        <f t="shared" ca="1" si="34"/>
        <v/>
      </c>
      <c r="C278" s="12" t="str">
        <f t="shared" ca="1" si="38"/>
        <v/>
      </c>
      <c r="D278" s="12" t="str">
        <f t="shared" ca="1" si="38"/>
        <v/>
      </c>
      <c r="E278" s="12" t="str">
        <f t="shared" ca="1" si="35"/>
        <v/>
      </c>
      <c r="F278" s="17"/>
      <c r="G278" s="13" t="str">
        <f t="shared" ca="1" si="36"/>
        <v/>
      </c>
      <c r="H278" s="13" t="str">
        <f t="shared" ca="1" si="37"/>
        <v/>
      </c>
      <c r="I278" s="17" t="str">
        <f ca="1">IF(AND($B278="",$C278=""),"",VLOOKUP($A278,Table1[],2,FALSE))</f>
        <v/>
      </c>
    </row>
    <row r="279" spans="1:9" ht="27" customHeight="1" x14ac:dyDescent="0.25">
      <c r="A279" s="12" t="str">
        <f t="shared" ca="1" si="33"/>
        <v/>
      </c>
      <c r="B279" s="12" t="str">
        <f t="shared" ca="1" si="34"/>
        <v/>
      </c>
      <c r="C279" s="12" t="str">
        <f t="shared" ca="1" si="38"/>
        <v/>
      </c>
      <c r="D279" s="12" t="str">
        <f t="shared" ca="1" si="38"/>
        <v/>
      </c>
      <c r="E279" s="12" t="str">
        <f t="shared" ca="1" si="35"/>
        <v/>
      </c>
      <c r="F279" s="17"/>
      <c r="G279" s="13" t="str">
        <f t="shared" ca="1" si="36"/>
        <v/>
      </c>
      <c r="H279" s="13" t="str">
        <f t="shared" ca="1" si="37"/>
        <v/>
      </c>
      <c r="I279" s="17" t="str">
        <f ca="1">IF(AND($B279="",$C279=""),"",VLOOKUP($A279,Table1[],2,FALSE))</f>
        <v/>
      </c>
    </row>
    <row r="280" spans="1:9" ht="27" customHeight="1" x14ac:dyDescent="0.25">
      <c r="A280" s="12" t="str">
        <f t="shared" ca="1" si="33"/>
        <v/>
      </c>
      <c r="B280" s="12" t="str">
        <f t="shared" ca="1" si="34"/>
        <v/>
      </c>
      <c r="C280" s="12" t="str">
        <f t="shared" ca="1" si="38"/>
        <v/>
      </c>
      <c r="D280" s="12" t="str">
        <f t="shared" ca="1" si="38"/>
        <v/>
      </c>
      <c r="E280" s="12" t="str">
        <f t="shared" ca="1" si="35"/>
        <v/>
      </c>
      <c r="F280" s="17"/>
      <c r="G280" s="13" t="str">
        <f t="shared" ca="1" si="36"/>
        <v/>
      </c>
      <c r="H280" s="13" t="str">
        <f t="shared" ca="1" si="37"/>
        <v/>
      </c>
      <c r="I280" s="17" t="str">
        <f ca="1">IF(AND($B280="",$C280=""),"",VLOOKUP($A280,Table1[],2,FALSE))</f>
        <v/>
      </c>
    </row>
    <row r="281" spans="1:9" ht="27" customHeight="1" x14ac:dyDescent="0.25">
      <c r="A281" s="12" t="str">
        <f t="shared" ca="1" si="33"/>
        <v/>
      </c>
      <c r="B281" s="12" t="str">
        <f t="shared" ca="1" si="34"/>
        <v/>
      </c>
      <c r="C281" s="12" t="str">
        <f t="shared" ca="1" si="38"/>
        <v/>
      </c>
      <c r="D281" s="12" t="str">
        <f t="shared" ca="1" si="38"/>
        <v/>
      </c>
      <c r="E281" s="12" t="str">
        <f t="shared" ca="1" si="35"/>
        <v/>
      </c>
      <c r="F281" s="17"/>
      <c r="G281" s="13" t="str">
        <f t="shared" ca="1" si="36"/>
        <v/>
      </c>
      <c r="H281" s="13" t="str">
        <f t="shared" ca="1" si="37"/>
        <v/>
      </c>
      <c r="I281" s="17" t="str">
        <f ca="1">IF(AND($B281="",$C281=""),"",VLOOKUP($A281,Table1[],2,FALSE))</f>
        <v/>
      </c>
    </row>
    <row r="282" spans="1:9" ht="27" customHeight="1" x14ac:dyDescent="0.25">
      <c r="A282" s="12" t="str">
        <f t="shared" ca="1" si="33"/>
        <v/>
      </c>
      <c r="B282" s="12" t="str">
        <f t="shared" ca="1" si="34"/>
        <v/>
      </c>
      <c r="C282" s="12" t="str">
        <f t="shared" ref="C282:D301" ca="1" si="39">TEXT( INDIRECT( ADDRESS( ROW() + Row_Offset, INDIRECT( "Column_Number_" &amp; C$1), 4,1, tabname) ), "")</f>
        <v/>
      </c>
      <c r="D282" s="12" t="str">
        <f t="shared" ca="1" si="39"/>
        <v/>
      </c>
      <c r="E282" s="12" t="str">
        <f t="shared" ca="1" si="35"/>
        <v/>
      </c>
      <c r="F282" s="17"/>
      <c r="G282" s="13" t="str">
        <f t="shared" ca="1" si="36"/>
        <v/>
      </c>
      <c r="H282" s="13" t="str">
        <f t="shared" ca="1" si="37"/>
        <v/>
      </c>
      <c r="I282" s="17" t="str">
        <f ca="1">IF(AND($B282="",$C282=""),"",VLOOKUP($A282,Table1[],2,FALSE))</f>
        <v/>
      </c>
    </row>
    <row r="283" spans="1:9" ht="27" customHeight="1" x14ac:dyDescent="0.25">
      <c r="A283" s="12" t="str">
        <f t="shared" ca="1" si="33"/>
        <v/>
      </c>
      <c r="B283" s="12" t="str">
        <f t="shared" ca="1" si="34"/>
        <v/>
      </c>
      <c r="C283" s="12" t="str">
        <f t="shared" ca="1" si="39"/>
        <v/>
      </c>
      <c r="D283" s="12" t="str">
        <f t="shared" ca="1" si="39"/>
        <v/>
      </c>
      <c r="E283" s="12" t="str">
        <f t="shared" ca="1" si="35"/>
        <v/>
      </c>
      <c r="F283" s="17"/>
      <c r="G283" s="13" t="str">
        <f t="shared" ca="1" si="36"/>
        <v/>
      </c>
      <c r="H283" s="13" t="str">
        <f t="shared" ca="1" si="37"/>
        <v/>
      </c>
      <c r="I283" s="17" t="str">
        <f ca="1">IF(AND($B283="",$C283=""),"",VLOOKUP($A283,Table1[],2,FALSE))</f>
        <v/>
      </c>
    </row>
    <row r="284" spans="1:9" ht="27" customHeight="1" x14ac:dyDescent="0.25">
      <c r="A284" s="12" t="str">
        <f t="shared" ca="1" si="33"/>
        <v/>
      </c>
      <c r="B284" s="12" t="str">
        <f t="shared" ca="1" si="34"/>
        <v/>
      </c>
      <c r="C284" s="12" t="str">
        <f t="shared" ca="1" si="39"/>
        <v/>
      </c>
      <c r="D284" s="12" t="str">
        <f t="shared" ca="1" si="39"/>
        <v/>
      </c>
      <c r="E284" s="12" t="str">
        <f t="shared" ca="1" si="35"/>
        <v/>
      </c>
      <c r="F284" s="17"/>
      <c r="G284" s="13" t="str">
        <f t="shared" ca="1" si="36"/>
        <v/>
      </c>
      <c r="H284" s="13" t="str">
        <f t="shared" ca="1" si="37"/>
        <v/>
      </c>
      <c r="I284" s="17" t="str">
        <f ca="1">IF(AND($B284="",$C284=""),"",VLOOKUP($A284,Table1[],2,FALSE))</f>
        <v/>
      </c>
    </row>
    <row r="285" spans="1:9" ht="27" customHeight="1" x14ac:dyDescent="0.25">
      <c r="A285" s="12" t="str">
        <f t="shared" ca="1" si="33"/>
        <v/>
      </c>
      <c r="B285" s="12" t="str">
        <f t="shared" ca="1" si="34"/>
        <v/>
      </c>
      <c r="C285" s="12" t="str">
        <f t="shared" ca="1" si="39"/>
        <v/>
      </c>
      <c r="D285" s="12" t="str">
        <f t="shared" ca="1" si="39"/>
        <v/>
      </c>
      <c r="E285" s="12" t="str">
        <f t="shared" ca="1" si="35"/>
        <v/>
      </c>
      <c r="F285" s="17"/>
      <c r="G285" s="13" t="str">
        <f t="shared" ca="1" si="36"/>
        <v/>
      </c>
      <c r="H285" s="13" t="str">
        <f t="shared" ca="1" si="37"/>
        <v/>
      </c>
      <c r="I285" s="17" t="str">
        <f ca="1">IF(AND($B285="",$C285=""),"",VLOOKUP($A285,Table1[],2,FALSE))</f>
        <v/>
      </c>
    </row>
    <row r="286" spans="1:9" ht="27" customHeight="1" x14ac:dyDescent="0.25">
      <c r="A286" s="12" t="str">
        <f t="shared" ca="1" si="33"/>
        <v/>
      </c>
      <c r="B286" s="12" t="str">
        <f t="shared" ca="1" si="34"/>
        <v/>
      </c>
      <c r="C286" s="12" t="str">
        <f t="shared" ca="1" si="39"/>
        <v/>
      </c>
      <c r="D286" s="12" t="str">
        <f t="shared" ca="1" si="39"/>
        <v/>
      </c>
      <c r="E286" s="12" t="str">
        <f t="shared" ca="1" si="35"/>
        <v/>
      </c>
      <c r="F286" s="17"/>
      <c r="G286" s="13" t="str">
        <f t="shared" ca="1" si="36"/>
        <v/>
      </c>
      <c r="H286" s="13" t="str">
        <f t="shared" ca="1" si="37"/>
        <v/>
      </c>
      <c r="I286" s="17" t="str">
        <f ca="1">IF(AND($B286="",$C286=""),"",VLOOKUP($A286,Table1[],2,FALSE))</f>
        <v/>
      </c>
    </row>
    <row r="287" spans="1:9" ht="27" customHeight="1" x14ac:dyDescent="0.25">
      <c r="A287" s="12" t="str">
        <f t="shared" ca="1" si="33"/>
        <v/>
      </c>
      <c r="B287" s="12" t="str">
        <f t="shared" ca="1" si="34"/>
        <v/>
      </c>
      <c r="C287" s="12" t="str">
        <f t="shared" ca="1" si="39"/>
        <v/>
      </c>
      <c r="D287" s="12" t="str">
        <f t="shared" ca="1" si="39"/>
        <v/>
      </c>
      <c r="E287" s="12" t="str">
        <f t="shared" ca="1" si="35"/>
        <v/>
      </c>
      <c r="F287" s="17"/>
      <c r="G287" s="13" t="str">
        <f t="shared" ca="1" si="36"/>
        <v/>
      </c>
      <c r="H287" s="13" t="str">
        <f t="shared" ca="1" si="37"/>
        <v/>
      </c>
      <c r="I287" s="17" t="str">
        <f ca="1">IF(AND($B287="",$C287=""),"",VLOOKUP($A287,Table1[],2,FALSE))</f>
        <v/>
      </c>
    </row>
    <row r="288" spans="1:9" ht="27" customHeight="1" x14ac:dyDescent="0.25">
      <c r="A288" s="12" t="str">
        <f t="shared" ca="1" si="33"/>
        <v/>
      </c>
      <c r="B288" s="12" t="str">
        <f t="shared" ca="1" si="34"/>
        <v/>
      </c>
      <c r="C288" s="12" t="str">
        <f t="shared" ca="1" si="39"/>
        <v/>
      </c>
      <c r="D288" s="12" t="str">
        <f t="shared" ca="1" si="39"/>
        <v/>
      </c>
      <c r="E288" s="12" t="str">
        <f t="shared" ca="1" si="35"/>
        <v/>
      </c>
      <c r="F288" s="17"/>
      <c r="G288" s="13" t="str">
        <f t="shared" ca="1" si="36"/>
        <v/>
      </c>
      <c r="H288" s="13" t="str">
        <f t="shared" ca="1" si="37"/>
        <v/>
      </c>
      <c r="I288" s="17" t="str">
        <f ca="1">IF(AND($B288="",$C288=""),"",VLOOKUP($A288,Table1[],2,FALSE))</f>
        <v/>
      </c>
    </row>
    <row r="289" spans="1:9" ht="27" customHeight="1" x14ac:dyDescent="0.25">
      <c r="A289" s="12" t="str">
        <f t="shared" ca="1" si="33"/>
        <v/>
      </c>
      <c r="B289" s="12" t="str">
        <f t="shared" ca="1" si="34"/>
        <v/>
      </c>
      <c r="C289" s="12" t="str">
        <f t="shared" ca="1" si="39"/>
        <v/>
      </c>
      <c r="D289" s="12" t="str">
        <f t="shared" ca="1" si="39"/>
        <v/>
      </c>
      <c r="E289" s="12" t="str">
        <f t="shared" ca="1" si="35"/>
        <v/>
      </c>
      <c r="F289" s="17"/>
      <c r="G289" s="13" t="str">
        <f t="shared" ca="1" si="36"/>
        <v/>
      </c>
      <c r="H289" s="13" t="str">
        <f t="shared" ca="1" si="37"/>
        <v/>
      </c>
      <c r="I289" s="17" t="str">
        <f ca="1">IF(AND($B289="",$C289=""),"",VLOOKUP($A289,Table1[],2,FALSE))</f>
        <v/>
      </c>
    </row>
    <row r="290" spans="1:9" ht="27" customHeight="1" x14ac:dyDescent="0.25">
      <c r="A290" s="12" t="str">
        <f t="shared" ca="1" si="33"/>
        <v/>
      </c>
      <c r="B290" s="12" t="str">
        <f t="shared" ca="1" si="34"/>
        <v/>
      </c>
      <c r="C290" s="12" t="str">
        <f t="shared" ca="1" si="39"/>
        <v/>
      </c>
      <c r="D290" s="12" t="str">
        <f t="shared" ca="1" si="39"/>
        <v/>
      </c>
      <c r="E290" s="12" t="str">
        <f t="shared" ca="1" si="35"/>
        <v/>
      </c>
      <c r="F290" s="17"/>
      <c r="G290" s="13" t="str">
        <f t="shared" ca="1" si="36"/>
        <v/>
      </c>
      <c r="H290" s="13" t="str">
        <f t="shared" ca="1" si="37"/>
        <v/>
      </c>
      <c r="I290" s="17" t="str">
        <f ca="1">IF(AND($B290="",$C290=""),"",VLOOKUP($A290,Table1[],2,FALSE))</f>
        <v/>
      </c>
    </row>
    <row r="291" spans="1:9" ht="27" customHeight="1" x14ac:dyDescent="0.25">
      <c r="A291" s="12" t="str">
        <f t="shared" ca="1" si="33"/>
        <v/>
      </c>
      <c r="B291" s="12" t="str">
        <f t="shared" ca="1" si="34"/>
        <v/>
      </c>
      <c r="C291" s="12" t="str">
        <f t="shared" ca="1" si="39"/>
        <v/>
      </c>
      <c r="D291" s="12" t="str">
        <f t="shared" ca="1" si="39"/>
        <v/>
      </c>
      <c r="E291" s="12" t="str">
        <f t="shared" ca="1" si="35"/>
        <v/>
      </c>
      <c r="F291" s="17"/>
      <c r="G291" s="13" t="str">
        <f t="shared" ca="1" si="36"/>
        <v/>
      </c>
      <c r="H291" s="13" t="str">
        <f t="shared" ca="1" si="37"/>
        <v/>
      </c>
      <c r="I291" s="17" t="str">
        <f ca="1">IF(AND($B291="",$C291=""),"",VLOOKUP($A291,Table1[],2,FALSE))</f>
        <v/>
      </c>
    </row>
    <row r="292" spans="1:9" ht="27" customHeight="1" x14ac:dyDescent="0.25">
      <c r="A292" s="12" t="str">
        <f t="shared" ca="1" si="33"/>
        <v/>
      </c>
      <c r="B292" s="12" t="str">
        <f t="shared" ca="1" si="34"/>
        <v/>
      </c>
      <c r="C292" s="12" t="str">
        <f t="shared" ca="1" si="39"/>
        <v/>
      </c>
      <c r="D292" s="12" t="str">
        <f t="shared" ca="1" si="39"/>
        <v/>
      </c>
      <c r="E292" s="12" t="str">
        <f t="shared" ca="1" si="35"/>
        <v/>
      </c>
      <c r="F292" s="17"/>
      <c r="G292" s="13" t="str">
        <f t="shared" ca="1" si="36"/>
        <v/>
      </c>
      <c r="H292" s="13" t="str">
        <f t="shared" ca="1" si="37"/>
        <v/>
      </c>
      <c r="I292" s="17" t="str">
        <f ca="1">IF(AND($B292="",$C292=""),"",VLOOKUP($A292,Table1[],2,FALSE))</f>
        <v/>
      </c>
    </row>
    <row r="293" spans="1:9" ht="27" customHeight="1" x14ac:dyDescent="0.25">
      <c r="A293" s="12" t="str">
        <f t="shared" ca="1" si="33"/>
        <v/>
      </c>
      <c r="B293" s="12" t="str">
        <f t="shared" ca="1" si="34"/>
        <v/>
      </c>
      <c r="C293" s="12" t="str">
        <f t="shared" ca="1" si="39"/>
        <v/>
      </c>
      <c r="D293" s="12" t="str">
        <f t="shared" ca="1" si="39"/>
        <v/>
      </c>
      <c r="E293" s="12" t="str">
        <f t="shared" ca="1" si="35"/>
        <v/>
      </c>
      <c r="F293" s="17"/>
      <c r="G293" s="13" t="str">
        <f t="shared" ca="1" si="36"/>
        <v/>
      </c>
      <c r="H293" s="13" t="str">
        <f t="shared" ca="1" si="37"/>
        <v/>
      </c>
      <c r="I293" s="17" t="str">
        <f ca="1">IF(AND($B293="",$C293=""),"",VLOOKUP($A293,Table1[],2,FALSE))</f>
        <v/>
      </c>
    </row>
    <row r="294" spans="1:9" ht="27" customHeight="1" x14ac:dyDescent="0.25">
      <c r="A294" s="12" t="str">
        <f t="shared" ca="1" si="33"/>
        <v/>
      </c>
      <c r="B294" s="12" t="str">
        <f t="shared" ca="1" si="34"/>
        <v/>
      </c>
      <c r="C294" s="12" t="str">
        <f t="shared" ca="1" si="39"/>
        <v/>
      </c>
      <c r="D294" s="12" t="str">
        <f t="shared" ca="1" si="39"/>
        <v/>
      </c>
      <c r="E294" s="12" t="str">
        <f t="shared" ca="1" si="35"/>
        <v/>
      </c>
      <c r="F294" s="17"/>
      <c r="G294" s="13" t="str">
        <f t="shared" ca="1" si="36"/>
        <v/>
      </c>
      <c r="H294" s="13" t="str">
        <f t="shared" ca="1" si="37"/>
        <v/>
      </c>
      <c r="I294" s="17" t="str">
        <f ca="1">IF(AND($B294="",$C294=""),"",VLOOKUP($A294,Table1[],2,FALSE))</f>
        <v/>
      </c>
    </row>
    <row r="295" spans="1:9" ht="27" customHeight="1" x14ac:dyDescent="0.25">
      <c r="A295" s="12" t="str">
        <f t="shared" ca="1" si="33"/>
        <v/>
      </c>
      <c r="B295" s="12" t="str">
        <f t="shared" ca="1" si="34"/>
        <v/>
      </c>
      <c r="C295" s="12" t="str">
        <f t="shared" ca="1" si="39"/>
        <v/>
      </c>
      <c r="D295" s="12" t="str">
        <f t="shared" ca="1" si="39"/>
        <v/>
      </c>
      <c r="E295" s="12" t="str">
        <f t="shared" ca="1" si="35"/>
        <v/>
      </c>
      <c r="F295" s="17"/>
      <c r="G295" s="13" t="str">
        <f t="shared" ca="1" si="36"/>
        <v/>
      </c>
      <c r="H295" s="13" t="str">
        <f t="shared" ca="1" si="37"/>
        <v/>
      </c>
      <c r="I295" s="17" t="str">
        <f ca="1">IF(AND($B295="",$C295=""),"",VLOOKUP($A295,Table1[],2,FALSE))</f>
        <v/>
      </c>
    </row>
    <row r="296" spans="1:9" ht="27" customHeight="1" x14ac:dyDescent="0.25">
      <c r="A296" s="12" t="str">
        <f t="shared" ca="1" si="33"/>
        <v/>
      </c>
      <c r="B296" s="12" t="str">
        <f t="shared" ca="1" si="34"/>
        <v/>
      </c>
      <c r="C296" s="12" t="str">
        <f t="shared" ca="1" si="39"/>
        <v/>
      </c>
      <c r="D296" s="12" t="str">
        <f t="shared" ca="1" si="39"/>
        <v/>
      </c>
      <c r="E296" s="12" t="str">
        <f t="shared" ca="1" si="35"/>
        <v/>
      </c>
      <c r="F296" s="17"/>
      <c r="G296" s="13" t="str">
        <f t="shared" ca="1" si="36"/>
        <v/>
      </c>
      <c r="H296" s="13" t="str">
        <f t="shared" ca="1" si="37"/>
        <v/>
      </c>
      <c r="I296" s="17" t="str">
        <f ca="1">IF(AND($B296="",$C296=""),"",VLOOKUP($A296,Table1[],2,FALSE))</f>
        <v/>
      </c>
    </row>
    <row r="297" spans="1:9" ht="27" customHeight="1" x14ac:dyDescent="0.25">
      <c r="A297" s="12" t="str">
        <f t="shared" ca="1" si="33"/>
        <v/>
      </c>
      <c r="B297" s="12" t="str">
        <f t="shared" ca="1" si="34"/>
        <v/>
      </c>
      <c r="C297" s="12" t="str">
        <f t="shared" ca="1" si="39"/>
        <v/>
      </c>
      <c r="D297" s="12" t="str">
        <f t="shared" ca="1" si="39"/>
        <v/>
      </c>
      <c r="E297" s="12" t="str">
        <f t="shared" ca="1" si="35"/>
        <v/>
      </c>
      <c r="F297" s="17"/>
      <c r="G297" s="13" t="str">
        <f t="shared" ca="1" si="36"/>
        <v/>
      </c>
      <c r="H297" s="13" t="str">
        <f t="shared" ca="1" si="37"/>
        <v/>
      </c>
      <c r="I297" s="17" t="str">
        <f ca="1">IF(AND($B297="",$C297=""),"",VLOOKUP($A297,Table1[],2,FALSE))</f>
        <v/>
      </c>
    </row>
    <row r="298" spans="1:9" ht="27" customHeight="1" x14ac:dyDescent="0.25">
      <c r="A298" s="12" t="str">
        <f t="shared" ca="1" si="33"/>
        <v/>
      </c>
      <c r="B298" s="12" t="str">
        <f t="shared" ca="1" si="34"/>
        <v/>
      </c>
      <c r="C298" s="12" t="str">
        <f t="shared" ca="1" si="39"/>
        <v/>
      </c>
      <c r="D298" s="12" t="str">
        <f t="shared" ca="1" si="39"/>
        <v/>
      </c>
      <c r="E298" s="12" t="str">
        <f t="shared" ca="1" si="35"/>
        <v/>
      </c>
      <c r="F298" s="17"/>
      <c r="G298" s="13" t="str">
        <f t="shared" ca="1" si="36"/>
        <v/>
      </c>
      <c r="H298" s="13" t="str">
        <f t="shared" ca="1" si="37"/>
        <v/>
      </c>
      <c r="I298" s="17" t="str">
        <f ca="1">IF(AND($B298="",$C298=""),"",VLOOKUP($A298,Table1[],2,FALSE))</f>
        <v/>
      </c>
    </row>
    <row r="299" spans="1:9" ht="27" customHeight="1" x14ac:dyDescent="0.25">
      <c r="A299" s="12" t="str">
        <f t="shared" ca="1" si="33"/>
        <v/>
      </c>
      <c r="B299" s="12" t="str">
        <f t="shared" ca="1" si="34"/>
        <v/>
      </c>
      <c r="C299" s="12" t="str">
        <f t="shared" ca="1" si="39"/>
        <v/>
      </c>
      <c r="D299" s="12" t="str">
        <f t="shared" ca="1" si="39"/>
        <v/>
      </c>
      <c r="E299" s="12" t="str">
        <f t="shared" ca="1" si="35"/>
        <v/>
      </c>
      <c r="F299" s="17"/>
      <c r="G299" s="13" t="str">
        <f t="shared" ca="1" si="36"/>
        <v/>
      </c>
      <c r="H299" s="13" t="str">
        <f t="shared" ca="1" si="37"/>
        <v/>
      </c>
      <c r="I299" s="17" t="str">
        <f ca="1">IF(AND($B299="",$C299=""),"",VLOOKUP($A299,Table1[],2,FALSE))</f>
        <v/>
      </c>
    </row>
    <row r="300" spans="1:9" ht="27" customHeight="1" x14ac:dyDescent="0.25">
      <c r="A300" s="12" t="str">
        <f t="shared" ca="1" si="33"/>
        <v/>
      </c>
      <c r="B300" s="12" t="str">
        <f t="shared" ca="1" si="34"/>
        <v/>
      </c>
      <c r="C300" s="12" t="str">
        <f t="shared" ca="1" si="39"/>
        <v/>
      </c>
      <c r="D300" s="12" t="str">
        <f t="shared" ca="1" si="39"/>
        <v/>
      </c>
      <c r="E300" s="12" t="str">
        <f t="shared" ca="1" si="35"/>
        <v/>
      </c>
      <c r="F300" s="17"/>
      <c r="G300" s="13" t="str">
        <f t="shared" ca="1" si="36"/>
        <v/>
      </c>
      <c r="H300" s="13" t="str">
        <f t="shared" ca="1" si="37"/>
        <v/>
      </c>
      <c r="I300" s="17" t="str">
        <f ca="1">IF(AND($B300="",$C300=""),"",VLOOKUP($A300,Table1[],2,FALSE))</f>
        <v/>
      </c>
    </row>
    <row r="301" spans="1:9" ht="27" customHeight="1" x14ac:dyDescent="0.25">
      <c r="A301" s="12" t="str">
        <f t="shared" ca="1" si="33"/>
        <v/>
      </c>
      <c r="B301" s="12" t="str">
        <f t="shared" ca="1" si="34"/>
        <v/>
      </c>
      <c r="C301" s="12" t="str">
        <f t="shared" ca="1" si="39"/>
        <v/>
      </c>
      <c r="D301" s="12" t="str">
        <f t="shared" ca="1" si="39"/>
        <v/>
      </c>
      <c r="E301" s="12" t="str">
        <f t="shared" ca="1" si="35"/>
        <v/>
      </c>
      <c r="F301" s="17"/>
      <c r="G301" s="13" t="str">
        <f t="shared" ca="1" si="36"/>
        <v/>
      </c>
      <c r="H301" s="13" t="str">
        <f t="shared" ca="1" si="37"/>
        <v/>
      </c>
      <c r="I301" s="17" t="str">
        <f ca="1">IF(AND($B301="",$C301=""),"",VLOOKUP($A301,Table1[],2,FALSE))</f>
        <v/>
      </c>
    </row>
    <row r="302" spans="1:9" ht="27" customHeight="1" x14ac:dyDescent="0.25">
      <c r="A302" s="12" t="str">
        <f t="shared" ca="1" si="33"/>
        <v/>
      </c>
      <c r="B302" s="12" t="str">
        <f t="shared" ca="1" si="34"/>
        <v/>
      </c>
      <c r="C302" s="12" t="str">
        <f t="shared" ref="C302:D321" ca="1" si="40">TEXT( INDIRECT( ADDRESS( ROW() + Row_Offset, INDIRECT( "Column_Number_" &amp; C$1), 4,1, tabname) ), "")</f>
        <v/>
      </c>
      <c r="D302" s="12" t="str">
        <f t="shared" ca="1" si="40"/>
        <v/>
      </c>
      <c r="E302" s="12" t="str">
        <f t="shared" ca="1" si="35"/>
        <v/>
      </c>
      <c r="F302" s="17"/>
      <c r="G302" s="13" t="str">
        <f t="shared" ca="1" si="36"/>
        <v/>
      </c>
      <c r="H302" s="13" t="str">
        <f t="shared" ca="1" si="37"/>
        <v/>
      </c>
      <c r="I302" s="17" t="str">
        <f ca="1">IF(AND($B302="",$C302=""),"",VLOOKUP($A302,Table1[],2,FALSE))</f>
        <v/>
      </c>
    </row>
    <row r="303" spans="1:9" ht="27" customHeight="1" x14ac:dyDescent="0.25">
      <c r="A303" s="12" t="str">
        <f t="shared" ca="1" si="33"/>
        <v/>
      </c>
      <c r="B303" s="12" t="str">
        <f t="shared" ca="1" si="34"/>
        <v/>
      </c>
      <c r="C303" s="12" t="str">
        <f t="shared" ca="1" si="40"/>
        <v/>
      </c>
      <c r="D303" s="12" t="str">
        <f t="shared" ca="1" si="40"/>
        <v/>
      </c>
      <c r="E303" s="12" t="str">
        <f t="shared" ca="1" si="35"/>
        <v/>
      </c>
      <c r="F303" s="17"/>
      <c r="G303" s="13" t="str">
        <f t="shared" ca="1" si="36"/>
        <v/>
      </c>
      <c r="H303" s="13" t="str">
        <f t="shared" ca="1" si="37"/>
        <v/>
      </c>
      <c r="I303" s="17" t="str">
        <f ca="1">IF(AND($B303="",$C303=""),"",VLOOKUP($A303,Table1[],2,FALSE))</f>
        <v/>
      </c>
    </row>
    <row r="304" spans="1:9" ht="27" customHeight="1" x14ac:dyDescent="0.25">
      <c r="A304" s="12" t="str">
        <f t="shared" ca="1" si="33"/>
        <v/>
      </c>
      <c r="B304" s="12" t="str">
        <f t="shared" ca="1" si="34"/>
        <v/>
      </c>
      <c r="C304" s="12" t="str">
        <f t="shared" ca="1" si="40"/>
        <v/>
      </c>
      <c r="D304" s="12" t="str">
        <f t="shared" ca="1" si="40"/>
        <v/>
      </c>
      <c r="E304" s="12" t="str">
        <f t="shared" ca="1" si="35"/>
        <v/>
      </c>
      <c r="F304" s="17"/>
      <c r="G304" s="13" t="str">
        <f t="shared" ca="1" si="36"/>
        <v/>
      </c>
      <c r="H304" s="13" t="str">
        <f t="shared" ca="1" si="37"/>
        <v/>
      </c>
      <c r="I304" s="17" t="str">
        <f ca="1">IF(AND($B304="",$C304=""),"",VLOOKUP($A304,Table1[],2,FALSE))</f>
        <v/>
      </c>
    </row>
    <row r="305" spans="1:9" ht="27" customHeight="1" x14ac:dyDescent="0.25">
      <c r="A305" s="12" t="str">
        <f t="shared" ca="1" si="33"/>
        <v/>
      </c>
      <c r="B305" s="12" t="str">
        <f t="shared" ca="1" si="34"/>
        <v/>
      </c>
      <c r="C305" s="12" t="str">
        <f t="shared" ca="1" si="40"/>
        <v/>
      </c>
      <c r="D305" s="12" t="str">
        <f t="shared" ca="1" si="40"/>
        <v/>
      </c>
      <c r="E305" s="12" t="str">
        <f t="shared" ca="1" si="35"/>
        <v/>
      </c>
      <c r="F305" s="17"/>
      <c r="G305" s="13" t="str">
        <f t="shared" ca="1" si="36"/>
        <v/>
      </c>
      <c r="H305" s="13" t="str">
        <f t="shared" ca="1" si="37"/>
        <v/>
      </c>
      <c r="I305" s="17" t="str">
        <f ca="1">IF(AND($B305="",$C305=""),"",VLOOKUP($A305,Table1[],2,FALSE))</f>
        <v/>
      </c>
    </row>
    <row r="306" spans="1:9" ht="27" customHeight="1" x14ac:dyDescent="0.25">
      <c r="A306" s="12" t="str">
        <f t="shared" ca="1" si="33"/>
        <v/>
      </c>
      <c r="B306" s="12" t="str">
        <f t="shared" ca="1" si="34"/>
        <v/>
      </c>
      <c r="C306" s="12" t="str">
        <f t="shared" ca="1" si="40"/>
        <v/>
      </c>
      <c r="D306" s="12" t="str">
        <f t="shared" ca="1" si="40"/>
        <v/>
      </c>
      <c r="E306" s="12" t="str">
        <f t="shared" ca="1" si="35"/>
        <v/>
      </c>
      <c r="F306" s="17"/>
      <c r="G306" s="13" t="str">
        <f t="shared" ca="1" si="36"/>
        <v/>
      </c>
      <c r="H306" s="13" t="str">
        <f t="shared" ca="1" si="37"/>
        <v/>
      </c>
      <c r="I306" s="17" t="str">
        <f ca="1">IF(AND($B306="",$C306=""),"",VLOOKUP($A306,Table1[],2,FALSE))</f>
        <v/>
      </c>
    </row>
    <row r="307" spans="1:9" ht="27" customHeight="1" x14ac:dyDescent="0.25">
      <c r="A307" s="12" t="str">
        <f t="shared" ca="1" si="33"/>
        <v/>
      </c>
      <c r="B307" s="12" t="str">
        <f t="shared" ca="1" si="34"/>
        <v/>
      </c>
      <c r="C307" s="12" t="str">
        <f t="shared" ca="1" si="40"/>
        <v/>
      </c>
      <c r="D307" s="12" t="str">
        <f t="shared" ca="1" si="40"/>
        <v/>
      </c>
      <c r="E307" s="12" t="str">
        <f t="shared" ca="1" si="35"/>
        <v/>
      </c>
      <c r="F307" s="17"/>
      <c r="G307" s="13" t="str">
        <f t="shared" ca="1" si="36"/>
        <v/>
      </c>
      <c r="H307" s="13" t="str">
        <f t="shared" ca="1" si="37"/>
        <v/>
      </c>
      <c r="I307" s="17" t="str">
        <f ca="1">IF(AND($B307="",$C307=""),"",VLOOKUP($A307,Table1[],2,FALSE))</f>
        <v/>
      </c>
    </row>
    <row r="308" spans="1:9" ht="27" customHeight="1" x14ac:dyDescent="0.25">
      <c r="A308" s="12" t="str">
        <f t="shared" ca="1" si="33"/>
        <v/>
      </c>
      <c r="B308" s="12" t="str">
        <f t="shared" ca="1" si="34"/>
        <v/>
      </c>
      <c r="C308" s="12" t="str">
        <f t="shared" ca="1" si="40"/>
        <v/>
      </c>
      <c r="D308" s="12" t="str">
        <f t="shared" ca="1" si="40"/>
        <v/>
      </c>
      <c r="E308" s="12" t="str">
        <f t="shared" ca="1" si="35"/>
        <v/>
      </c>
      <c r="F308" s="17"/>
      <c r="G308" s="13" t="str">
        <f t="shared" ca="1" si="36"/>
        <v/>
      </c>
      <c r="H308" s="13" t="str">
        <f t="shared" ca="1" si="37"/>
        <v/>
      </c>
      <c r="I308" s="17" t="str">
        <f ca="1">IF(AND($B308="",$C308=""),"",VLOOKUP($A308,Table1[],2,FALSE))</f>
        <v/>
      </c>
    </row>
    <row r="309" spans="1:9" ht="27" customHeight="1" x14ac:dyDescent="0.25">
      <c r="A309" s="12" t="str">
        <f t="shared" ca="1" si="33"/>
        <v/>
      </c>
      <c r="B309" s="12" t="str">
        <f t="shared" ca="1" si="34"/>
        <v/>
      </c>
      <c r="C309" s="12" t="str">
        <f t="shared" ca="1" si="40"/>
        <v/>
      </c>
      <c r="D309" s="12" t="str">
        <f t="shared" ca="1" si="40"/>
        <v/>
      </c>
      <c r="E309" s="12" t="str">
        <f t="shared" ca="1" si="35"/>
        <v/>
      </c>
      <c r="F309" s="17"/>
      <c r="G309" s="13" t="str">
        <f t="shared" ca="1" si="36"/>
        <v/>
      </c>
      <c r="H309" s="13" t="str">
        <f t="shared" ca="1" si="37"/>
        <v/>
      </c>
      <c r="I309" s="17" t="str">
        <f ca="1">IF(AND($B309="",$C309=""),"",VLOOKUP($A309,Table1[],2,FALSE))</f>
        <v/>
      </c>
    </row>
    <row r="310" spans="1:9" ht="27" customHeight="1" x14ac:dyDescent="0.25">
      <c r="A310" s="12" t="str">
        <f t="shared" ca="1" si="33"/>
        <v/>
      </c>
      <c r="B310" s="12" t="str">
        <f t="shared" ca="1" si="34"/>
        <v/>
      </c>
      <c r="C310" s="12" t="str">
        <f t="shared" ca="1" si="40"/>
        <v/>
      </c>
      <c r="D310" s="12" t="str">
        <f t="shared" ca="1" si="40"/>
        <v/>
      </c>
      <c r="E310" s="12" t="str">
        <f t="shared" ca="1" si="35"/>
        <v/>
      </c>
      <c r="F310" s="17"/>
      <c r="G310" s="13" t="str">
        <f t="shared" ca="1" si="36"/>
        <v/>
      </c>
      <c r="H310" s="13" t="str">
        <f t="shared" ca="1" si="37"/>
        <v/>
      </c>
      <c r="I310" s="17" t="str">
        <f ca="1">IF(AND($B310="",$C310=""),"",VLOOKUP($A310,Table1[],2,FALSE))</f>
        <v/>
      </c>
    </row>
    <row r="311" spans="1:9" ht="27" customHeight="1" x14ac:dyDescent="0.25">
      <c r="A311" s="12" t="str">
        <f t="shared" ca="1" si="33"/>
        <v/>
      </c>
      <c r="B311" s="12" t="str">
        <f t="shared" ca="1" si="34"/>
        <v/>
      </c>
      <c r="C311" s="12" t="str">
        <f t="shared" ca="1" si="40"/>
        <v/>
      </c>
      <c r="D311" s="12" t="str">
        <f t="shared" ca="1" si="40"/>
        <v/>
      </c>
      <c r="E311" s="12" t="str">
        <f t="shared" ca="1" si="35"/>
        <v/>
      </c>
      <c r="F311" s="17"/>
      <c r="G311" s="13" t="str">
        <f t="shared" ca="1" si="36"/>
        <v/>
      </c>
      <c r="H311" s="13" t="str">
        <f t="shared" ca="1" si="37"/>
        <v/>
      </c>
      <c r="I311" s="17" t="str">
        <f ca="1">IF(AND($B311="",$C311=""),"",VLOOKUP($A311,Table1[],2,FALSE))</f>
        <v/>
      </c>
    </row>
    <row r="312" spans="1:9" ht="27" customHeight="1" x14ac:dyDescent="0.25">
      <c r="A312" s="12" t="str">
        <f t="shared" ca="1" si="33"/>
        <v/>
      </c>
      <c r="B312" s="12" t="str">
        <f t="shared" ca="1" si="34"/>
        <v/>
      </c>
      <c r="C312" s="12" t="str">
        <f t="shared" ca="1" si="40"/>
        <v/>
      </c>
      <c r="D312" s="12" t="str">
        <f t="shared" ca="1" si="40"/>
        <v/>
      </c>
      <c r="E312" s="12" t="str">
        <f t="shared" ca="1" si="35"/>
        <v/>
      </c>
      <c r="F312" s="17"/>
      <c r="G312" s="13" t="str">
        <f t="shared" ca="1" si="36"/>
        <v/>
      </c>
      <c r="H312" s="13" t="str">
        <f t="shared" ca="1" si="37"/>
        <v/>
      </c>
      <c r="I312" s="17" t="str">
        <f ca="1">IF(AND($B312="",$C312=""),"",VLOOKUP($A312,Table1[],2,FALSE))</f>
        <v/>
      </c>
    </row>
    <row r="313" spans="1:9" ht="27" customHeight="1" x14ac:dyDescent="0.25">
      <c r="A313" s="12" t="str">
        <f t="shared" ca="1" si="33"/>
        <v/>
      </c>
      <c r="B313" s="12" t="str">
        <f t="shared" ca="1" si="34"/>
        <v/>
      </c>
      <c r="C313" s="12" t="str">
        <f t="shared" ca="1" si="40"/>
        <v/>
      </c>
      <c r="D313" s="12" t="str">
        <f t="shared" ca="1" si="40"/>
        <v/>
      </c>
      <c r="E313" s="12" t="str">
        <f t="shared" ca="1" si="35"/>
        <v/>
      </c>
      <c r="F313" s="17"/>
      <c r="G313" s="13" t="str">
        <f t="shared" ca="1" si="36"/>
        <v/>
      </c>
      <c r="H313" s="13" t="str">
        <f t="shared" ca="1" si="37"/>
        <v/>
      </c>
      <c r="I313" s="17" t="str">
        <f ca="1">IF(AND($B313="",$C313=""),"",VLOOKUP($A313,Table1[],2,FALSE))</f>
        <v/>
      </c>
    </row>
    <row r="314" spans="1:9" ht="27" customHeight="1" x14ac:dyDescent="0.25">
      <c r="A314" s="12" t="str">
        <f t="shared" ca="1" si="33"/>
        <v/>
      </c>
      <c r="B314" s="12" t="str">
        <f t="shared" ca="1" si="34"/>
        <v/>
      </c>
      <c r="C314" s="12" t="str">
        <f t="shared" ca="1" si="40"/>
        <v/>
      </c>
      <c r="D314" s="12" t="str">
        <f t="shared" ca="1" si="40"/>
        <v/>
      </c>
      <c r="E314" s="12" t="str">
        <f t="shared" ca="1" si="35"/>
        <v/>
      </c>
      <c r="F314" s="17"/>
      <c r="G314" s="13" t="str">
        <f t="shared" ca="1" si="36"/>
        <v/>
      </c>
      <c r="H314" s="13" t="str">
        <f t="shared" ca="1" si="37"/>
        <v/>
      </c>
      <c r="I314" s="17" t="str">
        <f ca="1">IF(AND($B314="",$C314=""),"",VLOOKUP($A314,Table1[],2,FALSE))</f>
        <v/>
      </c>
    </row>
    <row r="315" spans="1:9" ht="27" customHeight="1" x14ac:dyDescent="0.25">
      <c r="A315" s="12" t="str">
        <f t="shared" ca="1" si="33"/>
        <v/>
      </c>
      <c r="B315" s="12" t="str">
        <f t="shared" ca="1" si="34"/>
        <v/>
      </c>
      <c r="C315" s="12" t="str">
        <f t="shared" ca="1" si="40"/>
        <v/>
      </c>
      <c r="D315" s="12" t="str">
        <f t="shared" ca="1" si="40"/>
        <v/>
      </c>
      <c r="E315" s="12" t="str">
        <f t="shared" ca="1" si="35"/>
        <v/>
      </c>
      <c r="F315" s="17"/>
      <c r="G315" s="13" t="str">
        <f t="shared" ca="1" si="36"/>
        <v/>
      </c>
      <c r="H315" s="13" t="str">
        <f t="shared" ca="1" si="37"/>
        <v/>
      </c>
      <c r="I315" s="17" t="str">
        <f ca="1">IF(AND($B315="",$C315=""),"",VLOOKUP($A315,Table1[],2,FALSE))</f>
        <v/>
      </c>
    </row>
    <row r="316" spans="1:9" ht="27" customHeight="1" x14ac:dyDescent="0.25">
      <c r="A316" s="12" t="str">
        <f t="shared" ca="1" si="33"/>
        <v/>
      </c>
      <c r="B316" s="12" t="str">
        <f t="shared" ca="1" si="34"/>
        <v/>
      </c>
      <c r="C316" s="12" t="str">
        <f t="shared" ca="1" si="40"/>
        <v/>
      </c>
      <c r="D316" s="12" t="str">
        <f t="shared" ca="1" si="40"/>
        <v/>
      </c>
      <c r="E316" s="12" t="str">
        <f t="shared" ca="1" si="35"/>
        <v/>
      </c>
      <c r="F316" s="17"/>
      <c r="G316" s="13" t="str">
        <f t="shared" ca="1" si="36"/>
        <v/>
      </c>
      <c r="H316" s="13" t="str">
        <f t="shared" ca="1" si="37"/>
        <v/>
      </c>
      <c r="I316" s="17" t="str">
        <f ca="1">IF(AND($B316="",$C316=""),"",VLOOKUP($A316,Table1[],2,FALSE))</f>
        <v/>
      </c>
    </row>
    <row r="317" spans="1:9" ht="27" customHeight="1" x14ac:dyDescent="0.25">
      <c r="A317" s="12" t="str">
        <f t="shared" ca="1" si="33"/>
        <v/>
      </c>
      <c r="B317" s="12" t="str">
        <f t="shared" ca="1" si="34"/>
        <v/>
      </c>
      <c r="C317" s="12" t="str">
        <f t="shared" ca="1" si="40"/>
        <v/>
      </c>
      <c r="D317" s="12" t="str">
        <f t="shared" ca="1" si="40"/>
        <v/>
      </c>
      <c r="E317" s="12" t="str">
        <f t="shared" ca="1" si="35"/>
        <v/>
      </c>
      <c r="F317" s="17"/>
      <c r="G317" s="13" t="str">
        <f t="shared" ca="1" si="36"/>
        <v/>
      </c>
      <c r="H317" s="13" t="str">
        <f t="shared" ca="1" si="37"/>
        <v/>
      </c>
      <c r="I317" s="17" t="str">
        <f ca="1">IF(AND($B317="",$C317=""),"",VLOOKUP($A317,Table1[],2,FALSE))</f>
        <v/>
      </c>
    </row>
    <row r="318" spans="1:9" ht="27" customHeight="1" x14ac:dyDescent="0.25">
      <c r="A318" s="12" t="str">
        <f t="shared" ca="1" si="33"/>
        <v/>
      </c>
      <c r="B318" s="12" t="str">
        <f t="shared" ca="1" si="34"/>
        <v/>
      </c>
      <c r="C318" s="12" t="str">
        <f t="shared" ca="1" si="40"/>
        <v/>
      </c>
      <c r="D318" s="12" t="str">
        <f t="shared" ca="1" si="40"/>
        <v/>
      </c>
      <c r="E318" s="12" t="str">
        <f t="shared" ca="1" si="35"/>
        <v/>
      </c>
      <c r="F318" s="17"/>
      <c r="G318" s="13" t="str">
        <f t="shared" ca="1" si="36"/>
        <v/>
      </c>
      <c r="H318" s="13" t="str">
        <f t="shared" ca="1" si="37"/>
        <v/>
      </c>
      <c r="I318" s="17" t="str">
        <f ca="1">IF(AND($B318="",$C318=""),"",VLOOKUP($A318,Table1[],2,FALSE))</f>
        <v/>
      </c>
    </row>
    <row r="319" spans="1:9" ht="27" customHeight="1" x14ac:dyDescent="0.25">
      <c r="A319" s="12" t="str">
        <f t="shared" ca="1" si="33"/>
        <v/>
      </c>
      <c r="B319" s="12" t="str">
        <f t="shared" ca="1" si="34"/>
        <v/>
      </c>
      <c r="C319" s="12" t="str">
        <f t="shared" ca="1" si="40"/>
        <v/>
      </c>
      <c r="D319" s="12" t="str">
        <f t="shared" ca="1" si="40"/>
        <v/>
      </c>
      <c r="E319" s="12" t="str">
        <f t="shared" ca="1" si="35"/>
        <v/>
      </c>
      <c r="F319" s="17"/>
      <c r="G319" s="13" t="str">
        <f t="shared" ca="1" si="36"/>
        <v/>
      </c>
      <c r="H319" s="13" t="str">
        <f t="shared" ca="1" si="37"/>
        <v/>
      </c>
      <c r="I319" s="17" t="str">
        <f ca="1">IF(AND($B319="",$C319=""),"",VLOOKUP($A319,Table1[],2,FALSE))</f>
        <v/>
      </c>
    </row>
    <row r="320" spans="1:9" ht="27" customHeight="1" x14ac:dyDescent="0.25">
      <c r="A320" s="12" t="str">
        <f t="shared" ca="1" si="33"/>
        <v/>
      </c>
      <c r="B320" s="12" t="str">
        <f t="shared" ca="1" si="34"/>
        <v/>
      </c>
      <c r="C320" s="12" t="str">
        <f t="shared" ca="1" si="40"/>
        <v/>
      </c>
      <c r="D320" s="12" t="str">
        <f t="shared" ca="1" si="40"/>
        <v/>
      </c>
      <c r="E320" s="12" t="str">
        <f t="shared" ca="1" si="35"/>
        <v/>
      </c>
      <c r="F320" s="17"/>
      <c r="G320" s="13" t="str">
        <f t="shared" ca="1" si="36"/>
        <v/>
      </c>
      <c r="H320" s="13" t="str">
        <f t="shared" ca="1" si="37"/>
        <v/>
      </c>
      <c r="I320" s="17" t="str">
        <f ca="1">IF(AND($B320="",$C320=""),"",VLOOKUP($A320,Table1[],2,FALSE))</f>
        <v/>
      </c>
    </row>
    <row r="321" spans="1:9" ht="27" customHeight="1" x14ac:dyDescent="0.25">
      <c r="A321" s="12" t="str">
        <f t="shared" ca="1" si="33"/>
        <v/>
      </c>
      <c r="B321" s="12" t="str">
        <f t="shared" ca="1" si="34"/>
        <v/>
      </c>
      <c r="C321" s="12" t="str">
        <f t="shared" ca="1" si="40"/>
        <v/>
      </c>
      <c r="D321" s="12" t="str">
        <f t="shared" ca="1" si="40"/>
        <v/>
      </c>
      <c r="E321" s="12" t="str">
        <f t="shared" ca="1" si="35"/>
        <v/>
      </c>
      <c r="F321" s="17"/>
      <c r="G321" s="13" t="str">
        <f t="shared" ca="1" si="36"/>
        <v/>
      </c>
      <c r="H321" s="13" t="str">
        <f t="shared" ca="1" si="37"/>
        <v/>
      </c>
      <c r="I321" s="17" t="str">
        <f ca="1">IF(AND($B321="",$C321=""),"",VLOOKUP($A321,Table1[],2,FALSE))</f>
        <v/>
      </c>
    </row>
    <row r="322" spans="1:9" ht="27" customHeight="1" x14ac:dyDescent="0.25">
      <c r="A322" s="12" t="str">
        <f t="shared" ref="A322:A385" ca="1" si="41">TEXT( INDIRECT( ADDRESS( ROW() + Row_Offset, INDIRECT( "Column_Number_" &amp; A$1), 4,1, tabname) ), "")</f>
        <v/>
      </c>
      <c r="B322" s="12" t="str">
        <f t="shared" ref="B322:B385" ca="1" si="42">TEXT(  IFERROR( VLOOKUP( $D322, CName_to_Descriptor, 2, FALSE),"") &amp;
        INDIRECT( ADDRESS( ROW() + Row_Offset, INDIRECT( "Column_Number_" &amp; $B$1), 4,1, tabname) ), "")</f>
        <v/>
      </c>
      <c r="C322" s="12" t="str">
        <f t="shared" ref="C322:D341" ca="1" si="43">TEXT( INDIRECT( ADDRESS( ROW() + Row_Offset, INDIRECT( "Column_Number_" &amp; C$1), 4,1, tabname) ), "")</f>
        <v/>
      </c>
      <c r="D322" s="12" t="str">
        <f t="shared" ca="1" si="43"/>
        <v/>
      </c>
      <c r="E322" s="12" t="str">
        <f t="shared" ref="E322:E385" ca="1" si="44">TEXT( INDIRECT( ADDRESS( ROW() + Row_Offset, INDIRECT( "Column_Number_" &amp; E$1), 4,1, tabname) ), "####")</f>
        <v/>
      </c>
      <c r="F322" s="17"/>
      <c r="G322" s="13" t="str">
        <f t="shared" ref="G322:G385" ca="1" si="45">IF(IFERROR(FIND("New",$A322)&gt;0,FALSE),"New ","") &amp; IF(IFERROR(FIND("In Lib",$A322)&gt;0,FALSE),"Reference ","") &amp;
IF(AND(D322="Audiobook",LEFT(B322,6)="CD BIO"),"Biography",
IF(AND(D322="Teen Audiobook",LEFT(B322,11)="TEEN CD BIO"),"Biography",
IF(AND(D322="Juvenile Audiobook",LEFT(B322,8)="J CD BIO"),"Biography",
IF(AND(D322="Audiobook",LEFT(B322,6)="CD FIC"),"Audiobook Fiction",
IF(AND(D322="Teen Audiobook",LEFT(B322,11)="TEEN CD FIC"),"Teen Audiobook",
IF(AND(D322="Juvenile Audiobook",LEFT(B322,8)="J CD FIC"),"Juvenile Audiobook",
IF(D322="Audiobook","Nonfiction",
IF(D322="Juvenile Audiobook","Nonfiction",
IF(D322="Teen Audiobook","Nonfiction",
IF(D322="Juvenile Nonfiction","Nonfiction",
IF(D322="Teen Nonfiction","Nonfiction",
IF(D322="Juvenile Biography","Biography",
IF(D322="Teen Biography","Biography",
IF(D322="ESL","Nonfiction",
IF(LEFT(B322,11)="INTL-VIE J ","International Juvenile",IF(LEFT(B322,11)="INTL-TAG J ","International Juvenile",IF(LEFT(B322,11)="INTL-RUS J ","International Juvenile",IF(LEFT(B322,11)="INTL-KOR J ","International Juvenile",IF(LEFT(B322,11)="INTL-JAP J ","International Juvenile",IF(LEFT(B322,11)="INTL-CHI J ","International Juvenile",IF(LEFT(B322,11)="INTL-SPA J ","International Juvenile",IF(LEFT(B322,14)="INTL-VIE TEEN ","International Teen",IF(LEFT(B322,14)="INTL-TAG TEEN ","International Teen",IF(LEFT(B322,14)="INTL-RUS TEEN ","International Teen",IF(LEFT(B322,14)="INTL-KOR TEEN ","International Teen",IF(LEFT(B322,14)="INTL-JAP TEEN ","International Teen",IF(LEFT(B322,14)="INTL-CHI TEEN ","International Teen",IF(LEFT(B322,14)="INTL-SPA TEEN ","International Teen",IF(LEFT(B322,11)="INTL-VIE E ","International Easy",IF(LEFT(B322,11)="INTL-TAG E ","International Easy",IF(LEFT(B322,11)="INTL-RUS E ","International Easy",IF(LEFT(B322,11)="INTL-JAP E ","International Easy",IF(LEFT(B322,11)="INTL-KOR E ","International Easy",IF(LEFT(B322,11)="INTL-CHI E ","International Easy",IF(LEFT(B322,11)="INTL-SPA E ","International Easy",
IF(D322="Teen Large Type","Teen Fiction",
IF(D322="Juvenile Large Type","Juvenile Fiction",
IF(LEFT(B322,6)="J CD O","Juvenile Compact Disc",
IF(AND(LEFT(B322,4)="TEEN",D322="Fiction"),"Teen Fiction",
IF(D322="DVD Educational","Nonfiction",
IF(D322="Juvenile DVD Educational","Nonfiction",
IF(D322="Reference","Nonfiction",
D322))))))))))))))))))))))))))))))))))))))))))</f>
        <v/>
      </c>
      <c r="H322" s="13" t="str">
        <f t="shared" ref="H322:H385" ca="1" si="46">IF(AND(D322="Juvenile Audiobook",LEFT(B322,8)="J CD BIO"),RIGHT(B322,LEN(B322)-9),
IF(AND(D322="Juvenile Audiobook",LEFT(B322,8)="J CD FIC"),B322,
IF(D322="Juvenile Audiobook",RIGHT(B322,LEN(B322)-5),
IF(AND(D322="Teen Audiobook",LEFT(B322,11)="TEEN CD BIO"),RIGHT(B322,LEN(B322)-12),
IF(AND(D322="Teen Audiobook",LEFT(B322,11)="TEEN CD FIC"),B322,
IF(D322="Juvenile Audiobook",RIGHT(B322,LEN(B322)-8),
IF(D322="Juvenile Nonfiction",RIGHT(B322,LEN(B322)-2),
IF(D322="Teen Nonfiction",RIGHT(B322,LEN(B322)-5),
IF(AND(G322="Nonfiction",D322="Audiobook"),RIGHT(B322,LEN(B322)-3),
IF(D322="Juvenile Biography",RIGHT(B322,LEN(B322)-2),
IF(D322="Teen Biography",RIGHT(B322,LEN(B322)-5),
IF(AND(D322="Audiobook",G322="Biography"),RIGHT(B322,LEN(B322)-3),
IF(D322="Juvenile Large Type","J "&amp;RIGHT(B322,LEN(B322)-11),
IF(D322="Teen Large Type","TEEN "&amp;RIGHT(B322,LEN(B322)-14),
IF(D322="Reference",RIGHT(B322,LEN(B322)-4),
IF(D322="DVD Educational",RIGHT(B322,LEN(B322)-7),
IF(D322="Juvenile DVD Educational",RIGHT(B322,LEN(B322)-9),
B322)))))))))))))))))</f>
        <v/>
      </c>
      <c r="I322" s="17" t="str">
        <f ca="1">IF(AND($B322="",$C322=""),"",VLOOKUP($A322,Table1[],2,FALSE))</f>
        <v/>
      </c>
    </row>
    <row r="323" spans="1:9" ht="27" customHeight="1" x14ac:dyDescent="0.25">
      <c r="A323" s="12" t="str">
        <f t="shared" ca="1" si="41"/>
        <v/>
      </c>
      <c r="B323" s="12" t="str">
        <f t="shared" ca="1" si="42"/>
        <v/>
      </c>
      <c r="C323" s="12" t="str">
        <f t="shared" ca="1" si="43"/>
        <v/>
      </c>
      <c r="D323" s="12" t="str">
        <f t="shared" ca="1" si="43"/>
        <v/>
      </c>
      <c r="E323" s="12" t="str">
        <f t="shared" ca="1" si="44"/>
        <v/>
      </c>
      <c r="F323" s="17"/>
      <c r="G323" s="13" t="str">
        <f t="shared" ca="1" si="45"/>
        <v/>
      </c>
      <c r="H323" s="13" t="str">
        <f t="shared" ca="1" si="46"/>
        <v/>
      </c>
      <c r="I323" s="17" t="str">
        <f ca="1">IF(AND($B323="",$C323=""),"",VLOOKUP($A323,Table1[],2,FALSE))</f>
        <v/>
      </c>
    </row>
    <row r="324" spans="1:9" ht="27" customHeight="1" x14ac:dyDescent="0.25">
      <c r="A324" s="12" t="str">
        <f t="shared" ca="1" si="41"/>
        <v/>
      </c>
      <c r="B324" s="12" t="str">
        <f t="shared" ca="1" si="42"/>
        <v/>
      </c>
      <c r="C324" s="12" t="str">
        <f t="shared" ca="1" si="43"/>
        <v/>
      </c>
      <c r="D324" s="12" t="str">
        <f t="shared" ca="1" si="43"/>
        <v/>
      </c>
      <c r="E324" s="12" t="str">
        <f t="shared" ca="1" si="44"/>
        <v/>
      </c>
      <c r="F324" s="17"/>
      <c r="G324" s="13" t="str">
        <f t="shared" ca="1" si="45"/>
        <v/>
      </c>
      <c r="H324" s="13" t="str">
        <f t="shared" ca="1" si="46"/>
        <v/>
      </c>
      <c r="I324" s="17" t="str">
        <f ca="1">IF(AND($B324="",$C324=""),"",VLOOKUP($A324,Table1[],2,FALSE))</f>
        <v/>
      </c>
    </row>
    <row r="325" spans="1:9" ht="27" customHeight="1" x14ac:dyDescent="0.25">
      <c r="A325" s="12" t="str">
        <f t="shared" ca="1" si="41"/>
        <v/>
      </c>
      <c r="B325" s="12" t="str">
        <f t="shared" ca="1" si="42"/>
        <v/>
      </c>
      <c r="C325" s="12" t="str">
        <f t="shared" ca="1" si="43"/>
        <v/>
      </c>
      <c r="D325" s="12" t="str">
        <f t="shared" ca="1" si="43"/>
        <v/>
      </c>
      <c r="E325" s="12" t="str">
        <f t="shared" ca="1" si="44"/>
        <v/>
      </c>
      <c r="F325" s="17"/>
      <c r="G325" s="13" t="str">
        <f t="shared" ca="1" si="45"/>
        <v/>
      </c>
      <c r="H325" s="13" t="str">
        <f t="shared" ca="1" si="46"/>
        <v/>
      </c>
      <c r="I325" s="17" t="str">
        <f ca="1">IF(AND($B325="",$C325=""),"",VLOOKUP($A325,Table1[],2,FALSE))</f>
        <v/>
      </c>
    </row>
    <row r="326" spans="1:9" ht="27" customHeight="1" x14ac:dyDescent="0.25">
      <c r="A326" s="12" t="str">
        <f t="shared" ca="1" si="41"/>
        <v/>
      </c>
      <c r="B326" s="12" t="str">
        <f t="shared" ca="1" si="42"/>
        <v/>
      </c>
      <c r="C326" s="12" t="str">
        <f t="shared" ca="1" si="43"/>
        <v/>
      </c>
      <c r="D326" s="12" t="str">
        <f t="shared" ca="1" si="43"/>
        <v/>
      </c>
      <c r="E326" s="12" t="str">
        <f t="shared" ca="1" si="44"/>
        <v/>
      </c>
      <c r="F326" s="17"/>
      <c r="G326" s="13" t="str">
        <f t="shared" ca="1" si="45"/>
        <v/>
      </c>
      <c r="H326" s="13" t="str">
        <f t="shared" ca="1" si="46"/>
        <v/>
      </c>
      <c r="I326" s="17" t="str">
        <f ca="1">IF(AND($B326="",$C326=""),"",VLOOKUP($A326,Table1[],2,FALSE))</f>
        <v/>
      </c>
    </row>
    <row r="327" spans="1:9" ht="27" customHeight="1" x14ac:dyDescent="0.25">
      <c r="A327" s="12" t="str">
        <f t="shared" ca="1" si="41"/>
        <v/>
      </c>
      <c r="B327" s="12" t="str">
        <f t="shared" ca="1" si="42"/>
        <v/>
      </c>
      <c r="C327" s="12" t="str">
        <f t="shared" ca="1" si="43"/>
        <v/>
      </c>
      <c r="D327" s="12" t="str">
        <f t="shared" ca="1" si="43"/>
        <v/>
      </c>
      <c r="E327" s="12" t="str">
        <f t="shared" ca="1" si="44"/>
        <v/>
      </c>
      <c r="F327" s="17"/>
      <c r="G327" s="13" t="str">
        <f t="shared" ca="1" si="45"/>
        <v/>
      </c>
      <c r="H327" s="13" t="str">
        <f t="shared" ca="1" si="46"/>
        <v/>
      </c>
      <c r="I327" s="17" t="str">
        <f ca="1">IF(AND($B327="",$C327=""),"",VLOOKUP($A327,Table1[],2,FALSE))</f>
        <v/>
      </c>
    </row>
    <row r="328" spans="1:9" ht="27" customHeight="1" x14ac:dyDescent="0.25">
      <c r="A328" s="12" t="str">
        <f t="shared" ca="1" si="41"/>
        <v/>
      </c>
      <c r="B328" s="12" t="str">
        <f t="shared" ca="1" si="42"/>
        <v/>
      </c>
      <c r="C328" s="12" t="str">
        <f t="shared" ca="1" si="43"/>
        <v/>
      </c>
      <c r="D328" s="12" t="str">
        <f t="shared" ca="1" si="43"/>
        <v/>
      </c>
      <c r="E328" s="12" t="str">
        <f t="shared" ca="1" si="44"/>
        <v/>
      </c>
      <c r="F328" s="17"/>
      <c r="G328" s="13" t="str">
        <f t="shared" ca="1" si="45"/>
        <v/>
      </c>
      <c r="H328" s="13" t="str">
        <f t="shared" ca="1" si="46"/>
        <v/>
      </c>
      <c r="I328" s="17" t="str">
        <f ca="1">IF(AND($B328="",$C328=""),"",VLOOKUP($A328,Table1[],2,FALSE))</f>
        <v/>
      </c>
    </row>
    <row r="329" spans="1:9" ht="27" customHeight="1" x14ac:dyDescent="0.25">
      <c r="A329" s="12" t="str">
        <f t="shared" ca="1" si="41"/>
        <v/>
      </c>
      <c r="B329" s="12" t="str">
        <f t="shared" ca="1" si="42"/>
        <v/>
      </c>
      <c r="C329" s="12" t="str">
        <f t="shared" ca="1" si="43"/>
        <v/>
      </c>
      <c r="D329" s="12" t="str">
        <f t="shared" ca="1" si="43"/>
        <v/>
      </c>
      <c r="E329" s="12" t="str">
        <f t="shared" ca="1" si="44"/>
        <v/>
      </c>
      <c r="F329" s="17"/>
      <c r="G329" s="13" t="str">
        <f t="shared" ca="1" si="45"/>
        <v/>
      </c>
      <c r="H329" s="13" t="str">
        <f t="shared" ca="1" si="46"/>
        <v/>
      </c>
      <c r="I329" s="17" t="str">
        <f ca="1">IF(AND($B329="",$C329=""),"",VLOOKUP($A329,Table1[],2,FALSE))</f>
        <v/>
      </c>
    </row>
    <row r="330" spans="1:9" ht="27" customHeight="1" x14ac:dyDescent="0.25">
      <c r="A330" s="12" t="str">
        <f t="shared" ca="1" si="41"/>
        <v/>
      </c>
      <c r="B330" s="12" t="str">
        <f t="shared" ca="1" si="42"/>
        <v/>
      </c>
      <c r="C330" s="12" t="str">
        <f t="shared" ca="1" si="43"/>
        <v/>
      </c>
      <c r="D330" s="12" t="str">
        <f t="shared" ca="1" si="43"/>
        <v/>
      </c>
      <c r="E330" s="12" t="str">
        <f t="shared" ca="1" si="44"/>
        <v/>
      </c>
      <c r="F330" s="17"/>
      <c r="G330" s="13" t="str">
        <f t="shared" ca="1" si="45"/>
        <v/>
      </c>
      <c r="H330" s="13" t="str">
        <f t="shared" ca="1" si="46"/>
        <v/>
      </c>
      <c r="I330" s="17" t="str">
        <f ca="1">IF(AND($B330="",$C330=""),"",VLOOKUP($A330,Table1[],2,FALSE))</f>
        <v/>
      </c>
    </row>
    <row r="331" spans="1:9" ht="27" customHeight="1" x14ac:dyDescent="0.25">
      <c r="A331" s="12" t="str">
        <f t="shared" ca="1" si="41"/>
        <v/>
      </c>
      <c r="B331" s="12" t="str">
        <f t="shared" ca="1" si="42"/>
        <v/>
      </c>
      <c r="C331" s="12" t="str">
        <f t="shared" ca="1" si="43"/>
        <v/>
      </c>
      <c r="D331" s="12" t="str">
        <f t="shared" ca="1" si="43"/>
        <v/>
      </c>
      <c r="E331" s="12" t="str">
        <f t="shared" ca="1" si="44"/>
        <v/>
      </c>
      <c r="F331" s="17"/>
      <c r="G331" s="13" t="str">
        <f t="shared" ca="1" si="45"/>
        <v/>
      </c>
      <c r="H331" s="13" t="str">
        <f t="shared" ca="1" si="46"/>
        <v/>
      </c>
      <c r="I331" s="17" t="str">
        <f ca="1">IF(AND($B331="",$C331=""),"",VLOOKUP($A331,Table1[],2,FALSE))</f>
        <v/>
      </c>
    </row>
    <row r="332" spans="1:9" ht="27" customHeight="1" x14ac:dyDescent="0.25">
      <c r="A332" s="12" t="str">
        <f t="shared" ca="1" si="41"/>
        <v/>
      </c>
      <c r="B332" s="12" t="str">
        <f t="shared" ca="1" si="42"/>
        <v/>
      </c>
      <c r="C332" s="12" t="str">
        <f t="shared" ca="1" si="43"/>
        <v/>
      </c>
      <c r="D332" s="12" t="str">
        <f t="shared" ca="1" si="43"/>
        <v/>
      </c>
      <c r="E332" s="12" t="str">
        <f t="shared" ca="1" si="44"/>
        <v/>
      </c>
      <c r="F332" s="17"/>
      <c r="G332" s="13" t="str">
        <f t="shared" ca="1" si="45"/>
        <v/>
      </c>
      <c r="H332" s="13" t="str">
        <f t="shared" ca="1" si="46"/>
        <v/>
      </c>
      <c r="I332" s="17" t="str">
        <f ca="1">IF(AND($B332="",$C332=""),"",VLOOKUP($A332,Table1[],2,FALSE))</f>
        <v/>
      </c>
    </row>
    <row r="333" spans="1:9" ht="27" customHeight="1" x14ac:dyDescent="0.25">
      <c r="A333" s="12" t="str">
        <f t="shared" ca="1" si="41"/>
        <v/>
      </c>
      <c r="B333" s="12" t="str">
        <f t="shared" ca="1" si="42"/>
        <v/>
      </c>
      <c r="C333" s="12" t="str">
        <f t="shared" ca="1" si="43"/>
        <v/>
      </c>
      <c r="D333" s="12" t="str">
        <f t="shared" ca="1" si="43"/>
        <v/>
      </c>
      <c r="E333" s="12" t="str">
        <f t="shared" ca="1" si="44"/>
        <v/>
      </c>
      <c r="F333" s="17"/>
      <c r="G333" s="13" t="str">
        <f t="shared" ca="1" si="45"/>
        <v/>
      </c>
      <c r="H333" s="13" t="str">
        <f t="shared" ca="1" si="46"/>
        <v/>
      </c>
      <c r="I333" s="17" t="str">
        <f ca="1">IF(AND($B333="",$C333=""),"",VLOOKUP($A333,Table1[],2,FALSE))</f>
        <v/>
      </c>
    </row>
    <row r="334" spans="1:9" ht="27" customHeight="1" x14ac:dyDescent="0.25">
      <c r="A334" s="12" t="str">
        <f t="shared" ca="1" si="41"/>
        <v/>
      </c>
      <c r="B334" s="12" t="str">
        <f t="shared" ca="1" si="42"/>
        <v/>
      </c>
      <c r="C334" s="12" t="str">
        <f t="shared" ca="1" si="43"/>
        <v/>
      </c>
      <c r="D334" s="12" t="str">
        <f t="shared" ca="1" si="43"/>
        <v/>
      </c>
      <c r="E334" s="12" t="str">
        <f t="shared" ca="1" si="44"/>
        <v/>
      </c>
      <c r="F334" s="17"/>
      <c r="G334" s="13" t="str">
        <f t="shared" ca="1" si="45"/>
        <v/>
      </c>
      <c r="H334" s="13" t="str">
        <f t="shared" ca="1" si="46"/>
        <v/>
      </c>
      <c r="I334" s="17" t="str">
        <f ca="1">IF(AND($B334="",$C334=""),"",VLOOKUP($A334,Table1[],2,FALSE))</f>
        <v/>
      </c>
    </row>
    <row r="335" spans="1:9" ht="27" customHeight="1" x14ac:dyDescent="0.25">
      <c r="A335" s="12" t="str">
        <f t="shared" ca="1" si="41"/>
        <v/>
      </c>
      <c r="B335" s="12" t="str">
        <f t="shared" ca="1" si="42"/>
        <v/>
      </c>
      <c r="C335" s="12" t="str">
        <f t="shared" ca="1" si="43"/>
        <v/>
      </c>
      <c r="D335" s="12" t="str">
        <f t="shared" ca="1" si="43"/>
        <v/>
      </c>
      <c r="E335" s="12" t="str">
        <f t="shared" ca="1" si="44"/>
        <v/>
      </c>
      <c r="F335" s="17"/>
      <c r="G335" s="13" t="str">
        <f t="shared" ca="1" si="45"/>
        <v/>
      </c>
      <c r="H335" s="13" t="str">
        <f t="shared" ca="1" si="46"/>
        <v/>
      </c>
      <c r="I335" s="17" t="str">
        <f ca="1">IF(AND($B335="",$C335=""),"",VLOOKUP($A335,Table1[],2,FALSE))</f>
        <v/>
      </c>
    </row>
    <row r="336" spans="1:9" ht="27" customHeight="1" x14ac:dyDescent="0.25">
      <c r="A336" s="12" t="str">
        <f t="shared" ca="1" si="41"/>
        <v/>
      </c>
      <c r="B336" s="12" t="str">
        <f t="shared" ca="1" si="42"/>
        <v/>
      </c>
      <c r="C336" s="12" t="str">
        <f t="shared" ca="1" si="43"/>
        <v/>
      </c>
      <c r="D336" s="12" t="str">
        <f t="shared" ca="1" si="43"/>
        <v/>
      </c>
      <c r="E336" s="12" t="str">
        <f t="shared" ca="1" si="44"/>
        <v/>
      </c>
      <c r="F336" s="17"/>
      <c r="G336" s="13" t="str">
        <f t="shared" ca="1" si="45"/>
        <v/>
      </c>
      <c r="H336" s="13" t="str">
        <f t="shared" ca="1" si="46"/>
        <v/>
      </c>
      <c r="I336" s="17" t="str">
        <f ca="1">IF(AND($B336="",$C336=""),"",VLOOKUP($A336,Table1[],2,FALSE))</f>
        <v/>
      </c>
    </row>
    <row r="337" spans="1:9" ht="27" customHeight="1" x14ac:dyDescent="0.25">
      <c r="A337" s="12" t="str">
        <f t="shared" ca="1" si="41"/>
        <v/>
      </c>
      <c r="B337" s="12" t="str">
        <f t="shared" ca="1" si="42"/>
        <v/>
      </c>
      <c r="C337" s="12" t="str">
        <f t="shared" ca="1" si="43"/>
        <v/>
      </c>
      <c r="D337" s="12" t="str">
        <f t="shared" ca="1" si="43"/>
        <v/>
      </c>
      <c r="E337" s="12" t="str">
        <f t="shared" ca="1" si="44"/>
        <v/>
      </c>
      <c r="F337" s="17"/>
      <c r="G337" s="13" t="str">
        <f t="shared" ca="1" si="45"/>
        <v/>
      </c>
      <c r="H337" s="13" t="str">
        <f t="shared" ca="1" si="46"/>
        <v/>
      </c>
      <c r="I337" s="17" t="str">
        <f ca="1">IF(AND($B337="",$C337=""),"",VLOOKUP($A337,Table1[],2,FALSE))</f>
        <v/>
      </c>
    </row>
    <row r="338" spans="1:9" ht="27" customHeight="1" x14ac:dyDescent="0.25">
      <c r="A338" s="12" t="str">
        <f t="shared" ca="1" si="41"/>
        <v/>
      </c>
      <c r="B338" s="12" t="str">
        <f t="shared" ca="1" si="42"/>
        <v/>
      </c>
      <c r="C338" s="12" t="str">
        <f t="shared" ca="1" si="43"/>
        <v/>
      </c>
      <c r="D338" s="12" t="str">
        <f t="shared" ca="1" si="43"/>
        <v/>
      </c>
      <c r="E338" s="12" t="str">
        <f t="shared" ca="1" si="44"/>
        <v/>
      </c>
      <c r="F338" s="17"/>
      <c r="G338" s="13" t="str">
        <f t="shared" ca="1" si="45"/>
        <v/>
      </c>
      <c r="H338" s="13" t="str">
        <f t="shared" ca="1" si="46"/>
        <v/>
      </c>
      <c r="I338" s="17" t="str">
        <f ca="1">IF(AND($B338="",$C338=""),"",VLOOKUP($A338,Table1[],2,FALSE))</f>
        <v/>
      </c>
    </row>
    <row r="339" spans="1:9" ht="27" customHeight="1" x14ac:dyDescent="0.25">
      <c r="A339" s="12" t="str">
        <f t="shared" ca="1" si="41"/>
        <v/>
      </c>
      <c r="B339" s="12" t="str">
        <f t="shared" ca="1" si="42"/>
        <v/>
      </c>
      <c r="C339" s="12" t="str">
        <f t="shared" ca="1" si="43"/>
        <v/>
      </c>
      <c r="D339" s="12" t="str">
        <f t="shared" ca="1" si="43"/>
        <v/>
      </c>
      <c r="E339" s="12" t="str">
        <f t="shared" ca="1" si="44"/>
        <v/>
      </c>
      <c r="F339" s="17"/>
      <c r="G339" s="13" t="str">
        <f t="shared" ca="1" si="45"/>
        <v/>
      </c>
      <c r="H339" s="13" t="str">
        <f t="shared" ca="1" si="46"/>
        <v/>
      </c>
      <c r="I339" s="17" t="str">
        <f ca="1">IF(AND($B339="",$C339=""),"",VLOOKUP($A339,Table1[],2,FALSE))</f>
        <v/>
      </c>
    </row>
    <row r="340" spans="1:9" ht="27" customHeight="1" x14ac:dyDescent="0.25">
      <c r="A340" s="12" t="str">
        <f t="shared" ca="1" si="41"/>
        <v/>
      </c>
      <c r="B340" s="12" t="str">
        <f t="shared" ca="1" si="42"/>
        <v/>
      </c>
      <c r="C340" s="12" t="str">
        <f t="shared" ca="1" si="43"/>
        <v/>
      </c>
      <c r="D340" s="12" t="str">
        <f t="shared" ca="1" si="43"/>
        <v/>
      </c>
      <c r="E340" s="12" t="str">
        <f t="shared" ca="1" si="44"/>
        <v/>
      </c>
      <c r="F340" s="17"/>
      <c r="G340" s="13" t="str">
        <f t="shared" ca="1" si="45"/>
        <v/>
      </c>
      <c r="H340" s="13" t="str">
        <f t="shared" ca="1" si="46"/>
        <v/>
      </c>
      <c r="I340" s="17" t="str">
        <f ca="1">IF(AND($B340="",$C340=""),"",VLOOKUP($A340,Table1[],2,FALSE))</f>
        <v/>
      </c>
    </row>
    <row r="341" spans="1:9" ht="27" customHeight="1" x14ac:dyDescent="0.25">
      <c r="A341" s="12" t="str">
        <f t="shared" ca="1" si="41"/>
        <v/>
      </c>
      <c r="B341" s="12" t="str">
        <f t="shared" ca="1" si="42"/>
        <v/>
      </c>
      <c r="C341" s="12" t="str">
        <f t="shared" ca="1" si="43"/>
        <v/>
      </c>
      <c r="D341" s="12" t="str">
        <f t="shared" ca="1" si="43"/>
        <v/>
      </c>
      <c r="E341" s="12" t="str">
        <f t="shared" ca="1" si="44"/>
        <v/>
      </c>
      <c r="F341" s="17"/>
      <c r="G341" s="13" t="str">
        <f t="shared" ca="1" si="45"/>
        <v/>
      </c>
      <c r="H341" s="13" t="str">
        <f t="shared" ca="1" si="46"/>
        <v/>
      </c>
      <c r="I341" s="17" t="str">
        <f ca="1">IF(AND($B341="",$C341=""),"",VLOOKUP($A341,Table1[],2,FALSE))</f>
        <v/>
      </c>
    </row>
    <row r="342" spans="1:9" ht="27" customHeight="1" x14ac:dyDescent="0.25">
      <c r="A342" s="12" t="str">
        <f t="shared" ca="1" si="41"/>
        <v/>
      </c>
      <c r="B342" s="12" t="str">
        <f t="shared" ca="1" si="42"/>
        <v/>
      </c>
      <c r="C342" s="12" t="str">
        <f t="shared" ref="C342:D361" ca="1" si="47">TEXT( INDIRECT( ADDRESS( ROW() + Row_Offset, INDIRECT( "Column_Number_" &amp; C$1), 4,1, tabname) ), "")</f>
        <v/>
      </c>
      <c r="D342" s="12" t="str">
        <f t="shared" ca="1" si="47"/>
        <v/>
      </c>
      <c r="E342" s="12" t="str">
        <f t="shared" ca="1" si="44"/>
        <v/>
      </c>
      <c r="F342" s="17"/>
      <c r="G342" s="13" t="str">
        <f t="shared" ca="1" si="45"/>
        <v/>
      </c>
      <c r="H342" s="13" t="str">
        <f t="shared" ca="1" si="46"/>
        <v/>
      </c>
      <c r="I342" s="17" t="str">
        <f ca="1">IF(AND($B342="",$C342=""),"",VLOOKUP($A342,Table1[],2,FALSE))</f>
        <v/>
      </c>
    </row>
    <row r="343" spans="1:9" ht="27" customHeight="1" x14ac:dyDescent="0.25">
      <c r="A343" s="12" t="str">
        <f t="shared" ca="1" si="41"/>
        <v/>
      </c>
      <c r="B343" s="12" t="str">
        <f t="shared" ca="1" si="42"/>
        <v/>
      </c>
      <c r="C343" s="12" t="str">
        <f t="shared" ca="1" si="47"/>
        <v/>
      </c>
      <c r="D343" s="12" t="str">
        <f t="shared" ca="1" si="47"/>
        <v/>
      </c>
      <c r="E343" s="12" t="str">
        <f t="shared" ca="1" si="44"/>
        <v/>
      </c>
      <c r="F343" s="17"/>
      <c r="G343" s="13" t="str">
        <f t="shared" ca="1" si="45"/>
        <v/>
      </c>
      <c r="H343" s="13" t="str">
        <f t="shared" ca="1" si="46"/>
        <v/>
      </c>
      <c r="I343" s="17" t="str">
        <f ca="1">IF(AND($B343="",$C343=""),"",VLOOKUP($A343,Table1[],2,FALSE))</f>
        <v/>
      </c>
    </row>
    <row r="344" spans="1:9" ht="27" customHeight="1" x14ac:dyDescent="0.25">
      <c r="A344" s="12" t="str">
        <f t="shared" ca="1" si="41"/>
        <v/>
      </c>
      <c r="B344" s="12" t="str">
        <f t="shared" ca="1" si="42"/>
        <v/>
      </c>
      <c r="C344" s="12" t="str">
        <f t="shared" ca="1" si="47"/>
        <v/>
      </c>
      <c r="D344" s="12" t="str">
        <f t="shared" ca="1" si="47"/>
        <v/>
      </c>
      <c r="E344" s="12" t="str">
        <f t="shared" ca="1" si="44"/>
        <v/>
      </c>
      <c r="F344" s="17"/>
      <c r="G344" s="13" t="str">
        <f t="shared" ca="1" si="45"/>
        <v/>
      </c>
      <c r="H344" s="13" t="str">
        <f t="shared" ca="1" si="46"/>
        <v/>
      </c>
      <c r="I344" s="17" t="str">
        <f ca="1">IF(AND($B344="",$C344=""),"",VLOOKUP($A344,Table1[],2,FALSE))</f>
        <v/>
      </c>
    </row>
    <row r="345" spans="1:9" ht="27" customHeight="1" x14ac:dyDescent="0.25">
      <c r="A345" s="12" t="str">
        <f t="shared" ca="1" si="41"/>
        <v/>
      </c>
      <c r="B345" s="12" t="str">
        <f t="shared" ca="1" si="42"/>
        <v/>
      </c>
      <c r="C345" s="12" t="str">
        <f t="shared" ca="1" si="47"/>
        <v/>
      </c>
      <c r="D345" s="12" t="str">
        <f t="shared" ca="1" si="47"/>
        <v/>
      </c>
      <c r="E345" s="12" t="str">
        <f t="shared" ca="1" si="44"/>
        <v/>
      </c>
      <c r="F345" s="17"/>
      <c r="G345" s="13" t="str">
        <f t="shared" ca="1" si="45"/>
        <v/>
      </c>
      <c r="H345" s="13" t="str">
        <f t="shared" ca="1" si="46"/>
        <v/>
      </c>
      <c r="I345" s="17" t="str">
        <f ca="1">IF(AND($B345="",$C345=""),"",VLOOKUP($A345,Table1[],2,FALSE))</f>
        <v/>
      </c>
    </row>
    <row r="346" spans="1:9" ht="27" customHeight="1" x14ac:dyDescent="0.25">
      <c r="A346" s="12" t="str">
        <f t="shared" ca="1" si="41"/>
        <v/>
      </c>
      <c r="B346" s="12" t="str">
        <f t="shared" ca="1" si="42"/>
        <v/>
      </c>
      <c r="C346" s="12" t="str">
        <f t="shared" ca="1" si="47"/>
        <v/>
      </c>
      <c r="D346" s="12" t="str">
        <f t="shared" ca="1" si="47"/>
        <v/>
      </c>
      <c r="E346" s="12" t="str">
        <f t="shared" ca="1" si="44"/>
        <v/>
      </c>
      <c r="F346" s="17"/>
      <c r="G346" s="13" t="str">
        <f t="shared" ca="1" si="45"/>
        <v/>
      </c>
      <c r="H346" s="13" t="str">
        <f t="shared" ca="1" si="46"/>
        <v/>
      </c>
      <c r="I346" s="17" t="str">
        <f ca="1">IF(AND($B346="",$C346=""),"",VLOOKUP($A346,Table1[],2,FALSE))</f>
        <v/>
      </c>
    </row>
    <row r="347" spans="1:9" ht="27" customHeight="1" x14ac:dyDescent="0.25">
      <c r="A347" s="12" t="str">
        <f t="shared" ca="1" si="41"/>
        <v/>
      </c>
      <c r="B347" s="12" t="str">
        <f t="shared" ca="1" si="42"/>
        <v/>
      </c>
      <c r="C347" s="12" t="str">
        <f t="shared" ca="1" si="47"/>
        <v/>
      </c>
      <c r="D347" s="12" t="str">
        <f t="shared" ca="1" si="47"/>
        <v/>
      </c>
      <c r="E347" s="12" t="str">
        <f t="shared" ca="1" si="44"/>
        <v/>
      </c>
      <c r="F347" s="17"/>
      <c r="G347" s="13" t="str">
        <f t="shared" ca="1" si="45"/>
        <v/>
      </c>
      <c r="H347" s="13" t="str">
        <f t="shared" ca="1" si="46"/>
        <v/>
      </c>
      <c r="I347" s="17" t="str">
        <f ca="1">IF(AND($B347="",$C347=""),"",VLOOKUP($A347,Table1[],2,FALSE))</f>
        <v/>
      </c>
    </row>
    <row r="348" spans="1:9" ht="27" customHeight="1" x14ac:dyDescent="0.25">
      <c r="A348" s="12" t="str">
        <f t="shared" ca="1" si="41"/>
        <v/>
      </c>
      <c r="B348" s="12" t="str">
        <f t="shared" ca="1" si="42"/>
        <v/>
      </c>
      <c r="C348" s="12" t="str">
        <f t="shared" ca="1" si="47"/>
        <v/>
      </c>
      <c r="D348" s="12" t="str">
        <f t="shared" ca="1" si="47"/>
        <v/>
      </c>
      <c r="E348" s="12" t="str">
        <f t="shared" ca="1" si="44"/>
        <v/>
      </c>
      <c r="F348" s="17"/>
      <c r="G348" s="13" t="str">
        <f t="shared" ca="1" si="45"/>
        <v/>
      </c>
      <c r="H348" s="13" t="str">
        <f t="shared" ca="1" si="46"/>
        <v/>
      </c>
      <c r="I348" s="17" t="str">
        <f ca="1">IF(AND($B348="",$C348=""),"",VLOOKUP($A348,Table1[],2,FALSE))</f>
        <v/>
      </c>
    </row>
    <row r="349" spans="1:9" ht="27" customHeight="1" x14ac:dyDescent="0.25">
      <c r="A349" s="12" t="str">
        <f t="shared" ca="1" si="41"/>
        <v/>
      </c>
      <c r="B349" s="12" t="str">
        <f t="shared" ca="1" si="42"/>
        <v/>
      </c>
      <c r="C349" s="12" t="str">
        <f t="shared" ca="1" si="47"/>
        <v/>
      </c>
      <c r="D349" s="12" t="str">
        <f t="shared" ca="1" si="47"/>
        <v/>
      </c>
      <c r="E349" s="12" t="str">
        <f t="shared" ca="1" si="44"/>
        <v/>
      </c>
      <c r="F349" s="17"/>
      <c r="G349" s="13" t="str">
        <f t="shared" ca="1" si="45"/>
        <v/>
      </c>
      <c r="H349" s="13" t="str">
        <f t="shared" ca="1" si="46"/>
        <v/>
      </c>
      <c r="I349" s="17" t="str">
        <f ca="1">IF(AND($B349="",$C349=""),"",VLOOKUP($A349,Table1[],2,FALSE))</f>
        <v/>
      </c>
    </row>
    <row r="350" spans="1:9" ht="27" customHeight="1" x14ac:dyDescent="0.25">
      <c r="A350" s="12" t="str">
        <f t="shared" ca="1" si="41"/>
        <v/>
      </c>
      <c r="B350" s="12" t="str">
        <f t="shared" ca="1" si="42"/>
        <v/>
      </c>
      <c r="C350" s="12" t="str">
        <f t="shared" ca="1" si="47"/>
        <v/>
      </c>
      <c r="D350" s="12" t="str">
        <f t="shared" ca="1" si="47"/>
        <v/>
      </c>
      <c r="E350" s="12" t="str">
        <f t="shared" ca="1" si="44"/>
        <v/>
      </c>
      <c r="F350" s="17"/>
      <c r="G350" s="13" t="str">
        <f t="shared" ca="1" si="45"/>
        <v/>
      </c>
      <c r="H350" s="13" t="str">
        <f t="shared" ca="1" si="46"/>
        <v/>
      </c>
      <c r="I350" s="17" t="str">
        <f ca="1">IF(AND($B350="",$C350=""),"",VLOOKUP($A350,Table1[],2,FALSE))</f>
        <v/>
      </c>
    </row>
    <row r="351" spans="1:9" ht="27" customHeight="1" x14ac:dyDescent="0.25">
      <c r="A351" s="12" t="str">
        <f t="shared" ca="1" si="41"/>
        <v/>
      </c>
      <c r="B351" s="12" t="str">
        <f t="shared" ca="1" si="42"/>
        <v/>
      </c>
      <c r="C351" s="12" t="str">
        <f t="shared" ca="1" si="47"/>
        <v/>
      </c>
      <c r="D351" s="12" t="str">
        <f t="shared" ca="1" si="47"/>
        <v/>
      </c>
      <c r="E351" s="12" t="str">
        <f t="shared" ca="1" si="44"/>
        <v/>
      </c>
      <c r="F351" s="17"/>
      <c r="G351" s="13" t="str">
        <f t="shared" ca="1" si="45"/>
        <v/>
      </c>
      <c r="H351" s="13" t="str">
        <f t="shared" ca="1" si="46"/>
        <v/>
      </c>
      <c r="I351" s="17" t="str">
        <f ca="1">IF(AND($B351="",$C351=""),"",VLOOKUP($A351,Table1[],2,FALSE))</f>
        <v/>
      </c>
    </row>
    <row r="352" spans="1:9" ht="27" customHeight="1" x14ac:dyDescent="0.25">
      <c r="A352" s="12" t="str">
        <f t="shared" ca="1" si="41"/>
        <v/>
      </c>
      <c r="B352" s="12" t="str">
        <f t="shared" ca="1" si="42"/>
        <v/>
      </c>
      <c r="C352" s="12" t="str">
        <f t="shared" ca="1" si="47"/>
        <v/>
      </c>
      <c r="D352" s="12" t="str">
        <f t="shared" ca="1" si="47"/>
        <v/>
      </c>
      <c r="E352" s="12" t="str">
        <f t="shared" ca="1" si="44"/>
        <v/>
      </c>
      <c r="F352" s="17"/>
      <c r="G352" s="13" t="str">
        <f t="shared" ca="1" si="45"/>
        <v/>
      </c>
      <c r="H352" s="13" t="str">
        <f t="shared" ca="1" si="46"/>
        <v/>
      </c>
      <c r="I352" s="17" t="str">
        <f ca="1">IF(AND($B352="",$C352=""),"",VLOOKUP($A352,Table1[],2,FALSE))</f>
        <v/>
      </c>
    </row>
    <row r="353" spans="1:9" ht="27" customHeight="1" x14ac:dyDescent="0.25">
      <c r="A353" s="12" t="str">
        <f t="shared" ca="1" si="41"/>
        <v/>
      </c>
      <c r="B353" s="12" t="str">
        <f t="shared" ca="1" si="42"/>
        <v/>
      </c>
      <c r="C353" s="12" t="str">
        <f t="shared" ca="1" si="47"/>
        <v/>
      </c>
      <c r="D353" s="12" t="str">
        <f t="shared" ca="1" si="47"/>
        <v/>
      </c>
      <c r="E353" s="12" t="str">
        <f t="shared" ca="1" si="44"/>
        <v/>
      </c>
      <c r="F353" s="17"/>
      <c r="G353" s="13" t="str">
        <f t="shared" ca="1" si="45"/>
        <v/>
      </c>
      <c r="H353" s="13" t="str">
        <f t="shared" ca="1" si="46"/>
        <v/>
      </c>
      <c r="I353" s="17" t="str">
        <f ca="1">IF(AND($B353="",$C353=""),"",VLOOKUP($A353,Table1[],2,FALSE))</f>
        <v/>
      </c>
    </row>
    <row r="354" spans="1:9" ht="27" customHeight="1" x14ac:dyDescent="0.25">
      <c r="A354" s="12" t="str">
        <f t="shared" ca="1" si="41"/>
        <v/>
      </c>
      <c r="B354" s="12" t="str">
        <f t="shared" ca="1" si="42"/>
        <v/>
      </c>
      <c r="C354" s="12" t="str">
        <f t="shared" ca="1" si="47"/>
        <v/>
      </c>
      <c r="D354" s="12" t="str">
        <f t="shared" ca="1" si="47"/>
        <v/>
      </c>
      <c r="E354" s="12" t="str">
        <f t="shared" ca="1" si="44"/>
        <v/>
      </c>
      <c r="F354" s="17"/>
      <c r="G354" s="13" t="str">
        <f t="shared" ca="1" si="45"/>
        <v/>
      </c>
      <c r="H354" s="13" t="str">
        <f t="shared" ca="1" si="46"/>
        <v/>
      </c>
      <c r="I354" s="17" t="str">
        <f ca="1">IF(AND($B354="",$C354=""),"",VLOOKUP($A354,Table1[],2,FALSE))</f>
        <v/>
      </c>
    </row>
    <row r="355" spans="1:9" ht="27" customHeight="1" x14ac:dyDescent="0.25">
      <c r="A355" s="12" t="str">
        <f t="shared" ca="1" si="41"/>
        <v/>
      </c>
      <c r="B355" s="12" t="str">
        <f t="shared" ca="1" si="42"/>
        <v/>
      </c>
      <c r="C355" s="12" t="str">
        <f t="shared" ca="1" si="47"/>
        <v/>
      </c>
      <c r="D355" s="12" t="str">
        <f t="shared" ca="1" si="47"/>
        <v/>
      </c>
      <c r="E355" s="12" t="str">
        <f t="shared" ca="1" si="44"/>
        <v/>
      </c>
      <c r="F355" s="17"/>
      <c r="G355" s="13" t="str">
        <f t="shared" ca="1" si="45"/>
        <v/>
      </c>
      <c r="H355" s="13" t="str">
        <f t="shared" ca="1" si="46"/>
        <v/>
      </c>
      <c r="I355" s="17" t="str">
        <f ca="1">IF(AND($B355="",$C355=""),"",VLOOKUP($A355,Table1[],2,FALSE))</f>
        <v/>
      </c>
    </row>
    <row r="356" spans="1:9" ht="27" customHeight="1" x14ac:dyDescent="0.25">
      <c r="A356" s="12" t="str">
        <f t="shared" ca="1" si="41"/>
        <v/>
      </c>
      <c r="B356" s="12" t="str">
        <f t="shared" ca="1" si="42"/>
        <v/>
      </c>
      <c r="C356" s="12" t="str">
        <f t="shared" ca="1" si="47"/>
        <v/>
      </c>
      <c r="D356" s="12" t="str">
        <f t="shared" ca="1" si="47"/>
        <v/>
      </c>
      <c r="E356" s="12" t="str">
        <f t="shared" ca="1" si="44"/>
        <v/>
      </c>
      <c r="F356" s="17"/>
      <c r="G356" s="13" t="str">
        <f t="shared" ca="1" si="45"/>
        <v/>
      </c>
      <c r="H356" s="13" t="str">
        <f t="shared" ca="1" si="46"/>
        <v/>
      </c>
      <c r="I356" s="17" t="str">
        <f ca="1">IF(AND($B356="",$C356=""),"",VLOOKUP($A356,Table1[],2,FALSE))</f>
        <v/>
      </c>
    </row>
    <row r="357" spans="1:9" ht="27" customHeight="1" x14ac:dyDescent="0.25">
      <c r="A357" s="12" t="str">
        <f t="shared" ca="1" si="41"/>
        <v/>
      </c>
      <c r="B357" s="12" t="str">
        <f t="shared" ca="1" si="42"/>
        <v/>
      </c>
      <c r="C357" s="12" t="str">
        <f t="shared" ca="1" si="47"/>
        <v/>
      </c>
      <c r="D357" s="12" t="str">
        <f t="shared" ca="1" si="47"/>
        <v/>
      </c>
      <c r="E357" s="12" t="str">
        <f t="shared" ca="1" si="44"/>
        <v/>
      </c>
      <c r="F357" s="17"/>
      <c r="G357" s="13" t="str">
        <f t="shared" ca="1" si="45"/>
        <v/>
      </c>
      <c r="H357" s="13" t="str">
        <f t="shared" ca="1" si="46"/>
        <v/>
      </c>
      <c r="I357" s="17" t="str">
        <f ca="1">IF(AND($B357="",$C357=""),"",VLOOKUP($A357,Table1[],2,FALSE))</f>
        <v/>
      </c>
    </row>
    <row r="358" spans="1:9" ht="27" customHeight="1" x14ac:dyDescent="0.25">
      <c r="A358" s="12" t="str">
        <f t="shared" ca="1" si="41"/>
        <v/>
      </c>
      <c r="B358" s="12" t="str">
        <f t="shared" ca="1" si="42"/>
        <v/>
      </c>
      <c r="C358" s="12" t="str">
        <f t="shared" ca="1" si="47"/>
        <v/>
      </c>
      <c r="D358" s="12" t="str">
        <f t="shared" ca="1" si="47"/>
        <v/>
      </c>
      <c r="E358" s="12" t="str">
        <f t="shared" ca="1" si="44"/>
        <v/>
      </c>
      <c r="F358" s="17"/>
      <c r="G358" s="13" t="str">
        <f t="shared" ca="1" si="45"/>
        <v/>
      </c>
      <c r="H358" s="13" t="str">
        <f t="shared" ca="1" si="46"/>
        <v/>
      </c>
      <c r="I358" s="17" t="str">
        <f ca="1">IF(AND($B358="",$C358=""),"",VLOOKUP($A358,Table1[],2,FALSE))</f>
        <v/>
      </c>
    </row>
    <row r="359" spans="1:9" ht="27" customHeight="1" x14ac:dyDescent="0.25">
      <c r="A359" s="12" t="str">
        <f t="shared" ca="1" si="41"/>
        <v/>
      </c>
      <c r="B359" s="12" t="str">
        <f t="shared" ca="1" si="42"/>
        <v/>
      </c>
      <c r="C359" s="12" t="str">
        <f t="shared" ca="1" si="47"/>
        <v/>
      </c>
      <c r="D359" s="12" t="str">
        <f t="shared" ca="1" si="47"/>
        <v/>
      </c>
      <c r="E359" s="12" t="str">
        <f t="shared" ca="1" si="44"/>
        <v/>
      </c>
      <c r="F359" s="17"/>
      <c r="G359" s="13" t="str">
        <f t="shared" ca="1" si="45"/>
        <v/>
      </c>
      <c r="H359" s="13" t="str">
        <f t="shared" ca="1" si="46"/>
        <v/>
      </c>
      <c r="I359" s="17" t="str">
        <f ca="1">IF(AND($B359="",$C359=""),"",VLOOKUP($A359,Table1[],2,FALSE))</f>
        <v/>
      </c>
    </row>
    <row r="360" spans="1:9" ht="27" customHeight="1" x14ac:dyDescent="0.25">
      <c r="A360" s="12" t="str">
        <f t="shared" ca="1" si="41"/>
        <v/>
      </c>
      <c r="B360" s="12" t="str">
        <f t="shared" ca="1" si="42"/>
        <v/>
      </c>
      <c r="C360" s="12" t="str">
        <f t="shared" ca="1" si="47"/>
        <v/>
      </c>
      <c r="D360" s="12" t="str">
        <f t="shared" ca="1" si="47"/>
        <v/>
      </c>
      <c r="E360" s="12" t="str">
        <f t="shared" ca="1" si="44"/>
        <v/>
      </c>
      <c r="F360" s="17"/>
      <c r="G360" s="13" t="str">
        <f t="shared" ca="1" si="45"/>
        <v/>
      </c>
      <c r="H360" s="13" t="str">
        <f t="shared" ca="1" si="46"/>
        <v/>
      </c>
      <c r="I360" s="17" t="str">
        <f ca="1">IF(AND($B360="",$C360=""),"",VLOOKUP($A360,Table1[],2,FALSE))</f>
        <v/>
      </c>
    </row>
    <row r="361" spans="1:9" ht="27" customHeight="1" x14ac:dyDescent="0.25">
      <c r="A361" s="12" t="str">
        <f t="shared" ca="1" si="41"/>
        <v/>
      </c>
      <c r="B361" s="12" t="str">
        <f t="shared" ca="1" si="42"/>
        <v/>
      </c>
      <c r="C361" s="12" t="str">
        <f t="shared" ca="1" si="47"/>
        <v/>
      </c>
      <c r="D361" s="12" t="str">
        <f t="shared" ca="1" si="47"/>
        <v/>
      </c>
      <c r="E361" s="12" t="str">
        <f t="shared" ca="1" si="44"/>
        <v/>
      </c>
      <c r="F361" s="17"/>
      <c r="G361" s="13" t="str">
        <f t="shared" ca="1" si="45"/>
        <v/>
      </c>
      <c r="H361" s="13" t="str">
        <f t="shared" ca="1" si="46"/>
        <v/>
      </c>
      <c r="I361" s="17" t="str">
        <f ca="1">IF(AND($B361="",$C361=""),"",VLOOKUP($A361,Table1[],2,FALSE))</f>
        <v/>
      </c>
    </row>
    <row r="362" spans="1:9" ht="27" customHeight="1" x14ac:dyDescent="0.25">
      <c r="A362" s="12" t="str">
        <f t="shared" ca="1" si="41"/>
        <v/>
      </c>
      <c r="B362" s="12" t="str">
        <f t="shared" ca="1" si="42"/>
        <v/>
      </c>
      <c r="C362" s="12" t="str">
        <f t="shared" ref="C362:D381" ca="1" si="48">TEXT( INDIRECT( ADDRESS( ROW() + Row_Offset, INDIRECT( "Column_Number_" &amp; C$1), 4,1, tabname) ), "")</f>
        <v/>
      </c>
      <c r="D362" s="12" t="str">
        <f t="shared" ca="1" si="48"/>
        <v/>
      </c>
      <c r="E362" s="12" t="str">
        <f t="shared" ca="1" si="44"/>
        <v/>
      </c>
      <c r="F362" s="17"/>
      <c r="G362" s="13" t="str">
        <f t="shared" ca="1" si="45"/>
        <v/>
      </c>
      <c r="H362" s="13" t="str">
        <f t="shared" ca="1" si="46"/>
        <v/>
      </c>
      <c r="I362" s="17" t="str">
        <f ca="1">IF(AND($B362="",$C362=""),"",VLOOKUP($A362,Table1[],2,FALSE))</f>
        <v/>
      </c>
    </row>
    <row r="363" spans="1:9" ht="27" customHeight="1" x14ac:dyDescent="0.25">
      <c r="A363" s="12" t="str">
        <f t="shared" ca="1" si="41"/>
        <v/>
      </c>
      <c r="B363" s="12" t="str">
        <f t="shared" ca="1" si="42"/>
        <v/>
      </c>
      <c r="C363" s="12" t="str">
        <f t="shared" ca="1" si="48"/>
        <v/>
      </c>
      <c r="D363" s="12" t="str">
        <f t="shared" ca="1" si="48"/>
        <v/>
      </c>
      <c r="E363" s="12" t="str">
        <f t="shared" ca="1" si="44"/>
        <v/>
      </c>
      <c r="F363" s="17"/>
      <c r="G363" s="13" t="str">
        <f t="shared" ca="1" si="45"/>
        <v/>
      </c>
      <c r="H363" s="13" t="str">
        <f t="shared" ca="1" si="46"/>
        <v/>
      </c>
      <c r="I363" s="17" t="str">
        <f ca="1">IF(AND($B363="",$C363=""),"",VLOOKUP($A363,Table1[],2,FALSE))</f>
        <v/>
      </c>
    </row>
    <row r="364" spans="1:9" ht="27" customHeight="1" x14ac:dyDescent="0.25">
      <c r="A364" s="12" t="str">
        <f t="shared" ca="1" si="41"/>
        <v/>
      </c>
      <c r="B364" s="12" t="str">
        <f t="shared" ca="1" si="42"/>
        <v/>
      </c>
      <c r="C364" s="12" t="str">
        <f t="shared" ca="1" si="48"/>
        <v/>
      </c>
      <c r="D364" s="12" t="str">
        <f t="shared" ca="1" si="48"/>
        <v/>
      </c>
      <c r="E364" s="12" t="str">
        <f t="shared" ca="1" si="44"/>
        <v/>
      </c>
      <c r="F364" s="17"/>
      <c r="G364" s="13" t="str">
        <f t="shared" ca="1" si="45"/>
        <v/>
      </c>
      <c r="H364" s="13" t="str">
        <f t="shared" ca="1" si="46"/>
        <v/>
      </c>
      <c r="I364" s="17" t="str">
        <f ca="1">IF(AND($B364="",$C364=""),"",VLOOKUP($A364,Table1[],2,FALSE))</f>
        <v/>
      </c>
    </row>
    <row r="365" spans="1:9" ht="27" customHeight="1" x14ac:dyDescent="0.25">
      <c r="A365" s="12" t="str">
        <f t="shared" ca="1" si="41"/>
        <v/>
      </c>
      <c r="B365" s="12" t="str">
        <f t="shared" ca="1" si="42"/>
        <v/>
      </c>
      <c r="C365" s="12" t="str">
        <f t="shared" ca="1" si="48"/>
        <v/>
      </c>
      <c r="D365" s="12" t="str">
        <f t="shared" ca="1" si="48"/>
        <v/>
      </c>
      <c r="E365" s="12" t="str">
        <f t="shared" ca="1" si="44"/>
        <v/>
      </c>
      <c r="F365" s="17"/>
      <c r="G365" s="13" t="str">
        <f t="shared" ca="1" si="45"/>
        <v/>
      </c>
      <c r="H365" s="13" t="str">
        <f t="shared" ca="1" si="46"/>
        <v/>
      </c>
      <c r="I365" s="17" t="str">
        <f ca="1">IF(AND($B365="",$C365=""),"",VLOOKUP($A365,Table1[],2,FALSE))</f>
        <v/>
      </c>
    </row>
    <row r="366" spans="1:9" ht="27" customHeight="1" x14ac:dyDescent="0.25">
      <c r="A366" s="12" t="str">
        <f t="shared" ca="1" si="41"/>
        <v/>
      </c>
      <c r="B366" s="12" t="str">
        <f t="shared" ca="1" si="42"/>
        <v/>
      </c>
      <c r="C366" s="12" t="str">
        <f t="shared" ca="1" si="48"/>
        <v/>
      </c>
      <c r="D366" s="12" t="str">
        <f t="shared" ca="1" si="48"/>
        <v/>
      </c>
      <c r="E366" s="12" t="str">
        <f t="shared" ca="1" si="44"/>
        <v/>
      </c>
      <c r="F366" s="17"/>
      <c r="G366" s="13" t="str">
        <f t="shared" ca="1" si="45"/>
        <v/>
      </c>
      <c r="H366" s="13" t="str">
        <f t="shared" ca="1" si="46"/>
        <v/>
      </c>
      <c r="I366" s="17" t="str">
        <f ca="1">IF(AND($B366="",$C366=""),"",VLOOKUP($A366,Table1[],2,FALSE))</f>
        <v/>
      </c>
    </row>
    <row r="367" spans="1:9" ht="27" customHeight="1" x14ac:dyDescent="0.25">
      <c r="A367" s="12" t="str">
        <f t="shared" ca="1" si="41"/>
        <v/>
      </c>
      <c r="B367" s="12" t="str">
        <f t="shared" ca="1" si="42"/>
        <v/>
      </c>
      <c r="C367" s="12" t="str">
        <f t="shared" ca="1" si="48"/>
        <v/>
      </c>
      <c r="D367" s="12" t="str">
        <f t="shared" ca="1" si="48"/>
        <v/>
      </c>
      <c r="E367" s="12" t="str">
        <f t="shared" ca="1" si="44"/>
        <v/>
      </c>
      <c r="F367" s="17"/>
      <c r="G367" s="13" t="str">
        <f t="shared" ca="1" si="45"/>
        <v/>
      </c>
      <c r="H367" s="13" t="str">
        <f t="shared" ca="1" si="46"/>
        <v/>
      </c>
      <c r="I367" s="17" t="str">
        <f ca="1">IF(AND($B367="",$C367=""),"",VLOOKUP($A367,Table1[],2,FALSE))</f>
        <v/>
      </c>
    </row>
    <row r="368" spans="1:9" ht="27" customHeight="1" x14ac:dyDescent="0.25">
      <c r="A368" s="12" t="str">
        <f t="shared" ca="1" si="41"/>
        <v/>
      </c>
      <c r="B368" s="12" t="str">
        <f t="shared" ca="1" si="42"/>
        <v/>
      </c>
      <c r="C368" s="12" t="str">
        <f t="shared" ca="1" si="48"/>
        <v/>
      </c>
      <c r="D368" s="12" t="str">
        <f t="shared" ca="1" si="48"/>
        <v/>
      </c>
      <c r="E368" s="12" t="str">
        <f t="shared" ca="1" si="44"/>
        <v/>
      </c>
      <c r="F368" s="17"/>
      <c r="G368" s="13" t="str">
        <f t="shared" ca="1" si="45"/>
        <v/>
      </c>
      <c r="H368" s="13" t="str">
        <f t="shared" ca="1" si="46"/>
        <v/>
      </c>
      <c r="I368" s="17" t="str">
        <f ca="1">IF(AND($B368="",$C368=""),"",VLOOKUP($A368,Table1[],2,FALSE))</f>
        <v/>
      </c>
    </row>
    <row r="369" spans="1:9" ht="27" customHeight="1" x14ac:dyDescent="0.25">
      <c r="A369" s="12" t="str">
        <f t="shared" ca="1" si="41"/>
        <v/>
      </c>
      <c r="B369" s="12" t="str">
        <f t="shared" ca="1" si="42"/>
        <v/>
      </c>
      <c r="C369" s="12" t="str">
        <f t="shared" ca="1" si="48"/>
        <v/>
      </c>
      <c r="D369" s="12" t="str">
        <f t="shared" ca="1" si="48"/>
        <v/>
      </c>
      <c r="E369" s="12" t="str">
        <f t="shared" ca="1" si="44"/>
        <v/>
      </c>
      <c r="F369" s="17"/>
      <c r="G369" s="13" t="str">
        <f t="shared" ca="1" si="45"/>
        <v/>
      </c>
      <c r="H369" s="13" t="str">
        <f t="shared" ca="1" si="46"/>
        <v/>
      </c>
      <c r="I369" s="17" t="str">
        <f ca="1">IF(AND($B369="",$C369=""),"",VLOOKUP($A369,Table1[],2,FALSE))</f>
        <v/>
      </c>
    </row>
    <row r="370" spans="1:9" ht="27" customHeight="1" x14ac:dyDescent="0.25">
      <c r="A370" s="12" t="str">
        <f t="shared" ca="1" si="41"/>
        <v/>
      </c>
      <c r="B370" s="12" t="str">
        <f t="shared" ca="1" si="42"/>
        <v/>
      </c>
      <c r="C370" s="12" t="str">
        <f t="shared" ca="1" si="48"/>
        <v/>
      </c>
      <c r="D370" s="12" t="str">
        <f t="shared" ca="1" si="48"/>
        <v/>
      </c>
      <c r="E370" s="12" t="str">
        <f t="shared" ca="1" si="44"/>
        <v/>
      </c>
      <c r="F370" s="17"/>
      <c r="G370" s="13" t="str">
        <f t="shared" ca="1" si="45"/>
        <v/>
      </c>
      <c r="H370" s="13" t="str">
        <f t="shared" ca="1" si="46"/>
        <v/>
      </c>
      <c r="I370" s="17" t="str">
        <f ca="1">IF(AND($B370="",$C370=""),"",VLOOKUP($A370,Table1[],2,FALSE))</f>
        <v/>
      </c>
    </row>
    <row r="371" spans="1:9" ht="27" customHeight="1" x14ac:dyDescent="0.25">
      <c r="A371" s="12" t="str">
        <f t="shared" ca="1" si="41"/>
        <v/>
      </c>
      <c r="B371" s="12" t="str">
        <f t="shared" ca="1" si="42"/>
        <v/>
      </c>
      <c r="C371" s="12" t="str">
        <f t="shared" ca="1" si="48"/>
        <v/>
      </c>
      <c r="D371" s="12" t="str">
        <f t="shared" ca="1" si="48"/>
        <v/>
      </c>
      <c r="E371" s="12" t="str">
        <f t="shared" ca="1" si="44"/>
        <v/>
      </c>
      <c r="F371" s="17"/>
      <c r="G371" s="13" t="str">
        <f t="shared" ca="1" si="45"/>
        <v/>
      </c>
      <c r="H371" s="13" t="str">
        <f t="shared" ca="1" si="46"/>
        <v/>
      </c>
      <c r="I371" s="17" t="str">
        <f ca="1">IF(AND($B371="",$C371=""),"",VLOOKUP($A371,Table1[],2,FALSE))</f>
        <v/>
      </c>
    </row>
    <row r="372" spans="1:9" ht="27" customHeight="1" x14ac:dyDescent="0.25">
      <c r="A372" s="12" t="str">
        <f t="shared" ca="1" si="41"/>
        <v/>
      </c>
      <c r="B372" s="12" t="str">
        <f t="shared" ca="1" si="42"/>
        <v/>
      </c>
      <c r="C372" s="12" t="str">
        <f t="shared" ca="1" si="48"/>
        <v/>
      </c>
      <c r="D372" s="12" t="str">
        <f t="shared" ca="1" si="48"/>
        <v/>
      </c>
      <c r="E372" s="12" t="str">
        <f t="shared" ca="1" si="44"/>
        <v/>
      </c>
      <c r="F372" s="17"/>
      <c r="G372" s="13" t="str">
        <f t="shared" ca="1" si="45"/>
        <v/>
      </c>
      <c r="H372" s="13" t="str">
        <f t="shared" ca="1" si="46"/>
        <v/>
      </c>
      <c r="I372" s="17" t="str">
        <f ca="1">IF(AND($B372="",$C372=""),"",VLOOKUP($A372,Table1[],2,FALSE))</f>
        <v/>
      </c>
    </row>
    <row r="373" spans="1:9" ht="27" customHeight="1" x14ac:dyDescent="0.25">
      <c r="A373" s="12" t="str">
        <f t="shared" ca="1" si="41"/>
        <v/>
      </c>
      <c r="B373" s="12" t="str">
        <f t="shared" ca="1" si="42"/>
        <v/>
      </c>
      <c r="C373" s="12" t="str">
        <f t="shared" ca="1" si="48"/>
        <v/>
      </c>
      <c r="D373" s="12" t="str">
        <f t="shared" ca="1" si="48"/>
        <v/>
      </c>
      <c r="E373" s="12" t="str">
        <f t="shared" ca="1" si="44"/>
        <v/>
      </c>
      <c r="F373" s="17"/>
      <c r="G373" s="13" t="str">
        <f t="shared" ca="1" si="45"/>
        <v/>
      </c>
      <c r="H373" s="13" t="str">
        <f t="shared" ca="1" si="46"/>
        <v/>
      </c>
      <c r="I373" s="17" t="str">
        <f ca="1">IF(AND($B373="",$C373=""),"",VLOOKUP($A373,Table1[],2,FALSE))</f>
        <v/>
      </c>
    </row>
    <row r="374" spans="1:9" ht="27" customHeight="1" x14ac:dyDescent="0.25">
      <c r="A374" s="12" t="str">
        <f t="shared" ca="1" si="41"/>
        <v/>
      </c>
      <c r="B374" s="12" t="str">
        <f t="shared" ca="1" si="42"/>
        <v/>
      </c>
      <c r="C374" s="12" t="str">
        <f t="shared" ca="1" si="48"/>
        <v/>
      </c>
      <c r="D374" s="12" t="str">
        <f t="shared" ca="1" si="48"/>
        <v/>
      </c>
      <c r="E374" s="12" t="str">
        <f t="shared" ca="1" si="44"/>
        <v/>
      </c>
      <c r="F374" s="17"/>
      <c r="G374" s="13" t="str">
        <f t="shared" ca="1" si="45"/>
        <v/>
      </c>
      <c r="H374" s="13" t="str">
        <f t="shared" ca="1" si="46"/>
        <v/>
      </c>
      <c r="I374" s="17" t="str">
        <f ca="1">IF(AND($B374="",$C374=""),"",VLOOKUP($A374,Table1[],2,FALSE))</f>
        <v/>
      </c>
    </row>
    <row r="375" spans="1:9" ht="27" customHeight="1" x14ac:dyDescent="0.25">
      <c r="A375" s="12" t="str">
        <f t="shared" ca="1" si="41"/>
        <v/>
      </c>
      <c r="B375" s="12" t="str">
        <f t="shared" ca="1" si="42"/>
        <v/>
      </c>
      <c r="C375" s="12" t="str">
        <f t="shared" ca="1" si="48"/>
        <v/>
      </c>
      <c r="D375" s="12" t="str">
        <f t="shared" ca="1" si="48"/>
        <v/>
      </c>
      <c r="E375" s="12" t="str">
        <f t="shared" ca="1" si="44"/>
        <v/>
      </c>
      <c r="F375" s="17"/>
      <c r="G375" s="13" t="str">
        <f t="shared" ca="1" si="45"/>
        <v/>
      </c>
      <c r="H375" s="13" t="str">
        <f t="shared" ca="1" si="46"/>
        <v/>
      </c>
      <c r="I375" s="17" t="str">
        <f ca="1">IF(AND($B375="",$C375=""),"",VLOOKUP($A375,Table1[],2,FALSE))</f>
        <v/>
      </c>
    </row>
    <row r="376" spans="1:9" ht="27" customHeight="1" x14ac:dyDescent="0.25">
      <c r="A376" s="12" t="str">
        <f t="shared" ca="1" si="41"/>
        <v/>
      </c>
      <c r="B376" s="12" t="str">
        <f t="shared" ca="1" si="42"/>
        <v/>
      </c>
      <c r="C376" s="12" t="str">
        <f t="shared" ca="1" si="48"/>
        <v/>
      </c>
      <c r="D376" s="12" t="str">
        <f t="shared" ca="1" si="48"/>
        <v/>
      </c>
      <c r="E376" s="12" t="str">
        <f t="shared" ca="1" si="44"/>
        <v/>
      </c>
      <c r="F376" s="17"/>
      <c r="G376" s="13" t="str">
        <f t="shared" ca="1" si="45"/>
        <v/>
      </c>
      <c r="H376" s="13" t="str">
        <f t="shared" ca="1" si="46"/>
        <v/>
      </c>
      <c r="I376" s="17" t="str">
        <f ca="1">IF(AND($B376="",$C376=""),"",VLOOKUP($A376,Table1[],2,FALSE))</f>
        <v/>
      </c>
    </row>
    <row r="377" spans="1:9" ht="27" customHeight="1" x14ac:dyDescent="0.25">
      <c r="A377" s="12" t="str">
        <f t="shared" ca="1" si="41"/>
        <v/>
      </c>
      <c r="B377" s="12" t="str">
        <f t="shared" ca="1" si="42"/>
        <v/>
      </c>
      <c r="C377" s="12" t="str">
        <f t="shared" ca="1" si="48"/>
        <v/>
      </c>
      <c r="D377" s="12" t="str">
        <f t="shared" ca="1" si="48"/>
        <v/>
      </c>
      <c r="E377" s="12" t="str">
        <f t="shared" ca="1" si="44"/>
        <v/>
      </c>
      <c r="F377" s="17"/>
      <c r="G377" s="13" t="str">
        <f t="shared" ca="1" si="45"/>
        <v/>
      </c>
      <c r="H377" s="13" t="str">
        <f t="shared" ca="1" si="46"/>
        <v/>
      </c>
      <c r="I377" s="17" t="str">
        <f ca="1">IF(AND($B377="",$C377=""),"",VLOOKUP($A377,Table1[],2,FALSE))</f>
        <v/>
      </c>
    </row>
    <row r="378" spans="1:9" ht="27" customHeight="1" x14ac:dyDescent="0.25">
      <c r="A378" s="12" t="str">
        <f t="shared" ca="1" si="41"/>
        <v/>
      </c>
      <c r="B378" s="12" t="str">
        <f t="shared" ca="1" si="42"/>
        <v/>
      </c>
      <c r="C378" s="12" t="str">
        <f t="shared" ca="1" si="48"/>
        <v/>
      </c>
      <c r="D378" s="12" t="str">
        <f t="shared" ca="1" si="48"/>
        <v/>
      </c>
      <c r="E378" s="12" t="str">
        <f t="shared" ca="1" si="44"/>
        <v/>
      </c>
      <c r="F378" s="17"/>
      <c r="G378" s="13" t="str">
        <f t="shared" ca="1" si="45"/>
        <v/>
      </c>
      <c r="H378" s="13" t="str">
        <f t="shared" ca="1" si="46"/>
        <v/>
      </c>
      <c r="I378" s="17" t="str">
        <f ca="1">IF(AND($B378="",$C378=""),"",VLOOKUP($A378,Table1[],2,FALSE))</f>
        <v/>
      </c>
    </row>
    <row r="379" spans="1:9" ht="27" customHeight="1" x14ac:dyDescent="0.25">
      <c r="A379" s="12" t="str">
        <f t="shared" ca="1" si="41"/>
        <v/>
      </c>
      <c r="B379" s="12" t="str">
        <f t="shared" ca="1" si="42"/>
        <v/>
      </c>
      <c r="C379" s="12" t="str">
        <f t="shared" ca="1" si="48"/>
        <v/>
      </c>
      <c r="D379" s="12" t="str">
        <f t="shared" ca="1" si="48"/>
        <v/>
      </c>
      <c r="E379" s="12" t="str">
        <f t="shared" ca="1" si="44"/>
        <v/>
      </c>
      <c r="F379" s="17"/>
      <c r="G379" s="13" t="str">
        <f t="shared" ca="1" si="45"/>
        <v/>
      </c>
      <c r="H379" s="13" t="str">
        <f t="shared" ca="1" si="46"/>
        <v/>
      </c>
      <c r="I379" s="17" t="str">
        <f ca="1">IF(AND($B379="",$C379=""),"",VLOOKUP($A379,Table1[],2,FALSE))</f>
        <v/>
      </c>
    </row>
    <row r="380" spans="1:9" ht="27" customHeight="1" x14ac:dyDescent="0.25">
      <c r="A380" s="12" t="str">
        <f t="shared" ca="1" si="41"/>
        <v/>
      </c>
      <c r="B380" s="12" t="str">
        <f t="shared" ca="1" si="42"/>
        <v/>
      </c>
      <c r="C380" s="12" t="str">
        <f t="shared" ca="1" si="48"/>
        <v/>
      </c>
      <c r="D380" s="12" t="str">
        <f t="shared" ca="1" si="48"/>
        <v/>
      </c>
      <c r="E380" s="12" t="str">
        <f t="shared" ca="1" si="44"/>
        <v/>
      </c>
      <c r="F380" s="17"/>
      <c r="G380" s="13" t="str">
        <f t="shared" ca="1" si="45"/>
        <v/>
      </c>
      <c r="H380" s="13" t="str">
        <f t="shared" ca="1" si="46"/>
        <v/>
      </c>
      <c r="I380" s="17" t="str">
        <f ca="1">IF(AND($B380="",$C380=""),"",VLOOKUP($A380,Table1[],2,FALSE))</f>
        <v/>
      </c>
    </row>
    <row r="381" spans="1:9" ht="27" customHeight="1" x14ac:dyDescent="0.25">
      <c r="A381" s="12" t="str">
        <f t="shared" ca="1" si="41"/>
        <v/>
      </c>
      <c r="B381" s="12" t="str">
        <f t="shared" ca="1" si="42"/>
        <v/>
      </c>
      <c r="C381" s="12" t="str">
        <f t="shared" ca="1" si="48"/>
        <v/>
      </c>
      <c r="D381" s="12" t="str">
        <f t="shared" ca="1" si="48"/>
        <v/>
      </c>
      <c r="E381" s="12" t="str">
        <f t="shared" ca="1" si="44"/>
        <v/>
      </c>
      <c r="F381" s="17"/>
      <c r="G381" s="13" t="str">
        <f t="shared" ca="1" si="45"/>
        <v/>
      </c>
      <c r="H381" s="13" t="str">
        <f t="shared" ca="1" si="46"/>
        <v/>
      </c>
      <c r="I381" s="17" t="str">
        <f ca="1">IF(AND($B381="",$C381=""),"",VLOOKUP($A381,Table1[],2,FALSE))</f>
        <v/>
      </c>
    </row>
    <row r="382" spans="1:9" ht="27" customHeight="1" x14ac:dyDescent="0.25">
      <c r="A382" s="12" t="str">
        <f t="shared" ca="1" si="41"/>
        <v/>
      </c>
      <c r="B382" s="12" t="str">
        <f t="shared" ca="1" si="42"/>
        <v/>
      </c>
      <c r="C382" s="12" t="str">
        <f t="shared" ref="C382:D401" ca="1" si="49">TEXT( INDIRECT( ADDRESS( ROW() + Row_Offset, INDIRECT( "Column_Number_" &amp; C$1), 4,1, tabname) ), "")</f>
        <v/>
      </c>
      <c r="D382" s="12" t="str">
        <f t="shared" ca="1" si="49"/>
        <v/>
      </c>
      <c r="E382" s="12" t="str">
        <f t="shared" ca="1" si="44"/>
        <v/>
      </c>
      <c r="F382" s="17"/>
      <c r="G382" s="13" t="str">
        <f t="shared" ca="1" si="45"/>
        <v/>
      </c>
      <c r="H382" s="13" t="str">
        <f t="shared" ca="1" si="46"/>
        <v/>
      </c>
      <c r="I382" s="17" t="str">
        <f ca="1">IF(AND($B382="",$C382=""),"",VLOOKUP($A382,Table1[],2,FALSE))</f>
        <v/>
      </c>
    </row>
    <row r="383" spans="1:9" ht="27" customHeight="1" x14ac:dyDescent="0.25">
      <c r="A383" s="12" t="str">
        <f t="shared" ca="1" si="41"/>
        <v/>
      </c>
      <c r="B383" s="12" t="str">
        <f t="shared" ca="1" si="42"/>
        <v/>
      </c>
      <c r="C383" s="12" t="str">
        <f t="shared" ca="1" si="49"/>
        <v/>
      </c>
      <c r="D383" s="12" t="str">
        <f t="shared" ca="1" si="49"/>
        <v/>
      </c>
      <c r="E383" s="12" t="str">
        <f t="shared" ca="1" si="44"/>
        <v/>
      </c>
      <c r="F383" s="17"/>
      <c r="G383" s="13" t="str">
        <f t="shared" ca="1" si="45"/>
        <v/>
      </c>
      <c r="H383" s="13" t="str">
        <f t="shared" ca="1" si="46"/>
        <v/>
      </c>
      <c r="I383" s="17" t="str">
        <f ca="1">IF(AND($B383="",$C383=""),"",VLOOKUP($A383,Table1[],2,FALSE))</f>
        <v/>
      </c>
    </row>
    <row r="384" spans="1:9" ht="27" customHeight="1" x14ac:dyDescent="0.25">
      <c r="A384" s="12" t="str">
        <f t="shared" ca="1" si="41"/>
        <v/>
      </c>
      <c r="B384" s="12" t="str">
        <f t="shared" ca="1" si="42"/>
        <v/>
      </c>
      <c r="C384" s="12" t="str">
        <f t="shared" ca="1" si="49"/>
        <v/>
      </c>
      <c r="D384" s="12" t="str">
        <f t="shared" ca="1" si="49"/>
        <v/>
      </c>
      <c r="E384" s="12" t="str">
        <f t="shared" ca="1" si="44"/>
        <v/>
      </c>
      <c r="F384" s="17"/>
      <c r="G384" s="13" t="str">
        <f t="shared" ca="1" si="45"/>
        <v/>
      </c>
      <c r="H384" s="13" t="str">
        <f t="shared" ca="1" si="46"/>
        <v/>
      </c>
      <c r="I384" s="17" t="str">
        <f ca="1">IF(AND($B384="",$C384=""),"",VLOOKUP($A384,Table1[],2,FALSE))</f>
        <v/>
      </c>
    </row>
    <row r="385" spans="1:9" ht="27" customHeight="1" x14ac:dyDescent="0.25">
      <c r="A385" s="12" t="str">
        <f t="shared" ca="1" si="41"/>
        <v/>
      </c>
      <c r="B385" s="12" t="str">
        <f t="shared" ca="1" si="42"/>
        <v/>
      </c>
      <c r="C385" s="12" t="str">
        <f t="shared" ca="1" si="49"/>
        <v/>
      </c>
      <c r="D385" s="12" t="str">
        <f t="shared" ca="1" si="49"/>
        <v/>
      </c>
      <c r="E385" s="12" t="str">
        <f t="shared" ca="1" si="44"/>
        <v/>
      </c>
      <c r="F385" s="17"/>
      <c r="G385" s="13" t="str">
        <f t="shared" ca="1" si="45"/>
        <v/>
      </c>
      <c r="H385" s="13" t="str">
        <f t="shared" ca="1" si="46"/>
        <v/>
      </c>
      <c r="I385" s="17" t="str">
        <f ca="1">IF(AND($B385="",$C385=""),"",VLOOKUP($A385,Table1[],2,FALSE))</f>
        <v/>
      </c>
    </row>
    <row r="386" spans="1:9" ht="27" customHeight="1" x14ac:dyDescent="0.25">
      <c r="A386" s="12" t="str">
        <f t="shared" ref="A386:A449" ca="1" si="50">TEXT( INDIRECT( ADDRESS( ROW() + Row_Offset, INDIRECT( "Column_Number_" &amp; A$1), 4,1, tabname) ), "")</f>
        <v/>
      </c>
      <c r="B386" s="12" t="str">
        <f t="shared" ref="B386:B449" ca="1" si="51">TEXT(  IFERROR( VLOOKUP( $D386, CName_to_Descriptor, 2, FALSE),"") &amp;
        INDIRECT( ADDRESS( ROW() + Row_Offset, INDIRECT( "Column_Number_" &amp; $B$1), 4,1, tabname) ), "")</f>
        <v/>
      </c>
      <c r="C386" s="12" t="str">
        <f t="shared" ca="1" si="49"/>
        <v/>
      </c>
      <c r="D386" s="12" t="str">
        <f t="shared" ca="1" si="49"/>
        <v/>
      </c>
      <c r="E386" s="12" t="str">
        <f t="shared" ref="E386:E449" ca="1" si="52">TEXT( INDIRECT( ADDRESS( ROW() + Row_Offset, INDIRECT( "Column_Number_" &amp; E$1), 4,1, tabname) ), "####")</f>
        <v/>
      </c>
      <c r="F386" s="17"/>
      <c r="G386" s="13" t="str">
        <f t="shared" ref="G386:G449" ca="1" si="53">IF(IFERROR(FIND("New",$A386)&gt;0,FALSE),"New ","") &amp; IF(IFERROR(FIND("In Lib",$A386)&gt;0,FALSE),"Reference ","") &amp;
IF(AND(D386="Audiobook",LEFT(B386,6)="CD BIO"),"Biography",
IF(AND(D386="Teen Audiobook",LEFT(B386,11)="TEEN CD BIO"),"Biography",
IF(AND(D386="Juvenile Audiobook",LEFT(B386,8)="J CD BIO"),"Biography",
IF(AND(D386="Audiobook",LEFT(B386,6)="CD FIC"),"Audiobook Fiction",
IF(AND(D386="Teen Audiobook",LEFT(B386,11)="TEEN CD FIC"),"Teen Audiobook",
IF(AND(D386="Juvenile Audiobook",LEFT(B386,8)="J CD FIC"),"Juvenile Audiobook",
IF(D386="Audiobook","Nonfiction",
IF(D386="Juvenile Audiobook","Nonfiction",
IF(D386="Teen Audiobook","Nonfiction",
IF(D386="Juvenile Nonfiction","Nonfiction",
IF(D386="Teen Nonfiction","Nonfiction",
IF(D386="Juvenile Biography","Biography",
IF(D386="Teen Biography","Biography",
IF(D386="ESL","Nonfiction",
IF(LEFT(B386,11)="INTL-VIE J ","International Juvenile",IF(LEFT(B386,11)="INTL-TAG J ","International Juvenile",IF(LEFT(B386,11)="INTL-RUS J ","International Juvenile",IF(LEFT(B386,11)="INTL-KOR J ","International Juvenile",IF(LEFT(B386,11)="INTL-JAP J ","International Juvenile",IF(LEFT(B386,11)="INTL-CHI J ","International Juvenile",IF(LEFT(B386,11)="INTL-SPA J ","International Juvenile",IF(LEFT(B386,14)="INTL-VIE TEEN ","International Teen",IF(LEFT(B386,14)="INTL-TAG TEEN ","International Teen",IF(LEFT(B386,14)="INTL-RUS TEEN ","International Teen",IF(LEFT(B386,14)="INTL-KOR TEEN ","International Teen",IF(LEFT(B386,14)="INTL-JAP TEEN ","International Teen",IF(LEFT(B386,14)="INTL-CHI TEEN ","International Teen",IF(LEFT(B386,14)="INTL-SPA TEEN ","International Teen",IF(LEFT(B386,11)="INTL-VIE E ","International Easy",IF(LEFT(B386,11)="INTL-TAG E ","International Easy",IF(LEFT(B386,11)="INTL-RUS E ","International Easy",IF(LEFT(B386,11)="INTL-JAP E ","International Easy",IF(LEFT(B386,11)="INTL-KOR E ","International Easy",IF(LEFT(B386,11)="INTL-CHI E ","International Easy",IF(LEFT(B386,11)="INTL-SPA E ","International Easy",
IF(D386="Teen Large Type","Teen Fiction",
IF(D386="Juvenile Large Type","Juvenile Fiction",
IF(LEFT(B386,6)="J CD O","Juvenile Compact Disc",
IF(AND(LEFT(B386,4)="TEEN",D386="Fiction"),"Teen Fiction",
IF(D386="DVD Educational","Nonfiction",
IF(D386="Juvenile DVD Educational","Nonfiction",
IF(D386="Reference","Nonfiction",
D386))))))))))))))))))))))))))))))))))))))))))</f>
        <v/>
      </c>
      <c r="H386" s="13" t="str">
        <f t="shared" ref="H386:H449" ca="1" si="54">IF(AND(D386="Juvenile Audiobook",LEFT(B386,8)="J CD BIO"),RIGHT(B386,LEN(B386)-9),
IF(AND(D386="Juvenile Audiobook",LEFT(B386,8)="J CD FIC"),B386,
IF(D386="Juvenile Audiobook",RIGHT(B386,LEN(B386)-5),
IF(AND(D386="Teen Audiobook",LEFT(B386,11)="TEEN CD BIO"),RIGHT(B386,LEN(B386)-12),
IF(AND(D386="Teen Audiobook",LEFT(B386,11)="TEEN CD FIC"),B386,
IF(D386="Juvenile Audiobook",RIGHT(B386,LEN(B386)-8),
IF(D386="Juvenile Nonfiction",RIGHT(B386,LEN(B386)-2),
IF(D386="Teen Nonfiction",RIGHT(B386,LEN(B386)-5),
IF(AND(G386="Nonfiction",D386="Audiobook"),RIGHT(B386,LEN(B386)-3),
IF(D386="Juvenile Biography",RIGHT(B386,LEN(B386)-2),
IF(D386="Teen Biography",RIGHT(B386,LEN(B386)-5),
IF(AND(D386="Audiobook",G386="Biography"),RIGHT(B386,LEN(B386)-3),
IF(D386="Juvenile Large Type","J "&amp;RIGHT(B386,LEN(B386)-11),
IF(D386="Teen Large Type","TEEN "&amp;RIGHT(B386,LEN(B386)-14),
IF(D386="Reference",RIGHT(B386,LEN(B386)-4),
IF(D386="DVD Educational",RIGHT(B386,LEN(B386)-7),
IF(D386="Juvenile DVD Educational",RIGHT(B386,LEN(B386)-9),
B386)))))))))))))))))</f>
        <v/>
      </c>
      <c r="I386" s="17" t="str">
        <f ca="1">IF(AND($B386="",$C386=""),"",VLOOKUP($A386,Table1[],2,FALSE))</f>
        <v/>
      </c>
    </row>
    <row r="387" spans="1:9" ht="27" customHeight="1" x14ac:dyDescent="0.25">
      <c r="A387" s="12" t="str">
        <f t="shared" ca="1" si="50"/>
        <v/>
      </c>
      <c r="B387" s="12" t="str">
        <f t="shared" ca="1" si="51"/>
        <v/>
      </c>
      <c r="C387" s="12" t="str">
        <f t="shared" ca="1" si="49"/>
        <v/>
      </c>
      <c r="D387" s="12" t="str">
        <f t="shared" ca="1" si="49"/>
        <v/>
      </c>
      <c r="E387" s="12" t="str">
        <f t="shared" ca="1" si="52"/>
        <v/>
      </c>
      <c r="F387" s="17"/>
      <c r="G387" s="13" t="str">
        <f t="shared" ca="1" si="53"/>
        <v/>
      </c>
      <c r="H387" s="13" t="str">
        <f t="shared" ca="1" si="54"/>
        <v/>
      </c>
      <c r="I387" s="17" t="str">
        <f ca="1">IF(AND($B387="",$C387=""),"",VLOOKUP($A387,Table1[],2,FALSE))</f>
        <v/>
      </c>
    </row>
    <row r="388" spans="1:9" ht="27" customHeight="1" x14ac:dyDescent="0.25">
      <c r="A388" s="12" t="str">
        <f t="shared" ca="1" si="50"/>
        <v/>
      </c>
      <c r="B388" s="12" t="str">
        <f t="shared" ca="1" si="51"/>
        <v/>
      </c>
      <c r="C388" s="12" t="str">
        <f t="shared" ca="1" si="49"/>
        <v/>
      </c>
      <c r="D388" s="12" t="str">
        <f t="shared" ca="1" si="49"/>
        <v/>
      </c>
      <c r="E388" s="12" t="str">
        <f t="shared" ca="1" si="52"/>
        <v/>
      </c>
      <c r="F388" s="17"/>
      <c r="G388" s="13" t="str">
        <f t="shared" ca="1" si="53"/>
        <v/>
      </c>
      <c r="H388" s="13" t="str">
        <f t="shared" ca="1" si="54"/>
        <v/>
      </c>
      <c r="I388" s="17" t="str">
        <f ca="1">IF(AND($B388="",$C388=""),"",VLOOKUP($A388,Table1[],2,FALSE))</f>
        <v/>
      </c>
    </row>
    <row r="389" spans="1:9" ht="27" customHeight="1" x14ac:dyDescent="0.25">
      <c r="A389" s="12" t="str">
        <f t="shared" ca="1" si="50"/>
        <v/>
      </c>
      <c r="B389" s="12" t="str">
        <f t="shared" ca="1" si="51"/>
        <v/>
      </c>
      <c r="C389" s="12" t="str">
        <f t="shared" ca="1" si="49"/>
        <v/>
      </c>
      <c r="D389" s="12" t="str">
        <f t="shared" ca="1" si="49"/>
        <v/>
      </c>
      <c r="E389" s="12" t="str">
        <f t="shared" ca="1" si="52"/>
        <v/>
      </c>
      <c r="F389" s="17"/>
      <c r="G389" s="13" t="str">
        <f t="shared" ca="1" si="53"/>
        <v/>
      </c>
      <c r="H389" s="13" t="str">
        <f t="shared" ca="1" si="54"/>
        <v/>
      </c>
      <c r="I389" s="17" t="str">
        <f ca="1">IF(AND($B389="",$C389=""),"",VLOOKUP($A389,Table1[],2,FALSE))</f>
        <v/>
      </c>
    </row>
    <row r="390" spans="1:9" ht="27" customHeight="1" x14ac:dyDescent="0.25">
      <c r="A390" s="12" t="str">
        <f t="shared" ca="1" si="50"/>
        <v/>
      </c>
      <c r="B390" s="12" t="str">
        <f t="shared" ca="1" si="51"/>
        <v/>
      </c>
      <c r="C390" s="12" t="str">
        <f t="shared" ca="1" si="49"/>
        <v/>
      </c>
      <c r="D390" s="12" t="str">
        <f t="shared" ca="1" si="49"/>
        <v/>
      </c>
      <c r="E390" s="12" t="str">
        <f t="shared" ca="1" si="52"/>
        <v/>
      </c>
      <c r="F390" s="17"/>
      <c r="G390" s="13" t="str">
        <f t="shared" ca="1" si="53"/>
        <v/>
      </c>
      <c r="H390" s="13" t="str">
        <f t="shared" ca="1" si="54"/>
        <v/>
      </c>
      <c r="I390" s="17" t="str">
        <f ca="1">IF(AND($B390="",$C390=""),"",VLOOKUP($A390,Table1[],2,FALSE))</f>
        <v/>
      </c>
    </row>
    <row r="391" spans="1:9" ht="27" customHeight="1" x14ac:dyDescent="0.25">
      <c r="A391" s="12" t="str">
        <f t="shared" ca="1" si="50"/>
        <v/>
      </c>
      <c r="B391" s="12" t="str">
        <f t="shared" ca="1" si="51"/>
        <v/>
      </c>
      <c r="C391" s="12" t="str">
        <f t="shared" ca="1" si="49"/>
        <v/>
      </c>
      <c r="D391" s="12" t="str">
        <f t="shared" ca="1" si="49"/>
        <v/>
      </c>
      <c r="E391" s="12" t="str">
        <f t="shared" ca="1" si="52"/>
        <v/>
      </c>
      <c r="F391" s="17"/>
      <c r="G391" s="13" t="str">
        <f t="shared" ca="1" si="53"/>
        <v/>
      </c>
      <c r="H391" s="13" t="str">
        <f t="shared" ca="1" si="54"/>
        <v/>
      </c>
      <c r="I391" s="17" t="str">
        <f ca="1">IF(AND($B391="",$C391=""),"",VLOOKUP($A391,Table1[],2,FALSE))</f>
        <v/>
      </c>
    </row>
    <row r="392" spans="1:9" ht="27" customHeight="1" x14ac:dyDescent="0.25">
      <c r="A392" s="12" t="str">
        <f t="shared" ca="1" si="50"/>
        <v/>
      </c>
      <c r="B392" s="12" t="str">
        <f t="shared" ca="1" si="51"/>
        <v/>
      </c>
      <c r="C392" s="12" t="str">
        <f t="shared" ca="1" si="49"/>
        <v/>
      </c>
      <c r="D392" s="12" t="str">
        <f t="shared" ca="1" si="49"/>
        <v/>
      </c>
      <c r="E392" s="12" t="str">
        <f t="shared" ca="1" si="52"/>
        <v/>
      </c>
      <c r="F392" s="17"/>
      <c r="G392" s="13" t="str">
        <f t="shared" ca="1" si="53"/>
        <v/>
      </c>
      <c r="H392" s="13" t="str">
        <f t="shared" ca="1" si="54"/>
        <v/>
      </c>
      <c r="I392" s="17" t="str">
        <f ca="1">IF(AND($B392="",$C392=""),"",VLOOKUP($A392,Table1[],2,FALSE))</f>
        <v/>
      </c>
    </row>
    <row r="393" spans="1:9" ht="27" customHeight="1" x14ac:dyDescent="0.25">
      <c r="A393" s="12" t="str">
        <f t="shared" ca="1" si="50"/>
        <v/>
      </c>
      <c r="B393" s="12" t="str">
        <f t="shared" ca="1" si="51"/>
        <v/>
      </c>
      <c r="C393" s="12" t="str">
        <f t="shared" ca="1" si="49"/>
        <v/>
      </c>
      <c r="D393" s="12" t="str">
        <f t="shared" ca="1" si="49"/>
        <v/>
      </c>
      <c r="E393" s="12" t="str">
        <f t="shared" ca="1" si="52"/>
        <v/>
      </c>
      <c r="F393" s="17"/>
      <c r="G393" s="13" t="str">
        <f t="shared" ca="1" si="53"/>
        <v/>
      </c>
      <c r="H393" s="13" t="str">
        <f t="shared" ca="1" si="54"/>
        <v/>
      </c>
      <c r="I393" s="17" t="str">
        <f ca="1">IF(AND($B393="",$C393=""),"",VLOOKUP($A393,Table1[],2,FALSE))</f>
        <v/>
      </c>
    </row>
    <row r="394" spans="1:9" ht="27" customHeight="1" x14ac:dyDescent="0.25">
      <c r="A394" s="12" t="str">
        <f t="shared" ca="1" si="50"/>
        <v/>
      </c>
      <c r="B394" s="12" t="str">
        <f t="shared" ca="1" si="51"/>
        <v/>
      </c>
      <c r="C394" s="12" t="str">
        <f t="shared" ca="1" si="49"/>
        <v/>
      </c>
      <c r="D394" s="12" t="str">
        <f t="shared" ca="1" si="49"/>
        <v/>
      </c>
      <c r="E394" s="12" t="str">
        <f t="shared" ca="1" si="52"/>
        <v/>
      </c>
      <c r="F394" s="17"/>
      <c r="G394" s="13" t="str">
        <f t="shared" ca="1" si="53"/>
        <v/>
      </c>
      <c r="H394" s="13" t="str">
        <f t="shared" ca="1" si="54"/>
        <v/>
      </c>
      <c r="I394" s="17" t="str">
        <f ca="1">IF(AND($B394="",$C394=""),"",VLOOKUP($A394,Table1[],2,FALSE))</f>
        <v/>
      </c>
    </row>
    <row r="395" spans="1:9" ht="27" customHeight="1" x14ac:dyDescent="0.25">
      <c r="A395" s="12" t="str">
        <f t="shared" ca="1" si="50"/>
        <v/>
      </c>
      <c r="B395" s="12" t="str">
        <f t="shared" ca="1" si="51"/>
        <v/>
      </c>
      <c r="C395" s="12" t="str">
        <f t="shared" ca="1" si="49"/>
        <v/>
      </c>
      <c r="D395" s="12" t="str">
        <f t="shared" ca="1" si="49"/>
        <v/>
      </c>
      <c r="E395" s="12" t="str">
        <f t="shared" ca="1" si="52"/>
        <v/>
      </c>
      <c r="F395" s="17"/>
      <c r="G395" s="13" t="str">
        <f t="shared" ca="1" si="53"/>
        <v/>
      </c>
      <c r="H395" s="13" t="str">
        <f t="shared" ca="1" si="54"/>
        <v/>
      </c>
      <c r="I395" s="17" t="str">
        <f ca="1">IF(AND($B395="",$C395=""),"",VLOOKUP($A395,Table1[],2,FALSE))</f>
        <v/>
      </c>
    </row>
    <row r="396" spans="1:9" ht="27" customHeight="1" x14ac:dyDescent="0.25">
      <c r="A396" s="12" t="str">
        <f t="shared" ca="1" si="50"/>
        <v/>
      </c>
      <c r="B396" s="12" t="str">
        <f t="shared" ca="1" si="51"/>
        <v/>
      </c>
      <c r="C396" s="12" t="str">
        <f t="shared" ca="1" si="49"/>
        <v/>
      </c>
      <c r="D396" s="12" t="str">
        <f t="shared" ca="1" si="49"/>
        <v/>
      </c>
      <c r="E396" s="12" t="str">
        <f t="shared" ca="1" si="52"/>
        <v/>
      </c>
      <c r="F396" s="17"/>
      <c r="G396" s="13" t="str">
        <f t="shared" ca="1" si="53"/>
        <v/>
      </c>
      <c r="H396" s="13" t="str">
        <f t="shared" ca="1" si="54"/>
        <v/>
      </c>
      <c r="I396" s="17" t="str">
        <f ca="1">IF(AND($B396="",$C396=""),"",VLOOKUP($A396,Table1[],2,FALSE))</f>
        <v/>
      </c>
    </row>
    <row r="397" spans="1:9" ht="27" customHeight="1" x14ac:dyDescent="0.25">
      <c r="A397" s="12" t="str">
        <f t="shared" ca="1" si="50"/>
        <v/>
      </c>
      <c r="B397" s="12" t="str">
        <f t="shared" ca="1" si="51"/>
        <v/>
      </c>
      <c r="C397" s="12" t="str">
        <f t="shared" ca="1" si="49"/>
        <v/>
      </c>
      <c r="D397" s="12" t="str">
        <f t="shared" ca="1" si="49"/>
        <v/>
      </c>
      <c r="E397" s="12" t="str">
        <f t="shared" ca="1" si="52"/>
        <v/>
      </c>
      <c r="F397" s="17"/>
      <c r="G397" s="13" t="str">
        <f t="shared" ca="1" si="53"/>
        <v/>
      </c>
      <c r="H397" s="13" t="str">
        <f t="shared" ca="1" si="54"/>
        <v/>
      </c>
      <c r="I397" s="17" t="str">
        <f ca="1">IF(AND($B397="",$C397=""),"",VLOOKUP($A397,Table1[],2,FALSE))</f>
        <v/>
      </c>
    </row>
    <row r="398" spans="1:9" ht="27" customHeight="1" x14ac:dyDescent="0.25">
      <c r="A398" s="12" t="str">
        <f t="shared" ca="1" si="50"/>
        <v/>
      </c>
      <c r="B398" s="12" t="str">
        <f t="shared" ca="1" si="51"/>
        <v/>
      </c>
      <c r="C398" s="12" t="str">
        <f t="shared" ca="1" si="49"/>
        <v/>
      </c>
      <c r="D398" s="12" t="str">
        <f t="shared" ca="1" si="49"/>
        <v/>
      </c>
      <c r="E398" s="12" t="str">
        <f t="shared" ca="1" si="52"/>
        <v/>
      </c>
      <c r="F398" s="17"/>
      <c r="G398" s="13" t="str">
        <f t="shared" ca="1" si="53"/>
        <v/>
      </c>
      <c r="H398" s="13" t="str">
        <f t="shared" ca="1" si="54"/>
        <v/>
      </c>
      <c r="I398" s="17" t="str">
        <f ca="1">IF(AND($B398="",$C398=""),"",VLOOKUP($A398,Table1[],2,FALSE))</f>
        <v/>
      </c>
    </row>
    <row r="399" spans="1:9" ht="27" customHeight="1" x14ac:dyDescent="0.25">
      <c r="A399" s="12" t="str">
        <f t="shared" ca="1" si="50"/>
        <v/>
      </c>
      <c r="B399" s="12" t="str">
        <f t="shared" ca="1" si="51"/>
        <v/>
      </c>
      <c r="C399" s="12" t="str">
        <f t="shared" ca="1" si="49"/>
        <v/>
      </c>
      <c r="D399" s="12" t="str">
        <f t="shared" ca="1" si="49"/>
        <v/>
      </c>
      <c r="E399" s="12" t="str">
        <f t="shared" ca="1" si="52"/>
        <v/>
      </c>
      <c r="F399" s="17"/>
      <c r="G399" s="13" t="str">
        <f t="shared" ca="1" si="53"/>
        <v/>
      </c>
      <c r="H399" s="13" t="str">
        <f t="shared" ca="1" si="54"/>
        <v/>
      </c>
      <c r="I399" s="17" t="str">
        <f ca="1">IF(AND($B399="",$C399=""),"",VLOOKUP($A399,Table1[],2,FALSE))</f>
        <v/>
      </c>
    </row>
    <row r="400" spans="1:9" ht="27" customHeight="1" x14ac:dyDescent="0.25">
      <c r="A400" s="12" t="str">
        <f t="shared" ca="1" si="50"/>
        <v/>
      </c>
      <c r="B400" s="12" t="str">
        <f t="shared" ca="1" si="51"/>
        <v/>
      </c>
      <c r="C400" s="12" t="str">
        <f t="shared" ca="1" si="49"/>
        <v/>
      </c>
      <c r="D400" s="12" t="str">
        <f t="shared" ca="1" si="49"/>
        <v/>
      </c>
      <c r="E400" s="12" t="str">
        <f t="shared" ca="1" si="52"/>
        <v/>
      </c>
      <c r="F400" s="17"/>
      <c r="G400" s="13" t="str">
        <f t="shared" ca="1" si="53"/>
        <v/>
      </c>
      <c r="H400" s="13" t="str">
        <f t="shared" ca="1" si="54"/>
        <v/>
      </c>
      <c r="I400" s="17" t="str">
        <f ca="1">IF(AND($B400="",$C400=""),"",VLOOKUP($A400,Table1[],2,FALSE))</f>
        <v/>
      </c>
    </row>
    <row r="401" spans="1:9" ht="27" customHeight="1" x14ac:dyDescent="0.25">
      <c r="A401" s="12" t="str">
        <f t="shared" ca="1" si="50"/>
        <v/>
      </c>
      <c r="B401" s="12" t="str">
        <f t="shared" ca="1" si="51"/>
        <v/>
      </c>
      <c r="C401" s="12" t="str">
        <f t="shared" ca="1" si="49"/>
        <v/>
      </c>
      <c r="D401" s="12" t="str">
        <f t="shared" ca="1" si="49"/>
        <v/>
      </c>
      <c r="E401" s="12" t="str">
        <f t="shared" ca="1" si="52"/>
        <v/>
      </c>
      <c r="F401" s="17"/>
      <c r="G401" s="13" t="str">
        <f t="shared" ca="1" si="53"/>
        <v/>
      </c>
      <c r="H401" s="13" t="str">
        <f t="shared" ca="1" si="54"/>
        <v/>
      </c>
      <c r="I401" s="17" t="str">
        <f ca="1">IF(AND($B401="",$C401=""),"",VLOOKUP($A401,Table1[],2,FALSE))</f>
        <v/>
      </c>
    </row>
    <row r="402" spans="1:9" ht="27" customHeight="1" x14ac:dyDescent="0.25">
      <c r="A402" s="12" t="str">
        <f t="shared" ca="1" si="50"/>
        <v/>
      </c>
      <c r="B402" s="12" t="str">
        <f t="shared" ca="1" si="51"/>
        <v/>
      </c>
      <c r="C402" s="12" t="str">
        <f t="shared" ref="C402:D421" ca="1" si="55">TEXT( INDIRECT( ADDRESS( ROW() + Row_Offset, INDIRECT( "Column_Number_" &amp; C$1), 4,1, tabname) ), "")</f>
        <v/>
      </c>
      <c r="D402" s="12" t="str">
        <f t="shared" ca="1" si="55"/>
        <v/>
      </c>
      <c r="E402" s="12" t="str">
        <f t="shared" ca="1" si="52"/>
        <v/>
      </c>
      <c r="F402" s="17"/>
      <c r="G402" s="13" t="str">
        <f t="shared" ca="1" si="53"/>
        <v/>
      </c>
      <c r="H402" s="13" t="str">
        <f t="shared" ca="1" si="54"/>
        <v/>
      </c>
      <c r="I402" s="17" t="str">
        <f ca="1">IF(AND($B402="",$C402=""),"",VLOOKUP($A402,Table1[],2,FALSE))</f>
        <v/>
      </c>
    </row>
    <row r="403" spans="1:9" ht="27" customHeight="1" x14ac:dyDescent="0.25">
      <c r="A403" s="12" t="str">
        <f t="shared" ca="1" si="50"/>
        <v/>
      </c>
      <c r="B403" s="12" t="str">
        <f t="shared" ca="1" si="51"/>
        <v/>
      </c>
      <c r="C403" s="12" t="str">
        <f t="shared" ca="1" si="55"/>
        <v/>
      </c>
      <c r="D403" s="12" t="str">
        <f t="shared" ca="1" si="55"/>
        <v/>
      </c>
      <c r="E403" s="12" t="str">
        <f t="shared" ca="1" si="52"/>
        <v/>
      </c>
      <c r="F403" s="17"/>
      <c r="G403" s="13" t="str">
        <f t="shared" ca="1" si="53"/>
        <v/>
      </c>
      <c r="H403" s="13" t="str">
        <f t="shared" ca="1" si="54"/>
        <v/>
      </c>
      <c r="I403" s="17" t="str">
        <f ca="1">IF(AND($B403="",$C403=""),"",VLOOKUP($A403,Table1[],2,FALSE))</f>
        <v/>
      </c>
    </row>
    <row r="404" spans="1:9" ht="27" customHeight="1" x14ac:dyDescent="0.25">
      <c r="A404" s="12" t="str">
        <f t="shared" ca="1" si="50"/>
        <v/>
      </c>
      <c r="B404" s="12" t="str">
        <f t="shared" ca="1" si="51"/>
        <v/>
      </c>
      <c r="C404" s="12" t="str">
        <f t="shared" ca="1" si="55"/>
        <v/>
      </c>
      <c r="D404" s="12" t="str">
        <f t="shared" ca="1" si="55"/>
        <v/>
      </c>
      <c r="E404" s="12" t="str">
        <f t="shared" ca="1" si="52"/>
        <v/>
      </c>
      <c r="F404" s="17"/>
      <c r="G404" s="13" t="str">
        <f t="shared" ca="1" si="53"/>
        <v/>
      </c>
      <c r="H404" s="13" t="str">
        <f t="shared" ca="1" si="54"/>
        <v/>
      </c>
      <c r="I404" s="17" t="str">
        <f ca="1">IF(AND($B404="",$C404=""),"",VLOOKUP($A404,Table1[],2,FALSE))</f>
        <v/>
      </c>
    </row>
    <row r="405" spans="1:9" ht="27" customHeight="1" x14ac:dyDescent="0.25">
      <c r="A405" s="12" t="str">
        <f t="shared" ca="1" si="50"/>
        <v/>
      </c>
      <c r="B405" s="12" t="str">
        <f t="shared" ca="1" si="51"/>
        <v/>
      </c>
      <c r="C405" s="12" t="str">
        <f t="shared" ca="1" si="55"/>
        <v/>
      </c>
      <c r="D405" s="12" t="str">
        <f t="shared" ca="1" si="55"/>
        <v/>
      </c>
      <c r="E405" s="12" t="str">
        <f t="shared" ca="1" si="52"/>
        <v/>
      </c>
      <c r="F405" s="17"/>
      <c r="G405" s="13" t="str">
        <f t="shared" ca="1" si="53"/>
        <v/>
      </c>
      <c r="H405" s="13" t="str">
        <f t="shared" ca="1" si="54"/>
        <v/>
      </c>
      <c r="I405" s="17" t="str">
        <f ca="1">IF(AND($B405="",$C405=""),"",VLOOKUP($A405,Table1[],2,FALSE))</f>
        <v/>
      </c>
    </row>
    <row r="406" spans="1:9" ht="27" customHeight="1" x14ac:dyDescent="0.25">
      <c r="A406" s="12" t="str">
        <f t="shared" ca="1" si="50"/>
        <v/>
      </c>
      <c r="B406" s="12" t="str">
        <f t="shared" ca="1" si="51"/>
        <v/>
      </c>
      <c r="C406" s="12" t="str">
        <f t="shared" ca="1" si="55"/>
        <v/>
      </c>
      <c r="D406" s="12" t="str">
        <f t="shared" ca="1" si="55"/>
        <v/>
      </c>
      <c r="E406" s="12" t="str">
        <f t="shared" ca="1" si="52"/>
        <v/>
      </c>
      <c r="F406" s="17"/>
      <c r="G406" s="13" t="str">
        <f t="shared" ca="1" si="53"/>
        <v/>
      </c>
      <c r="H406" s="13" t="str">
        <f t="shared" ca="1" si="54"/>
        <v/>
      </c>
      <c r="I406" s="17" t="str">
        <f ca="1">IF(AND($B406="",$C406=""),"",VLOOKUP($A406,Table1[],2,FALSE))</f>
        <v/>
      </c>
    </row>
    <row r="407" spans="1:9" ht="27" customHeight="1" x14ac:dyDescent="0.25">
      <c r="A407" s="12" t="str">
        <f t="shared" ca="1" si="50"/>
        <v/>
      </c>
      <c r="B407" s="12" t="str">
        <f t="shared" ca="1" si="51"/>
        <v/>
      </c>
      <c r="C407" s="12" t="str">
        <f t="shared" ca="1" si="55"/>
        <v/>
      </c>
      <c r="D407" s="12" t="str">
        <f t="shared" ca="1" si="55"/>
        <v/>
      </c>
      <c r="E407" s="12" t="str">
        <f t="shared" ca="1" si="52"/>
        <v/>
      </c>
      <c r="F407" s="17"/>
      <c r="G407" s="13" t="str">
        <f t="shared" ca="1" si="53"/>
        <v/>
      </c>
      <c r="H407" s="13" t="str">
        <f t="shared" ca="1" si="54"/>
        <v/>
      </c>
      <c r="I407" s="17" t="str">
        <f ca="1">IF(AND($B407="",$C407=""),"",VLOOKUP($A407,Table1[],2,FALSE))</f>
        <v/>
      </c>
    </row>
    <row r="408" spans="1:9" ht="27" customHeight="1" x14ac:dyDescent="0.25">
      <c r="A408" s="12" t="str">
        <f t="shared" ca="1" si="50"/>
        <v/>
      </c>
      <c r="B408" s="12" t="str">
        <f t="shared" ca="1" si="51"/>
        <v/>
      </c>
      <c r="C408" s="12" t="str">
        <f t="shared" ca="1" si="55"/>
        <v/>
      </c>
      <c r="D408" s="12" t="str">
        <f t="shared" ca="1" si="55"/>
        <v/>
      </c>
      <c r="E408" s="12" t="str">
        <f t="shared" ca="1" si="52"/>
        <v/>
      </c>
      <c r="F408" s="17"/>
      <c r="G408" s="13" t="str">
        <f t="shared" ca="1" si="53"/>
        <v/>
      </c>
      <c r="H408" s="13" t="str">
        <f t="shared" ca="1" si="54"/>
        <v/>
      </c>
      <c r="I408" s="17" t="str">
        <f ca="1">IF(AND($B408="",$C408=""),"",VLOOKUP($A408,Table1[],2,FALSE))</f>
        <v/>
      </c>
    </row>
    <row r="409" spans="1:9" ht="27" customHeight="1" x14ac:dyDescent="0.25">
      <c r="A409" s="12" t="str">
        <f t="shared" ca="1" si="50"/>
        <v/>
      </c>
      <c r="B409" s="12" t="str">
        <f t="shared" ca="1" si="51"/>
        <v/>
      </c>
      <c r="C409" s="12" t="str">
        <f t="shared" ca="1" si="55"/>
        <v/>
      </c>
      <c r="D409" s="12" t="str">
        <f t="shared" ca="1" si="55"/>
        <v/>
      </c>
      <c r="E409" s="12" t="str">
        <f t="shared" ca="1" si="52"/>
        <v/>
      </c>
      <c r="F409" s="17"/>
      <c r="G409" s="13" t="str">
        <f t="shared" ca="1" si="53"/>
        <v/>
      </c>
      <c r="H409" s="13" t="str">
        <f t="shared" ca="1" si="54"/>
        <v/>
      </c>
      <c r="I409" s="17" t="str">
        <f ca="1">IF(AND($B409="",$C409=""),"",VLOOKUP($A409,Table1[],2,FALSE))</f>
        <v/>
      </c>
    </row>
    <row r="410" spans="1:9" ht="27" customHeight="1" x14ac:dyDescent="0.25">
      <c r="A410" s="12" t="str">
        <f t="shared" ca="1" si="50"/>
        <v/>
      </c>
      <c r="B410" s="12" t="str">
        <f t="shared" ca="1" si="51"/>
        <v/>
      </c>
      <c r="C410" s="12" t="str">
        <f t="shared" ca="1" si="55"/>
        <v/>
      </c>
      <c r="D410" s="12" t="str">
        <f t="shared" ca="1" si="55"/>
        <v/>
      </c>
      <c r="E410" s="12" t="str">
        <f t="shared" ca="1" si="52"/>
        <v/>
      </c>
      <c r="F410" s="17"/>
      <c r="G410" s="13" t="str">
        <f t="shared" ca="1" si="53"/>
        <v/>
      </c>
      <c r="H410" s="13" t="str">
        <f t="shared" ca="1" si="54"/>
        <v/>
      </c>
      <c r="I410" s="17" t="str">
        <f ca="1">IF(AND($B410="",$C410=""),"",VLOOKUP($A410,Table1[],2,FALSE))</f>
        <v/>
      </c>
    </row>
    <row r="411" spans="1:9" ht="27" customHeight="1" x14ac:dyDescent="0.25">
      <c r="A411" s="12" t="str">
        <f t="shared" ca="1" si="50"/>
        <v/>
      </c>
      <c r="B411" s="12" t="str">
        <f t="shared" ca="1" si="51"/>
        <v/>
      </c>
      <c r="C411" s="12" t="str">
        <f t="shared" ca="1" si="55"/>
        <v/>
      </c>
      <c r="D411" s="12" t="str">
        <f t="shared" ca="1" si="55"/>
        <v/>
      </c>
      <c r="E411" s="12" t="str">
        <f t="shared" ca="1" si="52"/>
        <v/>
      </c>
      <c r="F411" s="17"/>
      <c r="G411" s="13" t="str">
        <f t="shared" ca="1" si="53"/>
        <v/>
      </c>
      <c r="H411" s="13" t="str">
        <f t="shared" ca="1" si="54"/>
        <v/>
      </c>
      <c r="I411" s="17" t="str">
        <f ca="1">IF(AND($B411="",$C411=""),"",VLOOKUP($A411,Table1[],2,FALSE))</f>
        <v/>
      </c>
    </row>
    <row r="412" spans="1:9" ht="27" customHeight="1" x14ac:dyDescent="0.25">
      <c r="A412" s="12" t="str">
        <f t="shared" ca="1" si="50"/>
        <v/>
      </c>
      <c r="B412" s="12" t="str">
        <f t="shared" ca="1" si="51"/>
        <v/>
      </c>
      <c r="C412" s="12" t="str">
        <f t="shared" ca="1" si="55"/>
        <v/>
      </c>
      <c r="D412" s="12" t="str">
        <f t="shared" ca="1" si="55"/>
        <v/>
      </c>
      <c r="E412" s="12" t="str">
        <f t="shared" ca="1" si="52"/>
        <v/>
      </c>
      <c r="F412" s="17"/>
      <c r="G412" s="13" t="str">
        <f t="shared" ca="1" si="53"/>
        <v/>
      </c>
      <c r="H412" s="13" t="str">
        <f t="shared" ca="1" si="54"/>
        <v/>
      </c>
      <c r="I412" s="17" t="str">
        <f ca="1">IF(AND($B412="",$C412=""),"",VLOOKUP($A412,Table1[],2,FALSE))</f>
        <v/>
      </c>
    </row>
    <row r="413" spans="1:9" ht="27" customHeight="1" x14ac:dyDescent="0.25">
      <c r="A413" s="12" t="str">
        <f t="shared" ca="1" si="50"/>
        <v/>
      </c>
      <c r="B413" s="12" t="str">
        <f t="shared" ca="1" si="51"/>
        <v/>
      </c>
      <c r="C413" s="12" t="str">
        <f t="shared" ca="1" si="55"/>
        <v/>
      </c>
      <c r="D413" s="12" t="str">
        <f t="shared" ca="1" si="55"/>
        <v/>
      </c>
      <c r="E413" s="12" t="str">
        <f t="shared" ca="1" si="52"/>
        <v/>
      </c>
      <c r="F413" s="17"/>
      <c r="G413" s="13" t="str">
        <f t="shared" ca="1" si="53"/>
        <v/>
      </c>
      <c r="H413" s="13" t="str">
        <f t="shared" ca="1" si="54"/>
        <v/>
      </c>
      <c r="I413" s="17" t="str">
        <f ca="1">IF(AND($B413="",$C413=""),"",VLOOKUP($A413,Table1[],2,FALSE))</f>
        <v/>
      </c>
    </row>
    <row r="414" spans="1:9" ht="27" customHeight="1" x14ac:dyDescent="0.25">
      <c r="A414" s="12" t="str">
        <f t="shared" ca="1" si="50"/>
        <v/>
      </c>
      <c r="B414" s="12" t="str">
        <f t="shared" ca="1" si="51"/>
        <v/>
      </c>
      <c r="C414" s="12" t="str">
        <f t="shared" ca="1" si="55"/>
        <v/>
      </c>
      <c r="D414" s="12" t="str">
        <f t="shared" ca="1" si="55"/>
        <v/>
      </c>
      <c r="E414" s="12" t="str">
        <f t="shared" ca="1" si="52"/>
        <v/>
      </c>
      <c r="F414" s="17"/>
      <c r="G414" s="13" t="str">
        <f t="shared" ca="1" si="53"/>
        <v/>
      </c>
      <c r="H414" s="13" t="str">
        <f t="shared" ca="1" si="54"/>
        <v/>
      </c>
      <c r="I414" s="17" t="str">
        <f ca="1">IF(AND($B414="",$C414=""),"",VLOOKUP($A414,Table1[],2,FALSE))</f>
        <v/>
      </c>
    </row>
    <row r="415" spans="1:9" ht="27" customHeight="1" x14ac:dyDescent="0.25">
      <c r="A415" s="12" t="str">
        <f t="shared" ca="1" si="50"/>
        <v/>
      </c>
      <c r="B415" s="12" t="str">
        <f t="shared" ca="1" si="51"/>
        <v/>
      </c>
      <c r="C415" s="12" t="str">
        <f t="shared" ca="1" si="55"/>
        <v/>
      </c>
      <c r="D415" s="12" t="str">
        <f t="shared" ca="1" si="55"/>
        <v/>
      </c>
      <c r="E415" s="12" t="str">
        <f t="shared" ca="1" si="52"/>
        <v/>
      </c>
      <c r="F415" s="17"/>
      <c r="G415" s="13" t="str">
        <f t="shared" ca="1" si="53"/>
        <v/>
      </c>
      <c r="H415" s="13" t="str">
        <f t="shared" ca="1" si="54"/>
        <v/>
      </c>
      <c r="I415" s="17" t="str">
        <f ca="1">IF(AND($B415="",$C415=""),"",VLOOKUP($A415,Table1[],2,FALSE))</f>
        <v/>
      </c>
    </row>
    <row r="416" spans="1:9" ht="27" customHeight="1" x14ac:dyDescent="0.25">
      <c r="A416" s="12" t="str">
        <f t="shared" ca="1" si="50"/>
        <v/>
      </c>
      <c r="B416" s="12" t="str">
        <f t="shared" ca="1" si="51"/>
        <v/>
      </c>
      <c r="C416" s="12" t="str">
        <f t="shared" ca="1" si="55"/>
        <v/>
      </c>
      <c r="D416" s="12" t="str">
        <f t="shared" ca="1" si="55"/>
        <v/>
      </c>
      <c r="E416" s="12" t="str">
        <f t="shared" ca="1" si="52"/>
        <v/>
      </c>
      <c r="F416" s="17"/>
      <c r="G416" s="13" t="str">
        <f t="shared" ca="1" si="53"/>
        <v/>
      </c>
      <c r="H416" s="13" t="str">
        <f t="shared" ca="1" si="54"/>
        <v/>
      </c>
      <c r="I416" s="17" t="str">
        <f ca="1">IF(AND($B416="",$C416=""),"",VLOOKUP($A416,Table1[],2,FALSE))</f>
        <v/>
      </c>
    </row>
    <row r="417" spans="1:9" ht="27" customHeight="1" x14ac:dyDescent="0.25">
      <c r="A417" s="12" t="str">
        <f t="shared" ca="1" si="50"/>
        <v/>
      </c>
      <c r="B417" s="12" t="str">
        <f t="shared" ca="1" si="51"/>
        <v/>
      </c>
      <c r="C417" s="12" t="str">
        <f t="shared" ca="1" si="55"/>
        <v/>
      </c>
      <c r="D417" s="12" t="str">
        <f t="shared" ca="1" si="55"/>
        <v/>
      </c>
      <c r="E417" s="12" t="str">
        <f t="shared" ca="1" si="52"/>
        <v/>
      </c>
      <c r="F417" s="17"/>
      <c r="G417" s="13" t="str">
        <f t="shared" ca="1" si="53"/>
        <v/>
      </c>
      <c r="H417" s="13" t="str">
        <f t="shared" ca="1" si="54"/>
        <v/>
      </c>
      <c r="I417" s="17" t="str">
        <f ca="1">IF(AND($B417="",$C417=""),"",VLOOKUP($A417,Table1[],2,FALSE))</f>
        <v/>
      </c>
    </row>
    <row r="418" spans="1:9" ht="27" customHeight="1" x14ac:dyDescent="0.25">
      <c r="A418" s="12" t="str">
        <f t="shared" ca="1" si="50"/>
        <v/>
      </c>
      <c r="B418" s="12" t="str">
        <f t="shared" ca="1" si="51"/>
        <v/>
      </c>
      <c r="C418" s="12" t="str">
        <f t="shared" ca="1" si="55"/>
        <v/>
      </c>
      <c r="D418" s="12" t="str">
        <f t="shared" ca="1" si="55"/>
        <v/>
      </c>
      <c r="E418" s="12" t="str">
        <f t="shared" ca="1" si="52"/>
        <v/>
      </c>
      <c r="F418" s="17"/>
      <c r="G418" s="13" t="str">
        <f t="shared" ca="1" si="53"/>
        <v/>
      </c>
      <c r="H418" s="13" t="str">
        <f t="shared" ca="1" si="54"/>
        <v/>
      </c>
      <c r="I418" s="17" t="str">
        <f ca="1">IF(AND($B418="",$C418=""),"",VLOOKUP($A418,Table1[],2,FALSE))</f>
        <v/>
      </c>
    </row>
    <row r="419" spans="1:9" ht="27" customHeight="1" x14ac:dyDescent="0.25">
      <c r="A419" s="12" t="str">
        <f t="shared" ca="1" si="50"/>
        <v/>
      </c>
      <c r="B419" s="12" t="str">
        <f t="shared" ca="1" si="51"/>
        <v/>
      </c>
      <c r="C419" s="12" t="str">
        <f t="shared" ca="1" si="55"/>
        <v/>
      </c>
      <c r="D419" s="12" t="str">
        <f t="shared" ca="1" si="55"/>
        <v/>
      </c>
      <c r="E419" s="12" t="str">
        <f t="shared" ca="1" si="52"/>
        <v/>
      </c>
      <c r="F419" s="17"/>
      <c r="G419" s="13" t="str">
        <f t="shared" ca="1" si="53"/>
        <v/>
      </c>
      <c r="H419" s="13" t="str">
        <f t="shared" ca="1" si="54"/>
        <v/>
      </c>
      <c r="I419" s="17" t="str">
        <f ca="1">IF(AND($B419="",$C419=""),"",VLOOKUP($A419,Table1[],2,FALSE))</f>
        <v/>
      </c>
    </row>
    <row r="420" spans="1:9" ht="27" customHeight="1" x14ac:dyDescent="0.25">
      <c r="A420" s="12" t="str">
        <f t="shared" ca="1" si="50"/>
        <v/>
      </c>
      <c r="B420" s="12" t="str">
        <f t="shared" ca="1" si="51"/>
        <v/>
      </c>
      <c r="C420" s="12" t="str">
        <f t="shared" ca="1" si="55"/>
        <v/>
      </c>
      <c r="D420" s="12" t="str">
        <f t="shared" ca="1" si="55"/>
        <v/>
      </c>
      <c r="E420" s="12" t="str">
        <f t="shared" ca="1" si="52"/>
        <v/>
      </c>
      <c r="F420" s="17"/>
      <c r="G420" s="13" t="str">
        <f t="shared" ca="1" si="53"/>
        <v/>
      </c>
      <c r="H420" s="13" t="str">
        <f t="shared" ca="1" si="54"/>
        <v/>
      </c>
      <c r="I420" s="17" t="str">
        <f ca="1">IF(AND($B420="",$C420=""),"",VLOOKUP($A420,Table1[],2,FALSE))</f>
        <v/>
      </c>
    </row>
    <row r="421" spans="1:9" ht="27" customHeight="1" x14ac:dyDescent="0.25">
      <c r="A421" s="12" t="str">
        <f t="shared" ca="1" si="50"/>
        <v/>
      </c>
      <c r="B421" s="12" t="str">
        <f t="shared" ca="1" si="51"/>
        <v/>
      </c>
      <c r="C421" s="12" t="str">
        <f t="shared" ca="1" si="55"/>
        <v/>
      </c>
      <c r="D421" s="12" t="str">
        <f t="shared" ca="1" si="55"/>
        <v/>
      </c>
      <c r="E421" s="12" t="str">
        <f t="shared" ca="1" si="52"/>
        <v/>
      </c>
      <c r="F421" s="17"/>
      <c r="G421" s="13" t="str">
        <f t="shared" ca="1" si="53"/>
        <v/>
      </c>
      <c r="H421" s="13" t="str">
        <f t="shared" ca="1" si="54"/>
        <v/>
      </c>
      <c r="I421" s="17" t="str">
        <f ca="1">IF(AND($B421="",$C421=""),"",VLOOKUP($A421,Table1[],2,FALSE))</f>
        <v/>
      </c>
    </row>
    <row r="422" spans="1:9" ht="27" customHeight="1" x14ac:dyDescent="0.25">
      <c r="A422" s="12" t="str">
        <f t="shared" ca="1" si="50"/>
        <v/>
      </c>
      <c r="B422" s="12" t="str">
        <f t="shared" ca="1" si="51"/>
        <v/>
      </c>
      <c r="C422" s="12" t="str">
        <f t="shared" ref="C422:D441" ca="1" si="56">TEXT( INDIRECT( ADDRESS( ROW() + Row_Offset, INDIRECT( "Column_Number_" &amp; C$1), 4,1, tabname) ), "")</f>
        <v/>
      </c>
      <c r="D422" s="12" t="str">
        <f t="shared" ca="1" si="56"/>
        <v/>
      </c>
      <c r="E422" s="12" t="str">
        <f t="shared" ca="1" si="52"/>
        <v/>
      </c>
      <c r="F422" s="17"/>
      <c r="G422" s="13" t="str">
        <f t="shared" ca="1" si="53"/>
        <v/>
      </c>
      <c r="H422" s="13" t="str">
        <f t="shared" ca="1" si="54"/>
        <v/>
      </c>
      <c r="I422" s="17" t="str">
        <f ca="1">IF(AND($B422="",$C422=""),"",VLOOKUP($A422,Table1[],2,FALSE))</f>
        <v/>
      </c>
    </row>
    <row r="423" spans="1:9" ht="27" customHeight="1" x14ac:dyDescent="0.25">
      <c r="A423" s="12" t="str">
        <f t="shared" ca="1" si="50"/>
        <v/>
      </c>
      <c r="B423" s="12" t="str">
        <f t="shared" ca="1" si="51"/>
        <v/>
      </c>
      <c r="C423" s="12" t="str">
        <f t="shared" ca="1" si="56"/>
        <v/>
      </c>
      <c r="D423" s="12" t="str">
        <f t="shared" ca="1" si="56"/>
        <v/>
      </c>
      <c r="E423" s="12" t="str">
        <f t="shared" ca="1" si="52"/>
        <v/>
      </c>
      <c r="F423" s="17"/>
      <c r="G423" s="13" t="str">
        <f t="shared" ca="1" si="53"/>
        <v/>
      </c>
      <c r="H423" s="13" t="str">
        <f t="shared" ca="1" si="54"/>
        <v/>
      </c>
      <c r="I423" s="17" t="str">
        <f ca="1">IF(AND($B423="",$C423=""),"",VLOOKUP($A423,Table1[],2,FALSE))</f>
        <v/>
      </c>
    </row>
    <row r="424" spans="1:9" ht="27" customHeight="1" x14ac:dyDescent="0.25">
      <c r="A424" s="12" t="str">
        <f t="shared" ca="1" si="50"/>
        <v/>
      </c>
      <c r="B424" s="12" t="str">
        <f t="shared" ca="1" si="51"/>
        <v/>
      </c>
      <c r="C424" s="12" t="str">
        <f t="shared" ca="1" si="56"/>
        <v/>
      </c>
      <c r="D424" s="12" t="str">
        <f t="shared" ca="1" si="56"/>
        <v/>
      </c>
      <c r="E424" s="12" t="str">
        <f t="shared" ca="1" si="52"/>
        <v/>
      </c>
      <c r="F424" s="17"/>
      <c r="G424" s="13" t="str">
        <f t="shared" ca="1" si="53"/>
        <v/>
      </c>
      <c r="H424" s="13" t="str">
        <f t="shared" ca="1" si="54"/>
        <v/>
      </c>
      <c r="I424" s="17" t="str">
        <f ca="1">IF(AND($B424="",$C424=""),"",VLOOKUP($A424,Table1[],2,FALSE))</f>
        <v/>
      </c>
    </row>
    <row r="425" spans="1:9" ht="27" customHeight="1" x14ac:dyDescent="0.25">
      <c r="A425" s="12" t="str">
        <f t="shared" ca="1" si="50"/>
        <v/>
      </c>
      <c r="B425" s="12" t="str">
        <f t="shared" ca="1" si="51"/>
        <v/>
      </c>
      <c r="C425" s="12" t="str">
        <f t="shared" ca="1" si="56"/>
        <v/>
      </c>
      <c r="D425" s="12" t="str">
        <f t="shared" ca="1" si="56"/>
        <v/>
      </c>
      <c r="E425" s="12" t="str">
        <f t="shared" ca="1" si="52"/>
        <v/>
      </c>
      <c r="F425" s="17"/>
      <c r="G425" s="13" t="str">
        <f t="shared" ca="1" si="53"/>
        <v/>
      </c>
      <c r="H425" s="13" t="str">
        <f t="shared" ca="1" si="54"/>
        <v/>
      </c>
      <c r="I425" s="17" t="str">
        <f ca="1">IF(AND($B425="",$C425=""),"",VLOOKUP($A425,Table1[],2,FALSE))</f>
        <v/>
      </c>
    </row>
    <row r="426" spans="1:9" ht="27" customHeight="1" x14ac:dyDescent="0.25">
      <c r="A426" s="12" t="str">
        <f t="shared" ca="1" si="50"/>
        <v/>
      </c>
      <c r="B426" s="12" t="str">
        <f t="shared" ca="1" si="51"/>
        <v/>
      </c>
      <c r="C426" s="12" t="str">
        <f t="shared" ca="1" si="56"/>
        <v/>
      </c>
      <c r="D426" s="12" t="str">
        <f t="shared" ca="1" si="56"/>
        <v/>
      </c>
      <c r="E426" s="12" t="str">
        <f t="shared" ca="1" si="52"/>
        <v/>
      </c>
      <c r="F426" s="17"/>
      <c r="G426" s="13" t="str">
        <f t="shared" ca="1" si="53"/>
        <v/>
      </c>
      <c r="H426" s="13" t="str">
        <f t="shared" ca="1" si="54"/>
        <v/>
      </c>
      <c r="I426" s="17" t="str">
        <f ca="1">IF(AND($B426="",$C426=""),"",VLOOKUP($A426,Table1[],2,FALSE))</f>
        <v/>
      </c>
    </row>
    <row r="427" spans="1:9" ht="27" customHeight="1" x14ac:dyDescent="0.25">
      <c r="A427" s="12" t="str">
        <f t="shared" ca="1" si="50"/>
        <v/>
      </c>
      <c r="B427" s="12" t="str">
        <f t="shared" ca="1" si="51"/>
        <v/>
      </c>
      <c r="C427" s="12" t="str">
        <f t="shared" ca="1" si="56"/>
        <v/>
      </c>
      <c r="D427" s="12" t="str">
        <f t="shared" ca="1" si="56"/>
        <v/>
      </c>
      <c r="E427" s="12" t="str">
        <f t="shared" ca="1" si="52"/>
        <v/>
      </c>
      <c r="F427" s="17"/>
      <c r="G427" s="13" t="str">
        <f t="shared" ca="1" si="53"/>
        <v/>
      </c>
      <c r="H427" s="13" t="str">
        <f t="shared" ca="1" si="54"/>
        <v/>
      </c>
      <c r="I427" s="17" t="str">
        <f ca="1">IF(AND($B427="",$C427=""),"",VLOOKUP($A427,Table1[],2,FALSE))</f>
        <v/>
      </c>
    </row>
    <row r="428" spans="1:9" ht="27" customHeight="1" x14ac:dyDescent="0.25">
      <c r="A428" s="12" t="str">
        <f t="shared" ca="1" si="50"/>
        <v/>
      </c>
      <c r="B428" s="12" t="str">
        <f t="shared" ca="1" si="51"/>
        <v/>
      </c>
      <c r="C428" s="12" t="str">
        <f t="shared" ca="1" si="56"/>
        <v/>
      </c>
      <c r="D428" s="12" t="str">
        <f t="shared" ca="1" si="56"/>
        <v/>
      </c>
      <c r="E428" s="12" t="str">
        <f t="shared" ca="1" si="52"/>
        <v/>
      </c>
      <c r="F428" s="17"/>
      <c r="G428" s="13" t="str">
        <f t="shared" ca="1" si="53"/>
        <v/>
      </c>
      <c r="H428" s="13" t="str">
        <f t="shared" ca="1" si="54"/>
        <v/>
      </c>
      <c r="I428" s="17" t="str">
        <f ca="1">IF(AND($B428="",$C428=""),"",VLOOKUP($A428,Table1[],2,FALSE))</f>
        <v/>
      </c>
    </row>
    <row r="429" spans="1:9" ht="27" customHeight="1" x14ac:dyDescent="0.25">
      <c r="A429" s="12" t="str">
        <f t="shared" ca="1" si="50"/>
        <v/>
      </c>
      <c r="B429" s="12" t="str">
        <f t="shared" ca="1" si="51"/>
        <v/>
      </c>
      <c r="C429" s="12" t="str">
        <f t="shared" ca="1" si="56"/>
        <v/>
      </c>
      <c r="D429" s="12" t="str">
        <f t="shared" ca="1" si="56"/>
        <v/>
      </c>
      <c r="E429" s="12" t="str">
        <f t="shared" ca="1" si="52"/>
        <v/>
      </c>
      <c r="F429" s="17"/>
      <c r="G429" s="13" t="str">
        <f t="shared" ca="1" si="53"/>
        <v/>
      </c>
      <c r="H429" s="13" t="str">
        <f t="shared" ca="1" si="54"/>
        <v/>
      </c>
      <c r="I429" s="17" t="str">
        <f ca="1">IF(AND($B429="",$C429=""),"",VLOOKUP($A429,Table1[],2,FALSE))</f>
        <v/>
      </c>
    </row>
    <row r="430" spans="1:9" ht="27" customHeight="1" x14ac:dyDescent="0.25">
      <c r="A430" s="12" t="str">
        <f t="shared" ca="1" si="50"/>
        <v/>
      </c>
      <c r="B430" s="12" t="str">
        <f t="shared" ca="1" si="51"/>
        <v/>
      </c>
      <c r="C430" s="12" t="str">
        <f t="shared" ca="1" si="56"/>
        <v/>
      </c>
      <c r="D430" s="12" t="str">
        <f t="shared" ca="1" si="56"/>
        <v/>
      </c>
      <c r="E430" s="12" t="str">
        <f t="shared" ca="1" si="52"/>
        <v/>
      </c>
      <c r="F430" s="17"/>
      <c r="G430" s="13" t="str">
        <f t="shared" ca="1" si="53"/>
        <v/>
      </c>
      <c r="H430" s="13" t="str">
        <f t="shared" ca="1" si="54"/>
        <v/>
      </c>
      <c r="I430" s="17" t="str">
        <f ca="1">IF(AND($B430="",$C430=""),"",VLOOKUP($A430,Table1[],2,FALSE))</f>
        <v/>
      </c>
    </row>
    <row r="431" spans="1:9" ht="27" customHeight="1" x14ac:dyDescent="0.25">
      <c r="A431" s="12" t="str">
        <f t="shared" ca="1" si="50"/>
        <v/>
      </c>
      <c r="B431" s="12" t="str">
        <f t="shared" ca="1" si="51"/>
        <v/>
      </c>
      <c r="C431" s="12" t="str">
        <f t="shared" ca="1" si="56"/>
        <v/>
      </c>
      <c r="D431" s="12" t="str">
        <f t="shared" ca="1" si="56"/>
        <v/>
      </c>
      <c r="E431" s="12" t="str">
        <f t="shared" ca="1" si="52"/>
        <v/>
      </c>
      <c r="F431" s="17"/>
      <c r="G431" s="13" t="str">
        <f t="shared" ca="1" si="53"/>
        <v/>
      </c>
      <c r="H431" s="13" t="str">
        <f t="shared" ca="1" si="54"/>
        <v/>
      </c>
      <c r="I431" s="17" t="str">
        <f ca="1">IF(AND($B431="",$C431=""),"",VLOOKUP($A431,Table1[],2,FALSE))</f>
        <v/>
      </c>
    </row>
    <row r="432" spans="1:9" ht="27" customHeight="1" x14ac:dyDescent="0.25">
      <c r="A432" s="12" t="str">
        <f t="shared" ca="1" si="50"/>
        <v/>
      </c>
      <c r="B432" s="12" t="str">
        <f t="shared" ca="1" si="51"/>
        <v/>
      </c>
      <c r="C432" s="12" t="str">
        <f t="shared" ca="1" si="56"/>
        <v/>
      </c>
      <c r="D432" s="12" t="str">
        <f t="shared" ca="1" si="56"/>
        <v/>
      </c>
      <c r="E432" s="12" t="str">
        <f t="shared" ca="1" si="52"/>
        <v/>
      </c>
      <c r="F432" s="17"/>
      <c r="G432" s="13" t="str">
        <f t="shared" ca="1" si="53"/>
        <v/>
      </c>
      <c r="H432" s="13" t="str">
        <f t="shared" ca="1" si="54"/>
        <v/>
      </c>
      <c r="I432" s="17" t="str">
        <f ca="1">IF(AND($B432="",$C432=""),"",VLOOKUP($A432,Table1[],2,FALSE))</f>
        <v/>
      </c>
    </row>
    <row r="433" spans="1:9" ht="27" customHeight="1" x14ac:dyDescent="0.25">
      <c r="A433" s="12" t="str">
        <f t="shared" ca="1" si="50"/>
        <v/>
      </c>
      <c r="B433" s="12" t="str">
        <f t="shared" ca="1" si="51"/>
        <v/>
      </c>
      <c r="C433" s="12" t="str">
        <f t="shared" ca="1" si="56"/>
        <v/>
      </c>
      <c r="D433" s="12" t="str">
        <f t="shared" ca="1" si="56"/>
        <v/>
      </c>
      <c r="E433" s="12" t="str">
        <f t="shared" ca="1" si="52"/>
        <v/>
      </c>
      <c r="F433" s="17"/>
      <c r="G433" s="13" t="str">
        <f t="shared" ca="1" si="53"/>
        <v/>
      </c>
      <c r="H433" s="13" t="str">
        <f t="shared" ca="1" si="54"/>
        <v/>
      </c>
      <c r="I433" s="17" t="str">
        <f ca="1">IF(AND($B433="",$C433=""),"",VLOOKUP($A433,Table1[],2,FALSE))</f>
        <v/>
      </c>
    </row>
    <row r="434" spans="1:9" ht="27" customHeight="1" x14ac:dyDescent="0.25">
      <c r="A434" s="12" t="str">
        <f t="shared" ca="1" si="50"/>
        <v/>
      </c>
      <c r="B434" s="12" t="str">
        <f t="shared" ca="1" si="51"/>
        <v/>
      </c>
      <c r="C434" s="12" t="str">
        <f t="shared" ca="1" si="56"/>
        <v/>
      </c>
      <c r="D434" s="12" t="str">
        <f t="shared" ca="1" si="56"/>
        <v/>
      </c>
      <c r="E434" s="12" t="str">
        <f t="shared" ca="1" si="52"/>
        <v/>
      </c>
      <c r="F434" s="17"/>
      <c r="G434" s="13" t="str">
        <f t="shared" ca="1" si="53"/>
        <v/>
      </c>
      <c r="H434" s="13" t="str">
        <f t="shared" ca="1" si="54"/>
        <v/>
      </c>
      <c r="I434" s="17" t="str">
        <f ca="1">IF(AND($B434="",$C434=""),"",VLOOKUP($A434,Table1[],2,FALSE))</f>
        <v/>
      </c>
    </row>
    <row r="435" spans="1:9" ht="27" customHeight="1" x14ac:dyDescent="0.25">
      <c r="A435" s="12" t="str">
        <f t="shared" ca="1" si="50"/>
        <v/>
      </c>
      <c r="B435" s="12" t="str">
        <f t="shared" ca="1" si="51"/>
        <v/>
      </c>
      <c r="C435" s="12" t="str">
        <f t="shared" ca="1" si="56"/>
        <v/>
      </c>
      <c r="D435" s="12" t="str">
        <f t="shared" ca="1" si="56"/>
        <v/>
      </c>
      <c r="E435" s="12" t="str">
        <f t="shared" ca="1" si="52"/>
        <v/>
      </c>
      <c r="F435" s="17"/>
      <c r="G435" s="13" t="str">
        <f t="shared" ca="1" si="53"/>
        <v/>
      </c>
      <c r="H435" s="13" t="str">
        <f t="shared" ca="1" si="54"/>
        <v/>
      </c>
      <c r="I435" s="17" t="str">
        <f ca="1">IF(AND($B435="",$C435=""),"",VLOOKUP($A435,Table1[],2,FALSE))</f>
        <v/>
      </c>
    </row>
    <row r="436" spans="1:9" ht="27" customHeight="1" x14ac:dyDescent="0.25">
      <c r="A436" s="12" t="str">
        <f t="shared" ca="1" si="50"/>
        <v/>
      </c>
      <c r="B436" s="12" t="str">
        <f t="shared" ca="1" si="51"/>
        <v/>
      </c>
      <c r="C436" s="12" t="str">
        <f t="shared" ca="1" si="56"/>
        <v/>
      </c>
      <c r="D436" s="12" t="str">
        <f t="shared" ca="1" si="56"/>
        <v/>
      </c>
      <c r="E436" s="12" t="str">
        <f t="shared" ca="1" si="52"/>
        <v/>
      </c>
      <c r="F436" s="17"/>
      <c r="G436" s="13" t="str">
        <f t="shared" ca="1" si="53"/>
        <v/>
      </c>
      <c r="H436" s="13" t="str">
        <f t="shared" ca="1" si="54"/>
        <v/>
      </c>
      <c r="I436" s="17" t="str">
        <f ca="1">IF(AND($B436="",$C436=""),"",VLOOKUP($A436,Table1[],2,FALSE))</f>
        <v/>
      </c>
    </row>
    <row r="437" spans="1:9" ht="27" customHeight="1" x14ac:dyDescent="0.25">
      <c r="A437" s="12" t="str">
        <f t="shared" ca="1" si="50"/>
        <v/>
      </c>
      <c r="B437" s="12" t="str">
        <f t="shared" ca="1" si="51"/>
        <v/>
      </c>
      <c r="C437" s="12" t="str">
        <f t="shared" ca="1" si="56"/>
        <v/>
      </c>
      <c r="D437" s="12" t="str">
        <f t="shared" ca="1" si="56"/>
        <v/>
      </c>
      <c r="E437" s="12" t="str">
        <f t="shared" ca="1" si="52"/>
        <v/>
      </c>
      <c r="F437" s="17"/>
      <c r="G437" s="13" t="str">
        <f t="shared" ca="1" si="53"/>
        <v/>
      </c>
      <c r="H437" s="13" t="str">
        <f t="shared" ca="1" si="54"/>
        <v/>
      </c>
      <c r="I437" s="17" t="str">
        <f ca="1">IF(AND($B437="",$C437=""),"",VLOOKUP($A437,Table1[],2,FALSE))</f>
        <v/>
      </c>
    </row>
    <row r="438" spans="1:9" ht="27" customHeight="1" x14ac:dyDescent="0.25">
      <c r="A438" s="12" t="str">
        <f t="shared" ca="1" si="50"/>
        <v/>
      </c>
      <c r="B438" s="12" t="str">
        <f t="shared" ca="1" si="51"/>
        <v/>
      </c>
      <c r="C438" s="12" t="str">
        <f t="shared" ca="1" si="56"/>
        <v/>
      </c>
      <c r="D438" s="12" t="str">
        <f t="shared" ca="1" si="56"/>
        <v/>
      </c>
      <c r="E438" s="12" t="str">
        <f t="shared" ca="1" si="52"/>
        <v/>
      </c>
      <c r="F438" s="17"/>
      <c r="G438" s="13" t="str">
        <f t="shared" ca="1" si="53"/>
        <v/>
      </c>
      <c r="H438" s="13" t="str">
        <f t="shared" ca="1" si="54"/>
        <v/>
      </c>
      <c r="I438" s="17" t="str">
        <f ca="1">IF(AND($B438="",$C438=""),"",VLOOKUP($A438,Table1[],2,FALSE))</f>
        <v/>
      </c>
    </row>
    <row r="439" spans="1:9" ht="27" customHeight="1" x14ac:dyDescent="0.25">
      <c r="A439" s="12" t="str">
        <f t="shared" ca="1" si="50"/>
        <v/>
      </c>
      <c r="B439" s="12" t="str">
        <f t="shared" ca="1" si="51"/>
        <v/>
      </c>
      <c r="C439" s="12" t="str">
        <f t="shared" ca="1" si="56"/>
        <v/>
      </c>
      <c r="D439" s="12" t="str">
        <f t="shared" ca="1" si="56"/>
        <v/>
      </c>
      <c r="E439" s="12" t="str">
        <f t="shared" ca="1" si="52"/>
        <v/>
      </c>
      <c r="F439" s="17"/>
      <c r="G439" s="13" t="str">
        <f t="shared" ca="1" si="53"/>
        <v/>
      </c>
      <c r="H439" s="13" t="str">
        <f t="shared" ca="1" si="54"/>
        <v/>
      </c>
      <c r="I439" s="17" t="str">
        <f ca="1">IF(AND($B439="",$C439=""),"",VLOOKUP($A439,Table1[],2,FALSE))</f>
        <v/>
      </c>
    </row>
    <row r="440" spans="1:9" ht="27" customHeight="1" x14ac:dyDescent="0.25">
      <c r="A440" s="12" t="str">
        <f t="shared" ca="1" si="50"/>
        <v/>
      </c>
      <c r="B440" s="12" t="str">
        <f t="shared" ca="1" si="51"/>
        <v/>
      </c>
      <c r="C440" s="12" t="str">
        <f t="shared" ca="1" si="56"/>
        <v/>
      </c>
      <c r="D440" s="12" t="str">
        <f t="shared" ca="1" si="56"/>
        <v/>
      </c>
      <c r="E440" s="12" t="str">
        <f t="shared" ca="1" si="52"/>
        <v/>
      </c>
      <c r="F440" s="17"/>
      <c r="G440" s="13" t="str">
        <f t="shared" ca="1" si="53"/>
        <v/>
      </c>
      <c r="H440" s="13" t="str">
        <f t="shared" ca="1" si="54"/>
        <v/>
      </c>
      <c r="I440" s="17" t="str">
        <f ca="1">IF(AND($B440="",$C440=""),"",VLOOKUP($A440,Table1[],2,FALSE))</f>
        <v/>
      </c>
    </row>
    <row r="441" spans="1:9" ht="27" customHeight="1" x14ac:dyDescent="0.25">
      <c r="A441" s="12" t="str">
        <f t="shared" ca="1" si="50"/>
        <v/>
      </c>
      <c r="B441" s="12" t="str">
        <f t="shared" ca="1" si="51"/>
        <v/>
      </c>
      <c r="C441" s="12" t="str">
        <f t="shared" ca="1" si="56"/>
        <v/>
      </c>
      <c r="D441" s="12" t="str">
        <f t="shared" ca="1" si="56"/>
        <v/>
      </c>
      <c r="E441" s="12" t="str">
        <f t="shared" ca="1" si="52"/>
        <v/>
      </c>
      <c r="F441" s="17"/>
      <c r="G441" s="13" t="str">
        <f t="shared" ca="1" si="53"/>
        <v/>
      </c>
      <c r="H441" s="13" t="str">
        <f t="shared" ca="1" si="54"/>
        <v/>
      </c>
      <c r="I441" s="17" t="str">
        <f ca="1">IF(AND($B441="",$C441=""),"",VLOOKUP($A441,Table1[],2,FALSE))</f>
        <v/>
      </c>
    </row>
    <row r="442" spans="1:9" ht="27" customHeight="1" x14ac:dyDescent="0.25">
      <c r="A442" s="12" t="str">
        <f t="shared" ca="1" si="50"/>
        <v/>
      </c>
      <c r="B442" s="12" t="str">
        <f t="shared" ca="1" si="51"/>
        <v/>
      </c>
      <c r="C442" s="12" t="str">
        <f t="shared" ref="C442:D461" ca="1" si="57">TEXT( INDIRECT( ADDRESS( ROW() + Row_Offset, INDIRECT( "Column_Number_" &amp; C$1), 4,1, tabname) ), "")</f>
        <v/>
      </c>
      <c r="D442" s="12" t="str">
        <f t="shared" ca="1" si="57"/>
        <v/>
      </c>
      <c r="E442" s="12" t="str">
        <f t="shared" ca="1" si="52"/>
        <v/>
      </c>
      <c r="F442" s="17"/>
      <c r="G442" s="13" t="str">
        <f t="shared" ca="1" si="53"/>
        <v/>
      </c>
      <c r="H442" s="13" t="str">
        <f t="shared" ca="1" si="54"/>
        <v/>
      </c>
      <c r="I442" s="17" t="str">
        <f ca="1">IF(AND($B442="",$C442=""),"",VLOOKUP($A442,Table1[],2,FALSE))</f>
        <v/>
      </c>
    </row>
    <row r="443" spans="1:9" ht="27" customHeight="1" x14ac:dyDescent="0.25">
      <c r="A443" s="12" t="str">
        <f t="shared" ca="1" si="50"/>
        <v/>
      </c>
      <c r="B443" s="12" t="str">
        <f t="shared" ca="1" si="51"/>
        <v/>
      </c>
      <c r="C443" s="12" t="str">
        <f t="shared" ca="1" si="57"/>
        <v/>
      </c>
      <c r="D443" s="12" t="str">
        <f t="shared" ca="1" si="57"/>
        <v/>
      </c>
      <c r="E443" s="12" t="str">
        <f t="shared" ca="1" si="52"/>
        <v/>
      </c>
      <c r="F443" s="17"/>
      <c r="G443" s="13" t="str">
        <f t="shared" ca="1" si="53"/>
        <v/>
      </c>
      <c r="H443" s="13" t="str">
        <f t="shared" ca="1" si="54"/>
        <v/>
      </c>
      <c r="I443" s="17" t="str">
        <f ca="1">IF(AND($B443="",$C443=""),"",VLOOKUP($A443,Table1[],2,FALSE))</f>
        <v/>
      </c>
    </row>
    <row r="444" spans="1:9" ht="27" customHeight="1" x14ac:dyDescent="0.25">
      <c r="A444" s="12" t="str">
        <f t="shared" ca="1" si="50"/>
        <v/>
      </c>
      <c r="B444" s="12" t="str">
        <f t="shared" ca="1" si="51"/>
        <v/>
      </c>
      <c r="C444" s="12" t="str">
        <f t="shared" ca="1" si="57"/>
        <v/>
      </c>
      <c r="D444" s="12" t="str">
        <f t="shared" ca="1" si="57"/>
        <v/>
      </c>
      <c r="E444" s="12" t="str">
        <f t="shared" ca="1" si="52"/>
        <v/>
      </c>
      <c r="F444" s="17"/>
      <c r="G444" s="13" t="str">
        <f t="shared" ca="1" si="53"/>
        <v/>
      </c>
      <c r="H444" s="13" t="str">
        <f t="shared" ca="1" si="54"/>
        <v/>
      </c>
      <c r="I444" s="17" t="str">
        <f ca="1">IF(AND($B444="",$C444=""),"",VLOOKUP($A444,Table1[],2,FALSE))</f>
        <v/>
      </c>
    </row>
    <row r="445" spans="1:9" ht="27" customHeight="1" x14ac:dyDescent="0.25">
      <c r="A445" s="12" t="str">
        <f t="shared" ca="1" si="50"/>
        <v/>
      </c>
      <c r="B445" s="12" t="str">
        <f t="shared" ca="1" si="51"/>
        <v/>
      </c>
      <c r="C445" s="12" t="str">
        <f t="shared" ca="1" si="57"/>
        <v/>
      </c>
      <c r="D445" s="12" t="str">
        <f t="shared" ca="1" si="57"/>
        <v/>
      </c>
      <c r="E445" s="12" t="str">
        <f t="shared" ca="1" si="52"/>
        <v/>
      </c>
      <c r="F445" s="17"/>
      <c r="G445" s="13" t="str">
        <f t="shared" ca="1" si="53"/>
        <v/>
      </c>
      <c r="H445" s="13" t="str">
        <f t="shared" ca="1" si="54"/>
        <v/>
      </c>
      <c r="I445" s="17" t="str">
        <f ca="1">IF(AND($B445="",$C445=""),"",VLOOKUP($A445,Table1[],2,FALSE))</f>
        <v/>
      </c>
    </row>
    <row r="446" spans="1:9" ht="27" customHeight="1" x14ac:dyDescent="0.25">
      <c r="A446" s="12" t="str">
        <f t="shared" ca="1" si="50"/>
        <v/>
      </c>
      <c r="B446" s="12" t="str">
        <f t="shared" ca="1" si="51"/>
        <v/>
      </c>
      <c r="C446" s="12" t="str">
        <f t="shared" ca="1" si="57"/>
        <v/>
      </c>
      <c r="D446" s="12" t="str">
        <f t="shared" ca="1" si="57"/>
        <v/>
      </c>
      <c r="E446" s="12" t="str">
        <f t="shared" ca="1" si="52"/>
        <v/>
      </c>
      <c r="F446" s="17"/>
      <c r="G446" s="13" t="str">
        <f t="shared" ca="1" si="53"/>
        <v/>
      </c>
      <c r="H446" s="13" t="str">
        <f t="shared" ca="1" si="54"/>
        <v/>
      </c>
      <c r="I446" s="17" t="str">
        <f ca="1">IF(AND($B446="",$C446=""),"",VLOOKUP($A446,Table1[],2,FALSE))</f>
        <v/>
      </c>
    </row>
    <row r="447" spans="1:9" ht="27" customHeight="1" x14ac:dyDescent="0.25">
      <c r="A447" s="12" t="str">
        <f t="shared" ca="1" si="50"/>
        <v/>
      </c>
      <c r="B447" s="12" t="str">
        <f t="shared" ca="1" si="51"/>
        <v/>
      </c>
      <c r="C447" s="12" t="str">
        <f t="shared" ca="1" si="57"/>
        <v/>
      </c>
      <c r="D447" s="12" t="str">
        <f t="shared" ca="1" si="57"/>
        <v/>
      </c>
      <c r="E447" s="12" t="str">
        <f t="shared" ca="1" si="52"/>
        <v/>
      </c>
      <c r="F447" s="17"/>
      <c r="G447" s="13" t="str">
        <f t="shared" ca="1" si="53"/>
        <v/>
      </c>
      <c r="H447" s="13" t="str">
        <f t="shared" ca="1" si="54"/>
        <v/>
      </c>
      <c r="I447" s="17" t="str">
        <f ca="1">IF(AND($B447="",$C447=""),"",VLOOKUP($A447,Table1[],2,FALSE))</f>
        <v/>
      </c>
    </row>
    <row r="448" spans="1:9" ht="27" customHeight="1" x14ac:dyDescent="0.25">
      <c r="A448" s="12" t="str">
        <f t="shared" ca="1" si="50"/>
        <v/>
      </c>
      <c r="B448" s="12" t="str">
        <f t="shared" ca="1" si="51"/>
        <v/>
      </c>
      <c r="C448" s="12" t="str">
        <f t="shared" ca="1" si="57"/>
        <v/>
      </c>
      <c r="D448" s="12" t="str">
        <f t="shared" ca="1" si="57"/>
        <v/>
      </c>
      <c r="E448" s="12" t="str">
        <f t="shared" ca="1" si="52"/>
        <v/>
      </c>
      <c r="F448" s="17"/>
      <c r="G448" s="13" t="str">
        <f t="shared" ca="1" si="53"/>
        <v/>
      </c>
      <c r="H448" s="13" t="str">
        <f t="shared" ca="1" si="54"/>
        <v/>
      </c>
      <c r="I448" s="17" t="str">
        <f ca="1">IF(AND($B448="",$C448=""),"",VLOOKUP($A448,Table1[],2,FALSE))</f>
        <v/>
      </c>
    </row>
    <row r="449" spans="1:9" ht="27" customHeight="1" x14ac:dyDescent="0.25">
      <c r="A449" s="12" t="str">
        <f t="shared" ca="1" si="50"/>
        <v/>
      </c>
      <c r="B449" s="12" t="str">
        <f t="shared" ca="1" si="51"/>
        <v/>
      </c>
      <c r="C449" s="12" t="str">
        <f t="shared" ca="1" si="57"/>
        <v/>
      </c>
      <c r="D449" s="12" t="str">
        <f t="shared" ca="1" si="57"/>
        <v/>
      </c>
      <c r="E449" s="12" t="str">
        <f t="shared" ca="1" si="52"/>
        <v/>
      </c>
      <c r="F449" s="17"/>
      <c r="G449" s="13" t="str">
        <f t="shared" ca="1" si="53"/>
        <v/>
      </c>
      <c r="H449" s="13" t="str">
        <f t="shared" ca="1" si="54"/>
        <v/>
      </c>
      <c r="I449" s="17" t="str">
        <f ca="1">IF(AND($B449="",$C449=""),"",VLOOKUP($A449,Table1[],2,FALSE))</f>
        <v/>
      </c>
    </row>
    <row r="450" spans="1:9" ht="27" customHeight="1" x14ac:dyDescent="0.25">
      <c r="A450" s="12" t="str">
        <f t="shared" ref="A450:A500" ca="1" si="58">TEXT( INDIRECT( ADDRESS( ROW() + Row_Offset, INDIRECT( "Column_Number_" &amp; A$1), 4,1, tabname) ), "")</f>
        <v/>
      </c>
      <c r="B450" s="12" t="str">
        <f t="shared" ref="B450:B500" ca="1" si="59">TEXT(  IFERROR( VLOOKUP( $D450, CName_to_Descriptor, 2, FALSE),"") &amp;
        INDIRECT( ADDRESS( ROW() + Row_Offset, INDIRECT( "Column_Number_" &amp; $B$1), 4,1, tabname) ), "")</f>
        <v/>
      </c>
      <c r="C450" s="12" t="str">
        <f t="shared" ca="1" si="57"/>
        <v/>
      </c>
      <c r="D450" s="12" t="str">
        <f t="shared" ca="1" si="57"/>
        <v/>
      </c>
      <c r="E450" s="12" t="str">
        <f t="shared" ref="E450:E500" ca="1" si="60">TEXT( INDIRECT( ADDRESS( ROW() + Row_Offset, INDIRECT( "Column_Number_" &amp; E$1), 4,1, tabname) ), "####")</f>
        <v/>
      </c>
      <c r="F450" s="17"/>
      <c r="G450" s="13" t="str">
        <f t="shared" ref="G450:G500" ca="1" si="61">IF(IFERROR(FIND("New",$A450)&gt;0,FALSE),"New ","") &amp; IF(IFERROR(FIND("In Lib",$A450)&gt;0,FALSE),"Reference ","") &amp;
IF(AND(D450="Audiobook",LEFT(B450,6)="CD BIO"),"Biography",
IF(AND(D450="Teen Audiobook",LEFT(B450,11)="TEEN CD BIO"),"Biography",
IF(AND(D450="Juvenile Audiobook",LEFT(B450,8)="J CD BIO"),"Biography",
IF(AND(D450="Audiobook",LEFT(B450,6)="CD FIC"),"Audiobook Fiction",
IF(AND(D450="Teen Audiobook",LEFT(B450,11)="TEEN CD FIC"),"Teen Audiobook",
IF(AND(D450="Juvenile Audiobook",LEFT(B450,8)="J CD FIC"),"Juvenile Audiobook",
IF(D450="Audiobook","Nonfiction",
IF(D450="Juvenile Audiobook","Nonfiction",
IF(D450="Teen Audiobook","Nonfiction",
IF(D450="Juvenile Nonfiction","Nonfiction",
IF(D450="Teen Nonfiction","Nonfiction",
IF(D450="Juvenile Biography","Biography",
IF(D450="Teen Biography","Biography",
IF(D450="ESL","Nonfiction",
IF(LEFT(B450,11)="INTL-VIE J ","International Juvenile",IF(LEFT(B450,11)="INTL-TAG J ","International Juvenile",IF(LEFT(B450,11)="INTL-RUS J ","International Juvenile",IF(LEFT(B450,11)="INTL-KOR J ","International Juvenile",IF(LEFT(B450,11)="INTL-JAP J ","International Juvenile",IF(LEFT(B450,11)="INTL-CHI J ","International Juvenile",IF(LEFT(B450,11)="INTL-SPA J ","International Juvenile",IF(LEFT(B450,14)="INTL-VIE TEEN ","International Teen",IF(LEFT(B450,14)="INTL-TAG TEEN ","International Teen",IF(LEFT(B450,14)="INTL-RUS TEEN ","International Teen",IF(LEFT(B450,14)="INTL-KOR TEEN ","International Teen",IF(LEFT(B450,14)="INTL-JAP TEEN ","International Teen",IF(LEFT(B450,14)="INTL-CHI TEEN ","International Teen",IF(LEFT(B450,14)="INTL-SPA TEEN ","International Teen",IF(LEFT(B450,11)="INTL-VIE E ","International Easy",IF(LEFT(B450,11)="INTL-TAG E ","International Easy",IF(LEFT(B450,11)="INTL-RUS E ","International Easy",IF(LEFT(B450,11)="INTL-JAP E ","International Easy",IF(LEFT(B450,11)="INTL-KOR E ","International Easy",IF(LEFT(B450,11)="INTL-CHI E ","International Easy",IF(LEFT(B450,11)="INTL-SPA E ","International Easy",
IF(D450="Teen Large Type","Teen Fiction",
IF(D450="Juvenile Large Type","Juvenile Fiction",
IF(LEFT(B450,6)="J CD O","Juvenile Compact Disc",
IF(AND(LEFT(B450,4)="TEEN",D450="Fiction"),"Teen Fiction",
IF(D450="DVD Educational","Nonfiction",
IF(D450="Juvenile DVD Educational","Nonfiction",
IF(D450="Reference","Nonfiction",
D450))))))))))))))))))))))))))))))))))))))))))</f>
        <v/>
      </c>
      <c r="H450" s="13" t="str">
        <f t="shared" ref="H450:H500" ca="1" si="62">IF(AND(D450="Juvenile Audiobook",LEFT(B450,8)="J CD BIO"),RIGHT(B450,LEN(B450)-9),
IF(AND(D450="Juvenile Audiobook",LEFT(B450,8)="J CD FIC"),B450,
IF(D450="Juvenile Audiobook",RIGHT(B450,LEN(B450)-5),
IF(AND(D450="Teen Audiobook",LEFT(B450,11)="TEEN CD BIO"),RIGHT(B450,LEN(B450)-12),
IF(AND(D450="Teen Audiobook",LEFT(B450,11)="TEEN CD FIC"),B450,
IF(D450="Juvenile Audiobook",RIGHT(B450,LEN(B450)-8),
IF(D450="Juvenile Nonfiction",RIGHT(B450,LEN(B450)-2),
IF(D450="Teen Nonfiction",RIGHT(B450,LEN(B450)-5),
IF(AND(G450="Nonfiction",D450="Audiobook"),RIGHT(B450,LEN(B450)-3),
IF(D450="Juvenile Biography",RIGHT(B450,LEN(B450)-2),
IF(D450="Teen Biography",RIGHT(B450,LEN(B450)-5),
IF(AND(D450="Audiobook",G450="Biography"),RIGHT(B450,LEN(B450)-3),
IF(D450="Juvenile Large Type","J "&amp;RIGHT(B450,LEN(B450)-11),
IF(D450="Teen Large Type","TEEN "&amp;RIGHT(B450,LEN(B450)-14),
IF(D450="Reference",RIGHT(B450,LEN(B450)-4),
IF(D450="DVD Educational",RIGHT(B450,LEN(B450)-7),
IF(D450="Juvenile DVD Educational",RIGHT(B450,LEN(B450)-9),
B450)))))))))))))))))</f>
        <v/>
      </c>
      <c r="I450" s="17" t="str">
        <f ca="1">IF(AND($B450="",$C450=""),"",VLOOKUP($A450,Table1[],2,FALSE))</f>
        <v/>
      </c>
    </row>
    <row r="451" spans="1:9" ht="27" customHeight="1" x14ac:dyDescent="0.25">
      <c r="A451" s="12" t="str">
        <f t="shared" ca="1" si="58"/>
        <v/>
      </c>
      <c r="B451" s="12" t="str">
        <f t="shared" ca="1" si="59"/>
        <v/>
      </c>
      <c r="C451" s="12" t="str">
        <f t="shared" ca="1" si="57"/>
        <v/>
      </c>
      <c r="D451" s="12" t="str">
        <f t="shared" ca="1" si="57"/>
        <v/>
      </c>
      <c r="E451" s="12" t="str">
        <f t="shared" ca="1" si="60"/>
        <v/>
      </c>
      <c r="F451" s="17"/>
      <c r="G451" s="13" t="str">
        <f t="shared" ca="1" si="61"/>
        <v/>
      </c>
      <c r="H451" s="13" t="str">
        <f t="shared" ca="1" si="62"/>
        <v/>
      </c>
      <c r="I451" s="17" t="str">
        <f ca="1">IF(AND($B451="",$C451=""),"",VLOOKUP($A451,Table1[],2,FALSE))</f>
        <v/>
      </c>
    </row>
    <row r="452" spans="1:9" ht="27" customHeight="1" x14ac:dyDescent="0.25">
      <c r="A452" s="12" t="str">
        <f t="shared" ca="1" si="58"/>
        <v/>
      </c>
      <c r="B452" s="12" t="str">
        <f t="shared" ca="1" si="59"/>
        <v/>
      </c>
      <c r="C452" s="12" t="str">
        <f t="shared" ca="1" si="57"/>
        <v/>
      </c>
      <c r="D452" s="12" t="str">
        <f t="shared" ca="1" si="57"/>
        <v/>
      </c>
      <c r="E452" s="12" t="str">
        <f t="shared" ca="1" si="60"/>
        <v/>
      </c>
      <c r="F452" s="17"/>
      <c r="G452" s="13" t="str">
        <f t="shared" ca="1" si="61"/>
        <v/>
      </c>
      <c r="H452" s="13" t="str">
        <f t="shared" ca="1" si="62"/>
        <v/>
      </c>
      <c r="I452" s="17" t="str">
        <f ca="1">IF(AND($B452="",$C452=""),"",VLOOKUP($A452,Table1[],2,FALSE))</f>
        <v/>
      </c>
    </row>
    <row r="453" spans="1:9" ht="27" customHeight="1" x14ac:dyDescent="0.25">
      <c r="A453" s="12" t="str">
        <f t="shared" ca="1" si="58"/>
        <v/>
      </c>
      <c r="B453" s="12" t="str">
        <f t="shared" ca="1" si="59"/>
        <v/>
      </c>
      <c r="C453" s="12" t="str">
        <f t="shared" ca="1" si="57"/>
        <v/>
      </c>
      <c r="D453" s="12" t="str">
        <f t="shared" ca="1" si="57"/>
        <v/>
      </c>
      <c r="E453" s="12" t="str">
        <f t="shared" ca="1" si="60"/>
        <v/>
      </c>
      <c r="F453" s="17"/>
      <c r="G453" s="13" t="str">
        <f t="shared" ca="1" si="61"/>
        <v/>
      </c>
      <c r="H453" s="13" t="str">
        <f t="shared" ca="1" si="62"/>
        <v/>
      </c>
      <c r="I453" s="17" t="str">
        <f ca="1">IF(AND($B453="",$C453=""),"",VLOOKUP($A453,Table1[],2,FALSE))</f>
        <v/>
      </c>
    </row>
    <row r="454" spans="1:9" ht="27" customHeight="1" x14ac:dyDescent="0.25">
      <c r="A454" s="12" t="str">
        <f t="shared" ca="1" si="58"/>
        <v/>
      </c>
      <c r="B454" s="12" t="str">
        <f t="shared" ca="1" si="59"/>
        <v/>
      </c>
      <c r="C454" s="12" t="str">
        <f t="shared" ca="1" si="57"/>
        <v/>
      </c>
      <c r="D454" s="12" t="str">
        <f t="shared" ca="1" si="57"/>
        <v/>
      </c>
      <c r="E454" s="12" t="str">
        <f t="shared" ca="1" si="60"/>
        <v/>
      </c>
      <c r="F454" s="17"/>
      <c r="G454" s="13" t="str">
        <f t="shared" ca="1" si="61"/>
        <v/>
      </c>
      <c r="H454" s="13" t="str">
        <f t="shared" ca="1" si="62"/>
        <v/>
      </c>
      <c r="I454" s="17" t="str">
        <f ca="1">IF(AND($B454="",$C454=""),"",VLOOKUP($A454,Table1[],2,FALSE))</f>
        <v/>
      </c>
    </row>
    <row r="455" spans="1:9" ht="27" customHeight="1" x14ac:dyDescent="0.25">
      <c r="A455" s="12" t="str">
        <f t="shared" ca="1" si="58"/>
        <v/>
      </c>
      <c r="B455" s="12" t="str">
        <f t="shared" ca="1" si="59"/>
        <v/>
      </c>
      <c r="C455" s="12" t="str">
        <f t="shared" ca="1" si="57"/>
        <v/>
      </c>
      <c r="D455" s="12" t="str">
        <f t="shared" ca="1" si="57"/>
        <v/>
      </c>
      <c r="E455" s="12" t="str">
        <f t="shared" ca="1" si="60"/>
        <v/>
      </c>
      <c r="F455" s="17"/>
      <c r="G455" s="13" t="str">
        <f t="shared" ca="1" si="61"/>
        <v/>
      </c>
      <c r="H455" s="13" t="str">
        <f t="shared" ca="1" si="62"/>
        <v/>
      </c>
      <c r="I455" s="17" t="str">
        <f ca="1">IF(AND($B455="",$C455=""),"",VLOOKUP($A455,Table1[],2,FALSE))</f>
        <v/>
      </c>
    </row>
    <row r="456" spans="1:9" ht="27" customHeight="1" x14ac:dyDescent="0.25">
      <c r="A456" s="12" t="str">
        <f t="shared" ca="1" si="58"/>
        <v/>
      </c>
      <c r="B456" s="12" t="str">
        <f t="shared" ca="1" si="59"/>
        <v/>
      </c>
      <c r="C456" s="12" t="str">
        <f t="shared" ca="1" si="57"/>
        <v/>
      </c>
      <c r="D456" s="12" t="str">
        <f t="shared" ca="1" si="57"/>
        <v/>
      </c>
      <c r="E456" s="12" t="str">
        <f t="shared" ca="1" si="60"/>
        <v/>
      </c>
      <c r="F456" s="17"/>
      <c r="G456" s="13" t="str">
        <f t="shared" ca="1" si="61"/>
        <v/>
      </c>
      <c r="H456" s="13" t="str">
        <f t="shared" ca="1" si="62"/>
        <v/>
      </c>
      <c r="I456" s="17" t="str">
        <f ca="1">IF(AND($B456="",$C456=""),"",VLOOKUP($A456,Table1[],2,FALSE))</f>
        <v/>
      </c>
    </row>
    <row r="457" spans="1:9" ht="27" customHeight="1" x14ac:dyDescent="0.25">
      <c r="A457" s="12" t="str">
        <f t="shared" ca="1" si="58"/>
        <v/>
      </c>
      <c r="B457" s="12" t="str">
        <f t="shared" ca="1" si="59"/>
        <v/>
      </c>
      <c r="C457" s="12" t="str">
        <f t="shared" ca="1" si="57"/>
        <v/>
      </c>
      <c r="D457" s="12" t="str">
        <f t="shared" ca="1" si="57"/>
        <v/>
      </c>
      <c r="E457" s="12" t="str">
        <f t="shared" ca="1" si="60"/>
        <v/>
      </c>
      <c r="F457" s="17"/>
      <c r="G457" s="13" t="str">
        <f t="shared" ca="1" si="61"/>
        <v/>
      </c>
      <c r="H457" s="13" t="str">
        <f t="shared" ca="1" si="62"/>
        <v/>
      </c>
      <c r="I457" s="17" t="str">
        <f ca="1">IF(AND($B457="",$C457=""),"",VLOOKUP($A457,Table1[],2,FALSE))</f>
        <v/>
      </c>
    </row>
    <row r="458" spans="1:9" ht="27" customHeight="1" x14ac:dyDescent="0.25">
      <c r="A458" s="12" t="str">
        <f t="shared" ca="1" si="58"/>
        <v/>
      </c>
      <c r="B458" s="12" t="str">
        <f t="shared" ca="1" si="59"/>
        <v/>
      </c>
      <c r="C458" s="12" t="str">
        <f t="shared" ca="1" si="57"/>
        <v/>
      </c>
      <c r="D458" s="12" t="str">
        <f t="shared" ca="1" si="57"/>
        <v/>
      </c>
      <c r="E458" s="12" t="str">
        <f t="shared" ca="1" si="60"/>
        <v/>
      </c>
      <c r="F458" s="17"/>
      <c r="G458" s="13" t="str">
        <f t="shared" ca="1" si="61"/>
        <v/>
      </c>
      <c r="H458" s="13" t="str">
        <f t="shared" ca="1" si="62"/>
        <v/>
      </c>
      <c r="I458" s="17" t="str">
        <f ca="1">IF(AND($B458="",$C458=""),"",VLOOKUP($A458,Table1[],2,FALSE))</f>
        <v/>
      </c>
    </row>
    <row r="459" spans="1:9" ht="27" customHeight="1" x14ac:dyDescent="0.25">
      <c r="A459" s="12" t="str">
        <f t="shared" ca="1" si="58"/>
        <v/>
      </c>
      <c r="B459" s="12" t="str">
        <f t="shared" ca="1" si="59"/>
        <v/>
      </c>
      <c r="C459" s="12" t="str">
        <f t="shared" ca="1" si="57"/>
        <v/>
      </c>
      <c r="D459" s="12" t="str">
        <f t="shared" ca="1" si="57"/>
        <v/>
      </c>
      <c r="E459" s="12" t="str">
        <f t="shared" ca="1" si="60"/>
        <v/>
      </c>
      <c r="F459" s="17"/>
      <c r="G459" s="13" t="str">
        <f t="shared" ca="1" si="61"/>
        <v/>
      </c>
      <c r="H459" s="13" t="str">
        <f t="shared" ca="1" si="62"/>
        <v/>
      </c>
      <c r="I459" s="17" t="str">
        <f ca="1">IF(AND($B459="",$C459=""),"",VLOOKUP($A459,Table1[],2,FALSE))</f>
        <v/>
      </c>
    </row>
    <row r="460" spans="1:9" ht="27" customHeight="1" x14ac:dyDescent="0.25">
      <c r="A460" s="12" t="str">
        <f t="shared" ca="1" si="58"/>
        <v/>
      </c>
      <c r="B460" s="12" t="str">
        <f t="shared" ca="1" si="59"/>
        <v/>
      </c>
      <c r="C460" s="12" t="str">
        <f t="shared" ca="1" si="57"/>
        <v/>
      </c>
      <c r="D460" s="12" t="str">
        <f t="shared" ca="1" si="57"/>
        <v/>
      </c>
      <c r="E460" s="12" t="str">
        <f t="shared" ca="1" si="60"/>
        <v/>
      </c>
      <c r="F460" s="17"/>
      <c r="G460" s="13" t="str">
        <f t="shared" ca="1" si="61"/>
        <v/>
      </c>
      <c r="H460" s="13" t="str">
        <f t="shared" ca="1" si="62"/>
        <v/>
      </c>
      <c r="I460" s="17" t="str">
        <f ca="1">IF(AND($B460="",$C460=""),"",VLOOKUP($A460,Table1[],2,FALSE))</f>
        <v/>
      </c>
    </row>
    <row r="461" spans="1:9" ht="27" customHeight="1" x14ac:dyDescent="0.25">
      <c r="A461" s="12" t="str">
        <f t="shared" ca="1" si="58"/>
        <v/>
      </c>
      <c r="B461" s="12" t="str">
        <f t="shared" ca="1" si="59"/>
        <v/>
      </c>
      <c r="C461" s="12" t="str">
        <f t="shared" ca="1" si="57"/>
        <v/>
      </c>
      <c r="D461" s="12" t="str">
        <f t="shared" ca="1" si="57"/>
        <v/>
      </c>
      <c r="E461" s="12" t="str">
        <f t="shared" ca="1" si="60"/>
        <v/>
      </c>
      <c r="F461" s="17"/>
      <c r="G461" s="13" t="str">
        <f t="shared" ca="1" si="61"/>
        <v/>
      </c>
      <c r="H461" s="13" t="str">
        <f t="shared" ca="1" si="62"/>
        <v/>
      </c>
      <c r="I461" s="17" t="str">
        <f ca="1">IF(AND($B461="",$C461=""),"",VLOOKUP($A461,Table1[],2,FALSE))</f>
        <v/>
      </c>
    </row>
    <row r="462" spans="1:9" ht="27" customHeight="1" x14ac:dyDescent="0.25">
      <c r="A462" s="12" t="str">
        <f t="shared" ca="1" si="58"/>
        <v/>
      </c>
      <c r="B462" s="12" t="str">
        <f t="shared" ca="1" si="59"/>
        <v/>
      </c>
      <c r="C462" s="12" t="str">
        <f t="shared" ref="C462:D481" ca="1" si="63">TEXT( INDIRECT( ADDRESS( ROW() + Row_Offset, INDIRECT( "Column_Number_" &amp; C$1), 4,1, tabname) ), "")</f>
        <v/>
      </c>
      <c r="D462" s="12" t="str">
        <f t="shared" ca="1" si="63"/>
        <v/>
      </c>
      <c r="E462" s="12" t="str">
        <f t="shared" ca="1" si="60"/>
        <v/>
      </c>
      <c r="F462" s="17"/>
      <c r="G462" s="13" t="str">
        <f t="shared" ca="1" si="61"/>
        <v/>
      </c>
      <c r="H462" s="13" t="str">
        <f t="shared" ca="1" si="62"/>
        <v/>
      </c>
      <c r="I462" s="17" t="str">
        <f ca="1">IF(AND($B462="",$C462=""),"",VLOOKUP($A462,Table1[],2,FALSE))</f>
        <v/>
      </c>
    </row>
    <row r="463" spans="1:9" ht="27" customHeight="1" x14ac:dyDescent="0.25">
      <c r="A463" s="12" t="str">
        <f t="shared" ca="1" si="58"/>
        <v/>
      </c>
      <c r="B463" s="12" t="str">
        <f t="shared" ca="1" si="59"/>
        <v/>
      </c>
      <c r="C463" s="12" t="str">
        <f t="shared" ca="1" si="63"/>
        <v/>
      </c>
      <c r="D463" s="12" t="str">
        <f t="shared" ca="1" si="63"/>
        <v/>
      </c>
      <c r="E463" s="12" t="str">
        <f t="shared" ca="1" si="60"/>
        <v/>
      </c>
      <c r="F463" s="17"/>
      <c r="G463" s="13" t="str">
        <f t="shared" ca="1" si="61"/>
        <v/>
      </c>
      <c r="H463" s="13" t="str">
        <f t="shared" ca="1" si="62"/>
        <v/>
      </c>
      <c r="I463" s="17" t="str">
        <f ca="1">IF(AND($B463="",$C463=""),"",VLOOKUP($A463,Table1[],2,FALSE))</f>
        <v/>
      </c>
    </row>
    <row r="464" spans="1:9" ht="27" customHeight="1" x14ac:dyDescent="0.25">
      <c r="A464" s="12" t="str">
        <f t="shared" ca="1" si="58"/>
        <v/>
      </c>
      <c r="B464" s="12" t="str">
        <f t="shared" ca="1" si="59"/>
        <v/>
      </c>
      <c r="C464" s="12" t="str">
        <f t="shared" ca="1" si="63"/>
        <v/>
      </c>
      <c r="D464" s="12" t="str">
        <f t="shared" ca="1" si="63"/>
        <v/>
      </c>
      <c r="E464" s="12" t="str">
        <f t="shared" ca="1" si="60"/>
        <v/>
      </c>
      <c r="F464" s="17"/>
      <c r="G464" s="13" t="str">
        <f t="shared" ca="1" si="61"/>
        <v/>
      </c>
      <c r="H464" s="13" t="str">
        <f t="shared" ca="1" si="62"/>
        <v/>
      </c>
      <c r="I464" s="17" t="str">
        <f ca="1">IF(AND($B464="",$C464=""),"",VLOOKUP($A464,Table1[],2,FALSE))</f>
        <v/>
      </c>
    </row>
    <row r="465" spans="1:9" ht="27" customHeight="1" x14ac:dyDescent="0.25">
      <c r="A465" s="12" t="str">
        <f t="shared" ca="1" si="58"/>
        <v/>
      </c>
      <c r="B465" s="12" t="str">
        <f t="shared" ca="1" si="59"/>
        <v/>
      </c>
      <c r="C465" s="12" t="str">
        <f t="shared" ca="1" si="63"/>
        <v/>
      </c>
      <c r="D465" s="12" t="str">
        <f t="shared" ca="1" si="63"/>
        <v/>
      </c>
      <c r="E465" s="12" t="str">
        <f t="shared" ca="1" si="60"/>
        <v/>
      </c>
      <c r="F465" s="17"/>
      <c r="G465" s="13" t="str">
        <f t="shared" ca="1" si="61"/>
        <v/>
      </c>
      <c r="H465" s="13" t="str">
        <f t="shared" ca="1" si="62"/>
        <v/>
      </c>
      <c r="I465" s="17" t="str">
        <f ca="1">IF(AND($B465="",$C465=""),"",VLOOKUP($A465,Table1[],2,FALSE))</f>
        <v/>
      </c>
    </row>
    <row r="466" spans="1:9" ht="27" customHeight="1" x14ac:dyDescent="0.25">
      <c r="A466" s="12" t="str">
        <f t="shared" ca="1" si="58"/>
        <v/>
      </c>
      <c r="B466" s="12" t="str">
        <f t="shared" ca="1" si="59"/>
        <v/>
      </c>
      <c r="C466" s="12" t="str">
        <f t="shared" ca="1" si="63"/>
        <v/>
      </c>
      <c r="D466" s="12" t="str">
        <f t="shared" ca="1" si="63"/>
        <v/>
      </c>
      <c r="E466" s="12" t="str">
        <f t="shared" ca="1" si="60"/>
        <v/>
      </c>
      <c r="F466" s="17"/>
      <c r="G466" s="13" t="str">
        <f t="shared" ca="1" si="61"/>
        <v/>
      </c>
      <c r="H466" s="13" t="str">
        <f t="shared" ca="1" si="62"/>
        <v/>
      </c>
      <c r="I466" s="17" t="str">
        <f ca="1">IF(AND($B466="",$C466=""),"",VLOOKUP($A466,Table1[],2,FALSE))</f>
        <v/>
      </c>
    </row>
    <row r="467" spans="1:9" ht="27" customHeight="1" x14ac:dyDescent="0.25">
      <c r="A467" s="12" t="str">
        <f t="shared" ca="1" si="58"/>
        <v/>
      </c>
      <c r="B467" s="12" t="str">
        <f t="shared" ca="1" si="59"/>
        <v/>
      </c>
      <c r="C467" s="12" t="str">
        <f t="shared" ca="1" si="63"/>
        <v/>
      </c>
      <c r="D467" s="12" t="str">
        <f t="shared" ca="1" si="63"/>
        <v/>
      </c>
      <c r="E467" s="12" t="str">
        <f t="shared" ca="1" si="60"/>
        <v/>
      </c>
      <c r="F467" s="17"/>
      <c r="G467" s="13" t="str">
        <f t="shared" ca="1" si="61"/>
        <v/>
      </c>
      <c r="H467" s="13" t="str">
        <f t="shared" ca="1" si="62"/>
        <v/>
      </c>
      <c r="I467" s="17" t="str">
        <f ca="1">IF(AND($B467="",$C467=""),"",VLOOKUP($A467,Table1[],2,FALSE))</f>
        <v/>
      </c>
    </row>
    <row r="468" spans="1:9" ht="27" customHeight="1" x14ac:dyDescent="0.25">
      <c r="A468" s="12" t="str">
        <f t="shared" ca="1" si="58"/>
        <v/>
      </c>
      <c r="B468" s="12" t="str">
        <f t="shared" ca="1" si="59"/>
        <v/>
      </c>
      <c r="C468" s="12" t="str">
        <f t="shared" ca="1" si="63"/>
        <v/>
      </c>
      <c r="D468" s="12" t="str">
        <f t="shared" ca="1" si="63"/>
        <v/>
      </c>
      <c r="E468" s="12" t="str">
        <f t="shared" ca="1" si="60"/>
        <v/>
      </c>
      <c r="F468" s="17"/>
      <c r="G468" s="13" t="str">
        <f t="shared" ca="1" si="61"/>
        <v/>
      </c>
      <c r="H468" s="13" t="str">
        <f t="shared" ca="1" si="62"/>
        <v/>
      </c>
      <c r="I468" s="17" t="str">
        <f ca="1">IF(AND($B468="",$C468=""),"",VLOOKUP($A468,Table1[],2,FALSE))</f>
        <v/>
      </c>
    </row>
    <row r="469" spans="1:9" ht="27" customHeight="1" x14ac:dyDescent="0.25">
      <c r="A469" s="12" t="str">
        <f t="shared" ca="1" si="58"/>
        <v/>
      </c>
      <c r="B469" s="12" t="str">
        <f t="shared" ca="1" si="59"/>
        <v/>
      </c>
      <c r="C469" s="12" t="str">
        <f t="shared" ca="1" si="63"/>
        <v/>
      </c>
      <c r="D469" s="12" t="str">
        <f t="shared" ca="1" si="63"/>
        <v/>
      </c>
      <c r="E469" s="12" t="str">
        <f t="shared" ca="1" si="60"/>
        <v/>
      </c>
      <c r="F469" s="17"/>
      <c r="G469" s="13" t="str">
        <f t="shared" ca="1" si="61"/>
        <v/>
      </c>
      <c r="H469" s="13" t="str">
        <f t="shared" ca="1" si="62"/>
        <v/>
      </c>
      <c r="I469" s="17" t="str">
        <f ca="1">IF(AND($B469="",$C469=""),"",VLOOKUP($A469,Table1[],2,FALSE))</f>
        <v/>
      </c>
    </row>
    <row r="470" spans="1:9" ht="27" customHeight="1" x14ac:dyDescent="0.25">
      <c r="A470" s="12" t="str">
        <f t="shared" ca="1" si="58"/>
        <v/>
      </c>
      <c r="B470" s="12" t="str">
        <f t="shared" ca="1" si="59"/>
        <v/>
      </c>
      <c r="C470" s="12" t="str">
        <f t="shared" ca="1" si="63"/>
        <v/>
      </c>
      <c r="D470" s="12" t="str">
        <f t="shared" ca="1" si="63"/>
        <v/>
      </c>
      <c r="E470" s="12" t="str">
        <f t="shared" ca="1" si="60"/>
        <v/>
      </c>
      <c r="F470" s="17"/>
      <c r="G470" s="13" t="str">
        <f t="shared" ca="1" si="61"/>
        <v/>
      </c>
      <c r="H470" s="13" t="str">
        <f t="shared" ca="1" si="62"/>
        <v/>
      </c>
      <c r="I470" s="17" t="str">
        <f ca="1">IF(AND($B470="",$C470=""),"",VLOOKUP($A470,Table1[],2,FALSE))</f>
        <v/>
      </c>
    </row>
    <row r="471" spans="1:9" ht="27" customHeight="1" x14ac:dyDescent="0.25">
      <c r="A471" s="12" t="str">
        <f t="shared" ca="1" si="58"/>
        <v/>
      </c>
      <c r="B471" s="12" t="str">
        <f t="shared" ca="1" si="59"/>
        <v/>
      </c>
      <c r="C471" s="12" t="str">
        <f t="shared" ca="1" si="63"/>
        <v/>
      </c>
      <c r="D471" s="12" t="str">
        <f t="shared" ca="1" si="63"/>
        <v/>
      </c>
      <c r="E471" s="12" t="str">
        <f t="shared" ca="1" si="60"/>
        <v/>
      </c>
      <c r="F471" s="17"/>
      <c r="G471" s="13" t="str">
        <f t="shared" ca="1" si="61"/>
        <v/>
      </c>
      <c r="H471" s="13" t="str">
        <f t="shared" ca="1" si="62"/>
        <v/>
      </c>
      <c r="I471" s="17" t="str">
        <f ca="1">IF(AND($B471="",$C471=""),"",VLOOKUP($A471,Table1[],2,FALSE))</f>
        <v/>
      </c>
    </row>
    <row r="472" spans="1:9" ht="27" customHeight="1" x14ac:dyDescent="0.25">
      <c r="A472" s="12" t="str">
        <f t="shared" ca="1" si="58"/>
        <v/>
      </c>
      <c r="B472" s="12" t="str">
        <f t="shared" ca="1" si="59"/>
        <v/>
      </c>
      <c r="C472" s="12" t="str">
        <f t="shared" ca="1" si="63"/>
        <v/>
      </c>
      <c r="D472" s="12" t="str">
        <f t="shared" ca="1" si="63"/>
        <v/>
      </c>
      <c r="E472" s="12" t="str">
        <f t="shared" ca="1" si="60"/>
        <v/>
      </c>
      <c r="F472" s="17"/>
      <c r="G472" s="13" t="str">
        <f t="shared" ca="1" si="61"/>
        <v/>
      </c>
      <c r="H472" s="13" t="str">
        <f t="shared" ca="1" si="62"/>
        <v/>
      </c>
      <c r="I472" s="17" t="str">
        <f ca="1">IF(AND($B472="",$C472=""),"",VLOOKUP($A472,Table1[],2,FALSE))</f>
        <v/>
      </c>
    </row>
    <row r="473" spans="1:9" ht="27" customHeight="1" x14ac:dyDescent="0.25">
      <c r="A473" s="12" t="str">
        <f t="shared" ca="1" si="58"/>
        <v/>
      </c>
      <c r="B473" s="12" t="str">
        <f t="shared" ca="1" si="59"/>
        <v/>
      </c>
      <c r="C473" s="12" t="str">
        <f t="shared" ca="1" si="63"/>
        <v/>
      </c>
      <c r="D473" s="12" t="str">
        <f t="shared" ca="1" si="63"/>
        <v/>
      </c>
      <c r="E473" s="12" t="str">
        <f t="shared" ca="1" si="60"/>
        <v/>
      </c>
      <c r="F473" s="17"/>
      <c r="G473" s="13" t="str">
        <f t="shared" ca="1" si="61"/>
        <v/>
      </c>
      <c r="H473" s="13" t="str">
        <f t="shared" ca="1" si="62"/>
        <v/>
      </c>
      <c r="I473" s="17" t="str">
        <f ca="1">IF(AND($B473="",$C473=""),"",VLOOKUP($A473,Table1[],2,FALSE))</f>
        <v/>
      </c>
    </row>
    <row r="474" spans="1:9" ht="27" customHeight="1" x14ac:dyDescent="0.25">
      <c r="A474" s="12" t="str">
        <f t="shared" ca="1" si="58"/>
        <v/>
      </c>
      <c r="B474" s="12" t="str">
        <f t="shared" ca="1" si="59"/>
        <v/>
      </c>
      <c r="C474" s="12" t="str">
        <f t="shared" ca="1" si="63"/>
        <v/>
      </c>
      <c r="D474" s="12" t="str">
        <f t="shared" ca="1" si="63"/>
        <v/>
      </c>
      <c r="E474" s="12" t="str">
        <f t="shared" ca="1" si="60"/>
        <v/>
      </c>
      <c r="F474" s="17"/>
      <c r="G474" s="13" t="str">
        <f t="shared" ca="1" si="61"/>
        <v/>
      </c>
      <c r="H474" s="13" t="str">
        <f t="shared" ca="1" si="62"/>
        <v/>
      </c>
      <c r="I474" s="17" t="str">
        <f ca="1">IF(AND($B474="",$C474=""),"",VLOOKUP($A474,Table1[],2,FALSE))</f>
        <v/>
      </c>
    </row>
    <row r="475" spans="1:9" ht="27" customHeight="1" x14ac:dyDescent="0.25">
      <c r="A475" s="12" t="str">
        <f t="shared" ca="1" si="58"/>
        <v/>
      </c>
      <c r="B475" s="12" t="str">
        <f t="shared" ca="1" si="59"/>
        <v/>
      </c>
      <c r="C475" s="12" t="str">
        <f t="shared" ca="1" si="63"/>
        <v/>
      </c>
      <c r="D475" s="12" t="str">
        <f t="shared" ca="1" si="63"/>
        <v/>
      </c>
      <c r="E475" s="12" t="str">
        <f t="shared" ca="1" si="60"/>
        <v/>
      </c>
      <c r="F475" s="17"/>
      <c r="G475" s="13" t="str">
        <f t="shared" ca="1" si="61"/>
        <v/>
      </c>
      <c r="H475" s="13" t="str">
        <f t="shared" ca="1" si="62"/>
        <v/>
      </c>
      <c r="I475" s="17" t="str">
        <f ca="1">IF(AND($B475="",$C475=""),"",VLOOKUP($A475,Table1[],2,FALSE))</f>
        <v/>
      </c>
    </row>
    <row r="476" spans="1:9" ht="27" customHeight="1" x14ac:dyDescent="0.25">
      <c r="A476" s="12" t="str">
        <f t="shared" ca="1" si="58"/>
        <v/>
      </c>
      <c r="B476" s="12" t="str">
        <f t="shared" ca="1" si="59"/>
        <v/>
      </c>
      <c r="C476" s="12" t="str">
        <f t="shared" ca="1" si="63"/>
        <v/>
      </c>
      <c r="D476" s="12" t="str">
        <f t="shared" ca="1" si="63"/>
        <v/>
      </c>
      <c r="E476" s="12" t="str">
        <f t="shared" ca="1" si="60"/>
        <v/>
      </c>
      <c r="F476" s="17"/>
      <c r="G476" s="13" t="str">
        <f t="shared" ca="1" si="61"/>
        <v/>
      </c>
      <c r="H476" s="13" t="str">
        <f t="shared" ca="1" si="62"/>
        <v/>
      </c>
      <c r="I476" s="17" t="str">
        <f ca="1">IF(AND($B476="",$C476=""),"",VLOOKUP($A476,Table1[],2,FALSE))</f>
        <v/>
      </c>
    </row>
    <row r="477" spans="1:9" ht="27" customHeight="1" x14ac:dyDescent="0.25">
      <c r="A477" s="12" t="str">
        <f t="shared" ca="1" si="58"/>
        <v/>
      </c>
      <c r="B477" s="12" t="str">
        <f t="shared" ca="1" si="59"/>
        <v/>
      </c>
      <c r="C477" s="12" t="str">
        <f t="shared" ca="1" si="63"/>
        <v/>
      </c>
      <c r="D477" s="12" t="str">
        <f t="shared" ca="1" si="63"/>
        <v/>
      </c>
      <c r="E477" s="12" t="str">
        <f t="shared" ca="1" si="60"/>
        <v/>
      </c>
      <c r="F477" s="17"/>
      <c r="G477" s="13" t="str">
        <f t="shared" ca="1" si="61"/>
        <v/>
      </c>
      <c r="H477" s="13" t="str">
        <f t="shared" ca="1" si="62"/>
        <v/>
      </c>
      <c r="I477" s="17" t="str">
        <f ca="1">IF(AND($B477="",$C477=""),"",VLOOKUP($A477,Table1[],2,FALSE))</f>
        <v/>
      </c>
    </row>
    <row r="478" spans="1:9" ht="27" customHeight="1" x14ac:dyDescent="0.25">
      <c r="A478" s="12" t="str">
        <f t="shared" ca="1" si="58"/>
        <v/>
      </c>
      <c r="B478" s="12" t="str">
        <f t="shared" ca="1" si="59"/>
        <v/>
      </c>
      <c r="C478" s="12" t="str">
        <f t="shared" ca="1" si="63"/>
        <v/>
      </c>
      <c r="D478" s="12" t="str">
        <f t="shared" ca="1" si="63"/>
        <v/>
      </c>
      <c r="E478" s="12" t="str">
        <f t="shared" ca="1" si="60"/>
        <v/>
      </c>
      <c r="F478" s="17"/>
      <c r="G478" s="13" t="str">
        <f t="shared" ca="1" si="61"/>
        <v/>
      </c>
      <c r="H478" s="13" t="str">
        <f t="shared" ca="1" si="62"/>
        <v/>
      </c>
      <c r="I478" s="17" t="str">
        <f ca="1">IF(AND($B478="",$C478=""),"",VLOOKUP($A478,Table1[],2,FALSE))</f>
        <v/>
      </c>
    </row>
    <row r="479" spans="1:9" ht="27" customHeight="1" x14ac:dyDescent="0.25">
      <c r="A479" s="12" t="str">
        <f t="shared" ca="1" si="58"/>
        <v/>
      </c>
      <c r="B479" s="12" t="str">
        <f t="shared" ca="1" si="59"/>
        <v/>
      </c>
      <c r="C479" s="12" t="str">
        <f t="shared" ca="1" si="63"/>
        <v/>
      </c>
      <c r="D479" s="12" t="str">
        <f t="shared" ca="1" si="63"/>
        <v/>
      </c>
      <c r="E479" s="12" t="str">
        <f t="shared" ca="1" si="60"/>
        <v/>
      </c>
      <c r="F479" s="17"/>
      <c r="G479" s="13" t="str">
        <f t="shared" ca="1" si="61"/>
        <v/>
      </c>
      <c r="H479" s="13" t="str">
        <f t="shared" ca="1" si="62"/>
        <v/>
      </c>
      <c r="I479" s="17" t="str">
        <f ca="1">IF(AND($B479="",$C479=""),"",VLOOKUP($A479,Table1[],2,FALSE))</f>
        <v/>
      </c>
    </row>
    <row r="480" spans="1:9" ht="27" customHeight="1" x14ac:dyDescent="0.25">
      <c r="A480" s="12" t="str">
        <f t="shared" ca="1" si="58"/>
        <v/>
      </c>
      <c r="B480" s="12" t="str">
        <f t="shared" ca="1" si="59"/>
        <v/>
      </c>
      <c r="C480" s="12" t="str">
        <f t="shared" ca="1" si="63"/>
        <v/>
      </c>
      <c r="D480" s="12" t="str">
        <f t="shared" ca="1" si="63"/>
        <v/>
      </c>
      <c r="E480" s="12" t="str">
        <f t="shared" ca="1" si="60"/>
        <v/>
      </c>
      <c r="F480" s="17"/>
      <c r="G480" s="13" t="str">
        <f t="shared" ca="1" si="61"/>
        <v/>
      </c>
      <c r="H480" s="13" t="str">
        <f t="shared" ca="1" si="62"/>
        <v/>
      </c>
      <c r="I480" s="17" t="str">
        <f ca="1">IF(AND($B480="",$C480=""),"",VLOOKUP($A480,Table1[],2,FALSE))</f>
        <v/>
      </c>
    </row>
    <row r="481" spans="1:9" ht="27" customHeight="1" x14ac:dyDescent="0.25">
      <c r="A481" s="12" t="str">
        <f t="shared" ca="1" si="58"/>
        <v/>
      </c>
      <c r="B481" s="12" t="str">
        <f t="shared" ca="1" si="59"/>
        <v/>
      </c>
      <c r="C481" s="12" t="str">
        <f t="shared" ca="1" si="63"/>
        <v/>
      </c>
      <c r="D481" s="12" t="str">
        <f t="shared" ca="1" si="63"/>
        <v/>
      </c>
      <c r="E481" s="12" t="str">
        <f t="shared" ca="1" si="60"/>
        <v/>
      </c>
      <c r="F481" s="17"/>
      <c r="G481" s="13" t="str">
        <f t="shared" ca="1" si="61"/>
        <v/>
      </c>
      <c r="H481" s="13" t="str">
        <f t="shared" ca="1" si="62"/>
        <v/>
      </c>
      <c r="I481" s="17" t="str">
        <f ca="1">IF(AND($B481="",$C481=""),"",VLOOKUP($A481,Table1[],2,FALSE))</f>
        <v/>
      </c>
    </row>
    <row r="482" spans="1:9" ht="27" customHeight="1" x14ac:dyDescent="0.25">
      <c r="A482" s="12" t="str">
        <f t="shared" ca="1" si="58"/>
        <v/>
      </c>
      <c r="B482" s="12" t="str">
        <f t="shared" ca="1" si="59"/>
        <v/>
      </c>
      <c r="C482" s="12" t="str">
        <f t="shared" ref="C482:D500" ca="1" si="64">TEXT( INDIRECT( ADDRESS( ROW() + Row_Offset, INDIRECT( "Column_Number_" &amp; C$1), 4,1, tabname) ), "")</f>
        <v/>
      </c>
      <c r="D482" s="12" t="str">
        <f t="shared" ca="1" si="64"/>
        <v/>
      </c>
      <c r="E482" s="12" t="str">
        <f t="shared" ca="1" si="60"/>
        <v/>
      </c>
      <c r="F482" s="17"/>
      <c r="G482" s="13" t="str">
        <f t="shared" ca="1" si="61"/>
        <v/>
      </c>
      <c r="H482" s="13" t="str">
        <f t="shared" ca="1" si="62"/>
        <v/>
      </c>
      <c r="I482" s="17" t="str">
        <f ca="1">IF(AND($B482="",$C482=""),"",VLOOKUP($A482,Table1[],2,FALSE))</f>
        <v/>
      </c>
    </row>
    <row r="483" spans="1:9" ht="27" customHeight="1" x14ac:dyDescent="0.25">
      <c r="A483" s="12" t="str">
        <f t="shared" ca="1" si="58"/>
        <v/>
      </c>
      <c r="B483" s="12" t="str">
        <f t="shared" ca="1" si="59"/>
        <v/>
      </c>
      <c r="C483" s="12" t="str">
        <f t="shared" ca="1" si="64"/>
        <v/>
      </c>
      <c r="D483" s="12" t="str">
        <f t="shared" ca="1" si="64"/>
        <v/>
      </c>
      <c r="E483" s="12" t="str">
        <f t="shared" ca="1" si="60"/>
        <v/>
      </c>
      <c r="F483" s="17"/>
      <c r="G483" s="13" t="str">
        <f t="shared" ca="1" si="61"/>
        <v/>
      </c>
      <c r="H483" s="13" t="str">
        <f t="shared" ca="1" si="62"/>
        <v/>
      </c>
      <c r="I483" s="17" t="str">
        <f ca="1">IF(AND($B483="",$C483=""),"",VLOOKUP($A483,Table1[],2,FALSE))</f>
        <v/>
      </c>
    </row>
    <row r="484" spans="1:9" ht="27" customHeight="1" x14ac:dyDescent="0.25">
      <c r="A484" s="12" t="str">
        <f t="shared" ca="1" si="58"/>
        <v/>
      </c>
      <c r="B484" s="12" t="str">
        <f t="shared" ca="1" si="59"/>
        <v/>
      </c>
      <c r="C484" s="12" t="str">
        <f t="shared" ca="1" si="64"/>
        <v/>
      </c>
      <c r="D484" s="12" t="str">
        <f t="shared" ca="1" si="64"/>
        <v/>
      </c>
      <c r="E484" s="12" t="str">
        <f t="shared" ca="1" si="60"/>
        <v/>
      </c>
      <c r="F484" s="17"/>
      <c r="G484" s="13" t="str">
        <f t="shared" ca="1" si="61"/>
        <v/>
      </c>
      <c r="H484" s="13" t="str">
        <f t="shared" ca="1" si="62"/>
        <v/>
      </c>
      <c r="I484" s="17" t="str">
        <f ca="1">IF(AND($B484="",$C484=""),"",VLOOKUP($A484,Table1[],2,FALSE))</f>
        <v/>
      </c>
    </row>
    <row r="485" spans="1:9" ht="27" customHeight="1" x14ac:dyDescent="0.25">
      <c r="A485" s="12" t="str">
        <f t="shared" ca="1" si="58"/>
        <v/>
      </c>
      <c r="B485" s="12" t="str">
        <f t="shared" ca="1" si="59"/>
        <v/>
      </c>
      <c r="C485" s="12" t="str">
        <f t="shared" ca="1" si="64"/>
        <v/>
      </c>
      <c r="D485" s="12" t="str">
        <f t="shared" ca="1" si="64"/>
        <v/>
      </c>
      <c r="E485" s="12" t="str">
        <f t="shared" ca="1" si="60"/>
        <v/>
      </c>
      <c r="F485" s="17"/>
      <c r="G485" s="13" t="str">
        <f t="shared" ca="1" si="61"/>
        <v/>
      </c>
      <c r="H485" s="13" t="str">
        <f t="shared" ca="1" si="62"/>
        <v/>
      </c>
      <c r="I485" s="17" t="str">
        <f ca="1">IF(AND($B485="",$C485=""),"",VLOOKUP($A485,Table1[],2,FALSE))</f>
        <v/>
      </c>
    </row>
    <row r="486" spans="1:9" ht="27" customHeight="1" x14ac:dyDescent="0.25">
      <c r="A486" s="12" t="str">
        <f t="shared" ca="1" si="58"/>
        <v/>
      </c>
      <c r="B486" s="12" t="str">
        <f t="shared" ca="1" si="59"/>
        <v/>
      </c>
      <c r="C486" s="12" t="str">
        <f t="shared" ca="1" si="64"/>
        <v/>
      </c>
      <c r="D486" s="12" t="str">
        <f t="shared" ca="1" si="64"/>
        <v/>
      </c>
      <c r="E486" s="12" t="str">
        <f t="shared" ca="1" si="60"/>
        <v/>
      </c>
      <c r="F486" s="17"/>
      <c r="G486" s="13" t="str">
        <f t="shared" ca="1" si="61"/>
        <v/>
      </c>
      <c r="H486" s="13" t="str">
        <f t="shared" ca="1" si="62"/>
        <v/>
      </c>
      <c r="I486" s="17" t="str">
        <f ca="1">IF(AND($B486="",$C486=""),"",VLOOKUP($A486,Table1[],2,FALSE))</f>
        <v/>
      </c>
    </row>
    <row r="487" spans="1:9" ht="27" customHeight="1" x14ac:dyDescent="0.25">
      <c r="A487" s="12" t="str">
        <f t="shared" ca="1" si="58"/>
        <v/>
      </c>
      <c r="B487" s="12" t="str">
        <f t="shared" ca="1" si="59"/>
        <v/>
      </c>
      <c r="C487" s="12" t="str">
        <f t="shared" ca="1" si="64"/>
        <v/>
      </c>
      <c r="D487" s="12" t="str">
        <f t="shared" ca="1" si="64"/>
        <v/>
      </c>
      <c r="E487" s="12" t="str">
        <f t="shared" ca="1" si="60"/>
        <v/>
      </c>
      <c r="F487" s="17"/>
      <c r="G487" s="13" t="str">
        <f t="shared" ca="1" si="61"/>
        <v/>
      </c>
      <c r="H487" s="13" t="str">
        <f t="shared" ca="1" si="62"/>
        <v/>
      </c>
      <c r="I487" s="17" t="str">
        <f ca="1">IF(AND($B487="",$C487=""),"",VLOOKUP($A487,Table1[],2,FALSE))</f>
        <v/>
      </c>
    </row>
    <row r="488" spans="1:9" ht="27" customHeight="1" x14ac:dyDescent="0.25">
      <c r="A488" s="12" t="str">
        <f t="shared" ca="1" si="58"/>
        <v/>
      </c>
      <c r="B488" s="12" t="str">
        <f t="shared" ca="1" si="59"/>
        <v/>
      </c>
      <c r="C488" s="12" t="str">
        <f t="shared" ca="1" si="64"/>
        <v/>
      </c>
      <c r="D488" s="12" t="str">
        <f t="shared" ca="1" si="64"/>
        <v/>
      </c>
      <c r="E488" s="12" t="str">
        <f t="shared" ca="1" si="60"/>
        <v/>
      </c>
      <c r="F488" s="17"/>
      <c r="G488" s="13" t="str">
        <f t="shared" ca="1" si="61"/>
        <v/>
      </c>
      <c r="H488" s="13" t="str">
        <f t="shared" ca="1" si="62"/>
        <v/>
      </c>
      <c r="I488" s="17" t="str">
        <f ca="1">IF(AND($B488="",$C488=""),"",VLOOKUP($A488,Table1[],2,FALSE))</f>
        <v/>
      </c>
    </row>
    <row r="489" spans="1:9" ht="27" customHeight="1" x14ac:dyDescent="0.25">
      <c r="A489" s="12" t="str">
        <f t="shared" ca="1" si="58"/>
        <v/>
      </c>
      <c r="B489" s="12" t="str">
        <f t="shared" ca="1" si="59"/>
        <v/>
      </c>
      <c r="C489" s="12" t="str">
        <f t="shared" ca="1" si="64"/>
        <v/>
      </c>
      <c r="D489" s="12" t="str">
        <f t="shared" ca="1" si="64"/>
        <v/>
      </c>
      <c r="E489" s="12" t="str">
        <f t="shared" ca="1" si="60"/>
        <v/>
      </c>
      <c r="F489" s="17"/>
      <c r="G489" s="13" t="str">
        <f t="shared" ca="1" si="61"/>
        <v/>
      </c>
      <c r="H489" s="13" t="str">
        <f t="shared" ca="1" si="62"/>
        <v/>
      </c>
      <c r="I489" s="17" t="str">
        <f ca="1">IF(AND($B489="",$C489=""),"",VLOOKUP($A489,Table1[],2,FALSE))</f>
        <v/>
      </c>
    </row>
    <row r="490" spans="1:9" ht="27" customHeight="1" x14ac:dyDescent="0.25">
      <c r="A490" s="12" t="str">
        <f t="shared" ca="1" si="58"/>
        <v/>
      </c>
      <c r="B490" s="12" t="str">
        <f t="shared" ca="1" si="59"/>
        <v/>
      </c>
      <c r="C490" s="12" t="str">
        <f t="shared" ca="1" si="64"/>
        <v/>
      </c>
      <c r="D490" s="12" t="str">
        <f t="shared" ca="1" si="64"/>
        <v/>
      </c>
      <c r="E490" s="12" t="str">
        <f t="shared" ca="1" si="60"/>
        <v/>
      </c>
      <c r="F490" s="17"/>
      <c r="G490" s="13" t="str">
        <f t="shared" ca="1" si="61"/>
        <v/>
      </c>
      <c r="H490" s="13" t="str">
        <f t="shared" ca="1" si="62"/>
        <v/>
      </c>
      <c r="I490" s="17" t="str">
        <f ca="1">IF(AND($B490="",$C490=""),"",VLOOKUP($A490,Table1[],2,FALSE))</f>
        <v/>
      </c>
    </row>
    <row r="491" spans="1:9" ht="27" customHeight="1" x14ac:dyDescent="0.25">
      <c r="A491" s="12" t="str">
        <f t="shared" ca="1" si="58"/>
        <v/>
      </c>
      <c r="B491" s="12" t="str">
        <f t="shared" ca="1" si="59"/>
        <v/>
      </c>
      <c r="C491" s="12" t="str">
        <f t="shared" ca="1" si="64"/>
        <v/>
      </c>
      <c r="D491" s="12" t="str">
        <f t="shared" ca="1" si="64"/>
        <v/>
      </c>
      <c r="E491" s="12" t="str">
        <f t="shared" ca="1" si="60"/>
        <v/>
      </c>
      <c r="F491" s="17"/>
      <c r="G491" s="13" t="str">
        <f t="shared" ca="1" si="61"/>
        <v/>
      </c>
      <c r="H491" s="13" t="str">
        <f t="shared" ca="1" si="62"/>
        <v/>
      </c>
      <c r="I491" s="17" t="str">
        <f ca="1">IF(AND($B491="",$C491=""),"",VLOOKUP($A491,Table1[],2,FALSE))</f>
        <v/>
      </c>
    </row>
    <row r="492" spans="1:9" ht="27" customHeight="1" x14ac:dyDescent="0.25">
      <c r="A492" s="12" t="str">
        <f t="shared" ca="1" si="58"/>
        <v/>
      </c>
      <c r="B492" s="12" t="str">
        <f t="shared" ca="1" si="59"/>
        <v/>
      </c>
      <c r="C492" s="12" t="str">
        <f t="shared" ca="1" si="64"/>
        <v/>
      </c>
      <c r="D492" s="12" t="str">
        <f t="shared" ca="1" si="64"/>
        <v/>
      </c>
      <c r="E492" s="12" t="str">
        <f t="shared" ca="1" si="60"/>
        <v/>
      </c>
      <c r="F492" s="17"/>
      <c r="G492" s="13" t="str">
        <f t="shared" ca="1" si="61"/>
        <v/>
      </c>
      <c r="H492" s="13" t="str">
        <f t="shared" ca="1" si="62"/>
        <v/>
      </c>
      <c r="I492" s="17" t="str">
        <f ca="1">IF(AND($B492="",$C492=""),"",VLOOKUP($A492,Table1[],2,FALSE))</f>
        <v/>
      </c>
    </row>
    <row r="493" spans="1:9" ht="27" customHeight="1" x14ac:dyDescent="0.25">
      <c r="A493" s="12" t="str">
        <f t="shared" ca="1" si="58"/>
        <v/>
      </c>
      <c r="B493" s="12" t="str">
        <f t="shared" ca="1" si="59"/>
        <v/>
      </c>
      <c r="C493" s="12" t="str">
        <f t="shared" ca="1" si="64"/>
        <v/>
      </c>
      <c r="D493" s="12" t="str">
        <f t="shared" ca="1" si="64"/>
        <v/>
      </c>
      <c r="E493" s="12" t="str">
        <f t="shared" ca="1" si="60"/>
        <v/>
      </c>
      <c r="F493" s="17"/>
      <c r="G493" s="13" t="str">
        <f t="shared" ca="1" si="61"/>
        <v/>
      </c>
      <c r="H493" s="13" t="str">
        <f t="shared" ca="1" si="62"/>
        <v/>
      </c>
      <c r="I493" s="17" t="str">
        <f ca="1">IF(AND($B493="",$C493=""),"",VLOOKUP($A493,Table1[],2,FALSE))</f>
        <v/>
      </c>
    </row>
    <row r="494" spans="1:9" ht="27" customHeight="1" x14ac:dyDescent="0.25">
      <c r="A494" s="12" t="str">
        <f t="shared" ca="1" si="58"/>
        <v/>
      </c>
      <c r="B494" s="12" t="str">
        <f t="shared" ca="1" si="59"/>
        <v/>
      </c>
      <c r="C494" s="12" t="str">
        <f t="shared" ca="1" si="64"/>
        <v/>
      </c>
      <c r="D494" s="12" t="str">
        <f t="shared" ca="1" si="64"/>
        <v/>
      </c>
      <c r="E494" s="12" t="str">
        <f t="shared" ca="1" si="60"/>
        <v/>
      </c>
      <c r="F494" s="17"/>
      <c r="G494" s="13" t="str">
        <f t="shared" ca="1" si="61"/>
        <v/>
      </c>
      <c r="H494" s="13" t="str">
        <f t="shared" ca="1" si="62"/>
        <v/>
      </c>
      <c r="I494" s="17" t="str">
        <f ca="1">IF(AND($B494="",$C494=""),"",VLOOKUP($A494,Table1[],2,FALSE))</f>
        <v/>
      </c>
    </row>
    <row r="495" spans="1:9" ht="27" customHeight="1" x14ac:dyDescent="0.25">
      <c r="A495" s="12" t="str">
        <f t="shared" ca="1" si="58"/>
        <v/>
      </c>
      <c r="B495" s="12" t="str">
        <f t="shared" ca="1" si="59"/>
        <v/>
      </c>
      <c r="C495" s="12" t="str">
        <f t="shared" ca="1" si="64"/>
        <v/>
      </c>
      <c r="D495" s="12" t="str">
        <f t="shared" ca="1" si="64"/>
        <v/>
      </c>
      <c r="E495" s="12" t="str">
        <f t="shared" ca="1" si="60"/>
        <v/>
      </c>
      <c r="F495" s="17"/>
      <c r="G495" s="13" t="str">
        <f t="shared" ca="1" si="61"/>
        <v/>
      </c>
      <c r="H495" s="13" t="str">
        <f t="shared" ca="1" si="62"/>
        <v/>
      </c>
      <c r="I495" s="17" t="str">
        <f ca="1">IF(AND($B495="",$C495=""),"",VLOOKUP($A495,Table1[],2,FALSE))</f>
        <v/>
      </c>
    </row>
    <row r="496" spans="1:9" ht="27" customHeight="1" x14ac:dyDescent="0.25">
      <c r="A496" s="12" t="str">
        <f t="shared" ca="1" si="58"/>
        <v/>
      </c>
      <c r="B496" s="12" t="str">
        <f t="shared" ca="1" si="59"/>
        <v/>
      </c>
      <c r="C496" s="12" t="str">
        <f t="shared" ca="1" si="64"/>
        <v/>
      </c>
      <c r="D496" s="12" t="str">
        <f t="shared" ca="1" si="64"/>
        <v/>
      </c>
      <c r="E496" s="12" t="str">
        <f t="shared" ca="1" si="60"/>
        <v/>
      </c>
      <c r="F496" s="17"/>
      <c r="G496" s="13" t="str">
        <f t="shared" ca="1" si="61"/>
        <v/>
      </c>
      <c r="H496" s="13" t="str">
        <f t="shared" ca="1" si="62"/>
        <v/>
      </c>
      <c r="I496" s="17" t="str">
        <f ca="1">IF(AND($B496="",$C496=""),"",VLOOKUP($A496,Table1[],2,FALSE))</f>
        <v/>
      </c>
    </row>
    <row r="497" spans="1:9" ht="27" customHeight="1" x14ac:dyDescent="0.25">
      <c r="A497" s="12" t="str">
        <f t="shared" ca="1" si="58"/>
        <v/>
      </c>
      <c r="B497" s="12" t="str">
        <f t="shared" ca="1" si="59"/>
        <v/>
      </c>
      <c r="C497" s="12" t="str">
        <f t="shared" ca="1" si="64"/>
        <v/>
      </c>
      <c r="D497" s="12" t="str">
        <f t="shared" ca="1" si="64"/>
        <v/>
      </c>
      <c r="E497" s="12" t="str">
        <f t="shared" ca="1" si="60"/>
        <v/>
      </c>
      <c r="F497" s="17"/>
      <c r="G497" s="13" t="str">
        <f t="shared" ca="1" si="61"/>
        <v/>
      </c>
      <c r="H497" s="13" t="str">
        <f t="shared" ca="1" si="62"/>
        <v/>
      </c>
      <c r="I497" s="17" t="str">
        <f ca="1">IF(AND($B497="",$C497=""),"",VLOOKUP($A497,Table1[],2,FALSE))</f>
        <v/>
      </c>
    </row>
    <row r="498" spans="1:9" ht="27" customHeight="1" x14ac:dyDescent="0.25">
      <c r="A498" s="12" t="str">
        <f t="shared" ca="1" si="58"/>
        <v/>
      </c>
      <c r="B498" s="12" t="str">
        <f t="shared" ca="1" si="59"/>
        <v/>
      </c>
      <c r="C498" s="12" t="str">
        <f t="shared" ca="1" si="64"/>
        <v/>
      </c>
      <c r="D498" s="12" t="str">
        <f t="shared" ca="1" si="64"/>
        <v/>
      </c>
      <c r="E498" s="12" t="str">
        <f t="shared" ca="1" si="60"/>
        <v/>
      </c>
      <c r="F498" s="17"/>
      <c r="G498" s="13" t="str">
        <f t="shared" ca="1" si="61"/>
        <v/>
      </c>
      <c r="H498" s="13" t="str">
        <f t="shared" ca="1" si="62"/>
        <v/>
      </c>
      <c r="I498" s="17" t="str">
        <f ca="1">IF(AND($B498="",$C498=""),"",VLOOKUP($A498,Table1[],2,FALSE))</f>
        <v/>
      </c>
    </row>
    <row r="499" spans="1:9" ht="27" customHeight="1" x14ac:dyDescent="0.25">
      <c r="A499" s="12" t="str">
        <f t="shared" ca="1" si="58"/>
        <v/>
      </c>
      <c r="B499" s="12" t="str">
        <f t="shared" ca="1" si="59"/>
        <v/>
      </c>
      <c r="C499" s="12" t="str">
        <f t="shared" ca="1" si="64"/>
        <v/>
      </c>
      <c r="D499" s="12" t="str">
        <f t="shared" ca="1" si="64"/>
        <v/>
      </c>
      <c r="E499" s="12" t="str">
        <f t="shared" ca="1" si="60"/>
        <v/>
      </c>
      <c r="F499" s="17"/>
      <c r="G499" s="13" t="str">
        <f t="shared" ca="1" si="61"/>
        <v/>
      </c>
      <c r="H499" s="13" t="str">
        <f t="shared" ca="1" si="62"/>
        <v/>
      </c>
      <c r="I499" s="17" t="str">
        <f ca="1">IF(AND($B499="",$C499=""),"",VLOOKUP($A499,Table1[],2,FALSE))</f>
        <v/>
      </c>
    </row>
    <row r="500" spans="1:9" ht="27" customHeight="1" x14ac:dyDescent="0.25">
      <c r="A500" s="12" t="str">
        <f t="shared" ca="1" si="58"/>
        <v/>
      </c>
      <c r="B500" s="12" t="str">
        <f t="shared" ca="1" si="59"/>
        <v/>
      </c>
      <c r="C500" s="12" t="str">
        <f t="shared" ca="1" si="64"/>
        <v/>
      </c>
      <c r="D500" s="12" t="str">
        <f t="shared" ca="1" si="64"/>
        <v/>
      </c>
      <c r="E500" s="12" t="str">
        <f t="shared" ca="1" si="60"/>
        <v/>
      </c>
      <c r="F500" s="17"/>
      <c r="G500" s="13" t="str">
        <f t="shared" ca="1" si="61"/>
        <v/>
      </c>
      <c r="H500" s="13" t="str">
        <f t="shared" ca="1" si="62"/>
        <v/>
      </c>
      <c r="I500" s="17" t="str">
        <f ca="1">IF(AND($B500="",$C500=""),"",VLOOKUP($A500,Table1[],2,FALSE))</f>
        <v/>
      </c>
    </row>
  </sheetData>
  <sortState ref="A2:I500">
    <sortCondition ref="I2:I500" customList="New Books,In Library Use Only"/>
    <sortCondition ref="H2:H500"/>
  </sortState>
  <phoneticPr fontId="0" type="noConversion"/>
  <pageMargins left="0.25" right="0.25" top="0.25" bottom="0.65" header="0.25" footer="0.25"/>
  <pageSetup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ort">
                <anchor moveWithCells="1" sizeWithCells="1">
                  <from>
                    <xdr:col>10</xdr:col>
                    <xdr:colOff>45720</xdr:colOff>
                    <xdr:row>1</xdr:row>
                    <xdr:rowOff>38100</xdr:rowOff>
                  </from>
                  <to>
                    <xdr:col>12</xdr:col>
                    <xdr:colOff>289560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21"/>
  <sheetViews>
    <sheetView workbookViewId="0"/>
  </sheetViews>
  <sheetFormatPr defaultRowHeight="13.2" x14ac:dyDescent="0.25"/>
  <cols>
    <col min="1" max="1" width="8.109375" bestFit="1" customWidth="1"/>
    <col min="2" max="2" width="19" customWidth="1"/>
    <col min="3" max="3" width="12.6640625" customWidth="1"/>
    <col min="6" max="6" width="19.5546875" bestFit="1" customWidth="1"/>
    <col min="7" max="7" width="10.109375" bestFit="1" customWidth="1"/>
  </cols>
  <sheetData>
    <row r="1" spans="2:7" ht="15.6" thickBot="1" x14ac:dyDescent="0.3">
      <c r="B1" s="5" t="s">
        <v>5</v>
      </c>
      <c r="C1" s="15" t="s">
        <v>16</v>
      </c>
      <c r="F1" s="7" t="s">
        <v>1</v>
      </c>
      <c r="G1" s="8" t="s">
        <v>17</v>
      </c>
    </row>
    <row r="2" spans="2:7" ht="13.8" thickBot="1" x14ac:dyDescent="0.3">
      <c r="F2" s="1" t="s">
        <v>18</v>
      </c>
      <c r="G2" s="2" t="s">
        <v>19</v>
      </c>
    </row>
    <row r="3" spans="2:7" ht="13.8" thickBot="1" x14ac:dyDescent="0.3">
      <c r="B3" s="21" t="s">
        <v>6</v>
      </c>
      <c r="C3" s="22"/>
      <c r="F3" s="1" t="s">
        <v>20</v>
      </c>
      <c r="G3" s="2" t="s">
        <v>21</v>
      </c>
    </row>
    <row r="4" spans="2:7" ht="53.4" thickBot="1" x14ac:dyDescent="0.3">
      <c r="B4" s="6" t="s">
        <v>7</v>
      </c>
      <c r="C4" s="16">
        <v>4</v>
      </c>
      <c r="F4" s="1" t="s">
        <v>22</v>
      </c>
      <c r="G4" s="2" t="s">
        <v>23</v>
      </c>
    </row>
    <row r="5" spans="2:7" x14ac:dyDescent="0.25">
      <c r="B5" s="1" t="s">
        <v>8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  <c r="F5" s="1" t="s">
        <v>24</v>
      </c>
      <c r="G5" s="2" t="s">
        <v>25</v>
      </c>
    </row>
    <row r="6" spans="2:7" x14ac:dyDescent="0.25">
      <c r="B6" s="1" t="s">
        <v>9</v>
      </c>
      <c r="C6" s="2">
        <f t="shared" ca="1" si="0"/>
        <v>3</v>
      </c>
      <c r="F6" s="1" t="s">
        <v>26</v>
      </c>
      <c r="G6" s="2" t="s">
        <v>27</v>
      </c>
    </row>
    <row r="7" spans="2:7" x14ac:dyDescent="0.25">
      <c r="B7" s="1" t="s">
        <v>10</v>
      </c>
      <c r="C7" s="2">
        <f t="shared" ca="1" si="0"/>
        <v>4</v>
      </c>
      <c r="F7" s="1" t="s">
        <v>28</v>
      </c>
      <c r="G7" s="2" t="s">
        <v>29</v>
      </c>
    </row>
    <row r="8" spans="2:7" x14ac:dyDescent="0.25">
      <c r="B8" s="1" t="s">
        <v>11</v>
      </c>
      <c r="C8" s="2">
        <f t="shared" ca="1" si="0"/>
        <v>6</v>
      </c>
      <c r="F8" s="1" t="s">
        <v>30</v>
      </c>
      <c r="G8" s="2" t="s">
        <v>31</v>
      </c>
    </row>
    <row r="9" spans="2:7" x14ac:dyDescent="0.25">
      <c r="B9" s="1" t="s">
        <v>12</v>
      </c>
      <c r="C9" s="2">
        <f ca="1">MATCH("*" &amp; SUBSTITUTE($B9,"Column Number ","") &amp; "*",
OFFSET(INDIRECT( ADDRESS( 1, 1,,, tabname ) &amp; ":" &amp; ADDRESS( 1, 10 )), Row_Offset, 0),0)</f>
        <v>1</v>
      </c>
      <c r="F9" s="1" t="s">
        <v>32</v>
      </c>
      <c r="G9" s="2" t="s">
        <v>33</v>
      </c>
    </row>
    <row r="10" spans="2:7" x14ac:dyDescent="0.25">
      <c r="B10" s="1" t="s">
        <v>13</v>
      </c>
      <c r="C10" s="2">
        <f t="shared" ca="1" si="0"/>
        <v>7</v>
      </c>
      <c r="F10" s="1" t="s">
        <v>34</v>
      </c>
      <c r="G10" s="2" t="s">
        <v>35</v>
      </c>
    </row>
    <row r="11" spans="2:7" x14ac:dyDescent="0.25">
      <c r="B11" s="1" t="s">
        <v>14</v>
      </c>
      <c r="C11" s="2">
        <f t="shared" ca="1" si="0"/>
        <v>5</v>
      </c>
      <c r="F11" s="1" t="s">
        <v>36</v>
      </c>
      <c r="G11" s="2" t="s">
        <v>37</v>
      </c>
    </row>
    <row r="12" spans="2:7" ht="13.8" thickBot="1" x14ac:dyDescent="0.3">
      <c r="B12" s="3" t="s">
        <v>15</v>
      </c>
      <c r="C12" s="4">
        <f t="shared" ca="1" si="0"/>
        <v>7</v>
      </c>
      <c r="F12" s="1" t="s">
        <v>38</v>
      </c>
      <c r="G12" s="2" t="s">
        <v>39</v>
      </c>
    </row>
    <row r="13" spans="2:7" x14ac:dyDescent="0.25">
      <c r="F13" s="1" t="s">
        <v>40</v>
      </c>
      <c r="G13" s="2" t="s">
        <v>25</v>
      </c>
    </row>
    <row r="14" spans="2:7" x14ac:dyDescent="0.25">
      <c r="F14" s="1" t="s">
        <v>41</v>
      </c>
      <c r="G14" s="2" t="s">
        <v>42</v>
      </c>
    </row>
    <row r="15" spans="2:7" x14ac:dyDescent="0.25">
      <c r="F15" s="1" t="s">
        <v>43</v>
      </c>
      <c r="G15" s="2" t="s">
        <v>44</v>
      </c>
    </row>
    <row r="16" spans="2:7" x14ac:dyDescent="0.25">
      <c r="F16" s="1" t="s">
        <v>45</v>
      </c>
      <c r="G16" s="2" t="s">
        <v>21</v>
      </c>
    </row>
    <row r="17" spans="6:7" x14ac:dyDescent="0.25">
      <c r="F17" s="1" t="s">
        <v>46</v>
      </c>
      <c r="G17" s="2" t="s">
        <v>29</v>
      </c>
    </row>
    <row r="18" spans="6:7" x14ac:dyDescent="0.25">
      <c r="F18" s="1" t="s">
        <v>47</v>
      </c>
      <c r="G18" s="2" t="s">
        <v>48</v>
      </c>
    </row>
    <row r="19" spans="6:7" x14ac:dyDescent="0.25">
      <c r="F19" s="1" t="s">
        <v>49</v>
      </c>
      <c r="G19" s="2" t="s">
        <v>50</v>
      </c>
    </row>
    <row r="20" spans="6:7" x14ac:dyDescent="0.25">
      <c r="F20" s="1" t="s">
        <v>51</v>
      </c>
      <c r="G20" s="2" t="s">
        <v>52</v>
      </c>
    </row>
    <row r="21" spans="6:7" ht="13.8" thickBot="1" x14ac:dyDescent="0.3">
      <c r="F21" s="3" t="s">
        <v>53</v>
      </c>
      <c r="G21" s="4" t="s">
        <v>54</v>
      </c>
    </row>
  </sheetData>
  <mergeCells count="1">
    <mergeCell ref="B3:C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0"/>
  <sheetViews>
    <sheetView tabSelected="1" zoomScaleNormal="100" workbookViewId="0">
      <selection activeCell="D4" sqref="D4"/>
    </sheetView>
  </sheetViews>
  <sheetFormatPr defaultRowHeight="13.2" x14ac:dyDescent="0.25"/>
  <cols>
    <col min="1" max="1" width="21.109375" style="19" bestFit="1" customWidth="1"/>
    <col min="2" max="2" width="8.88671875" style="19"/>
    <col min="3" max="3" width="16.88671875" style="19" bestFit="1" customWidth="1"/>
    <col min="4" max="4" width="10.5546875" style="19" customWidth="1"/>
    <col min="5" max="16384" width="8.88671875" style="19"/>
  </cols>
  <sheetData>
    <row r="1" spans="1:4" x14ac:dyDescent="0.25">
      <c r="A1" s="20" t="s">
        <v>89</v>
      </c>
      <c r="C1" s="20" t="s">
        <v>55</v>
      </c>
      <c r="D1" s="18" t="s">
        <v>90</v>
      </c>
    </row>
    <row r="2" spans="1:4" x14ac:dyDescent="0.25">
      <c r="A2" s="19" t="s">
        <v>57</v>
      </c>
      <c r="C2" s="18" t="s">
        <v>86</v>
      </c>
      <c r="D2" s="19">
        <v>1</v>
      </c>
    </row>
    <row r="3" spans="1:4" x14ac:dyDescent="0.25">
      <c r="A3" s="19" t="s">
        <v>58</v>
      </c>
      <c r="C3" s="18" t="str">
        <f>""</f>
        <v/>
      </c>
      <c r="D3" s="19">
        <v>2</v>
      </c>
    </row>
    <row r="4" spans="1:4" x14ac:dyDescent="0.25">
      <c r="A4" s="19" t="s">
        <v>59</v>
      </c>
      <c r="C4" s="18" t="s">
        <v>87</v>
      </c>
      <c r="D4" s="19">
        <v>3</v>
      </c>
    </row>
    <row r="5" spans="1:4" x14ac:dyDescent="0.25">
      <c r="A5" s="19" t="s">
        <v>60</v>
      </c>
    </row>
    <row r="6" spans="1:4" x14ac:dyDescent="0.25">
      <c r="A6" s="19" t="s">
        <v>26</v>
      </c>
    </row>
    <row r="7" spans="1:4" x14ac:dyDescent="0.25">
      <c r="A7" s="19" t="s">
        <v>61</v>
      </c>
    </row>
    <row r="8" spans="1:4" x14ac:dyDescent="0.25">
      <c r="A8" s="19" t="s">
        <v>62</v>
      </c>
    </row>
    <row r="9" spans="1:4" x14ac:dyDescent="0.25">
      <c r="A9" s="19" t="s">
        <v>28</v>
      </c>
    </row>
    <row r="10" spans="1:4" x14ac:dyDescent="0.25">
      <c r="A10" s="19" t="s">
        <v>24</v>
      </c>
    </row>
    <row r="11" spans="1:4" x14ac:dyDescent="0.25">
      <c r="A11" s="19" t="s">
        <v>20</v>
      </c>
    </row>
    <row r="12" spans="1:4" x14ac:dyDescent="0.25">
      <c r="A12" s="19" t="s">
        <v>63</v>
      </c>
    </row>
    <row r="13" spans="1:4" x14ac:dyDescent="0.25">
      <c r="A13" s="19" t="s">
        <v>64</v>
      </c>
    </row>
    <row r="14" spans="1:4" x14ac:dyDescent="0.25">
      <c r="A14" s="19" t="s">
        <v>83</v>
      </c>
    </row>
    <row r="15" spans="1:4" x14ac:dyDescent="0.25">
      <c r="A15" s="19" t="s">
        <v>65</v>
      </c>
    </row>
    <row r="16" spans="1:4" x14ac:dyDescent="0.25">
      <c r="A16" s="19" t="s">
        <v>66</v>
      </c>
    </row>
    <row r="17" spans="1:1" x14ac:dyDescent="0.25">
      <c r="A17" s="19" t="s">
        <v>67</v>
      </c>
    </row>
    <row r="18" spans="1:1" x14ac:dyDescent="0.25">
      <c r="A18" s="19" t="s">
        <v>68</v>
      </c>
    </row>
    <row r="19" spans="1:1" x14ac:dyDescent="0.25">
      <c r="A19" s="19" t="s">
        <v>69</v>
      </c>
    </row>
    <row r="20" spans="1:1" x14ac:dyDescent="0.25">
      <c r="A20" s="19" t="s">
        <v>18</v>
      </c>
    </row>
    <row r="21" spans="1:1" x14ac:dyDescent="0.25">
      <c r="A21" s="19" t="s">
        <v>70</v>
      </c>
    </row>
    <row r="22" spans="1:1" x14ac:dyDescent="0.25">
      <c r="A22" s="19" t="s">
        <v>71</v>
      </c>
    </row>
    <row r="23" spans="1:1" x14ac:dyDescent="0.25">
      <c r="A23" s="19" t="s">
        <v>72</v>
      </c>
    </row>
    <row r="24" spans="1:1" x14ac:dyDescent="0.25">
      <c r="A24" s="19" t="s">
        <v>73</v>
      </c>
    </row>
    <row r="25" spans="1:1" x14ac:dyDescent="0.25">
      <c r="A25" s="19" t="s">
        <v>84</v>
      </c>
    </row>
    <row r="26" spans="1:1" x14ac:dyDescent="0.25">
      <c r="A26" s="19" t="s">
        <v>74</v>
      </c>
    </row>
    <row r="27" spans="1:1" x14ac:dyDescent="0.25">
      <c r="A27" s="19" t="s">
        <v>75</v>
      </c>
    </row>
    <row r="28" spans="1:1" x14ac:dyDescent="0.25">
      <c r="A28" s="19" t="s">
        <v>76</v>
      </c>
    </row>
    <row r="29" spans="1:1" x14ac:dyDescent="0.25">
      <c r="A29" s="19" t="s">
        <v>85</v>
      </c>
    </row>
    <row r="30" spans="1:1" x14ac:dyDescent="0.25">
      <c r="A30" s="19" t="s">
        <v>77</v>
      </c>
    </row>
    <row r="31" spans="1:1" x14ac:dyDescent="0.25">
      <c r="A31" s="19" t="s">
        <v>78</v>
      </c>
    </row>
    <row r="32" spans="1:1" x14ac:dyDescent="0.25">
      <c r="A32" s="19" t="s">
        <v>30</v>
      </c>
    </row>
    <row r="33" spans="1:1" x14ac:dyDescent="0.25">
      <c r="A33" s="19" t="s">
        <v>32</v>
      </c>
    </row>
    <row r="34" spans="1:1" x14ac:dyDescent="0.25">
      <c r="A34" s="19" t="s">
        <v>36</v>
      </c>
    </row>
    <row r="35" spans="1:1" x14ac:dyDescent="0.25">
      <c r="A35" s="19" t="s">
        <v>38</v>
      </c>
    </row>
    <row r="36" spans="1:1" x14ac:dyDescent="0.25">
      <c r="A36" s="19" t="s">
        <v>40</v>
      </c>
    </row>
    <row r="37" spans="1:1" x14ac:dyDescent="0.25">
      <c r="A37" s="19" t="s">
        <v>41</v>
      </c>
    </row>
    <row r="38" spans="1:1" x14ac:dyDescent="0.25">
      <c r="A38" s="19" t="s">
        <v>43</v>
      </c>
    </row>
    <row r="39" spans="1:1" x14ac:dyDescent="0.25">
      <c r="A39" s="19" t="s">
        <v>34</v>
      </c>
    </row>
    <row r="40" spans="1:1" x14ac:dyDescent="0.25">
      <c r="A40" s="19" t="s">
        <v>45</v>
      </c>
    </row>
    <row r="41" spans="1:1" x14ac:dyDescent="0.25">
      <c r="A41" s="19" t="s">
        <v>46</v>
      </c>
    </row>
    <row r="42" spans="1:1" x14ac:dyDescent="0.25">
      <c r="A42" s="19" t="s">
        <v>47</v>
      </c>
    </row>
    <row r="43" spans="1:1" x14ac:dyDescent="0.25">
      <c r="A43" s="19" t="s">
        <v>49</v>
      </c>
    </row>
    <row r="44" spans="1:1" x14ac:dyDescent="0.25">
      <c r="A44" s="19" t="s">
        <v>51</v>
      </c>
    </row>
    <row r="45" spans="1:1" x14ac:dyDescent="0.25">
      <c r="A45" s="19" t="s">
        <v>53</v>
      </c>
    </row>
    <row r="46" spans="1:1" x14ac:dyDescent="0.25">
      <c r="A46" s="19" t="s">
        <v>79</v>
      </c>
    </row>
    <row r="47" spans="1:1" x14ac:dyDescent="0.25">
      <c r="A47" s="19" t="s">
        <v>82</v>
      </c>
    </row>
    <row r="48" spans="1:1" x14ac:dyDescent="0.25">
      <c r="A48" s="19" t="s">
        <v>80</v>
      </c>
    </row>
    <row r="49" spans="1:1" x14ac:dyDescent="0.25">
      <c r="A49" s="19" t="s">
        <v>81</v>
      </c>
    </row>
    <row r="50" spans="1:1" x14ac:dyDescent="0.25">
      <c r="A50" s="18"/>
    </row>
  </sheetData>
  <pageMargins left="0.7" right="0.7" top="0.75" bottom="0.75" header="0.3" footer="0.3"/>
  <pageSetup orientation="portrait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workbookViewId="0"/>
  </sheetViews>
  <sheetFormatPr defaultRowHeight="13.2" x14ac:dyDescent="0.25"/>
  <cols>
    <col min="1" max="1" width="19.77734375" bestFit="1" customWidth="1"/>
    <col min="2" max="2" width="11.88671875" bestFit="1" customWidth="1"/>
    <col min="3" max="3" width="16.88671875" bestFit="1" customWidth="1"/>
    <col min="4" max="4" width="23.77734375" bestFit="1" customWidth="1"/>
    <col min="5" max="5" width="40.109375" bestFit="1" customWidth="1"/>
    <col min="6" max="6" width="80.2187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SNO RTF daily report</vt:lpstr>
      <vt:lpstr>variables</vt:lpstr>
      <vt:lpstr>sortList</vt:lpstr>
      <vt:lpstr>link</vt:lpstr>
      <vt:lpstr>CName_to_Descriptor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loc_to_rank</vt:lpstr>
      <vt:lpstr>'SNO RTF daily report'!Print_Area</vt:lpstr>
      <vt:lpstr>'SNO 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Blake Kiltoff</cp:lastModifiedBy>
  <dcterms:created xsi:type="dcterms:W3CDTF">2011-03-31T02:09:26Z</dcterms:created>
  <dcterms:modified xsi:type="dcterms:W3CDTF">2014-08-18T18:07:54Z</dcterms:modified>
</cp:coreProperties>
</file>