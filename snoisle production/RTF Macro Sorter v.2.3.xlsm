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8184"/>
  </bookViews>
  <sheets>
    <sheet name="Index" sheetId="13" r:id="rId1"/>
    <sheet name="Sheet1" sheetId="41" r:id="rId2"/>
    <sheet name="Ranked Sections" sheetId="14" r:id="rId3"/>
  </sheets>
  <definedNames>
    <definedName name="_xlnm._FilterDatabase" localSheetId="0" hidden="1">Index!#REF!</definedName>
    <definedName name="_xlnm._FilterDatabase" localSheetId="2" hidden="1">'Ranked Sections'!#REF!</definedName>
    <definedName name="callNumMask">Index!$D$1:$D$168</definedName>
  </definedNames>
  <calcPr calcId="152511"/>
  <fileRecoveryPr autoRecover="0"/>
</workbook>
</file>

<file path=xl/calcChain.xml><?xml version="1.0" encoding="utf-8"?>
<calcChain xmlns="http://schemas.openxmlformats.org/spreadsheetml/2006/main">
  <c r="C39" i="13" l="1"/>
  <c r="D39" i="13" s="1"/>
  <c r="C43" i="13"/>
  <c r="D43" i="13" s="1"/>
  <c r="C168" i="13" l="1"/>
  <c r="D168" i="13" s="1"/>
  <c r="C159" i="13" l="1"/>
  <c r="D159" i="13" s="1"/>
  <c r="C167" i="13" l="1"/>
  <c r="D167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60" i="13"/>
  <c r="C161" i="13"/>
  <c r="C162" i="13"/>
  <c r="C163" i="13"/>
  <c r="C164" i="13"/>
  <c r="C165" i="13"/>
  <c r="C166" i="13"/>
  <c r="D48" i="13" l="1"/>
  <c r="D46" i="13"/>
  <c r="D45" i="13"/>
  <c r="D44" i="13"/>
  <c r="D42" i="13"/>
  <c r="D41" i="13"/>
  <c r="D40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60" i="13"/>
  <c r="D161" i="13"/>
  <c r="D162" i="13"/>
  <c r="D163" i="13"/>
  <c r="D164" i="13"/>
  <c r="D165" i="13"/>
  <c r="D166" i="13"/>
  <c r="D11" i="13" l="1"/>
  <c r="D47" i="13"/>
</calcChain>
</file>

<file path=xl/sharedStrings.xml><?xml version="1.0" encoding="utf-8"?>
<sst xmlns="http://schemas.openxmlformats.org/spreadsheetml/2006/main" count="1040" uniqueCount="317">
  <si>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</si>
  <si>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</si>
  <si>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</si>
  <si>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</si>
  <si>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</si>
  <si>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</si>
  <si>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</si>
  <si>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</si>
  <si>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</si>
  <si>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</si>
  <si>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</si>
  <si>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</si>
  <si>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</si>
  <si>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</si>
  <si>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</si>
  <si>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</si>
  <si>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</si>
  <si>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</si>
  <si>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</si>
  <si>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</si>
  <si>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</si>
  <si>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</si>
  <si>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</si>
  <si>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</si>
  <si>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</si>
  <si>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</si>
  <si>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</si>
  <si>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</si>
  <si>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</si>
  <si>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</si>
  <si>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</si>
  <si>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</si>
  <si>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</si>
  <si>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</si>
  <si>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</si>
  <si>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</si>
  <si>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</si>
  <si>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</si>
  <si>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</si>
  <si>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</si>
  <si>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</si>
  <si>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</si>
  <si>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</si>
  <si>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</si>
  <si>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</si>
  <si>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</si>
  <si>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</si>
  <si>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</si>
  <si>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</si>
  <si>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</si>
  <si>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</si>
  <si>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</si>
  <si>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</si>
  <si>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</si>
  <si>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</si>
  <si>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</si>
  <si>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</si>
  <si>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</si>
  <si>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</si>
  <si>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</si>
  <si>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</si>
  <si>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</si>
  <si>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</si>
  <si>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</si>
  <si>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</si>
  <si>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</si>
  <si>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</si>
  <si>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</si>
  <si>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</si>
  <si>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</si>
  <si>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</si>
  <si>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</si>
  <si>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</si>
  <si>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</si>
  <si>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</si>
  <si>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</si>
  <si>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</si>
  <si>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</si>
  <si>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</si>
  <si>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</si>
  <si>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</si>
  <si>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</si>
  <si>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</si>
  <si>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</si>
  <si>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</si>
  <si>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</si>
  <si>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</si>
  <si>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</si>
  <si>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</si>
  <si>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</si>
  <si>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</si>
  <si>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</si>
  <si>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</si>
  <si>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</si>
  <si>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</si>
  <si>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</si>
  <si>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</si>
  <si>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</si>
  <si>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</si>
  <si>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</si>
  <si>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</si>
  <si>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</si>
  <si>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</si>
  <si>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</si>
  <si>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</si>
  <si>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</si>
  <si>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</si>
  <si>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</si>
  <si>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</si>
  <si>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</si>
  <si>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</si>
  <si>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</si>
  <si>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</si>
  <si>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</si>
  <si>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</si>
  <si>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</si>
  <si>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</si>
  <si>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</si>
  <si>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</si>
  <si>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</si>
  <si>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</si>
  <si>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</si>
  <si>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</si>
  <si>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</si>
  <si>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</si>
  <si>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</si>
  <si>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</si>
  <si>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</si>
  <si>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</si>
  <si>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</si>
  <si>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</si>
  <si>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</si>
  <si>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</si>
  <si>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</si>
  <si>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</si>
  <si>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</si>
  <si>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</si>
  <si>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</si>
  <si>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</si>
  <si>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</si>
  <si>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</si>
  <si>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</si>
  <si>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</si>
  <si>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</si>
  <si>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</si>
  <si>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</si>
  <si>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</si>
  <si>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</si>
  <si>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</si>
  <si>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</si>
  <si>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</si>
  <si>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</si>
  <si>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</si>
  <si>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</si>
  <si>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</si>
  <si>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</si>
  <si>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</si>
  <si>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</si>
  <si>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</si>
  <si>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</si>
  <si>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</si>
  <si>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</si>
  <si>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</si>
  <si>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</si>
  <si>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</si>
  <si>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</si>
  <si>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</si>
  <si>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</si>
  <si>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</si>
  <si>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</si>
  <si>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</si>
  <si>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</si>
  <si>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</si>
  <si>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</si>
  <si>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</si>
  <si>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</si>
  <si>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</si>
  <si>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</si>
  <si>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</si>
  <si>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</si>
  <si>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</si>
  <si>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</si>
  <si>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</si>
  <si>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</si>
  <si>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</si>
  <si>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</si>
  <si>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</si>
  <si>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</si>
  <si>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</si>
  <si>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</si>
  <si>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</si>
  <si>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</si>
  <si>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</si>
  <si>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</si>
  <si>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</si>
  <si>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</si>
  <si>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</si>
  <si>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</si>
  <si>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</si>
  <si>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</si>
  <si>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</si>
  <si>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</si>
  <si>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</si>
  <si>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</si>
  <si>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</si>
  <si>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</si>
  <si>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</si>
  <si>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</si>
  <si>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</si>
  <si>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</si>
  <si>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</si>
  <si>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</si>
  <si>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</si>
  <si>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</si>
  <si>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</si>
  <si>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</si>
  <si>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</si>
  <si>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</si>
  <si>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</si>
  <si>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</si>
  <si>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</si>
  <si>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</si>
  <si>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</si>
  <si>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</si>
  <si>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</si>
  <si>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</si>
  <si>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</si>
  <si>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</si>
  <si>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</si>
  <si>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</si>
  <si>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</si>
  <si>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</si>
  <si>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</si>
  <si>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</si>
  <si>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</si>
  <si>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</si>
  <si>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</si>
  <si>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</si>
  <si>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</si>
  <si>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</si>
  <si>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</si>
  <si>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</si>
  <si>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</si>
  <si>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</si>
  <si>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</si>
  <si>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</si>
  <si>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</si>
  <si>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</si>
  <si>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</si>
  <si>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</si>
  <si>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</si>
  <si>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</si>
  <si>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</si>
  <si>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</si>
  <si>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</si>
  <si>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</si>
  <si>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</si>
  <si>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</si>
  <si>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</si>
  <si>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</si>
  <si>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</si>
  <si>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</si>
  <si>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</si>
  <si>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</si>
  <si>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</si>
  <si>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</si>
  <si>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</si>
  <si>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</si>
  <si>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</si>
  <si>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</si>
  <si>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</si>
  <si>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</si>
  <si>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</si>
  <si>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</si>
  <si>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</si>
  <si>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</si>
  <si>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</si>
  <si>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</si>
  <si>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</si>
  <si>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</si>
  <si>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</si>
  <si>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</si>
  <si>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</si>
  <si>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</si>
  <si>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</si>
  <si>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</si>
  <si>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</si>
  <si>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</si>
  <si>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</si>
  <si>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</si>
  <si>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</si>
  <si>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</si>
  <si>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</si>
  <si>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</si>
  <si>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</si>
  <si>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</si>
  <si>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</si>
  <si>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</si>
  <si>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</si>
  <si>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</si>
  <si>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</si>
  <si>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</si>
  <si>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</si>
  <si>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</si>
  <si>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</si>
  <si>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</si>
  <si>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</si>
  <si>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</si>
  <si>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</si>
  <si>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</si>
  <si>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</si>
  <si>
    <t>In Library Use Only</t>
  </si>
  <si>
    <t>Valid Shelf Locations</t>
  </si>
  <si>
    <t>{LITTLER},{ROSE},{}</t>
  </si>
  <si>
    <t>Easy Readers Fiction</t>
  </si>
  <si>
    <t>Easy Readers NonFiction</t>
  </si>
  <si>
    <t>Bad RTF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</si>
</sst>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  <font>
      <sz val="10"/>
      <color theme="1"/>
      <name val="Arial"/>
      <family val="2"/>
    </font>
    <font>
      <sz val="14"/>
      <name val="Arial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6" fillId="0" borderId="0"/>
  </cellStyleXfs>
  <cellXfs count="21">
    <xf numFmtId="0" fontId="0" fillId="0" borderId="0" xfId="0"/>
    <xf numFmtId="0" fontId="4" fillId="0" borderId="0" xfId="2" applyFont="1" applyFill="1" applyBorder="1"/>
    <xf numFmtId="0" fontId="5" fillId="0" borderId="0" xfId="0" applyFont="1" applyAlignment="1">
      <alignment wrapText="1"/>
    </xf>
    <xf numFmtId="0" fontId="4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3" fillId="0" borderId="0" xfId="2" applyFont="1" applyFill="1" applyBorder="1"/>
    <xf numFmtId="0" fontId="3" fillId="0" borderId="0" xfId="2" applyFont="1" applyFill="1" applyBorder="1" applyAlignment="1">
      <alignment horizontal="left" indent="1"/>
    </xf>
    <xf numFmtId="0" fontId="4" fillId="0" borderId="0" xfId="2" applyFont="1" applyFill="1"/>
    <xf numFmtId="0" fontId="4" fillId="0" borderId="0" xfId="2" applyFont="1" applyFill="1" applyAlignment="1">
      <alignment wrapText="1"/>
    </xf>
    <xf numFmtId="0" fontId="4" fillId="0" borderId="0" xfId="2" applyFont="1" applyFill="1" applyAlignment="1">
      <alignment horizontal="left" indent="1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Protection="1">
      <protection locked="0"/>
    </xf>
    <xf numFmtId="0" fontId="5" fillId="0" borderId="0" xfId="0" applyFont="1" applyProtection="1"/>
    <xf numFmtId="0" fontId="0" fillId="0" borderId="0" xfId="0" applyProtection="1"/>
    <xf numFmtId="0" fontId="7" fillId="0" borderId="0" xfId="2" applyFont="1" applyFill="1" applyAlignment="1">
      <alignment wrapText="1"/>
    </xf>
    <xf numFmtId="0" fontId="7" fillId="0" borderId="0" xfId="2" applyFont="1" applyFill="1" applyAlignment="1">
      <alignment horizontal="left" indent="1"/>
    </xf>
    <xf numFmtId="0" fontId="6" fillId="0" borderId="0" xfId="0" applyFont="1" applyFill="1" applyProtection="1"/>
    <xf numFmtId="0" fontId="8" fillId="0" borderId="1" xfId="0" applyFont="1" applyFill="1" applyBorder="1"/>
    <xf numFmtId="0" fontId="8" fillId="0" borderId="2" xfId="0" applyFont="1" applyFill="1" applyBorder="1"/>
    <xf numFmtId="0" fontId="9" fillId="0" borderId="0" xfId="0" applyFont="1" applyProtection="1"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7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IndexTbl" displayName="IndexTbl" ref="A1:H168" totalsRowShown="0" headerRowDxfId="16" dataDxfId="15" headerRowCellStyle="Normal 3" dataCellStyle="Normal 3">
  <tableColumns count="8">
    <tableColumn id="3" name="Description" dataDxfId="14" dataCellStyle="Normal 3"/>
    <tableColumn id="4" name="Collection Name" dataDxfId="13" dataCellStyle="Normal 3"/>
    <tableColumn id="5" name="Dewey Number" dataDxfId="12" dataCellStyle="Normal 3">
      <calculatedColumnFormula>ISNUMBER(F2)</calculatedColumnFormula>
    </tableColumn>
    <tableColumn id="6" name="Call Number Mask" dataDxfId="11" dataCellStyle="Normal 3">
      <calculatedColumnFormula>TRIM(E2&amp;IF(NOT(C2)," "&amp;F2,""))</calculatedColumnFormula>
    </tableColumn>
    <tableColumn id="7" name="Prefix FIELD 1" dataDxfId="10" dataCellStyle="Normal 3"/>
    <tableColumn id="8" name="Class FIELD 2" dataDxfId="9" dataCellStyle="Normal 3"/>
    <tableColumn id="9" name="Cutter [{Subject},{Author},{Other}]" dataDxfId="8" dataCellStyle="Normal 3"/>
    <tableColumn id="2" name="Section Description" dataDxfId="7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8" totalsRowShown="0" headerRowDxfId="6" dataDxfId="5">
  <tableColumns count="2">
    <tableColumn id="1" name="Section Description" dataDxfId="4"/>
    <tableColumn id="2" name="Shelf 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4" totalsRowShown="0" headerRowDxfId="2" dataDxfId="1">
  <autoFilter ref="I1:I4"/>
  <tableColumns count="1">
    <tableColumn id="1" name="Valid Shelf 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6"/>
  <sheetViews>
    <sheetView tabSelected="1" topLeftCell="A9" zoomScale="85" zoomScaleNormal="85" workbookViewId="0">
      <selection activeCell="A34" sqref="A34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304</v>
      </c>
      <c r="B1" s="11" t="s">
        <v>302</v>
      </c>
      <c r="C1" s="11" t="s">
        <v>307</v>
      </c>
      <c r="D1" s="11" t="s">
        <v>306</v>
      </c>
      <c r="E1" s="11" t="s">
        <v>63</v>
      </c>
      <c r="F1" s="11" t="s">
        <v>64</v>
      </c>
      <c r="G1" s="11" t="s">
        <v>297</v>
      </c>
      <c r="H1" s="2" t="s">
        <v>303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280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282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291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277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277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283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279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279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279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279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281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274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276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285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295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277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296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292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293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294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290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286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287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277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275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286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313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270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271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7" si="2">ISNUMBER(F34)</f>
        <v>0</v>
      </c>
      <c r="D34" s="9" t="str">
        <f t="shared" ref="D34:D67" si="3">TRIM(E34&amp;IF(NOT(C34)," "&amp;F34,""))</f>
        <v>J CD BIO</v>
      </c>
      <c r="E34" s="10" t="s">
        <v>104</v>
      </c>
      <c r="F34" s="10" t="s">
        <v>70</v>
      </c>
      <c r="G34" s="10" t="s">
        <v>272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273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278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278</v>
      </c>
      <c r="H37" s="1" t="s">
        <v>28</v>
      </c>
    </row>
    <row r="38" spans="1:8" ht="19.95" customHeight="1" x14ac:dyDescent="0.35">
      <c r="A38" s="9" t="s">
        <v>299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15" t="s">
        <v>314</v>
      </c>
      <c r="B39" s="15" t="s">
        <v>0</v>
      </c>
      <c r="C39" s="15" t="b">
        <f>ISNUMBER(F39)</f>
        <v>0</v>
      </c>
      <c r="D39" s="15" t="str">
        <f>TRIM(E39&amp;IF(NOT(C39)," "&amp;F39,""))</f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260</v>
      </c>
      <c r="B40" s="9" t="s">
        <v>30</v>
      </c>
      <c r="C40" s="9" t="b">
        <f t="shared" si="2"/>
        <v>0</v>
      </c>
      <c r="D40" s="9" t="str">
        <f t="shared" si="3"/>
        <v>E</v>
      </c>
      <c r="E40" s="10" t="s">
        <v>65</v>
      </c>
      <c r="F40" s="10"/>
      <c r="G40" s="10" t="s">
        <v>261</v>
      </c>
      <c r="H40" s="8" t="s">
        <v>30</v>
      </c>
    </row>
    <row r="41" spans="1:8" ht="19.95" customHeight="1" x14ac:dyDescent="0.35">
      <c r="A41" s="9" t="s">
        <v>66</v>
      </c>
      <c r="B41" s="9" t="s">
        <v>30</v>
      </c>
      <c r="C41" s="9" t="b">
        <f t="shared" si="2"/>
        <v>0</v>
      </c>
      <c r="D41" s="9" t="str">
        <f t="shared" si="3"/>
        <v>E BOARD</v>
      </c>
      <c r="E41" s="10" t="s">
        <v>65</v>
      </c>
      <c r="F41" s="10" t="s">
        <v>67</v>
      </c>
      <c r="G41" s="10" t="s">
        <v>262</v>
      </c>
      <c r="H41" s="8" t="s">
        <v>30</v>
      </c>
    </row>
    <row r="42" spans="1:8" ht="19.95" customHeight="1" x14ac:dyDescent="0.35">
      <c r="A42" s="9" t="s">
        <v>300</v>
      </c>
      <c r="B42" s="9" t="s">
        <v>29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301</v>
      </c>
      <c r="H42" s="8" t="s">
        <v>31</v>
      </c>
    </row>
    <row r="43" spans="1:8" ht="19.95" customHeight="1" x14ac:dyDescent="0.35">
      <c r="A43" s="15" t="s">
        <v>315</v>
      </c>
      <c r="B43" s="15" t="s">
        <v>0</v>
      </c>
      <c r="C43" s="15" t="b">
        <f>ISNUMBER(F43)</f>
        <v>1</v>
      </c>
      <c r="D43" s="15" t="str">
        <f>TRIM(E43&amp;IF(NOT(C43)," "&amp;F43,""))</f>
        <v>E</v>
      </c>
      <c r="E43" s="10" t="s">
        <v>65</v>
      </c>
      <c r="F43" s="10">
        <v>999.99</v>
      </c>
      <c r="G43" s="16"/>
      <c r="H43" s="8" t="s">
        <v>31</v>
      </c>
    </row>
    <row r="44" spans="1:8" ht="19.95" customHeight="1" x14ac:dyDescent="0.35">
      <c r="A44" s="9" t="s">
        <v>47</v>
      </c>
      <c r="B44" s="9" t="s">
        <v>47</v>
      </c>
      <c r="C44" s="9" t="b">
        <f t="shared" si="2"/>
        <v>1</v>
      </c>
      <c r="D44" s="9" t="str">
        <f t="shared" si="3"/>
        <v>E</v>
      </c>
      <c r="E44" s="10" t="s">
        <v>65</v>
      </c>
      <c r="F44" s="10">
        <v>999.99</v>
      </c>
      <c r="G44" s="10" t="s">
        <v>263</v>
      </c>
      <c r="H44" s="8" t="s">
        <v>31</v>
      </c>
    </row>
    <row r="45" spans="1:8" ht="19.95" customHeight="1" x14ac:dyDescent="0.35">
      <c r="A45" s="9" t="s">
        <v>68</v>
      </c>
      <c r="B45" s="9" t="s">
        <v>47</v>
      </c>
      <c r="C45" s="9" t="b">
        <f t="shared" si="2"/>
        <v>0</v>
      </c>
      <c r="D45" s="9" t="str">
        <f t="shared" si="3"/>
        <v>E BIO</v>
      </c>
      <c r="E45" s="10" t="s">
        <v>69</v>
      </c>
      <c r="F45" s="10" t="s">
        <v>70</v>
      </c>
      <c r="G45" s="10" t="s">
        <v>264</v>
      </c>
      <c r="H45" s="8" t="s">
        <v>31</v>
      </c>
    </row>
    <row r="46" spans="1:8" ht="19.95" customHeight="1" x14ac:dyDescent="0.35">
      <c r="A46" s="9" t="s">
        <v>71</v>
      </c>
      <c r="B46" s="9" t="s">
        <v>32</v>
      </c>
      <c r="C46" s="9" t="b">
        <f t="shared" si="2"/>
        <v>0</v>
      </c>
      <c r="D46" s="9" t="str">
        <f t="shared" si="3"/>
        <v>E CD FIC</v>
      </c>
      <c r="E46" s="10" t="s">
        <v>72</v>
      </c>
      <c r="F46" s="10" t="s">
        <v>73</v>
      </c>
      <c r="G46" s="10" t="s">
        <v>265</v>
      </c>
      <c r="H46" s="8" t="s">
        <v>32</v>
      </c>
    </row>
    <row r="47" spans="1:8" ht="19.95" customHeight="1" x14ac:dyDescent="0.35">
      <c r="A47" s="9" t="s">
        <v>74</v>
      </c>
      <c r="B47" s="9" t="s">
        <v>32</v>
      </c>
      <c r="C47" s="9" t="b">
        <f t="shared" si="2"/>
        <v>1</v>
      </c>
      <c r="D47" s="9" t="str">
        <f t="shared" si="3"/>
        <v>E CD</v>
      </c>
      <c r="E47" s="10" t="s">
        <v>72</v>
      </c>
      <c r="F47" s="10">
        <v>999.99</v>
      </c>
      <c r="G47" s="10" t="s">
        <v>266</v>
      </c>
      <c r="H47" s="8" t="s">
        <v>32</v>
      </c>
    </row>
    <row r="48" spans="1:8" ht="19.95" customHeight="1" x14ac:dyDescent="0.35">
      <c r="A48" s="9" t="s">
        <v>75</v>
      </c>
      <c r="B48" s="9" t="s">
        <v>32</v>
      </c>
      <c r="C48" s="9" t="b">
        <f t="shared" si="2"/>
        <v>0</v>
      </c>
      <c r="D48" s="9" t="str">
        <f t="shared" si="3"/>
        <v>E CD BIO</v>
      </c>
      <c r="E48" s="10" t="s">
        <v>72</v>
      </c>
      <c r="F48" s="10" t="s">
        <v>70</v>
      </c>
      <c r="G48" s="10" t="s">
        <v>267</v>
      </c>
      <c r="H48" s="8" t="s">
        <v>32</v>
      </c>
    </row>
    <row r="49" spans="1:8" ht="19.95" customHeight="1" x14ac:dyDescent="0.35">
      <c r="A49" s="3" t="s">
        <v>80</v>
      </c>
      <c r="B49" s="3" t="s">
        <v>33</v>
      </c>
      <c r="C49" s="3" t="b">
        <f t="shared" si="2"/>
        <v>0</v>
      </c>
      <c r="D49" s="3" t="str">
        <f t="shared" si="3"/>
        <v>E INTL-CHI</v>
      </c>
      <c r="E49" s="4" t="s">
        <v>81</v>
      </c>
      <c r="F49" s="4"/>
      <c r="G49" s="4" t="s">
        <v>268</v>
      </c>
      <c r="H49" s="1" t="s">
        <v>33</v>
      </c>
    </row>
    <row r="50" spans="1:8" ht="19.95" customHeight="1" x14ac:dyDescent="0.35">
      <c r="A50" s="3" t="s">
        <v>90</v>
      </c>
      <c r="B50" s="3" t="s">
        <v>33</v>
      </c>
      <c r="C50" s="3" t="b">
        <f t="shared" si="2"/>
        <v>1</v>
      </c>
      <c r="D50" s="3" t="str">
        <f t="shared" si="3"/>
        <v>E INTL-CHI</v>
      </c>
      <c r="E50" s="4" t="s">
        <v>91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120</v>
      </c>
      <c r="B51" s="3" t="s">
        <v>33</v>
      </c>
      <c r="C51" s="3" t="b">
        <f t="shared" si="2"/>
        <v>0</v>
      </c>
      <c r="D51" s="3" t="str">
        <f t="shared" si="3"/>
        <v>J INTL-CHI</v>
      </c>
      <c r="E51" s="4" t="s">
        <v>121</v>
      </c>
      <c r="F51" s="4"/>
      <c r="G51" s="4" t="s">
        <v>269</v>
      </c>
      <c r="H51" s="1" t="s">
        <v>33</v>
      </c>
    </row>
    <row r="52" spans="1:8" ht="19.95" customHeight="1" x14ac:dyDescent="0.35">
      <c r="A52" s="3" t="s">
        <v>130</v>
      </c>
      <c r="B52" s="3" t="s">
        <v>33</v>
      </c>
      <c r="C52" s="3" t="b">
        <f t="shared" si="2"/>
        <v>1</v>
      </c>
      <c r="D52" s="3" t="str">
        <f t="shared" si="3"/>
        <v>J INTL-CHI</v>
      </c>
      <c r="E52" s="4" t="s">
        <v>121</v>
      </c>
      <c r="F52" s="4">
        <v>999.99</v>
      </c>
      <c r="G52" s="4" t="s">
        <v>263</v>
      </c>
      <c r="H52" s="1" t="s">
        <v>33</v>
      </c>
    </row>
    <row r="53" spans="1:8" ht="19.95" customHeight="1" x14ac:dyDescent="0.35">
      <c r="A53" s="3" t="s">
        <v>136</v>
      </c>
      <c r="B53" s="3" t="s">
        <v>33</v>
      </c>
      <c r="C53" s="3" t="b">
        <f t="shared" si="2"/>
        <v>0</v>
      </c>
      <c r="D53" s="3" t="str">
        <f t="shared" si="3"/>
        <v>J INTL-CHI BIO</v>
      </c>
      <c r="E53" s="4" t="s">
        <v>121</v>
      </c>
      <c r="F53" s="4" t="s">
        <v>70</v>
      </c>
      <c r="G53" s="4" t="s">
        <v>277</v>
      </c>
      <c r="H53" s="1" t="s">
        <v>33</v>
      </c>
    </row>
    <row r="54" spans="1:8" ht="19.95" customHeight="1" x14ac:dyDescent="0.35">
      <c r="A54" s="3" t="s">
        <v>197</v>
      </c>
      <c r="B54" s="3" t="s">
        <v>33</v>
      </c>
      <c r="C54" s="3" t="b">
        <f t="shared" si="2"/>
        <v>0</v>
      </c>
      <c r="D54" s="3" t="str">
        <f t="shared" si="3"/>
        <v>INTL-CHI FIC</v>
      </c>
      <c r="E54" s="4" t="s">
        <v>198</v>
      </c>
      <c r="F54" s="4" t="s">
        <v>194</v>
      </c>
      <c r="G54" s="4" t="s">
        <v>279</v>
      </c>
      <c r="H54" s="1" t="s">
        <v>33</v>
      </c>
    </row>
    <row r="55" spans="1:8" ht="19.95" customHeight="1" x14ac:dyDescent="0.35">
      <c r="A55" s="3" t="s">
        <v>207</v>
      </c>
      <c r="B55" s="3" t="s">
        <v>33</v>
      </c>
      <c r="C55" s="3" t="b">
        <f t="shared" si="2"/>
        <v>1</v>
      </c>
      <c r="D55" s="3" t="str">
        <f t="shared" si="3"/>
        <v>INTL-CHI</v>
      </c>
      <c r="E55" s="4" t="s">
        <v>198</v>
      </c>
      <c r="F55" s="4">
        <v>999.99</v>
      </c>
      <c r="G55" s="4" t="s">
        <v>280</v>
      </c>
      <c r="H55" s="1" t="s">
        <v>33</v>
      </c>
    </row>
    <row r="56" spans="1:8" ht="19.95" customHeight="1" x14ac:dyDescent="0.35">
      <c r="A56" s="3" t="s">
        <v>213</v>
      </c>
      <c r="B56" s="3" t="s">
        <v>33</v>
      </c>
      <c r="C56" s="3" t="b">
        <f t="shared" si="2"/>
        <v>0</v>
      </c>
      <c r="D56" s="3" t="str">
        <f t="shared" si="3"/>
        <v>INTL-CHI BIO</v>
      </c>
      <c r="E56" s="4" t="s">
        <v>198</v>
      </c>
      <c r="F56" s="4" t="s">
        <v>70</v>
      </c>
      <c r="G56" s="4" t="s">
        <v>277</v>
      </c>
      <c r="H56" s="1" t="s">
        <v>33</v>
      </c>
    </row>
    <row r="57" spans="1:8" ht="19.95" customHeight="1" x14ac:dyDescent="0.35">
      <c r="A57" s="3" t="s">
        <v>233</v>
      </c>
      <c r="B57" s="3" t="s">
        <v>33</v>
      </c>
      <c r="C57" s="3" t="b">
        <f t="shared" si="2"/>
        <v>0</v>
      </c>
      <c r="D57" s="3" t="str">
        <f t="shared" si="3"/>
        <v>TEEN INTL-CHI</v>
      </c>
      <c r="E57" s="4" t="s">
        <v>234</v>
      </c>
      <c r="F57" s="4"/>
      <c r="G57" s="4" t="s">
        <v>290</v>
      </c>
      <c r="H57" s="1" t="s">
        <v>33</v>
      </c>
    </row>
    <row r="58" spans="1:8" ht="19.95" customHeight="1" x14ac:dyDescent="0.35">
      <c r="A58" s="3" t="s">
        <v>243</v>
      </c>
      <c r="B58" s="3" t="s">
        <v>33</v>
      </c>
      <c r="C58" s="3" t="b">
        <f t="shared" si="2"/>
        <v>1</v>
      </c>
      <c r="D58" s="3" t="str">
        <f t="shared" si="3"/>
        <v>TEEN INTL-CHI</v>
      </c>
      <c r="E58" s="4" t="s">
        <v>234</v>
      </c>
      <c r="F58" s="4">
        <v>999.99</v>
      </c>
      <c r="G58" s="4" t="s">
        <v>291</v>
      </c>
      <c r="H58" s="1" t="s">
        <v>33</v>
      </c>
    </row>
    <row r="59" spans="1:8" ht="19.95" customHeight="1" x14ac:dyDescent="0.35">
      <c r="A59" s="3" t="s">
        <v>250</v>
      </c>
      <c r="B59" s="3" t="s">
        <v>33</v>
      </c>
      <c r="C59" s="3" t="b">
        <f t="shared" si="2"/>
        <v>0</v>
      </c>
      <c r="D59" s="3" t="str">
        <f t="shared" si="3"/>
        <v>TEEN INTL-CHI BIO</v>
      </c>
      <c r="E59" s="4" t="s">
        <v>234</v>
      </c>
      <c r="F59" s="4" t="s">
        <v>70</v>
      </c>
      <c r="G59" s="4" t="s">
        <v>277</v>
      </c>
      <c r="H59" s="1" t="s">
        <v>33</v>
      </c>
    </row>
    <row r="60" spans="1:8" ht="19.95" customHeight="1" x14ac:dyDescent="0.35">
      <c r="A60" s="3" t="s">
        <v>76</v>
      </c>
      <c r="B60" s="3" t="s">
        <v>34</v>
      </c>
      <c r="C60" s="3" t="b">
        <f t="shared" si="2"/>
        <v>0</v>
      </c>
      <c r="D60" s="3" t="str">
        <f t="shared" si="3"/>
        <v>E INTL-KOR</v>
      </c>
      <c r="E60" s="4" t="s">
        <v>77</v>
      </c>
      <c r="F60" s="4"/>
      <c r="G60" s="4" t="s">
        <v>268</v>
      </c>
      <c r="H60" s="1" t="s">
        <v>34</v>
      </c>
    </row>
    <row r="61" spans="1:8" ht="19.95" customHeight="1" x14ac:dyDescent="0.35">
      <c r="A61" s="3" t="s">
        <v>88</v>
      </c>
      <c r="B61" s="3" t="s">
        <v>34</v>
      </c>
      <c r="C61" s="3" t="b">
        <f t="shared" si="2"/>
        <v>1</v>
      </c>
      <c r="D61" s="3" t="str">
        <f t="shared" si="3"/>
        <v>E INTL-KOR</v>
      </c>
      <c r="E61" s="4" t="s">
        <v>77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116</v>
      </c>
      <c r="B62" s="3" t="s">
        <v>34</v>
      </c>
      <c r="C62" s="3" t="b">
        <f t="shared" si="2"/>
        <v>0</v>
      </c>
      <c r="D62" s="3" t="str">
        <f t="shared" si="3"/>
        <v>J INTL-KOR</v>
      </c>
      <c r="E62" s="4" t="s">
        <v>117</v>
      </c>
      <c r="F62" s="4"/>
      <c r="G62" s="4" t="s">
        <v>269</v>
      </c>
      <c r="H62" s="1" t="s">
        <v>34</v>
      </c>
    </row>
    <row r="63" spans="1:8" ht="19.95" customHeight="1" x14ac:dyDescent="0.35">
      <c r="A63" s="3" t="s">
        <v>128</v>
      </c>
      <c r="B63" s="3" t="s">
        <v>34</v>
      </c>
      <c r="C63" s="3" t="b">
        <f t="shared" si="2"/>
        <v>1</v>
      </c>
      <c r="D63" s="3" t="str">
        <f t="shared" si="3"/>
        <v>J INTL-KOR</v>
      </c>
      <c r="E63" s="4" t="s">
        <v>117</v>
      </c>
      <c r="F63" s="4">
        <v>999.99</v>
      </c>
      <c r="G63" s="4" t="s">
        <v>263</v>
      </c>
      <c r="H63" s="1" t="s">
        <v>34</v>
      </c>
    </row>
    <row r="64" spans="1:8" ht="19.95" customHeight="1" x14ac:dyDescent="0.35">
      <c r="A64" s="3" t="s">
        <v>134</v>
      </c>
      <c r="B64" s="3" t="s">
        <v>34</v>
      </c>
      <c r="C64" s="3" t="b">
        <f t="shared" si="2"/>
        <v>0</v>
      </c>
      <c r="D64" s="3" t="str">
        <f t="shared" si="3"/>
        <v>J INTL-KOR BIO</v>
      </c>
      <c r="E64" s="4" t="s">
        <v>117</v>
      </c>
      <c r="F64" s="4" t="s">
        <v>70</v>
      </c>
      <c r="G64" s="4" t="s">
        <v>277</v>
      </c>
      <c r="H64" s="1" t="s">
        <v>34</v>
      </c>
    </row>
    <row r="65" spans="1:8" ht="19.95" customHeight="1" x14ac:dyDescent="0.35">
      <c r="A65" s="3" t="s">
        <v>192</v>
      </c>
      <c r="B65" s="3" t="s">
        <v>34</v>
      </c>
      <c r="C65" s="3" t="b">
        <f t="shared" si="2"/>
        <v>0</v>
      </c>
      <c r="D65" s="3" t="str">
        <f t="shared" si="3"/>
        <v>INTL-KOR FIC</v>
      </c>
      <c r="E65" s="4" t="s">
        <v>193</v>
      </c>
      <c r="F65" s="4" t="s">
        <v>194</v>
      </c>
      <c r="G65" s="4" t="s">
        <v>279</v>
      </c>
      <c r="H65" s="1" t="s">
        <v>34</v>
      </c>
    </row>
    <row r="66" spans="1:8" ht="19.95" customHeight="1" x14ac:dyDescent="0.35">
      <c r="A66" s="3" t="s">
        <v>205</v>
      </c>
      <c r="B66" s="3" t="s">
        <v>34</v>
      </c>
      <c r="C66" s="3" t="b">
        <f t="shared" si="2"/>
        <v>1</v>
      </c>
      <c r="D66" s="3" t="str">
        <f t="shared" si="3"/>
        <v>INTL-KOR</v>
      </c>
      <c r="E66" s="4" t="s">
        <v>193</v>
      </c>
      <c r="F66" s="4">
        <v>999.99</v>
      </c>
      <c r="G66" s="4" t="s">
        <v>280</v>
      </c>
      <c r="H66" s="1" t="s">
        <v>34</v>
      </c>
    </row>
    <row r="67" spans="1:8" ht="19.95" customHeight="1" x14ac:dyDescent="0.35">
      <c r="A67" s="3" t="s">
        <v>211</v>
      </c>
      <c r="B67" s="3" t="s">
        <v>34</v>
      </c>
      <c r="C67" s="3" t="b">
        <f t="shared" si="2"/>
        <v>0</v>
      </c>
      <c r="D67" s="3" t="str">
        <f t="shared" si="3"/>
        <v>INTL-KOR BIO</v>
      </c>
      <c r="E67" s="4" t="s">
        <v>193</v>
      </c>
      <c r="F67" s="4" t="s">
        <v>70</v>
      </c>
      <c r="G67" s="4" t="s">
        <v>277</v>
      </c>
      <c r="H67" s="1" t="s">
        <v>34</v>
      </c>
    </row>
    <row r="68" spans="1:8" ht="19.95" customHeight="1" x14ac:dyDescent="0.35">
      <c r="A68" s="3" t="s">
        <v>229</v>
      </c>
      <c r="B68" s="3" t="s">
        <v>34</v>
      </c>
      <c r="C68" s="3" t="b">
        <f t="shared" ref="C68:C99" si="4">ISNUMBER(F68)</f>
        <v>0</v>
      </c>
      <c r="D68" s="3" t="str">
        <f t="shared" ref="D68:D99" si="5">TRIM(E68&amp;IF(NOT(C68)," "&amp;F68,""))</f>
        <v>TEEN INTL-KOR</v>
      </c>
      <c r="E68" s="4" t="s">
        <v>230</v>
      </c>
      <c r="F68" s="4"/>
      <c r="G68" s="4" t="s">
        <v>290</v>
      </c>
      <c r="H68" s="1" t="s">
        <v>34</v>
      </c>
    </row>
    <row r="69" spans="1:8" ht="19.95" customHeight="1" x14ac:dyDescent="0.35">
      <c r="A69" s="3" t="s">
        <v>241</v>
      </c>
      <c r="B69" s="3" t="s">
        <v>34</v>
      </c>
      <c r="C69" s="3" t="b">
        <f t="shared" si="4"/>
        <v>1</v>
      </c>
      <c r="D69" s="3" t="str">
        <f t="shared" si="5"/>
        <v>TEEN INTL-KOR</v>
      </c>
      <c r="E69" s="4" t="s">
        <v>230</v>
      </c>
      <c r="F69" s="4">
        <v>999.99</v>
      </c>
      <c r="G69" s="4" t="s">
        <v>291</v>
      </c>
      <c r="H69" s="1" t="s">
        <v>34</v>
      </c>
    </row>
    <row r="70" spans="1:8" ht="19.95" customHeight="1" x14ac:dyDescent="0.35">
      <c r="A70" s="3" t="s">
        <v>247</v>
      </c>
      <c r="B70" s="3" t="s">
        <v>34</v>
      </c>
      <c r="C70" s="3" t="b">
        <f t="shared" si="4"/>
        <v>0</v>
      </c>
      <c r="D70" s="3" t="str">
        <f t="shared" si="5"/>
        <v>TEEN INTL-KOR BIO</v>
      </c>
      <c r="E70" s="4" t="s">
        <v>248</v>
      </c>
      <c r="F70" s="4" t="s">
        <v>70</v>
      </c>
      <c r="G70" s="4" t="s">
        <v>277</v>
      </c>
      <c r="H70" s="1" t="s">
        <v>34</v>
      </c>
    </row>
    <row r="71" spans="1:8" ht="19.95" customHeight="1" x14ac:dyDescent="0.35">
      <c r="A71" s="3" t="s">
        <v>78</v>
      </c>
      <c r="B71" s="3" t="s">
        <v>35</v>
      </c>
      <c r="C71" s="3" t="b">
        <f t="shared" si="4"/>
        <v>0</v>
      </c>
      <c r="D71" s="3" t="str">
        <f t="shared" si="5"/>
        <v>E INTL-JPN</v>
      </c>
      <c r="E71" s="4" t="s">
        <v>79</v>
      </c>
      <c r="F71" s="4"/>
      <c r="G71" s="4" t="s">
        <v>268</v>
      </c>
      <c r="H71" s="1" t="s">
        <v>35</v>
      </c>
    </row>
    <row r="72" spans="1:8" ht="19.95" customHeight="1" x14ac:dyDescent="0.35">
      <c r="A72" s="3" t="s">
        <v>89</v>
      </c>
      <c r="B72" s="3" t="s">
        <v>35</v>
      </c>
      <c r="C72" s="3" t="b">
        <f t="shared" si="4"/>
        <v>1</v>
      </c>
      <c r="D72" s="3" t="str">
        <f t="shared" si="5"/>
        <v>E INTL-JPN</v>
      </c>
      <c r="E72" s="4" t="s">
        <v>79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118</v>
      </c>
      <c r="B73" s="3" t="s">
        <v>35</v>
      </c>
      <c r="C73" s="3" t="b">
        <f t="shared" si="4"/>
        <v>0</v>
      </c>
      <c r="D73" s="3" t="str">
        <f t="shared" si="5"/>
        <v>J INTL-JPN</v>
      </c>
      <c r="E73" s="4" t="s">
        <v>119</v>
      </c>
      <c r="F73" s="4"/>
      <c r="G73" s="4" t="s">
        <v>269</v>
      </c>
      <c r="H73" s="1" t="s">
        <v>35</v>
      </c>
    </row>
    <row r="74" spans="1:8" ht="19.95" customHeight="1" x14ac:dyDescent="0.35">
      <c r="A74" s="3" t="s">
        <v>129</v>
      </c>
      <c r="B74" s="3" t="s">
        <v>35</v>
      </c>
      <c r="C74" s="3" t="b">
        <f t="shared" si="4"/>
        <v>1</v>
      </c>
      <c r="D74" s="3" t="str">
        <f t="shared" si="5"/>
        <v>J INTL-JPN</v>
      </c>
      <c r="E74" s="4" t="s">
        <v>119</v>
      </c>
      <c r="F74" s="4">
        <v>999.99</v>
      </c>
      <c r="G74" s="4" t="s">
        <v>263</v>
      </c>
      <c r="H74" s="1" t="s">
        <v>35</v>
      </c>
    </row>
    <row r="75" spans="1:8" ht="19.95" customHeight="1" x14ac:dyDescent="0.35">
      <c r="A75" s="3" t="s">
        <v>135</v>
      </c>
      <c r="B75" s="3" t="s">
        <v>35</v>
      </c>
      <c r="C75" s="3" t="b">
        <f t="shared" si="4"/>
        <v>0</v>
      </c>
      <c r="D75" s="3" t="str">
        <f t="shared" si="5"/>
        <v>J INTL-JPN BIO</v>
      </c>
      <c r="E75" s="4" t="s">
        <v>119</v>
      </c>
      <c r="F75" s="4" t="s">
        <v>70</v>
      </c>
      <c r="G75" s="4" t="s">
        <v>277</v>
      </c>
      <c r="H75" s="1" t="s">
        <v>35</v>
      </c>
    </row>
    <row r="76" spans="1:8" ht="19.95" customHeight="1" x14ac:dyDescent="0.35">
      <c r="A76" s="3" t="s">
        <v>195</v>
      </c>
      <c r="B76" s="3" t="s">
        <v>35</v>
      </c>
      <c r="C76" s="3" t="b">
        <f t="shared" si="4"/>
        <v>0</v>
      </c>
      <c r="D76" s="3" t="str">
        <f t="shared" si="5"/>
        <v>INTL-JPN FIC</v>
      </c>
      <c r="E76" s="4" t="s">
        <v>196</v>
      </c>
      <c r="F76" s="4" t="s">
        <v>194</v>
      </c>
      <c r="G76" s="4" t="s">
        <v>279</v>
      </c>
      <c r="H76" s="1" t="s">
        <v>35</v>
      </c>
    </row>
    <row r="77" spans="1:8" ht="19.95" customHeight="1" x14ac:dyDescent="0.35">
      <c r="A77" s="3" t="s">
        <v>206</v>
      </c>
      <c r="B77" s="3" t="s">
        <v>35</v>
      </c>
      <c r="C77" s="3" t="b">
        <f t="shared" si="4"/>
        <v>1</v>
      </c>
      <c r="D77" s="3" t="str">
        <f t="shared" si="5"/>
        <v>INTL-JPN</v>
      </c>
      <c r="E77" s="4" t="s">
        <v>196</v>
      </c>
      <c r="F77" s="4">
        <v>999.99</v>
      </c>
      <c r="G77" s="4" t="s">
        <v>280</v>
      </c>
      <c r="H77" s="1" t="s">
        <v>35</v>
      </c>
    </row>
    <row r="78" spans="1:8" ht="19.95" customHeight="1" x14ac:dyDescent="0.35">
      <c r="A78" s="3" t="s">
        <v>212</v>
      </c>
      <c r="B78" s="3" t="s">
        <v>35</v>
      </c>
      <c r="C78" s="3" t="b">
        <f t="shared" si="4"/>
        <v>0</v>
      </c>
      <c r="D78" s="3" t="str">
        <f t="shared" si="5"/>
        <v>INTL-JPN BIO</v>
      </c>
      <c r="E78" s="4" t="s">
        <v>196</v>
      </c>
      <c r="F78" s="4" t="s">
        <v>70</v>
      </c>
      <c r="G78" s="4" t="s">
        <v>277</v>
      </c>
      <c r="H78" s="1" t="s">
        <v>35</v>
      </c>
    </row>
    <row r="79" spans="1:8" ht="19.95" customHeight="1" x14ac:dyDescent="0.35">
      <c r="A79" s="3" t="s">
        <v>231</v>
      </c>
      <c r="B79" s="3" t="s">
        <v>35</v>
      </c>
      <c r="C79" s="3" t="b">
        <f t="shared" si="4"/>
        <v>0</v>
      </c>
      <c r="D79" s="3" t="str">
        <f t="shared" si="5"/>
        <v>TEEN INTL-JPN</v>
      </c>
      <c r="E79" s="4" t="s">
        <v>232</v>
      </c>
      <c r="F79" s="4"/>
      <c r="G79" s="4" t="s">
        <v>290</v>
      </c>
      <c r="H79" s="1" t="s">
        <v>35</v>
      </c>
    </row>
    <row r="80" spans="1:8" ht="19.95" customHeight="1" x14ac:dyDescent="0.35">
      <c r="A80" s="3" t="s">
        <v>242</v>
      </c>
      <c r="B80" s="3" t="s">
        <v>35</v>
      </c>
      <c r="C80" s="3" t="b">
        <f t="shared" si="4"/>
        <v>1</v>
      </c>
      <c r="D80" s="3" t="str">
        <f t="shared" si="5"/>
        <v>TEEN INTL-JPN</v>
      </c>
      <c r="E80" s="4" t="s">
        <v>232</v>
      </c>
      <c r="F80" s="4">
        <v>999.99</v>
      </c>
      <c r="G80" s="4" t="s">
        <v>291</v>
      </c>
      <c r="H80" s="1" t="s">
        <v>35</v>
      </c>
    </row>
    <row r="81" spans="1:8" ht="19.95" customHeight="1" x14ac:dyDescent="0.35">
      <c r="A81" s="3" t="s">
        <v>249</v>
      </c>
      <c r="B81" s="3" t="s">
        <v>35</v>
      </c>
      <c r="C81" s="3" t="b">
        <f t="shared" si="4"/>
        <v>0</v>
      </c>
      <c r="D81" s="3" t="str">
        <f t="shared" si="5"/>
        <v>TEEN INTL-JPN BIO</v>
      </c>
      <c r="E81" s="4" t="s">
        <v>232</v>
      </c>
      <c r="F81" s="4" t="s">
        <v>70</v>
      </c>
      <c r="G81" s="4" t="s">
        <v>277</v>
      </c>
      <c r="H81" s="1" t="s">
        <v>35</v>
      </c>
    </row>
    <row r="82" spans="1:8" ht="19.95" customHeight="1" x14ac:dyDescent="0.35">
      <c r="A82" s="3" t="s">
        <v>82</v>
      </c>
      <c r="B82" s="3" t="s">
        <v>43</v>
      </c>
      <c r="C82" s="3" t="b">
        <f t="shared" si="4"/>
        <v>0</v>
      </c>
      <c r="D82" s="3" t="str">
        <f t="shared" si="5"/>
        <v>E INTL-RUS</v>
      </c>
      <c r="E82" s="4" t="s">
        <v>83</v>
      </c>
      <c r="F82" s="4"/>
      <c r="G82" s="4" t="s">
        <v>268</v>
      </c>
      <c r="H82" s="1" t="s">
        <v>43</v>
      </c>
    </row>
    <row r="83" spans="1:8" ht="19.95" customHeight="1" x14ac:dyDescent="0.35">
      <c r="A83" s="3" t="s">
        <v>92</v>
      </c>
      <c r="B83" s="3" t="s">
        <v>43</v>
      </c>
      <c r="C83" s="3" t="b">
        <f t="shared" si="4"/>
        <v>1</v>
      </c>
      <c r="D83" s="3" t="str">
        <f t="shared" si="5"/>
        <v>E INTL-RUS</v>
      </c>
      <c r="E83" s="4" t="s">
        <v>93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122</v>
      </c>
      <c r="B84" s="3" t="s">
        <v>43</v>
      </c>
      <c r="C84" s="3" t="b">
        <f t="shared" si="4"/>
        <v>0</v>
      </c>
      <c r="D84" s="3" t="str">
        <f t="shared" si="5"/>
        <v>J INTL-RUS</v>
      </c>
      <c r="E84" s="4" t="s">
        <v>123</v>
      </c>
      <c r="F84" s="4"/>
      <c r="G84" s="4" t="s">
        <v>269</v>
      </c>
      <c r="H84" s="1" t="s">
        <v>43</v>
      </c>
    </row>
    <row r="85" spans="1:8" ht="19.95" customHeight="1" x14ac:dyDescent="0.35">
      <c r="A85" s="3" t="s">
        <v>131</v>
      </c>
      <c r="B85" s="3" t="s">
        <v>43</v>
      </c>
      <c r="C85" s="3" t="b">
        <f t="shared" si="4"/>
        <v>1</v>
      </c>
      <c r="D85" s="3" t="str">
        <f t="shared" si="5"/>
        <v>J INTL-RUS</v>
      </c>
      <c r="E85" s="4" t="s">
        <v>123</v>
      </c>
      <c r="F85" s="4">
        <v>999.99</v>
      </c>
      <c r="G85" s="4" t="s">
        <v>263</v>
      </c>
      <c r="H85" s="1" t="s">
        <v>43</v>
      </c>
    </row>
    <row r="86" spans="1:8" ht="19.95" customHeight="1" x14ac:dyDescent="0.35">
      <c r="A86" s="3" t="s">
        <v>137</v>
      </c>
      <c r="B86" s="3" t="s">
        <v>43</v>
      </c>
      <c r="C86" s="3" t="b">
        <f t="shared" si="4"/>
        <v>0</v>
      </c>
      <c r="D86" s="3" t="str">
        <f t="shared" si="5"/>
        <v>J INTL-RUS BIO</v>
      </c>
      <c r="E86" s="4" t="s">
        <v>123</v>
      </c>
      <c r="F86" s="4" t="s">
        <v>70</v>
      </c>
      <c r="G86" s="4" t="s">
        <v>277</v>
      </c>
      <c r="H86" s="1" t="s">
        <v>43</v>
      </c>
    </row>
    <row r="87" spans="1:8" ht="19.95" customHeight="1" x14ac:dyDescent="0.35">
      <c r="A87" s="3" t="s">
        <v>199</v>
      </c>
      <c r="B87" s="3" t="s">
        <v>43</v>
      </c>
      <c r="C87" s="3" t="b">
        <f t="shared" si="4"/>
        <v>0</v>
      </c>
      <c r="D87" s="3" t="str">
        <f t="shared" si="5"/>
        <v>INTL-RUS FIC</v>
      </c>
      <c r="E87" s="4" t="s">
        <v>200</v>
      </c>
      <c r="F87" s="4" t="s">
        <v>194</v>
      </c>
      <c r="G87" s="4" t="s">
        <v>279</v>
      </c>
      <c r="H87" s="1" t="s">
        <v>43</v>
      </c>
    </row>
    <row r="88" spans="1:8" ht="19.95" customHeight="1" x14ac:dyDescent="0.35">
      <c r="A88" s="3" t="s">
        <v>208</v>
      </c>
      <c r="B88" s="3" t="s">
        <v>43</v>
      </c>
      <c r="C88" s="3" t="b">
        <f t="shared" si="4"/>
        <v>1</v>
      </c>
      <c r="D88" s="3" t="str">
        <f t="shared" si="5"/>
        <v>INTL-RUS</v>
      </c>
      <c r="E88" s="4" t="s">
        <v>200</v>
      </c>
      <c r="F88" s="4">
        <v>999.99</v>
      </c>
      <c r="G88" s="4" t="s">
        <v>280</v>
      </c>
      <c r="H88" s="1" t="s">
        <v>43</v>
      </c>
    </row>
    <row r="89" spans="1:8" ht="19.95" customHeight="1" x14ac:dyDescent="0.35">
      <c r="A89" s="3" t="s">
        <v>214</v>
      </c>
      <c r="B89" s="3" t="s">
        <v>43</v>
      </c>
      <c r="C89" s="3" t="b">
        <f t="shared" si="4"/>
        <v>0</v>
      </c>
      <c r="D89" s="3" t="str">
        <f t="shared" si="5"/>
        <v>INTL-RUS BIO</v>
      </c>
      <c r="E89" s="4" t="s">
        <v>200</v>
      </c>
      <c r="F89" s="4" t="s">
        <v>70</v>
      </c>
      <c r="G89" s="4" t="s">
        <v>277</v>
      </c>
      <c r="H89" s="1" t="s">
        <v>43</v>
      </c>
    </row>
    <row r="90" spans="1:8" ht="19.95" customHeight="1" x14ac:dyDescent="0.35">
      <c r="A90" s="3" t="s">
        <v>235</v>
      </c>
      <c r="B90" s="3" t="s">
        <v>43</v>
      </c>
      <c r="C90" s="3" t="b">
        <f t="shared" si="4"/>
        <v>0</v>
      </c>
      <c r="D90" s="3" t="str">
        <f t="shared" si="5"/>
        <v>TEEN INTL-RUS</v>
      </c>
      <c r="E90" s="4" t="s">
        <v>236</v>
      </c>
      <c r="F90" s="4"/>
      <c r="G90" s="4" t="s">
        <v>290</v>
      </c>
      <c r="H90" s="1" t="s">
        <v>43</v>
      </c>
    </row>
    <row r="91" spans="1:8" ht="19.95" customHeight="1" x14ac:dyDescent="0.35">
      <c r="A91" s="3" t="s">
        <v>244</v>
      </c>
      <c r="B91" s="3" t="s">
        <v>43</v>
      </c>
      <c r="C91" s="3" t="b">
        <f t="shared" si="4"/>
        <v>1</v>
      </c>
      <c r="D91" s="3" t="str">
        <f t="shared" si="5"/>
        <v>TEEN INTL-RUS</v>
      </c>
      <c r="E91" s="4" t="s">
        <v>236</v>
      </c>
      <c r="F91" s="4">
        <v>999.99</v>
      </c>
      <c r="G91" s="4" t="s">
        <v>291</v>
      </c>
      <c r="H91" s="1" t="s">
        <v>43</v>
      </c>
    </row>
    <row r="92" spans="1:8" ht="19.95" customHeight="1" x14ac:dyDescent="0.35">
      <c r="A92" s="3" t="s">
        <v>251</v>
      </c>
      <c r="B92" s="3" t="s">
        <v>43</v>
      </c>
      <c r="C92" s="3" t="b">
        <f t="shared" si="4"/>
        <v>0</v>
      </c>
      <c r="D92" s="3" t="str">
        <f t="shared" si="5"/>
        <v>TEEN INTL-RUS BIO</v>
      </c>
      <c r="E92" s="4" t="s">
        <v>236</v>
      </c>
      <c r="F92" s="4" t="s">
        <v>70</v>
      </c>
      <c r="G92" s="4" t="s">
        <v>277</v>
      </c>
      <c r="H92" s="1" t="s">
        <v>43</v>
      </c>
    </row>
    <row r="93" spans="1:8" ht="19.95" customHeight="1" x14ac:dyDescent="0.35">
      <c r="A93" s="3" t="s">
        <v>84</v>
      </c>
      <c r="B93" s="3" t="s">
        <v>36</v>
      </c>
      <c r="C93" s="3" t="b">
        <f t="shared" si="4"/>
        <v>0</v>
      </c>
      <c r="D93" s="3" t="str">
        <f t="shared" si="5"/>
        <v>E INTL-SPA</v>
      </c>
      <c r="E93" s="4" t="s">
        <v>85</v>
      </c>
      <c r="F93" s="4"/>
      <c r="G93" s="4" t="s">
        <v>268</v>
      </c>
      <c r="H93" s="1" t="s">
        <v>36</v>
      </c>
    </row>
    <row r="94" spans="1:8" ht="19.95" customHeight="1" x14ac:dyDescent="0.35">
      <c r="A94" s="3" t="s">
        <v>94</v>
      </c>
      <c r="B94" s="3" t="s">
        <v>36</v>
      </c>
      <c r="C94" s="3" t="b">
        <f t="shared" si="4"/>
        <v>1</v>
      </c>
      <c r="D94" s="3" t="str">
        <f t="shared" si="5"/>
        <v>E INTL-SPA</v>
      </c>
      <c r="E94" s="4" t="s">
        <v>95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124</v>
      </c>
      <c r="B95" s="3" t="s">
        <v>36</v>
      </c>
      <c r="C95" s="3" t="b">
        <f t="shared" si="4"/>
        <v>0</v>
      </c>
      <c r="D95" s="3" t="str">
        <f t="shared" si="5"/>
        <v>J INTL-SPA</v>
      </c>
      <c r="E95" s="4" t="s">
        <v>125</v>
      </c>
      <c r="F95" s="4"/>
      <c r="G95" s="4" t="s">
        <v>269</v>
      </c>
      <c r="H95" s="1" t="s">
        <v>36</v>
      </c>
    </row>
    <row r="96" spans="1:8" ht="19.95" customHeight="1" x14ac:dyDescent="0.35">
      <c r="A96" s="3" t="s">
        <v>132</v>
      </c>
      <c r="B96" s="3" t="s">
        <v>36</v>
      </c>
      <c r="C96" s="3" t="b">
        <f t="shared" si="4"/>
        <v>1</v>
      </c>
      <c r="D96" s="3" t="str">
        <f t="shared" si="5"/>
        <v>J INTL-SPA</v>
      </c>
      <c r="E96" s="4" t="s">
        <v>125</v>
      </c>
      <c r="F96" s="4">
        <v>999.99</v>
      </c>
      <c r="G96" s="4" t="s">
        <v>263</v>
      </c>
      <c r="H96" s="1" t="s">
        <v>36</v>
      </c>
    </row>
    <row r="97" spans="1:8" ht="19.95" customHeight="1" x14ac:dyDescent="0.35">
      <c r="A97" s="3" t="s">
        <v>138</v>
      </c>
      <c r="B97" s="3" t="s">
        <v>36</v>
      </c>
      <c r="C97" s="3" t="b">
        <f t="shared" si="4"/>
        <v>0</v>
      </c>
      <c r="D97" s="3" t="str">
        <f t="shared" si="5"/>
        <v>J INTL-SPA BIO</v>
      </c>
      <c r="E97" s="4" t="s">
        <v>125</v>
      </c>
      <c r="F97" s="4" t="s">
        <v>70</v>
      </c>
      <c r="G97" s="4" t="s">
        <v>277</v>
      </c>
      <c r="H97" s="1" t="s">
        <v>36</v>
      </c>
    </row>
    <row r="98" spans="1:8" ht="19.95" customHeight="1" x14ac:dyDescent="0.35">
      <c r="A98" s="3" t="s">
        <v>201</v>
      </c>
      <c r="B98" s="3" t="s">
        <v>36</v>
      </c>
      <c r="C98" s="3" t="b">
        <f t="shared" si="4"/>
        <v>0</v>
      </c>
      <c r="D98" s="3" t="str">
        <f t="shared" si="5"/>
        <v>INTL-SPA FIC</v>
      </c>
      <c r="E98" s="4" t="s">
        <v>202</v>
      </c>
      <c r="F98" s="4" t="s">
        <v>194</v>
      </c>
      <c r="G98" s="4" t="s">
        <v>279</v>
      </c>
      <c r="H98" s="1" t="s">
        <v>36</v>
      </c>
    </row>
    <row r="99" spans="1:8" ht="19.95" customHeight="1" x14ac:dyDescent="0.35">
      <c r="A99" s="3" t="s">
        <v>209</v>
      </c>
      <c r="B99" s="3" t="s">
        <v>36</v>
      </c>
      <c r="C99" s="3" t="b">
        <f t="shared" si="4"/>
        <v>1</v>
      </c>
      <c r="D99" s="3" t="str">
        <f t="shared" si="5"/>
        <v>INTL-SPA</v>
      </c>
      <c r="E99" s="4" t="s">
        <v>202</v>
      </c>
      <c r="F99" s="4">
        <v>999.99</v>
      </c>
      <c r="G99" s="4" t="s">
        <v>280</v>
      </c>
      <c r="H99" s="1" t="s">
        <v>36</v>
      </c>
    </row>
    <row r="100" spans="1:8" ht="19.95" customHeight="1" x14ac:dyDescent="0.35">
      <c r="A100" s="3" t="s">
        <v>215</v>
      </c>
      <c r="B100" s="3" t="s">
        <v>36</v>
      </c>
      <c r="C100" s="3" t="b">
        <f t="shared" ref="C100:C131" si="6">ISNUMBER(F100)</f>
        <v>0</v>
      </c>
      <c r="D100" s="3" t="str">
        <f t="shared" ref="D100:D131" si="7">TRIM(E100&amp;IF(NOT(C100)," "&amp;F100,""))</f>
        <v>INTL-SPA BIO</v>
      </c>
      <c r="E100" s="4" t="s">
        <v>202</v>
      </c>
      <c r="F100" s="4" t="s">
        <v>70</v>
      </c>
      <c r="G100" s="4" t="s">
        <v>277</v>
      </c>
      <c r="H100" s="1" t="s">
        <v>36</v>
      </c>
    </row>
    <row r="101" spans="1:8" ht="19.95" customHeight="1" x14ac:dyDescent="0.35">
      <c r="A101" s="3" t="s">
        <v>237</v>
      </c>
      <c r="B101" s="3" t="s">
        <v>36</v>
      </c>
      <c r="C101" s="3" t="b">
        <f t="shared" si="6"/>
        <v>0</v>
      </c>
      <c r="D101" s="3" t="str">
        <f t="shared" si="7"/>
        <v>TEEN INTL-SPA</v>
      </c>
      <c r="E101" s="4" t="s">
        <v>238</v>
      </c>
      <c r="F101" s="4"/>
      <c r="G101" s="4" t="s">
        <v>290</v>
      </c>
      <c r="H101" s="1" t="s">
        <v>36</v>
      </c>
    </row>
    <row r="102" spans="1:8" ht="19.95" customHeight="1" x14ac:dyDescent="0.35">
      <c r="A102" s="3" t="s">
        <v>245</v>
      </c>
      <c r="B102" s="3" t="s">
        <v>36</v>
      </c>
      <c r="C102" s="3" t="b">
        <f t="shared" si="6"/>
        <v>1</v>
      </c>
      <c r="D102" s="3" t="str">
        <f t="shared" si="7"/>
        <v>TEEN INTL-SPA</v>
      </c>
      <c r="E102" s="4" t="s">
        <v>238</v>
      </c>
      <c r="F102" s="4">
        <v>999.99</v>
      </c>
      <c r="G102" s="4" t="s">
        <v>291</v>
      </c>
      <c r="H102" s="1" t="s">
        <v>36</v>
      </c>
    </row>
    <row r="103" spans="1:8" ht="19.95" customHeight="1" x14ac:dyDescent="0.35">
      <c r="A103" s="3" t="s">
        <v>252</v>
      </c>
      <c r="B103" s="3" t="s">
        <v>36</v>
      </c>
      <c r="C103" s="3" t="b">
        <f t="shared" si="6"/>
        <v>0</v>
      </c>
      <c r="D103" s="3" t="str">
        <f t="shared" si="7"/>
        <v>TEEN INTL-SPA BIO</v>
      </c>
      <c r="E103" s="4" t="s">
        <v>238</v>
      </c>
      <c r="F103" s="4" t="s">
        <v>70</v>
      </c>
      <c r="G103" s="4" t="s">
        <v>277</v>
      </c>
      <c r="H103" s="1" t="s">
        <v>36</v>
      </c>
    </row>
    <row r="104" spans="1:8" ht="19.95" customHeight="1" x14ac:dyDescent="0.35">
      <c r="A104" s="3" t="s">
        <v>86</v>
      </c>
      <c r="B104" s="3" t="s">
        <v>38</v>
      </c>
      <c r="C104" s="3" t="b">
        <f t="shared" si="6"/>
        <v>0</v>
      </c>
      <c r="D104" s="3" t="str">
        <f t="shared" si="7"/>
        <v>E INTL-VIE</v>
      </c>
      <c r="E104" s="4" t="s">
        <v>87</v>
      </c>
      <c r="F104" s="4"/>
      <c r="G104" s="4" t="s">
        <v>268</v>
      </c>
      <c r="H104" s="1" t="s">
        <v>38</v>
      </c>
    </row>
    <row r="105" spans="1:8" ht="19.95" customHeight="1" x14ac:dyDescent="0.35">
      <c r="A105" s="3" t="s">
        <v>96</v>
      </c>
      <c r="B105" s="3" t="s">
        <v>38</v>
      </c>
      <c r="C105" s="3" t="b">
        <f t="shared" si="6"/>
        <v>1</v>
      </c>
      <c r="D105" s="3" t="str">
        <f t="shared" si="7"/>
        <v>E INTL-VIE</v>
      </c>
      <c r="E105" s="4" t="s">
        <v>97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126</v>
      </c>
      <c r="B106" s="3" t="s">
        <v>38</v>
      </c>
      <c r="C106" s="3" t="b">
        <f t="shared" si="6"/>
        <v>0</v>
      </c>
      <c r="D106" s="3" t="str">
        <f t="shared" si="7"/>
        <v>J INTL-VIE</v>
      </c>
      <c r="E106" s="4" t="s">
        <v>127</v>
      </c>
      <c r="F106" s="4"/>
      <c r="G106" s="4" t="s">
        <v>269</v>
      </c>
      <c r="H106" s="1" t="s">
        <v>38</v>
      </c>
    </row>
    <row r="107" spans="1:8" ht="19.95" customHeight="1" x14ac:dyDescent="0.35">
      <c r="A107" s="3" t="s">
        <v>133</v>
      </c>
      <c r="B107" s="3" t="s">
        <v>38</v>
      </c>
      <c r="C107" s="3" t="b">
        <f t="shared" si="6"/>
        <v>1</v>
      </c>
      <c r="D107" s="3" t="str">
        <f t="shared" si="7"/>
        <v>J INTL-VIE</v>
      </c>
      <c r="E107" s="4" t="s">
        <v>127</v>
      </c>
      <c r="F107" s="4">
        <v>999.99</v>
      </c>
      <c r="G107" s="4" t="s">
        <v>263</v>
      </c>
      <c r="H107" s="1" t="s">
        <v>38</v>
      </c>
    </row>
    <row r="108" spans="1:8" ht="19.95" customHeight="1" x14ac:dyDescent="0.35">
      <c r="A108" s="3" t="s">
        <v>139</v>
      </c>
      <c r="B108" s="3" t="s">
        <v>38</v>
      </c>
      <c r="C108" s="3" t="b">
        <f t="shared" si="6"/>
        <v>0</v>
      </c>
      <c r="D108" s="3" t="str">
        <f t="shared" si="7"/>
        <v>J INTL-VIE BIO</v>
      </c>
      <c r="E108" s="4" t="s">
        <v>127</v>
      </c>
      <c r="F108" s="4" t="s">
        <v>70</v>
      </c>
      <c r="G108" s="4" t="s">
        <v>277</v>
      </c>
      <c r="H108" s="1" t="s">
        <v>38</v>
      </c>
    </row>
    <row r="109" spans="1:8" ht="19.95" customHeight="1" x14ac:dyDescent="0.35">
      <c r="A109" s="3" t="s">
        <v>203</v>
      </c>
      <c r="B109" s="3" t="s">
        <v>38</v>
      </c>
      <c r="C109" s="3" t="b">
        <f t="shared" si="6"/>
        <v>0</v>
      </c>
      <c r="D109" s="3" t="str">
        <f t="shared" si="7"/>
        <v>INTL-VIE FIC</v>
      </c>
      <c r="E109" s="4" t="s">
        <v>204</v>
      </c>
      <c r="F109" s="4" t="s">
        <v>194</v>
      </c>
      <c r="G109" s="4" t="s">
        <v>279</v>
      </c>
      <c r="H109" s="1" t="s">
        <v>38</v>
      </c>
    </row>
    <row r="110" spans="1:8" ht="19.95" customHeight="1" x14ac:dyDescent="0.35">
      <c r="A110" s="3" t="s">
        <v>210</v>
      </c>
      <c r="B110" s="3" t="s">
        <v>38</v>
      </c>
      <c r="C110" s="3" t="b">
        <f t="shared" si="6"/>
        <v>1</v>
      </c>
      <c r="D110" s="3" t="str">
        <f t="shared" si="7"/>
        <v>INTL-VIE</v>
      </c>
      <c r="E110" s="4" t="s">
        <v>204</v>
      </c>
      <c r="F110" s="4">
        <v>999.99</v>
      </c>
      <c r="G110" s="4" t="s">
        <v>280</v>
      </c>
      <c r="H110" s="1" t="s">
        <v>38</v>
      </c>
    </row>
    <row r="111" spans="1:8" ht="19.95" customHeight="1" x14ac:dyDescent="0.35">
      <c r="A111" s="3" t="s">
        <v>216</v>
      </c>
      <c r="B111" s="3" t="s">
        <v>38</v>
      </c>
      <c r="C111" s="3" t="b">
        <f t="shared" si="6"/>
        <v>0</v>
      </c>
      <c r="D111" s="3" t="str">
        <f t="shared" si="7"/>
        <v>INTL-VIE BIO</v>
      </c>
      <c r="E111" s="4" t="s">
        <v>204</v>
      </c>
      <c r="F111" s="4" t="s">
        <v>70</v>
      </c>
      <c r="G111" s="4" t="s">
        <v>277</v>
      </c>
      <c r="H111" s="1" t="s">
        <v>38</v>
      </c>
    </row>
    <row r="112" spans="1:8" ht="19.95" customHeight="1" x14ac:dyDescent="0.35">
      <c r="A112" s="3" t="s">
        <v>239</v>
      </c>
      <c r="B112" s="3" t="s">
        <v>38</v>
      </c>
      <c r="C112" s="3" t="b">
        <f t="shared" si="6"/>
        <v>0</v>
      </c>
      <c r="D112" s="3" t="str">
        <f t="shared" si="7"/>
        <v>TEEN INTL-VIE</v>
      </c>
      <c r="E112" s="4" t="s">
        <v>240</v>
      </c>
      <c r="F112" s="4"/>
      <c r="G112" s="4" t="s">
        <v>290</v>
      </c>
      <c r="H112" s="1" t="s">
        <v>38</v>
      </c>
    </row>
    <row r="113" spans="1:8" ht="19.95" customHeight="1" x14ac:dyDescent="0.35">
      <c r="A113" s="3" t="s">
        <v>246</v>
      </c>
      <c r="B113" s="3" t="s">
        <v>38</v>
      </c>
      <c r="C113" s="3" t="b">
        <f t="shared" si="6"/>
        <v>1</v>
      </c>
      <c r="D113" s="3" t="str">
        <f t="shared" si="7"/>
        <v>TEEN INTL-VIE</v>
      </c>
      <c r="E113" s="4" t="s">
        <v>240</v>
      </c>
      <c r="F113" s="4">
        <v>999.99</v>
      </c>
      <c r="G113" s="4" t="s">
        <v>291</v>
      </c>
      <c r="H113" s="1" t="s">
        <v>38</v>
      </c>
    </row>
    <row r="114" spans="1:8" ht="19.95" customHeight="1" x14ac:dyDescent="0.35">
      <c r="A114" s="3" t="s">
        <v>253</v>
      </c>
      <c r="B114" s="3" t="s">
        <v>38</v>
      </c>
      <c r="C114" s="3" t="b">
        <f t="shared" si="6"/>
        <v>0</v>
      </c>
      <c r="D114" s="3" t="str">
        <f t="shared" si="7"/>
        <v>TEEN INTL-VIE BIO</v>
      </c>
      <c r="E114" s="4" t="s">
        <v>240</v>
      </c>
      <c r="F114" s="4" t="s">
        <v>70</v>
      </c>
      <c r="G114" s="4" t="s">
        <v>277</v>
      </c>
      <c r="H114" s="1" t="s">
        <v>38</v>
      </c>
    </row>
    <row r="115" spans="1:8" ht="19.95" customHeight="1" x14ac:dyDescent="0.35">
      <c r="A115" s="3" t="s">
        <v>152</v>
      </c>
      <c r="B115" s="3" t="s">
        <v>5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284</v>
      </c>
      <c r="H115" s="1" t="s">
        <v>5</v>
      </c>
    </row>
    <row r="116" spans="1:8" ht="19.95" customHeight="1" x14ac:dyDescent="0.35">
      <c r="A116" s="3" t="s">
        <v>152</v>
      </c>
      <c r="B116" s="3" t="s">
        <v>6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284</v>
      </c>
      <c r="H116" s="1" t="s">
        <v>6</v>
      </c>
    </row>
    <row r="117" spans="1:8" ht="19.95" customHeight="1" x14ac:dyDescent="0.35">
      <c r="A117" s="3" t="s">
        <v>152</v>
      </c>
      <c r="B117" s="3" t="s">
        <v>8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284</v>
      </c>
      <c r="H117" s="1" t="s">
        <v>8</v>
      </c>
    </row>
    <row r="118" spans="1:8" ht="19.95" customHeight="1" x14ac:dyDescent="0.35">
      <c r="A118" s="3" t="s">
        <v>152</v>
      </c>
      <c r="B118" s="3" t="s">
        <v>9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284</v>
      </c>
      <c r="H118" s="1" t="s">
        <v>9</v>
      </c>
    </row>
    <row r="119" spans="1:8" ht="19.95" customHeight="1" x14ac:dyDescent="0.35">
      <c r="A119" s="3" t="s">
        <v>152</v>
      </c>
      <c r="B119" s="3" t="s">
        <v>10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284</v>
      </c>
      <c r="H119" s="1" t="s">
        <v>10</v>
      </c>
    </row>
    <row r="120" spans="1:8" ht="19.95" customHeight="1" x14ac:dyDescent="0.35">
      <c r="A120" s="3" t="s">
        <v>152</v>
      </c>
      <c r="B120" s="3" t="s">
        <v>11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284</v>
      </c>
      <c r="H120" s="1" t="s">
        <v>11</v>
      </c>
    </row>
    <row r="121" spans="1:8" ht="19.95" customHeight="1" x14ac:dyDescent="0.35">
      <c r="A121" s="3" t="s">
        <v>152</v>
      </c>
      <c r="B121" s="3" t="s">
        <v>12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284</v>
      </c>
      <c r="H121" s="1" t="s">
        <v>12</v>
      </c>
    </row>
    <row r="122" spans="1:8" ht="19.95" customHeight="1" x14ac:dyDescent="0.35">
      <c r="A122" s="3" t="s">
        <v>152</v>
      </c>
      <c r="B122" s="3" t="s">
        <v>7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284</v>
      </c>
      <c r="H122" s="1" t="s">
        <v>7</v>
      </c>
    </row>
    <row r="123" spans="1:8" ht="19.95" customHeight="1" x14ac:dyDescent="0.35">
      <c r="A123" s="3" t="s">
        <v>152</v>
      </c>
      <c r="B123" s="3" t="s">
        <v>13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284</v>
      </c>
      <c r="H123" s="1" t="s">
        <v>13</v>
      </c>
    </row>
    <row r="124" spans="1:8" ht="19.95" customHeight="1" x14ac:dyDescent="0.35">
      <c r="A124" s="3" t="s">
        <v>152</v>
      </c>
      <c r="B124" s="3" t="s">
        <v>14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284</v>
      </c>
      <c r="H124" s="1" t="s">
        <v>14</v>
      </c>
    </row>
    <row r="125" spans="1:8" ht="19.95" customHeight="1" x14ac:dyDescent="0.35">
      <c r="A125" s="3" t="s">
        <v>152</v>
      </c>
      <c r="B125" s="3" t="s">
        <v>15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284</v>
      </c>
      <c r="H125" s="1" t="s">
        <v>15</v>
      </c>
    </row>
    <row r="126" spans="1:8" ht="19.95" customHeight="1" x14ac:dyDescent="0.35">
      <c r="A126" s="3" t="s">
        <v>152</v>
      </c>
      <c r="B126" s="3" t="s">
        <v>16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284</v>
      </c>
      <c r="H126" s="1" t="s">
        <v>16</v>
      </c>
    </row>
    <row r="127" spans="1:8" ht="19.95" customHeight="1" x14ac:dyDescent="0.35">
      <c r="A127" s="3" t="s">
        <v>152</v>
      </c>
      <c r="B127" s="3" t="s">
        <v>17</v>
      </c>
      <c r="C127" s="3" t="b">
        <f t="shared" si="6"/>
        <v>0</v>
      </c>
      <c r="D127" s="3" t="str">
        <f t="shared" si="7"/>
        <v>DVD</v>
      </c>
      <c r="E127" s="4" t="s">
        <v>58</v>
      </c>
      <c r="F127" s="4"/>
      <c r="G127" s="4" t="s">
        <v>284</v>
      </c>
      <c r="H127" s="1" t="s">
        <v>17</v>
      </c>
    </row>
    <row r="128" spans="1:8" ht="19.95" customHeight="1" x14ac:dyDescent="0.35">
      <c r="A128" s="3" t="s">
        <v>152</v>
      </c>
      <c r="B128" s="3" t="s">
        <v>18</v>
      </c>
      <c r="C128" s="3" t="b">
        <f t="shared" si="6"/>
        <v>0</v>
      </c>
      <c r="D128" s="3" t="str">
        <f t="shared" si="7"/>
        <v>DVD</v>
      </c>
      <c r="E128" s="4" t="s">
        <v>58</v>
      </c>
      <c r="F128" s="4"/>
      <c r="G128" s="4" t="s">
        <v>284</v>
      </c>
      <c r="H128" s="1" t="s">
        <v>18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A</v>
      </c>
      <c r="E129" s="4" t="s">
        <v>149</v>
      </c>
      <c r="F129" s="4" t="s">
        <v>160</v>
      </c>
      <c r="G129" s="4" t="s">
        <v>288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si="6"/>
        <v>0</v>
      </c>
      <c r="D130" s="3" t="str">
        <f t="shared" si="7"/>
        <v>CD B</v>
      </c>
      <c r="E130" s="4" t="s">
        <v>149</v>
      </c>
      <c r="F130" s="4" t="s">
        <v>161</v>
      </c>
      <c r="G130" s="4" t="s">
        <v>288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6"/>
        <v>0</v>
      </c>
      <c r="D131" s="3" t="str">
        <f t="shared" si="7"/>
        <v>CD C</v>
      </c>
      <c r="E131" s="4" t="s">
        <v>149</v>
      </c>
      <c r="F131" s="4" t="s">
        <v>162</v>
      </c>
      <c r="G131" s="4" t="s">
        <v>288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ref="C132:C166" si="8">ISNUMBER(F132)</f>
        <v>0</v>
      </c>
      <c r="D132" s="3" t="str">
        <f t="shared" ref="D132:D164" si="9">TRIM(E132&amp;IF(NOT(C132)," "&amp;F132,""))</f>
        <v>CD D</v>
      </c>
      <c r="E132" s="4" t="s">
        <v>149</v>
      </c>
      <c r="F132" s="4" t="s">
        <v>163</v>
      </c>
      <c r="G132" s="4" t="s">
        <v>288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DG</v>
      </c>
      <c r="E133" s="4" t="s">
        <v>149</v>
      </c>
      <c r="F133" s="4" t="s">
        <v>164</v>
      </c>
      <c r="G133" s="4" t="s">
        <v>288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DO</v>
      </c>
      <c r="E134" s="4" t="s">
        <v>149</v>
      </c>
      <c r="F134" s="4" t="s">
        <v>165</v>
      </c>
      <c r="G134" s="4" t="s">
        <v>288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DP</v>
      </c>
      <c r="E135" s="4" t="s">
        <v>149</v>
      </c>
      <c r="F135" s="4" t="s">
        <v>166</v>
      </c>
      <c r="G135" s="4" t="s">
        <v>288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DS</v>
      </c>
      <c r="E136" s="4" t="s">
        <v>149</v>
      </c>
      <c r="F136" s="4" t="s">
        <v>167</v>
      </c>
      <c r="G136" s="4" t="s">
        <v>288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DV</v>
      </c>
      <c r="E137" s="4" t="s">
        <v>149</v>
      </c>
      <c r="F137" s="4" t="s">
        <v>168</v>
      </c>
      <c r="G137" s="4" t="s">
        <v>288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DW</v>
      </c>
      <c r="E138" s="4" t="s">
        <v>149</v>
      </c>
      <c r="F138" s="4" t="s">
        <v>169</v>
      </c>
      <c r="G138" s="4" t="s">
        <v>288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DX</v>
      </c>
      <c r="E139" s="4" t="s">
        <v>149</v>
      </c>
      <c r="F139" s="4" t="s">
        <v>170</v>
      </c>
      <c r="G139" s="4" t="s">
        <v>288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E</v>
      </c>
      <c r="E140" s="4" t="s">
        <v>149</v>
      </c>
      <c r="F140" s="4" t="s">
        <v>65</v>
      </c>
      <c r="G140" s="4" t="s">
        <v>288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F</v>
      </c>
      <c r="E141" s="4" t="s">
        <v>149</v>
      </c>
      <c r="F141" s="4" t="s">
        <v>171</v>
      </c>
      <c r="G141" s="4" t="s">
        <v>288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G</v>
      </c>
      <c r="E142" s="4" t="s">
        <v>149</v>
      </c>
      <c r="F142" s="4" t="s">
        <v>172</v>
      </c>
      <c r="G142" s="4" t="s">
        <v>288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H</v>
      </c>
      <c r="E143" s="4" t="s">
        <v>149</v>
      </c>
      <c r="F143" s="4" t="s">
        <v>173</v>
      </c>
      <c r="G143" s="4" t="s">
        <v>288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K</v>
      </c>
      <c r="E144" s="4" t="s">
        <v>149</v>
      </c>
      <c r="F144" s="4" t="s">
        <v>174</v>
      </c>
      <c r="G144" s="4" t="s">
        <v>288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L</v>
      </c>
      <c r="E145" s="4" t="s">
        <v>149</v>
      </c>
      <c r="F145" s="4" t="s">
        <v>175</v>
      </c>
      <c r="G145" s="4" t="s">
        <v>288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</v>
      </c>
      <c r="E146" s="4" t="s">
        <v>149</v>
      </c>
      <c r="F146" s="4" t="s">
        <v>176</v>
      </c>
      <c r="G146" s="4" t="s">
        <v>288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MA</v>
      </c>
      <c r="E147" s="4" t="s">
        <v>149</v>
      </c>
      <c r="F147" s="4" t="s">
        <v>177</v>
      </c>
      <c r="G147" s="4" t="s">
        <v>288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MC</v>
      </c>
      <c r="E148" s="4" t="s">
        <v>149</v>
      </c>
      <c r="F148" s="4" t="s">
        <v>178</v>
      </c>
      <c r="G148" s="4" t="s">
        <v>288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ME</v>
      </c>
      <c r="E149" s="4" t="s">
        <v>149</v>
      </c>
      <c r="F149" s="4" t="s">
        <v>179</v>
      </c>
      <c r="G149" s="4" t="s">
        <v>288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MH</v>
      </c>
      <c r="E150" s="4" t="s">
        <v>149</v>
      </c>
      <c r="F150" s="4" t="s">
        <v>180</v>
      </c>
      <c r="G150" s="4" t="s">
        <v>288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MI</v>
      </c>
      <c r="E151" s="4" t="s">
        <v>149</v>
      </c>
      <c r="F151" s="4" t="s">
        <v>181</v>
      </c>
      <c r="G151" s="4" t="s">
        <v>288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MR</v>
      </c>
      <c r="E152" s="4" t="s">
        <v>149</v>
      </c>
      <c r="F152" s="4" t="s">
        <v>182</v>
      </c>
      <c r="G152" s="4" t="s">
        <v>288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P</v>
      </c>
      <c r="E153" s="4" t="s">
        <v>149</v>
      </c>
      <c r="F153" s="4" t="s">
        <v>183</v>
      </c>
      <c r="G153" s="4" t="s">
        <v>288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R</v>
      </c>
      <c r="E154" s="4" t="s">
        <v>149</v>
      </c>
      <c r="F154" s="4" t="s">
        <v>184</v>
      </c>
      <c r="G154" s="4" t="s">
        <v>288</v>
      </c>
      <c r="H154" s="1" t="s">
        <v>39</v>
      </c>
    </row>
    <row r="155" spans="1:8" ht="19.95" customHeight="1" x14ac:dyDescent="0.35">
      <c r="A155" s="3" t="s">
        <v>159</v>
      </c>
      <c r="B155" s="3" t="s">
        <v>39</v>
      </c>
      <c r="C155" s="3" t="b">
        <f t="shared" si="8"/>
        <v>0</v>
      </c>
      <c r="D155" s="3" t="str">
        <f t="shared" si="9"/>
        <v>CD S</v>
      </c>
      <c r="E155" s="4" t="s">
        <v>149</v>
      </c>
      <c r="F155" s="4" t="s">
        <v>185</v>
      </c>
      <c r="G155" s="4" t="s">
        <v>288</v>
      </c>
      <c r="H155" s="1" t="s">
        <v>39</v>
      </c>
    </row>
    <row r="156" spans="1:8" ht="19.95" customHeight="1" x14ac:dyDescent="0.35">
      <c r="A156" s="3" t="s">
        <v>159</v>
      </c>
      <c r="B156" s="3" t="s">
        <v>39</v>
      </c>
      <c r="C156" s="3" t="b">
        <f t="shared" si="8"/>
        <v>0</v>
      </c>
      <c r="D156" s="3" t="str">
        <f t="shared" si="9"/>
        <v>CD U</v>
      </c>
      <c r="E156" s="4" t="s">
        <v>149</v>
      </c>
      <c r="F156" s="5" t="s">
        <v>186</v>
      </c>
      <c r="G156" s="4" t="s">
        <v>288</v>
      </c>
      <c r="H156" s="1" t="s">
        <v>39</v>
      </c>
    </row>
    <row r="157" spans="1:8" ht="19.95" customHeight="1" x14ac:dyDescent="0.35">
      <c r="A157" s="1" t="s">
        <v>51</v>
      </c>
      <c r="B157" s="1" t="s">
        <v>51</v>
      </c>
      <c r="C157" s="3" t="b">
        <f t="shared" si="8"/>
        <v>0</v>
      </c>
      <c r="D157" s="3" t="str">
        <f t="shared" si="9"/>
        <v/>
      </c>
      <c r="E157" s="4"/>
      <c r="F157" s="4"/>
      <c r="G157" s="4" t="s">
        <v>262</v>
      </c>
      <c r="H157" s="1" t="s">
        <v>51</v>
      </c>
    </row>
    <row r="158" spans="1:8" ht="19.95" customHeight="1" x14ac:dyDescent="0.35">
      <c r="A158" s="3" t="s">
        <v>40</v>
      </c>
      <c r="B158" s="3" t="s">
        <v>40</v>
      </c>
      <c r="C158" s="3" t="b">
        <f t="shared" si="8"/>
        <v>0</v>
      </c>
      <c r="D158" s="3" t="str">
        <f t="shared" si="9"/>
        <v/>
      </c>
      <c r="E158" s="4"/>
      <c r="F158" s="4"/>
      <c r="G158" s="4" t="s">
        <v>262</v>
      </c>
      <c r="H158" s="1" t="s">
        <v>40</v>
      </c>
    </row>
    <row r="159" spans="1:8" ht="19.95" customHeight="1" x14ac:dyDescent="0.35">
      <c r="A159" s="15" t="s">
        <v>310</v>
      </c>
      <c r="B159" s="15" t="s">
        <v>3</v>
      </c>
      <c r="C159" s="15" t="b">
        <f>ISNUMBER(F159)</f>
        <v>0</v>
      </c>
      <c r="D159" s="15" t="str">
        <f>TRIM(E159&amp;IF(NOT(C159)," "&amp;F159,""))</f>
        <v>TEEN</v>
      </c>
      <c r="E159" s="16" t="s">
        <v>217</v>
      </c>
      <c r="F159" s="16"/>
      <c r="G159" s="4" t="s">
        <v>263</v>
      </c>
      <c r="H159" s="1" t="s">
        <v>3</v>
      </c>
    </row>
    <row r="160" spans="1:8" ht="19.95" customHeight="1" x14ac:dyDescent="0.35">
      <c r="A160" s="3" t="s">
        <v>143</v>
      </c>
      <c r="B160" s="3" t="s">
        <v>53</v>
      </c>
      <c r="C160" s="3" t="b">
        <f t="shared" si="8"/>
        <v>1</v>
      </c>
      <c r="D160" s="3" t="str">
        <f t="shared" si="9"/>
        <v>J REF</v>
      </c>
      <c r="E160" s="4" t="s">
        <v>144</v>
      </c>
      <c r="F160" s="4">
        <v>999.99</v>
      </c>
      <c r="G160" s="4" t="s">
        <v>263</v>
      </c>
      <c r="H160" s="1" t="s">
        <v>298</v>
      </c>
    </row>
    <row r="161" spans="1:8" ht="19.95" customHeight="1" x14ac:dyDescent="0.35">
      <c r="A161" s="3" t="s">
        <v>187</v>
      </c>
      <c r="B161" s="3" t="s">
        <v>188</v>
      </c>
      <c r="C161" s="3" t="b">
        <f t="shared" si="8"/>
        <v>1</v>
      </c>
      <c r="D161" s="3" t="str">
        <f t="shared" si="9"/>
        <v>REF</v>
      </c>
      <c r="E161" s="4" t="s">
        <v>189</v>
      </c>
      <c r="F161" s="4">
        <v>999.99</v>
      </c>
      <c r="G161" s="4" t="s">
        <v>263</v>
      </c>
      <c r="H161" s="1" t="s">
        <v>298</v>
      </c>
    </row>
    <row r="162" spans="1:8" ht="19.95" customHeight="1" x14ac:dyDescent="0.35">
      <c r="A162" s="3" t="s">
        <v>190</v>
      </c>
      <c r="B162" s="3" t="s">
        <v>53</v>
      </c>
      <c r="C162" s="3" t="b">
        <f t="shared" si="8"/>
        <v>1</v>
      </c>
      <c r="D162" s="3" t="str">
        <f t="shared" si="9"/>
        <v>CD-ROM</v>
      </c>
      <c r="E162" s="4" t="s">
        <v>191</v>
      </c>
      <c r="F162" s="4">
        <v>999.99</v>
      </c>
      <c r="G162" s="4" t="s">
        <v>289</v>
      </c>
      <c r="H162" s="1" t="s">
        <v>298</v>
      </c>
    </row>
    <row r="163" spans="1:8" ht="19.95" customHeight="1" x14ac:dyDescent="0.35">
      <c r="A163" s="3" t="s">
        <v>227</v>
      </c>
      <c r="B163" s="3" t="s">
        <v>53</v>
      </c>
      <c r="C163" s="3" t="b">
        <f t="shared" si="8"/>
        <v>1</v>
      </c>
      <c r="D163" s="3" t="str">
        <f t="shared" si="9"/>
        <v>TEEN REF</v>
      </c>
      <c r="E163" s="4" t="s">
        <v>228</v>
      </c>
      <c r="F163" s="4">
        <v>999.99</v>
      </c>
      <c r="G163" s="4" t="s">
        <v>263</v>
      </c>
      <c r="H163" s="1" t="s">
        <v>298</v>
      </c>
    </row>
    <row r="164" spans="1:8" ht="19.95" customHeight="1" x14ac:dyDescent="0.35">
      <c r="A164" s="3" t="s">
        <v>254</v>
      </c>
      <c r="B164" s="3"/>
      <c r="C164" s="3" t="b">
        <f t="shared" si="8"/>
        <v>0</v>
      </c>
      <c r="D164" s="3" t="str">
        <f t="shared" si="9"/>
        <v>TEEN EXPLORE</v>
      </c>
      <c r="E164" s="4" t="s">
        <v>255</v>
      </c>
      <c r="F164" s="4"/>
      <c r="G164" s="4" t="s">
        <v>262</v>
      </c>
      <c r="H164" s="1" t="s">
        <v>298</v>
      </c>
    </row>
    <row r="165" spans="1:8" ht="19.95" customHeight="1" x14ac:dyDescent="0.35">
      <c r="A165" s="1" t="s">
        <v>256</v>
      </c>
      <c r="B165" s="3"/>
      <c r="C165" s="3" t="b">
        <f t="shared" si="8"/>
        <v>0</v>
      </c>
      <c r="D165" s="3" t="str">
        <f t="shared" ref="D165:D166" si="10">TRIM(E165&amp;IF(NOT(C165)," "&amp;F165,""))</f>
        <v>APBK</v>
      </c>
      <c r="E165" s="4" t="s">
        <v>257</v>
      </c>
      <c r="F165" s="4"/>
      <c r="G165" s="4" t="s">
        <v>262</v>
      </c>
      <c r="H165" s="1" t="s">
        <v>298</v>
      </c>
    </row>
    <row r="166" spans="1:8" x14ac:dyDescent="0.35">
      <c r="A166" s="1" t="s">
        <v>258</v>
      </c>
      <c r="B166" s="3"/>
      <c r="C166" s="3" t="b">
        <f t="shared" si="8"/>
        <v>0</v>
      </c>
      <c r="D166" s="3" t="str">
        <f t="shared" si="10"/>
        <v>TPBK</v>
      </c>
      <c r="E166" s="4" t="s">
        <v>259</v>
      </c>
      <c r="F166" s="4"/>
      <c r="G166" s="4" t="s">
        <v>262</v>
      </c>
      <c r="H166" s="1" t="s">
        <v>298</v>
      </c>
    </row>
    <row r="167" spans="1:8" x14ac:dyDescent="0.35">
      <c r="A167" s="9" t="s">
        <v>308</v>
      </c>
      <c r="B167" s="9" t="s">
        <v>309</v>
      </c>
      <c r="C167" s="9" t="b">
        <f>ISNUMBER(F167)</f>
        <v>0</v>
      </c>
      <c r="D167" s="9" t="str">
        <f>TRIM(E167&amp;IF(NOT(C167)," "&amp;F167,""))</f>
        <v/>
      </c>
      <c r="E167" s="10"/>
      <c r="F167" s="10"/>
      <c r="G167" s="10"/>
      <c r="H167" s="1" t="s">
        <v>316</v>
      </c>
    </row>
    <row r="168" spans="1:8" x14ac:dyDescent="0.35">
      <c r="A168" s="15" t="s">
        <v>308</v>
      </c>
      <c r="B168" s="15"/>
      <c r="C168" s="15" t="b">
        <f>ISNUMBER(F168)</f>
        <v>0</v>
      </c>
      <c r="D168" s="15" t="str">
        <f>TRIM(E168&amp;IF(NOT(C168)," "&amp;F168,""))</f>
        <v/>
      </c>
      <c r="E168" s="16"/>
      <c r="F168" s="16"/>
      <c r="G168" s="16"/>
      <c r="H168" s="1" t="s">
        <v>316</v>
      </c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  <row r="195" spans="2:8" x14ac:dyDescent="0.35">
      <c r="B195"/>
      <c r="C195"/>
      <c r="D195"/>
      <c r="E195"/>
      <c r="F195"/>
      <c r="G195"/>
      <c r="H195"/>
    </row>
    <row r="196" spans="2:8" x14ac:dyDescent="0.35">
      <c r="B196"/>
      <c r="C196"/>
      <c r="D196"/>
      <c r="E196"/>
      <c r="F196"/>
      <c r="G196"/>
      <c r="H196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Sections'!$A$2:$A$68</xm:f>
          </x14:formula1>
          <xm:sqref>H2:H168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2" x14ac:dyDescent="0.25"/>
  <cols>
    <col min="1" max="1" width="25.6640625" bestFit="1" customWidth="1"/>
    <col min="2" max="2" width="22.33203125" bestFit="1" customWidth="1"/>
    <col min="3" max="3" width="16.88671875" bestFit="1" customWidth="1"/>
    <col min="4" max="4" width="3" bestFit="1" customWidth="1"/>
  </cols>
  <sheetData/>
  <sortState ref="A2:D204">
    <sortCondition ref="D20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8"/>
  <sheetViews>
    <sheetView topLeftCell="A40" zoomScale="85" zoomScaleNormal="85" workbookViewId="0">
      <selection activeCell="A68" sqref="A68"/>
    </sheetView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7" width="8.88671875" style="14"/>
    <col min="8" max="8" width="8.88671875" style="17"/>
    <col min="9" max="9" width="22.88671875" style="17" bestFit="1" customWidth="1"/>
    <col min="10" max="16384" width="8.88671875" style="14"/>
  </cols>
  <sheetData>
    <row r="1" spans="1:9" x14ac:dyDescent="0.3">
      <c r="A1" s="13" t="s">
        <v>303</v>
      </c>
      <c r="B1" s="13" t="s">
        <v>305</v>
      </c>
      <c r="I1" s="17" t="s">
        <v>312</v>
      </c>
    </row>
    <row r="2" spans="1:9" x14ac:dyDescent="0.3">
      <c r="A2" s="12" t="s">
        <v>19</v>
      </c>
      <c r="B2" s="12" t="s">
        <v>57</v>
      </c>
      <c r="I2" s="19" t="s">
        <v>57</v>
      </c>
    </row>
    <row r="3" spans="1:9" x14ac:dyDescent="0.3">
      <c r="A3" s="12" t="s">
        <v>20</v>
      </c>
      <c r="B3" s="12" t="s">
        <v>57</v>
      </c>
      <c r="I3" s="19" t="s">
        <v>44</v>
      </c>
    </row>
    <row r="4" spans="1:9" x14ac:dyDescent="0.3">
      <c r="A4" s="12" t="s">
        <v>21</v>
      </c>
      <c r="B4" s="12" t="s">
        <v>44</v>
      </c>
      <c r="I4" s="18" t="s">
        <v>311</v>
      </c>
    </row>
    <row r="5" spans="1:9" x14ac:dyDescent="0.3">
      <c r="A5" s="12" t="s">
        <v>22</v>
      </c>
      <c r="B5" s="12" t="s">
        <v>44</v>
      </c>
    </row>
    <row r="6" spans="1:9" x14ac:dyDescent="0.3">
      <c r="A6" s="12" t="s">
        <v>3</v>
      </c>
      <c r="B6" s="12" t="s">
        <v>44</v>
      </c>
    </row>
    <row r="7" spans="1:9" x14ac:dyDescent="0.3">
      <c r="A7" s="12" t="s">
        <v>21</v>
      </c>
      <c r="B7" s="12" t="s">
        <v>57</v>
      </c>
    </row>
    <row r="8" spans="1:9" x14ac:dyDescent="0.3">
      <c r="A8" s="12" t="s">
        <v>22</v>
      </c>
      <c r="B8" s="12" t="s">
        <v>57</v>
      </c>
    </row>
    <row r="9" spans="1:9" x14ac:dyDescent="0.3">
      <c r="A9" s="12" t="s">
        <v>3</v>
      </c>
      <c r="B9" s="12" t="s">
        <v>57</v>
      </c>
    </row>
    <row r="10" spans="1:9" x14ac:dyDescent="0.3">
      <c r="A10" s="12" t="s">
        <v>23</v>
      </c>
      <c r="B10" s="12" t="s">
        <v>57</v>
      </c>
    </row>
    <row r="11" spans="1:9" x14ac:dyDescent="0.3">
      <c r="A11" s="12" t="s">
        <v>24</v>
      </c>
      <c r="B11" s="12" t="s">
        <v>57</v>
      </c>
    </row>
    <row r="12" spans="1:9" x14ac:dyDescent="0.3">
      <c r="A12" s="12" t="s">
        <v>4</v>
      </c>
      <c r="B12" s="12" t="s">
        <v>57</v>
      </c>
    </row>
    <row r="13" spans="1:9" x14ac:dyDescent="0.3">
      <c r="A13" s="12" t="s">
        <v>2</v>
      </c>
      <c r="B13" s="12" t="s">
        <v>57</v>
      </c>
    </row>
    <row r="14" spans="1:9" x14ac:dyDescent="0.3">
      <c r="A14" s="12" t="s">
        <v>1</v>
      </c>
      <c r="B14" s="12" t="s">
        <v>57</v>
      </c>
    </row>
    <row r="15" spans="1:9" x14ac:dyDescent="0.3">
      <c r="A15" s="12" t="s">
        <v>25</v>
      </c>
      <c r="B15" s="12" t="s">
        <v>57</v>
      </c>
    </row>
    <row r="16" spans="1:9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/>
      <c r="B66" s="12" t="s">
        <v>57</v>
      </c>
    </row>
    <row r="67" spans="1:2" x14ac:dyDescent="0.3">
      <c r="A67" s="12" t="s">
        <v>298</v>
      </c>
      <c r="B67" s="12" t="s">
        <v>57</v>
      </c>
    </row>
    <row r="68" spans="1:2" x14ac:dyDescent="0.3">
      <c r="A68" s="20" t="s">
        <v>316</v>
      </c>
      <c r="B68" s="20" t="s">
        <v>57</v>
      </c>
    </row>
  </sheetData>
  <sheetProtection selectLockedCells="1"/>
  <dataValidations count="1">
    <dataValidation type="list" showInputMessage="1" showErrorMessage="1" sqref="B2:B68">
      <formula1>$I$2:$I$4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Index</vt:lpstr>
      <vt:lpstr>Sheet1</vt:lpstr>
      <vt:lpstr>Ranked Sections</vt:lpstr>
      <vt:lpstr>callNumMask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2014-09-19T21:00:15Z</dcterms:modified>
</cp:coreProperties>
</file>