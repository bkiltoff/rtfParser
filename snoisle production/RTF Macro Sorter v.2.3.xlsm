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8184" activeTab="1"/>
  </bookViews>
  <sheets>
    <sheet name="LYN RTF daily report1" sheetId="57" r:id="rId1"/>
    <sheet name="Index" sheetId="13" r:id="rId2"/>
    <sheet name="Sheet1" sheetId="41" r:id="rId3"/>
    <sheet name="Ranked Sections" sheetId="14" r:id="rId4"/>
  </sheets>
  <functionGroups builtInGroupCount="18"/>
  <definedNames>
    <definedName name="_xlnm._FilterDatabase" localSheetId="1" hidden="1">Index!#REF!</definedName>
    <definedName name="_xlnm._FilterDatabase" localSheetId="3" hidden="1">'Ranked Sections'!#REF!</definedName>
    <definedName name="callNumMask">Index!$D$1:$D$166</definedName>
    <definedName name="_xlnm.Print_Titles" localSheetId="0">'LYN RTF daily report1'!$1:$3</definedName>
  </definedNames>
  <calcPr calcId="152511"/>
  <fileRecoveryPr autoRecover="0"/>
</workbook>
</file>

<file path=xl/calcChain.xml><?xml version="1.0" encoding="utf-8"?>
<calcChain xmlns="http://schemas.openxmlformats.org/spreadsheetml/2006/main">
  <c r="C166" i="13" l="1"/>
  <c r="D166" i="13" s="1"/>
  <c r="C157" i="13" l="1"/>
  <c r="D157" i="13" s="1"/>
  <c r="C165" i="13" l="1"/>
  <c r="D165" i="13" s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8" i="13"/>
  <c r="C159" i="13"/>
  <c r="C160" i="13"/>
  <c r="C161" i="13"/>
  <c r="C162" i="13"/>
  <c r="C163" i="13"/>
  <c r="C164" i="13"/>
  <c r="D46" i="13" l="1"/>
  <c r="D44" i="13"/>
  <c r="D43" i="13"/>
  <c r="D42" i="13"/>
  <c r="D41" i="13"/>
  <c r="D40" i="13"/>
  <c r="D39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8" i="13"/>
  <c r="D159" i="13"/>
  <c r="D160" i="13"/>
  <c r="D161" i="13"/>
  <c r="D162" i="13"/>
  <c r="D163" i="13"/>
  <c r="D164" i="13"/>
  <c r="D11" i="13" l="1"/>
  <c r="D45" i="13"/>
</calcChain>
</file>

<file path=xl/sharedStrings.xml><?xml version="1.0" encoding="utf-8"?>
<sst xmlns="http://schemas.openxmlformats.org/spreadsheetml/2006/main" count="2363" uniqueCount="937">
  <si>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</si>
  <si>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</si>
  <si>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</si>
  <si>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</si>
  <si>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</si>
  <si>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</si>
  <si>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</si>
  <si>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</si>
  <si>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</si>
  <si>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</si>
  <si>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</si>
  <si>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</si>
  <si>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</si>
  <si>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</si>
  <si>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</si>
  <si>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</si>
  <si>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</si>
  <si>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</si>
  <si>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</si>
  <si>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</si>
  <si>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</si>
  <si>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</si>
  <si>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</si>
  <si>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</si>
  <si>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</si>
  <si>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</si>
  <si>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</si>
  <si>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</si>
  <si>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</si>
  <si>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</si>
  <si>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</si>
  <si>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</si>
  <si>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</si>
  <si>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</si>
  <si>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</si>
  <si>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</si>
  <si>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</si>
  <si>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</si>
  <si>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</si>
  <si>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</si>
  <si>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</si>
  <si>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</si>
  <si>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</si>
  <si>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</si>
  <si>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</si>
  <si>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</si>
  <si>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</si>
  <si>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</si>
  <si>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</si>
  <si>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</si>
  <si>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</si>
  <si>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</si>
  <si>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</si>
  <si>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</si>
  <si>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</si>
  <si>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</si>
  <si>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</si>
  <si>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</si>
  <si>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</si>
  <si>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</si>
  <si>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</si>
  <si>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</si>
  <si>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</si>
  <si>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</si>
  <si>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</si>
  <si>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</si>
  <si>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</si>
  <si>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</si>
  <si>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</si>
  <si>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</si>
  <si>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</si>
  <si>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</si>
  <si>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</si>
  <si>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</si>
  <si>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</si>
  <si>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</si>
  <si>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</si>
  <si>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</si>
  <si>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</si>
  <si>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</si>
  <si>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</si>
  <si>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</si>
  <si>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</si>
  <si>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</si>
  <si>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</si>
  <si>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</si>
  <si>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</si>
  <si>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</si>
  <si>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</si>
  <si>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</si>
  <si>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</si>
  <si>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</si>
  <si>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</si>
  <si>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</si>
  <si>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</si>
  <si>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</si>
  <si>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</si>
  <si>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</si>
  <si>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</si>
  <si>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</si>
  <si>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</si>
  <si>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</si>
  <si>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</si>
  <si>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</si>
  <si>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</si>
  <si>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</si>
  <si>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</si>
  <si>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</si>
  <si>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</si>
  <si>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</si>
  <si>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</si>
  <si>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</si>
  <si>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</si>
  <si>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</si>
  <si>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</si>
  <si>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</si>
  <si>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</si>
  <si>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</si>
  <si>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</si>
  <si>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</si>
  <si>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</si>
  <si>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</si>
  <si>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</si>
  <si>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</si>
  <si>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</si>
  <si>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</si>
  <si>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</si>
  <si>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</si>
  <si>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</si>
  <si>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</si>
  <si>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</si>
  <si>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</si>
  <si>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</si>
  <si>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</si>
  <si>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</si>
  <si>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</si>
  <si>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</si>
  <si>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</si>
  <si>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</si>
  <si>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</si>
  <si>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</si>
  <si>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</si>
  <si>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</si>
  <si>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</si>
  <si>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</si>
  <si>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</si>
  <si>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</si>
  <si>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</si>
  <si>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</si>
  <si>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</si>
  <si>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</si>
  <si>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</si>
  <si>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</si>
  <si>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</si>
  <si>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</si>
  <si>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</si>
  <si>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</si>
  <si>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</si>
  <si>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</si>
  <si>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</si>
  <si>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</si>
  <si>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</si>
  <si>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</si>
  <si>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</si>
  <si>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</si>
  <si>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</si>
  <si>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</si>
  <si>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</si>
  <si>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</si>
  <si>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</si>
  <si>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</si>
  <si>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</si>
  <si>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</si>
  <si>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</si>
  <si>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</si>
  <si>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</si>
  <si>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</si>
  <si>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</si>
  <si>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</si>
  <si>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</si>
  <si>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</si>
  <si>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</si>
  <si>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</si>
  <si>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</si>
  <si>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</si>
  <si>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</si>
  <si>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</si>
  <si>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</si>
  <si>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</si>
  <si>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</si>
  <si>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</si>
  <si>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</si>
  <si>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</si>
  <si>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</si>
  <si>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</si>
  <si>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</si>
  <si>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</si>
  <si>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</si>
  <si>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</si>
  <si>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</si>
  <si>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</si>
  <si>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</si>
  <si>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</si>
  <si>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</si>
  <si>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</si>
  <si>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</si>
  <si>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</si>
  <si>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</si>
  <si>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</si>
  <si>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</si>
  <si>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</si>
  <si>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</si>
  <si>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</si>
  <si>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</si>
  <si>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</si>
  <si>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</si>
  <si>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</si>
  <si>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</si>
  <si>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</si>
  <si>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</si>
  <si>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</si>
  <si>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</si>
  <si>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</si>
  <si>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</si>
  <si>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</si>
  <si>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</si>
  <si>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</si>
  <si>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</si>
  <si>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</si>
  <si>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</si>
  <si>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</si>
  <si>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</si>
  <si>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</si>
  <si>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</si>
  <si>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</si>
  <si>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</si>
  <si>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</si>
  <si>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</si>
  <si>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</si>
  <si>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</si>
  <si>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</si>
  <si>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</si>
  <si>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</si>
  <si>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</si>
  <si>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</si>
  <si>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</si>
  <si>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</si>
  <si>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</si>
  <si>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</si>
  <si>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</si>
  <si>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</si>
  <si>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</si>
  <si>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</si>
  <si>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</si>
  <si>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</si>
  <si>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</si>
  <si>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</si>
  <si>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</si>
  <si>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</si>
  <si>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</si>
  <si>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</si>
  <si>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</si>
  <si>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</si>
  <si>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</si>
  <si>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</si>
  <si>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</si>
  <si>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</si>
  <si>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</si>
  <si>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</si>
  <si>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</si>
  <si>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</si>
  <si>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</si>
  <si>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</si>
  <si>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</si>
  <si>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</si>
  <si>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</si>
  <si>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</si>
  <si>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</si>
  <si>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</si>
  <si>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</si>
  <si>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</si>
  <si>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</si>
  <si>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</si>
  <si>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</si>
  <si>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</si>
  <si>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</si>
  <si>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</si>
  <si>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</si>
  <si>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</si>
  <si>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</si>
  <si>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</si>
  <si>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</si>
  <si>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</si>
  <si>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</si>
  <si>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</si>
  <si>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</si>
  <si>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</si>
  <si>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</si>
  <si>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</si>
  <si>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</si>
  <si>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</si>
  <si>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</si>
  <si>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</si>
  <si>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</si>
  <si>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</si>
  <si>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</si>
  <si>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Call Number Mask</t>
  </si>
  <si>
    <t>Dewey Number</t>
  </si>
  <si>
    <t>Bad Data</t>
  </si>
  <si>
    <t>NoCallNumber</t>
  </si>
  <si>
    <t>Graphic Novels</t>
  </si>
  <si>
    <t>LYN RTF daily report1</t>
  </si>
  <si>
    <t>Collection</t>
  </si>
  <si>
    <t>Item Barcode</t>
  </si>
  <si>
    <t>Shelf Loc</t>
  </si>
  <si>
    <t>CallNumber</t>
  </si>
  <si>
    <t>Author</t>
  </si>
  <si>
    <t>Title</t>
  </si>
  <si>
    <t>Publisher</t>
  </si>
  <si>
    <t>Pub Year</t>
  </si>
  <si>
    <t>CD 458.2421 LYM4511</t>
  </si>
  <si>
    <t>Lymbery, Sylvia.</t>
  </si>
  <si>
    <t>Perfect your Italian</t>
  </si>
  <si>
    <t>Hodder Educational ;</t>
  </si>
  <si>
    <t>CD 811.008 OUR12</t>
  </si>
  <si>
    <t>Our souls have grown deep like the rivers Black poets read their work.</t>
  </si>
  <si>
    <t>Rhino/Word Beat,</t>
  </si>
  <si>
    <t>CD FIC THO7738</t>
  </si>
  <si>
    <t>Thoene, Bodie, 1951-</t>
  </si>
  <si>
    <t>The gathering storm</t>
  </si>
  <si>
    <t>Oasis Audio,</t>
  </si>
  <si>
    <t>CD M BIE6934</t>
  </si>
  <si>
    <t>Bieber, Justin, 1994-</t>
  </si>
  <si>
    <t>Believe</t>
  </si>
  <si>
    <t>Island Def Jam Music Group,</t>
  </si>
  <si>
    <t>CD M COH402</t>
  </si>
  <si>
    <t>Cohen, Leonard, 1934-</t>
  </si>
  <si>
    <t>Songs from a room</t>
  </si>
  <si>
    <t>Sony BMG Music Entertainment :</t>
  </si>
  <si>
    <t>CD MA CAG9658</t>
  </si>
  <si>
    <t>Cage the Elephant (Musical group)</t>
  </si>
  <si>
    <t>Cage the Elephant</t>
  </si>
  <si>
    <t>Jive Records,</t>
  </si>
  <si>
    <t>CD MA COL7553</t>
  </si>
  <si>
    <t>Coldplay (Musical group)</t>
  </si>
  <si>
    <t>Mylo xyloto</t>
  </si>
  <si>
    <t>Capitol Records,</t>
  </si>
  <si>
    <t>CD MR BOARDS</t>
  </si>
  <si>
    <t>Boards of Canada (Musical group)</t>
  </si>
  <si>
    <t>Tomorrow's harvest</t>
  </si>
  <si>
    <t>Warp Records,</t>
  </si>
  <si>
    <t>CD MR HAL5927</t>
  </si>
  <si>
    <t>Hall, Daryl.</t>
  </si>
  <si>
    <t>Laughing down crying</t>
  </si>
  <si>
    <t>Verve Forecast,</t>
  </si>
  <si>
    <t>CD MR MELLENC</t>
  </si>
  <si>
    <t>Mellencamp, John, 1951-</t>
  </si>
  <si>
    <t>Scarecrow</t>
  </si>
  <si>
    <t>Mercury/Island :</t>
  </si>
  <si>
    <t>CD MR PAN524</t>
  </si>
  <si>
    <t>Panic! at the Disco (Musical group)</t>
  </si>
  <si>
    <t>Pretty. odd.</t>
  </si>
  <si>
    <t>Decaydance :</t>
  </si>
  <si>
    <t>CD R MONK</t>
  </si>
  <si>
    <t>Monk, Thelonious.</t>
  </si>
  <si>
    <t>Genius of modern music. Volume two</t>
  </si>
  <si>
    <t>Blue Note,</t>
  </si>
  <si>
    <t>CD U NEL79</t>
  </si>
  <si>
    <t>Nelson, Willie, 1933-</t>
  </si>
  <si>
    <t>You don't know me the songs of Cindy Walker</t>
  </si>
  <si>
    <t>Lost Highway,</t>
  </si>
  <si>
    <t>CD U OUT96</t>
  </si>
  <si>
    <t>Outlaws (Musical group)</t>
  </si>
  <si>
    <t>It's about pride</t>
  </si>
  <si>
    <t>Mirror Lake Records/Rocket Science Ventu</t>
  </si>
  <si>
    <t>DVD TEA4237</t>
  </si>
  <si>
    <t>Team America world police</t>
  </si>
  <si>
    <t>Paramount,</t>
  </si>
  <si>
    <t>DVD PAS852</t>
  </si>
  <si>
    <t>A Passage to India</t>
  </si>
  <si>
    <t>Columbia Tristar Home Video,</t>
  </si>
  <si>
    <t>DVD WAR7767</t>
  </si>
  <si>
    <t>War of the buttons</t>
  </si>
  <si>
    <t>Warner Home Video,</t>
  </si>
  <si>
    <t>DVD-ED 641.21 THR49</t>
  </si>
  <si>
    <t>Three sheets. Season 1 the world's ultimate pub crawl.</t>
  </si>
  <si>
    <t>Mojo :</t>
  </si>
  <si>
    <t>DVD-ED 796.812 TOP 50</t>
  </si>
  <si>
    <t>The top 50 superstars of all time</t>
  </si>
  <si>
    <t>Vivendi Entertainment,</t>
  </si>
  <si>
    <t>DVD-ED 910.4092 IDI6040</t>
  </si>
  <si>
    <t>An idiot abroad. 2</t>
  </si>
  <si>
    <t>Distributed by BBC Worldwide Americas ;</t>
  </si>
  <si>
    <t>DVD-ED 919.694 OVE666</t>
  </si>
  <si>
    <t>Over Hawai'i [aerial views of Hawaii, Maui, Lanai, Molokai, Oahu and Kauai] / KCTS Television.</t>
  </si>
  <si>
    <t>TOPICS Entertainment,</t>
  </si>
  <si>
    <t>DVD CAP8811</t>
  </si>
  <si>
    <t>Captain Abu Raed</t>
  </si>
  <si>
    <t>Terra Entertainment :</t>
  </si>
  <si>
    <t>DVD DEAD</t>
  </si>
  <si>
    <t>The dead</t>
  </si>
  <si>
    <t>Anchor Bay Entertainment,</t>
  </si>
  <si>
    <t>DVD ARE800</t>
  </si>
  <si>
    <t>Are you being served? Volume 9</t>
  </si>
  <si>
    <t>BBC Video ;</t>
  </si>
  <si>
    <t>DVD INSPECT</t>
  </si>
  <si>
    <t>Inspector Lewis. Series 6</t>
  </si>
  <si>
    <t>PBS Distribution,</t>
  </si>
  <si>
    <t>E ANDREAE</t>
  </si>
  <si>
    <t>Andreae, Giles, 1966-</t>
  </si>
  <si>
    <t>Giraffes can't dance</t>
  </si>
  <si>
    <t>Orchard Books,</t>
  </si>
  <si>
    <t>E BARNETT</t>
  </si>
  <si>
    <t>Barnett, Mac.</t>
  </si>
  <si>
    <t>Oh no! Not again! : (or how I built a time machine to save history) (or at least my history grade)</t>
  </si>
  <si>
    <t>Disney-Hyperion,</t>
  </si>
  <si>
    <t>E BARTON</t>
  </si>
  <si>
    <t>Barton, Byron.</t>
  </si>
  <si>
    <t>Boats</t>
  </si>
  <si>
    <t>Crowell,</t>
  </si>
  <si>
    <t>E BOYD</t>
  </si>
  <si>
    <t>Boyd, Lizi, 1953-</t>
  </si>
  <si>
    <t>Inside outside</t>
  </si>
  <si>
    <t>Chronicle Books,</t>
  </si>
  <si>
    <t>E BRUEL</t>
  </si>
  <si>
    <t>Bruel, Nick.</t>
  </si>
  <si>
    <t>Bad kitty</t>
  </si>
  <si>
    <t>Roaring Brook Press,</t>
  </si>
  <si>
    <t>E CARLE</t>
  </si>
  <si>
    <t>Carle, Eric.</t>
  </si>
  <si>
    <t>The very busy spider</t>
  </si>
  <si>
    <t>Philomel Books,</t>
  </si>
  <si>
    <t>E COHN</t>
  </si>
  <si>
    <t>Cohn, Scotti, 1950-</t>
  </si>
  <si>
    <t>Big cat, little kitty</t>
  </si>
  <si>
    <t>Sylvan Dell Pub.,</t>
  </si>
  <si>
    <t>E GEIST</t>
  </si>
  <si>
    <t>Geist, Ken.</t>
  </si>
  <si>
    <t>The three little fish and the big bad shark</t>
  </si>
  <si>
    <t>Scholastic,</t>
  </si>
  <si>
    <t>E KIRK</t>
  </si>
  <si>
    <t>Kirk, Katie.</t>
  </si>
  <si>
    <t>Eli, no!</t>
  </si>
  <si>
    <t>Abrams Books for Young Readers,</t>
  </si>
  <si>
    <t>E MONKS</t>
  </si>
  <si>
    <t>Monks, Lydia.</t>
  </si>
  <si>
    <t>Aaaarrgghh! spider!</t>
  </si>
  <si>
    <t>Houghton Mifflin,</t>
  </si>
  <si>
    <t>E WIESNER</t>
  </si>
  <si>
    <t>Wiesner, David.</t>
  </si>
  <si>
    <t>June 29, 1999</t>
  </si>
  <si>
    <t>Clarion Books,</t>
  </si>
  <si>
    <t>E HENKES</t>
  </si>
  <si>
    <t>Henkes, Kevin.</t>
  </si>
  <si>
    <t>Kitten's first full moon</t>
  </si>
  <si>
    <t>Greenwillow Books,</t>
  </si>
  <si>
    <t>E SHAW</t>
  </si>
  <si>
    <t>Shaw, Charles Green, 1892-1974.</t>
  </si>
  <si>
    <t>It looked like spilt milk</t>
  </si>
  <si>
    <t>Harper &amp; Row,</t>
  </si>
  <si>
    <t>E 595.44 WADSWOR</t>
  </si>
  <si>
    <t>Wadsworth, Ginger.</t>
  </si>
  <si>
    <t>Up, up, and away</t>
  </si>
  <si>
    <t>Charlesbridge,</t>
  </si>
  <si>
    <t>E 612.31 ENSLOW</t>
  </si>
  <si>
    <t>Enslow, Brian.</t>
  </si>
  <si>
    <t>My mouth</t>
  </si>
  <si>
    <t>Bailey Books,</t>
  </si>
  <si>
    <t>E 612.8 HENGEL</t>
  </si>
  <si>
    <t>Hengel, Katherine.</t>
  </si>
  <si>
    <t>Senses are for everything: the five senses</t>
  </si>
  <si>
    <t>ABDO Pub. Company,</t>
  </si>
  <si>
    <t>E 612.84 ENSLOW</t>
  </si>
  <si>
    <t>My eyes</t>
  </si>
  <si>
    <t>E 612.97 ENSLOW</t>
  </si>
  <si>
    <t>My hands and feet</t>
  </si>
  <si>
    <t>FIC BALDWIN</t>
  </si>
  <si>
    <t>Baldwin, James, 1924-1987.</t>
  </si>
  <si>
    <t>Go tell it on the mountain</t>
  </si>
  <si>
    <t>The Modern Library,</t>
  </si>
  <si>
    <t>FIC BELLOW</t>
  </si>
  <si>
    <t>Bellow, Saul.</t>
  </si>
  <si>
    <t>The adventures of Augie March</t>
  </si>
  <si>
    <t>Knopf :</t>
  </si>
  <si>
    <t>FIC CHEVALI</t>
  </si>
  <si>
    <t>Chevalier, Tracy.</t>
  </si>
  <si>
    <t>The last runaway</t>
  </si>
  <si>
    <t>Dutton,</t>
  </si>
  <si>
    <t>FIC CROUCH</t>
  </si>
  <si>
    <t>Crouch, Blake.</t>
  </si>
  <si>
    <t>Wayward</t>
  </si>
  <si>
    <t>Thomas &amp; Mercer,</t>
  </si>
  <si>
    <t>FIC FREMANT</t>
  </si>
  <si>
    <t>Fremantle, Elizabeth.</t>
  </si>
  <si>
    <t>Queen's gambit</t>
  </si>
  <si>
    <t>FIC GUHRKE</t>
  </si>
  <si>
    <t>Guhrke, Laura Lee.</t>
  </si>
  <si>
    <t>Scandal of the year</t>
  </si>
  <si>
    <t>Avon,</t>
  </si>
  <si>
    <t>Wedding of the season</t>
  </si>
  <si>
    <t>Avon Books,</t>
  </si>
  <si>
    <t>And then he kissed her</t>
  </si>
  <si>
    <t>FIC KIM</t>
  </si>
  <si>
    <t>Kim, Hyung-Min.</t>
  </si>
  <si>
    <t>March story. 2</t>
  </si>
  <si>
    <t>Viz Media,</t>
  </si>
  <si>
    <t>FIC KITTRED</t>
  </si>
  <si>
    <t>Kittredge, Caitlin.</t>
  </si>
  <si>
    <t>Pure blood</t>
  </si>
  <si>
    <t>St. Martin's Paperbacks,</t>
  </si>
  <si>
    <t>FIC MARSH</t>
  </si>
  <si>
    <t>Marsh, Anne, 1971-</t>
  </si>
  <si>
    <t>Wicked sexy</t>
  </si>
  <si>
    <t>FIC ROSENBE</t>
  </si>
  <si>
    <t>Rosenberg, Joel C., 1967-</t>
  </si>
  <si>
    <t>The Tehran initiative</t>
  </si>
  <si>
    <t>Tyndale House Publishers,</t>
  </si>
  <si>
    <t>FIC SALINGE</t>
  </si>
  <si>
    <t>Salinger, J. D. (Jerome David), 1919-2010.</t>
  </si>
  <si>
    <t>The catcher in the rye.</t>
  </si>
  <si>
    <t>Little, Brown,</t>
  </si>
  <si>
    <t>FIC SEYMOUR</t>
  </si>
  <si>
    <t>Seymour, Gerald.</t>
  </si>
  <si>
    <t>The walking dead</t>
  </si>
  <si>
    <t>Overlook Press,</t>
  </si>
  <si>
    <t>FIC THOENE</t>
  </si>
  <si>
    <t>Twelfth prophecy</t>
  </si>
  <si>
    <t>FIC WEBER</t>
  </si>
  <si>
    <t>Weber, Carl.</t>
  </si>
  <si>
    <t>The choir director</t>
  </si>
  <si>
    <t>Kensingron Pub. Corp.,</t>
  </si>
  <si>
    <t>FIC LYNCH</t>
  </si>
  <si>
    <t>Lynch, Scott, 1978-</t>
  </si>
  <si>
    <t>The lies of Locke Lamora</t>
  </si>
  <si>
    <t>Bantam,</t>
  </si>
  <si>
    <t>FIC DOUGLAS</t>
  </si>
  <si>
    <t>Douglas, Carole Nelson.</t>
  </si>
  <si>
    <t>Cat in an ultramarine scheme</t>
  </si>
  <si>
    <t>Forge,</t>
  </si>
  <si>
    <t>The cat and the Jill of diamonds</t>
  </si>
  <si>
    <t>Five Star,</t>
  </si>
  <si>
    <t>Cat in a quicksilver caper</t>
  </si>
  <si>
    <t>FIC GAUS</t>
  </si>
  <si>
    <t>Gaus, Paul L.</t>
  </si>
  <si>
    <t>The names of our tears</t>
  </si>
  <si>
    <t>FIC GREENWO</t>
  </si>
  <si>
    <t>Greenwood, Kerry.</t>
  </si>
  <si>
    <t>Murder in Montparnasse</t>
  </si>
  <si>
    <t>Poisoned Pen Press,</t>
  </si>
  <si>
    <t>FIC STABENO</t>
  </si>
  <si>
    <t>Stabenow, Dana.</t>
  </si>
  <si>
    <t>A cold day for murder</t>
  </si>
  <si>
    <t>TEEN SAKURAG</t>
  </si>
  <si>
    <t>Sakuragi, Yukiya.</t>
  </si>
  <si>
    <t>Inubaka. 5, Crazy for dogs</t>
  </si>
  <si>
    <t>VIZ Media,</t>
  </si>
  <si>
    <t>Inubaka. 6, Crazy for dogs</t>
  </si>
  <si>
    <t>TEEN SUGISAK</t>
  </si>
  <si>
    <t>Sugisaki, Yukiru.</t>
  </si>
  <si>
    <t>Lagoon engine. Volume 5</t>
  </si>
  <si>
    <t>TokyoPop,</t>
  </si>
  <si>
    <t>Lagoon engine. Volume 7</t>
  </si>
  <si>
    <t>Tokyopop,</t>
  </si>
  <si>
    <t>TEEN TAKAHAS</t>
  </si>
  <si>
    <t>Takahashi, Rumiko, 1957-</t>
  </si>
  <si>
    <t>InuYasha. [Volume 9]</t>
  </si>
  <si>
    <t>TEEN TORIYAM</t>
  </si>
  <si>
    <t>Toriyama, Akira, 1955-</t>
  </si>
  <si>
    <t>Dragon Ball Z. Vol. 9</t>
  </si>
  <si>
    <t>Viz,</t>
  </si>
  <si>
    <t>In Library Use Only</t>
  </si>
  <si>
    <t>Ju bu saeng hwal v. 50 no. 592  (July 2014)</t>
  </si>
  <si>
    <t>Hakwon Pub. Co.,</t>
  </si>
  <si>
    <t>Tiè̂n phong. Number 917  (Mar. 15 2014)</t>
  </si>
  <si>
    <t>Nguye^~n Thanh Hoa`ng]</t>
  </si>
  <si>
    <t>J CD OM DAV2659</t>
  </si>
  <si>
    <t>Davis, Lydia Adams.</t>
  </si>
  <si>
    <t>One earth so green and round</t>
  </si>
  <si>
    <t>Three Feathers Music,</t>
  </si>
  <si>
    <t>J CD OM VEG5074</t>
  </si>
  <si>
    <t>VeggieTales 25 favorite very veggie tunes!</t>
  </si>
  <si>
    <t>Big Idea Records,</t>
  </si>
  <si>
    <t>J DVD-ED 419 SIG155</t>
  </si>
  <si>
    <t>Signing time!. Series two, volume 6. Days of the week</t>
  </si>
  <si>
    <t>Two Little Hands Productions,</t>
  </si>
  <si>
    <t>J DVD-ED 419 SIG157</t>
  </si>
  <si>
    <t>Signing time!. Series two, volume 7, My favorite sport</t>
  </si>
  <si>
    <t>J DVD-ED 419 SIG369</t>
  </si>
  <si>
    <t>Signing time!. Series 2, volume 1, Nice to meet you</t>
  </si>
  <si>
    <t>J DVD-ED 419 SIG40</t>
  </si>
  <si>
    <t>Signing time!. Volume 13, Welcome to school</t>
  </si>
  <si>
    <t>J DVD-ED 419 SIG7</t>
  </si>
  <si>
    <t>Signing time!. Volume 7, Leah's farm</t>
  </si>
  <si>
    <t>J DVD-ED 419 SIGNING</t>
  </si>
  <si>
    <t>Signing time!. Volume 2, Playtime signs</t>
  </si>
  <si>
    <t>Signing time!. Volume 6, my favorite things</t>
  </si>
  <si>
    <t>Two little hands Productions,</t>
  </si>
  <si>
    <t>Signing time!. Volume 1, My first signs</t>
  </si>
  <si>
    <t>Signing time!. Volume 3, Everyday signs</t>
  </si>
  <si>
    <t>Signing time!. Series two, volume 11, Once upon a time</t>
  </si>
  <si>
    <t>J DVD-ED 612.84 SEE260</t>
  </si>
  <si>
    <t>See my world</t>
  </si>
  <si>
    <t>Braincandy ;</t>
  </si>
  <si>
    <t>J DARLING</t>
  </si>
  <si>
    <t>Darling, Angela, 1965-</t>
  </si>
  <si>
    <t>Lauren's beach crush</t>
  </si>
  <si>
    <t>Simon Spotlight,</t>
  </si>
  <si>
    <t>J GAIMAN</t>
  </si>
  <si>
    <t>Gaiman, Neil.</t>
  </si>
  <si>
    <t>Fortunately, the milk</t>
  </si>
  <si>
    <t>J HENRY</t>
  </si>
  <si>
    <t>Henry, Marguerite, 1902-1997.</t>
  </si>
  <si>
    <t>Misty of Chincoteague</t>
  </si>
  <si>
    <t>Macmillan Pub. Co.,</t>
  </si>
  <si>
    <t>J HIMEKAW</t>
  </si>
  <si>
    <t>Himekawa, Akira.</t>
  </si>
  <si>
    <t>The legend of Zelda. [9], A link to the past</t>
  </si>
  <si>
    <t>J HUNTER</t>
  </si>
  <si>
    <t>Hunter, Erin, author.</t>
  </si>
  <si>
    <t>Forest of wolves</t>
  </si>
  <si>
    <t>J KRULIK</t>
  </si>
  <si>
    <t>Krulik, Nancy E.</t>
  </si>
  <si>
    <t>The case of the loose-toothed shark</t>
  </si>
  <si>
    <t>J MEADOWS</t>
  </si>
  <si>
    <t>Meadows, Daisy.</t>
  </si>
  <si>
    <t>Lindsay the luck fairy</t>
  </si>
  <si>
    <t>J ORR</t>
  </si>
  <si>
    <t>Orr, Wendy, 1953-</t>
  </si>
  <si>
    <t>Wanted! A guinea pig called Henry</t>
  </si>
  <si>
    <t>Henry Holt and Co.,</t>
  </si>
  <si>
    <t>J SERIES 39 CLUE CAHILLS</t>
  </si>
  <si>
    <t>Smith, Roland, 1951-</t>
  </si>
  <si>
    <t>Shatterproof</t>
  </si>
  <si>
    <t>Lerangis, Peter.</t>
  </si>
  <si>
    <t>The dead of night</t>
  </si>
  <si>
    <t>J SERIES A TO Z</t>
  </si>
  <si>
    <t>Roy, Ron, 1940-</t>
  </si>
  <si>
    <t>The ninth nugget</t>
  </si>
  <si>
    <t>Random House,</t>
  </si>
  <si>
    <t>The orange outlaw</t>
  </si>
  <si>
    <t>J SERIES GUINEA</t>
  </si>
  <si>
    <t>Venable, Colleen A. F.</t>
  </si>
  <si>
    <t>The ferret's a foot</t>
  </si>
  <si>
    <t>Graphic Universe,</t>
  </si>
  <si>
    <t>Fish you were here</t>
  </si>
  <si>
    <t>J SERIES LIZZIE</t>
  </si>
  <si>
    <t>Jones, Jasmine.</t>
  </si>
  <si>
    <t>Head over heels</t>
  </si>
  <si>
    <t>Disney Press,</t>
  </si>
  <si>
    <t>Best dressed</t>
  </si>
  <si>
    <t>J SERIES UNICORN</t>
  </si>
  <si>
    <t>Duey, Kathleen</t>
  </si>
  <si>
    <t>Moonsilver</t>
  </si>
  <si>
    <t>Aladdin Paperbacks,</t>
  </si>
  <si>
    <t>The silver bracelet</t>
  </si>
  <si>
    <t>Aladdin,</t>
  </si>
  <si>
    <t>J STONE</t>
  </si>
  <si>
    <t>Stone, Jeff.</t>
  </si>
  <si>
    <t>Monkey</t>
  </si>
  <si>
    <t>Crane</t>
  </si>
  <si>
    <t>Snake</t>
  </si>
  <si>
    <t>Dragon</t>
  </si>
  <si>
    <t>J SUTHERL</t>
  </si>
  <si>
    <t>Sutherland, Tui, 1978- author.</t>
  </si>
  <si>
    <t>Dragon on trial</t>
  </si>
  <si>
    <t>Discovery girls. v. 14 no. 5  (Aug./Sep. 2014)</t>
  </si>
  <si>
    <t>Discovery Girls, Inc.,</t>
  </si>
  <si>
    <t>J 372.623 JAMES</t>
  </si>
  <si>
    <t>James, Elizabeth.</t>
  </si>
  <si>
    <t>How to write super school reports</t>
  </si>
  <si>
    <t>Lothrop, Lee &amp; Shepard Books,</t>
  </si>
  <si>
    <t>J 621.3 COLE</t>
  </si>
  <si>
    <t>Cole, Joanna.</t>
  </si>
  <si>
    <t>The magic school bus and the electric field trip</t>
  </si>
  <si>
    <t>Scholastic Press,</t>
  </si>
  <si>
    <t>J 636.0889 ALTMAN</t>
  </si>
  <si>
    <t>Altman, Joyce.</t>
  </si>
  <si>
    <t>Lunch at the zoo : what zoo animals eat and why</t>
  </si>
  <si>
    <t>J 641.875 DUNNING</t>
  </si>
  <si>
    <t>Dunnington, Rose.</t>
  </si>
  <si>
    <t>Delicious drinks to sip, slurp, gulp &amp; guzzle</t>
  </si>
  <si>
    <t>Lark Books,</t>
  </si>
  <si>
    <t>J 912.73 NATIONA</t>
  </si>
  <si>
    <t>National Geographic kids United States atlas.</t>
  </si>
  <si>
    <t>National Geographic,</t>
  </si>
  <si>
    <t>LGE-TYPE 810.8035 WHEN I</t>
  </si>
  <si>
    <t>When I am an old woman I shall wear purple</t>
  </si>
  <si>
    <t>Papier-Mache Press,</t>
  </si>
  <si>
    <t>LGE-TYPE 973.92 GERGEN</t>
  </si>
  <si>
    <t>Gergen, David R. (David Richmond), 1942-</t>
  </si>
  <si>
    <t>Eyewitness to power : the essence of leadership Nixon to Clinton</t>
  </si>
  <si>
    <t>G.K. Hall,</t>
  </si>
  <si>
    <t>LGE-TYPE BERG</t>
  </si>
  <si>
    <t>Berg, Elizabeth.</t>
  </si>
  <si>
    <t>Dream when you're feeling blue : a novel</t>
  </si>
  <si>
    <t>Random House Large Print,</t>
  </si>
  <si>
    <t>The year of pleasures : a novel</t>
  </si>
  <si>
    <t>Self. v. 36 no. 7  (July 2014)</t>
  </si>
  <si>
    <t>Conde´ Nast Publications, etc.]</t>
  </si>
  <si>
    <t>Vanity fair v. 56 no. 8  (Aug. 2014)</t>
  </si>
  <si>
    <t>Vanity Fair Pub. Co.,</t>
  </si>
  <si>
    <t>Money v. 43 no. 6  (July 2014)</t>
  </si>
  <si>
    <t>Time Inc.,</t>
  </si>
  <si>
    <t>Golf magazine Vol. 56 No. 7  (July 2014)</t>
  </si>
  <si>
    <t>Times Mirror Magazines, etc.]</t>
  </si>
  <si>
    <t>Royalty monthly. v. 23 no. 6  (2014)</t>
  </si>
  <si>
    <t>Quavertree Ltd.</t>
  </si>
  <si>
    <t>Popular woodworking. v. 34 no. 212  (Aug. 2014)</t>
  </si>
  <si>
    <t>EGW Pub. Corp.,</t>
  </si>
  <si>
    <t>Eating well. v. 13 no. 4  (July/Aug. 2014)</t>
  </si>
  <si>
    <t>Eating Well Magazine,</t>
  </si>
  <si>
    <t>Crochet world Vol. 37 No. 4  (August 2014)</t>
  </si>
  <si>
    <t>House of White Birches]</t>
  </si>
  <si>
    <t>Astronomy v. 42 no. 8  (Aug. 2014)</t>
  </si>
  <si>
    <t>AstroMedia Corp.]</t>
  </si>
  <si>
    <t>Country living v. 37 no. 7  (July/Aug. 2014)</t>
  </si>
  <si>
    <t>Hearst Corp.,</t>
  </si>
  <si>
    <t>People. v. 82 no. 5  (Aug. 4 2014)</t>
  </si>
  <si>
    <t>Time Inc.]</t>
  </si>
  <si>
    <t>Us weekly. Issue 1016  (August 4 2014)</t>
  </si>
  <si>
    <t>Us Magazine LLC,</t>
  </si>
  <si>
    <t>Us weekly. Issue 1014  (July 21 2014)</t>
  </si>
  <si>
    <t>Quiltmaker. v. 33 no. 4  (July/Aug. 2014)</t>
  </si>
  <si>
    <t>Primedia Enthusiast Media,</t>
  </si>
  <si>
    <t>Quiltmaker. v. 33 no. 3  (May/June 2014)</t>
  </si>
  <si>
    <t>Threads magazine. no. 174  (Aug./Sep. 2014)</t>
  </si>
  <si>
    <t>Taunton Press,</t>
  </si>
  <si>
    <t>Orion. Vol. 33 No. 3  (May/July 2014)</t>
  </si>
  <si>
    <t>Myrin Institute,</t>
  </si>
  <si>
    <t>Kiplinger's retirement report. v. 21 no. 7  (July 2014)</t>
  </si>
  <si>
    <t>Kiplinger Washington Editors, Inc.,</t>
  </si>
  <si>
    <t>Lucky. v. 14 no. 6  (Aug. 2014)</t>
  </si>
  <si>
    <t>Conde Nast,</t>
  </si>
  <si>
    <t>The Nation. v. 299 no. 3/4  (21/28 July 2014)</t>
  </si>
  <si>
    <t>J.H. Richards,</t>
  </si>
  <si>
    <t>Natural solutions. no. 164  (June 2014)</t>
  </si>
  <si>
    <t>InnoVision,</t>
  </si>
  <si>
    <t>Bookmarks. No. 71  (July/August 2014)</t>
  </si>
  <si>
    <t>Phillips &amp; Nelson Media,</t>
  </si>
  <si>
    <t>Sight and sound. v. 24 no. 7  (July 2014)</t>
  </si>
  <si>
    <t>British Film Institute]</t>
  </si>
  <si>
    <t>Food network magazine. Volume 7 Number 6  (July/August 2014)</t>
  </si>
  <si>
    <t>Hearst Communications, Inc.</t>
  </si>
  <si>
    <t>Yoga journal. Issue 266  (August 2014)</t>
  </si>
  <si>
    <t>California Yoga Teachers Association,</t>
  </si>
  <si>
    <t>Traditional home. Volume XXV Issue V  (July/August 2014)</t>
  </si>
  <si>
    <t>Special Interest Publications,</t>
  </si>
  <si>
    <t>Car craft. Vol. 62 No. 9  (September 2014)</t>
  </si>
  <si>
    <t>Peterson Pub. Co.</t>
  </si>
  <si>
    <t>Sophisticate's hairstyle guide. v. 40 no. 6  (Sep. 2014)</t>
  </si>
  <si>
    <t>Associated Publications</t>
  </si>
  <si>
    <t>Jewelry stringing. v. 8 no. 3  (Summer 2014)</t>
  </si>
  <si>
    <t>Interweave Press</t>
  </si>
  <si>
    <t>Golf magazine Vol. 56 No. 8  (August 2014)</t>
  </si>
  <si>
    <t>Where to retire. v. 23 no. 4  (July/Aug. 2014)</t>
  </si>
  <si>
    <t>Vacation Publications, Inc.,</t>
  </si>
  <si>
    <t>Seattle metropolitan. v. 9 no. 8  (Aug. 2014)</t>
  </si>
  <si>
    <t>Seattle Metropolitan,</t>
  </si>
  <si>
    <t>Birds &amp; blooms. Vol. 20 No. 4  (August/September 2014)</t>
  </si>
  <si>
    <t>Reiman Publications,</t>
  </si>
  <si>
    <t>Fortune v. 170 no. 1  (July 21 2014)</t>
  </si>
  <si>
    <t>Time, inc., etc.]</t>
  </si>
  <si>
    <t>Seattle. v. 23 no. 7  (July 2014)</t>
  </si>
  <si>
    <t>Adams Pub. of the Pacific Northwest, Inc</t>
  </si>
  <si>
    <t>Harper's bazaar Issue 3625  (August 2014)</t>
  </si>
  <si>
    <t>Hearst Corp., etc.]</t>
  </si>
  <si>
    <t>Garden gate. no. 118  (Aug. 2014)</t>
  </si>
  <si>
    <t>Woodsmith Corp.,</t>
  </si>
  <si>
    <t>001.422 CARLBER</t>
  </si>
  <si>
    <t>Carlberg, Conrad George, author.</t>
  </si>
  <si>
    <t>Statistical analysis : Microsoft Excel 2013</t>
  </si>
  <si>
    <t>004.1602 GOOKIN</t>
  </si>
  <si>
    <t>Gookin, Dan.</t>
  </si>
  <si>
    <t>Troubleshooting &amp; maintaining your PC all-in-one for dummies</t>
  </si>
  <si>
    <t>Wiley Pub.,</t>
  </si>
  <si>
    <t>005.7565 HOLZNER</t>
  </si>
  <si>
    <t>Holzner, Steven.</t>
  </si>
  <si>
    <t>The complete idiot's guide to SQL</t>
  </si>
  <si>
    <t>Alpha Books</t>
  </si>
  <si>
    <t>111.8509 KOREN</t>
  </si>
  <si>
    <t>Koren, Leonard, 1948-</t>
  </si>
  <si>
    <t>Wabi-sabi for artists, designers, poets &amp; philosophers</t>
  </si>
  <si>
    <t>Imperfect Pub.,</t>
  </si>
  <si>
    <t>158.1 MCKENNA</t>
  </si>
  <si>
    <t>McKenna, Paul, 1963-</t>
  </si>
  <si>
    <t>Change your life in 7 days</t>
  </si>
  <si>
    <t>Sterling,</t>
  </si>
  <si>
    <t>289.7092 KIRKBY</t>
  </si>
  <si>
    <t>Kirkby, Mary-Ann.</t>
  </si>
  <si>
    <t>I am Hutterite : the fascinating true story of a young woman's journey to reclaim her heritage</t>
  </si>
  <si>
    <t>Thomas Nelson,</t>
  </si>
  <si>
    <t>291.13 CAMPBEL</t>
  </si>
  <si>
    <t>Campbell, Joseph, 1904-1987.</t>
  </si>
  <si>
    <t>Myths of light : Eastern metaphors of the eternal</t>
  </si>
  <si>
    <t>New World Library,</t>
  </si>
  <si>
    <t>294.3444 RINZLER</t>
  </si>
  <si>
    <t>Rinzler, Lodro.</t>
  </si>
  <si>
    <t>The Buddha walks into a bar : a guide to life for a new generation</t>
  </si>
  <si>
    <t>Shambhala,</t>
  </si>
  <si>
    <t>306.7082 SUGAR I</t>
  </si>
  <si>
    <t>Sugar in my bowl : real women write about real sex</t>
  </si>
  <si>
    <t>Ecco,</t>
  </si>
  <si>
    <t>362.8292 BANCROF</t>
  </si>
  <si>
    <t>Bancroft, Lundy.</t>
  </si>
  <si>
    <t>When dad hurts mom : helping your children heal the wounds of witnessing abuse</t>
  </si>
  <si>
    <t>G.P. Putnam's Sons,</t>
  </si>
  <si>
    <t>371.1 MENASCH</t>
  </si>
  <si>
    <t>Menasche, David.</t>
  </si>
  <si>
    <t>The priority list : a teacher's final quest to discover life's greatest lessons</t>
  </si>
  <si>
    <t>39067056668043</t>
  </si>
  <si>
    <t>378.1662 CRACKIN</t>
  </si>
  <si>
    <t>Cracking the PSAT NMSQT (2013)</t>
  </si>
  <si>
    <t>401.93 GOLINKO</t>
  </si>
  <si>
    <t>Golinkoff, Roberta M.</t>
  </si>
  <si>
    <t>How babies talk : the magic and mystery of language in the first three years of life</t>
  </si>
  <si>
    <t>410 DEUTSCH</t>
  </si>
  <si>
    <t>Deutscher, Guy, Dr.</t>
  </si>
  <si>
    <t>Through the language glass : why the world looks different in other languages</t>
  </si>
  <si>
    <t>Metropolitan Books/Henry Holt and Co.,</t>
  </si>
  <si>
    <t>597.5709 BEHNKE</t>
  </si>
  <si>
    <t>Behnke, Robert J.</t>
  </si>
  <si>
    <t>Trout and salmon of North America</t>
  </si>
  <si>
    <t>Free Press,</t>
  </si>
  <si>
    <t>616.72 DIANA</t>
  </si>
  <si>
    <t>Diana, Richard, 1960-</t>
  </si>
  <si>
    <t>Healthy joints for life : an orthopedic surgeon's proven plan to reduce pain and inflammation, avoid surgery and get moving again</t>
  </si>
  <si>
    <t>616.8521 PEASE B</t>
  </si>
  <si>
    <t>Pease Banitt, Susan.</t>
  </si>
  <si>
    <t>The trauma tool kit : healing PTSD from the inside out</t>
  </si>
  <si>
    <t>Quest Books,</t>
  </si>
  <si>
    <t>641.5973 HOME ST</t>
  </si>
  <si>
    <t>Home style cooking.</t>
  </si>
  <si>
    <t>Reiman Media Group, Inc.,</t>
  </si>
  <si>
    <t>641.71 BURGETT</t>
  </si>
  <si>
    <t>Burgett, Cathy.</t>
  </si>
  <si>
    <t>Essentials of baking : recipes and techniques for successful home baking</t>
  </si>
  <si>
    <t>Oxmoor House ;</t>
  </si>
  <si>
    <t>641.86 SAX</t>
  </si>
  <si>
    <t>Sax, Richard.</t>
  </si>
  <si>
    <t>Classic home desserts : a treasury of heirloom and contemporary recipes from around the world</t>
  </si>
  <si>
    <t>Houghton Mifflin Harcourt,</t>
  </si>
  <si>
    <t>646.7042 BROOKS</t>
  </si>
  <si>
    <t>Brooks, Amanda.</t>
  </si>
  <si>
    <t>I love your style : how to define and refine your personal style</t>
  </si>
  <si>
    <t>itbooks,</t>
  </si>
  <si>
    <t>646.77 MARSHAL</t>
  </si>
  <si>
    <t>Marshall, Bethany.</t>
  </si>
  <si>
    <t>Deal breakers : when to work on a relationship and when to walk away</t>
  </si>
  <si>
    <t>Simon Spotlight Entertainment,</t>
  </si>
  <si>
    <t>648.5 SPENCE</t>
  </si>
  <si>
    <t>Spence, Christina, 1974-</t>
  </si>
  <si>
    <t>No-hassle housecleaning</t>
  </si>
  <si>
    <t>Betterway Home,</t>
  </si>
  <si>
    <t>650.1 SHEPARD</t>
  </si>
  <si>
    <t>Shepard, Glenn, 1963-</t>
  </si>
  <si>
    <t>How to be the employee your company can't live without : 18 ways to become indispensable</t>
  </si>
  <si>
    <t>John Wiley,</t>
  </si>
  <si>
    <t>652.8 SINGH</t>
  </si>
  <si>
    <t>Singh, Simon.</t>
  </si>
  <si>
    <t>The code book : the science of secrecy from ancient Egypt to quantum cryptography</t>
  </si>
  <si>
    <t>Anchor Books,</t>
  </si>
  <si>
    <t>658.872 TURNER</t>
  </si>
  <si>
    <t>Turner, Jamie, 1961-</t>
  </si>
  <si>
    <t>How to make money with social media : an insider's guide on using new and emerging media to grow your business</t>
  </si>
  <si>
    <t>FT Press,</t>
  </si>
  <si>
    <t>720.92 MADDEX</t>
  </si>
  <si>
    <t>Maddex, Diane.</t>
  </si>
  <si>
    <t>50 favorite rooms by Frank Lloyd Wright</t>
  </si>
  <si>
    <t>Smithmark Publishers,</t>
  </si>
  <si>
    <t>736.982 ROBINSO</t>
  </si>
  <si>
    <t>Robinson, Nick, 1957-</t>
  </si>
  <si>
    <t>World's best origami</t>
  </si>
  <si>
    <t>Alpha,</t>
  </si>
  <si>
    <t>746.434 JENSEN</t>
  </si>
  <si>
    <t>Jensen, Candi.</t>
  </si>
  <si>
    <t>Knitting loves crochet : 22 stylish designs to hook up your knitting with a touch of crochet</t>
  </si>
  <si>
    <t>Storey Pub.,</t>
  </si>
  <si>
    <t>748.8207 POLAK</t>
  </si>
  <si>
    <t>Polak, Michael.</t>
  </si>
  <si>
    <t>Bottles : identification &amp; price guide</t>
  </si>
  <si>
    <t>Krause Pub.,</t>
  </si>
  <si>
    <t>781.49 HUNTER</t>
  </si>
  <si>
    <t>Hunter, Dave, 1962-</t>
  </si>
  <si>
    <t>The home recording handbook</t>
  </si>
  <si>
    <t>Backbeat Books,</t>
  </si>
  <si>
    <t>811.54 LEE</t>
  </si>
  <si>
    <t>Lee, Li-Young, 1957-</t>
  </si>
  <si>
    <t>Book of my nights : poems</t>
  </si>
  <si>
    <t>BOA Editions,</t>
  </si>
  <si>
    <t>814.6 CARRIER</t>
  </si>
  <si>
    <t>Carrier, Scott, 1957-</t>
  </si>
  <si>
    <t>Prisoner of Zion : Muslims, Mormons, and other misadventures</t>
  </si>
  <si>
    <t>Counterpoint :</t>
  </si>
  <si>
    <t>818.5409 ANGELOU</t>
  </si>
  <si>
    <t>Angelou, Maya.</t>
  </si>
  <si>
    <t>Letter to my daughter</t>
  </si>
  <si>
    <t>910.4 SANTELL</t>
  </si>
  <si>
    <t>Santella, Chris.</t>
  </si>
  <si>
    <t>Once in a lifetime trips : the world's 50 most extraordinary and memorable travel experiences</t>
  </si>
  <si>
    <t>Clarkson Potter/Publishers,</t>
  </si>
  <si>
    <t>973.916 UYS</t>
  </si>
  <si>
    <t>Uys, Errol Lincoln.</t>
  </si>
  <si>
    <t>Riding the rails : teenagers on the move during the Great Depression</t>
  </si>
  <si>
    <t>TV Books,</t>
  </si>
  <si>
    <t>BIO VICTORI DENNISO</t>
  </si>
  <si>
    <t>Dennison, Matthew.</t>
  </si>
  <si>
    <t>Queen Victoria : a life of contradictions</t>
  </si>
  <si>
    <t>E 599.885 ZOBEL</t>
  </si>
  <si>
    <t>Zobel, Derek, 1983-</t>
  </si>
  <si>
    <t>Chimpanzees</t>
  </si>
  <si>
    <t>Bellwether Media,</t>
  </si>
  <si>
    <t>E DEPKEN</t>
  </si>
  <si>
    <t>Depken, Kristen L.</t>
  </si>
  <si>
    <t>Driving school</t>
  </si>
  <si>
    <t>TEEN CD FIC MEYER</t>
  </si>
  <si>
    <t>Meyer, L. A. (Louis A.), 1942-</t>
  </si>
  <si>
    <t>Boston Jacky [being an account of the further adventures of Jacky Faber, taking care of business]</t>
  </si>
  <si>
    <t>Listen &amp; Live Audio,</t>
  </si>
  <si>
    <t>TEEN HARRING</t>
  </si>
  <si>
    <t>Harrington, Kim, 1974-</t>
  </si>
  <si>
    <t>Clarity</t>
  </si>
  <si>
    <t>Point,</t>
  </si>
  <si>
    <t>TEEN LORD</t>
  </si>
  <si>
    <t>Lord, Gabrielle.</t>
  </si>
  <si>
    <t>April</t>
  </si>
  <si>
    <t>Kane Miller,</t>
  </si>
  <si>
    <t>March</t>
  </si>
  <si>
    <t>TEEN WATSON</t>
  </si>
  <si>
    <t>Watson, Sasha.</t>
  </si>
  <si>
    <t>Vidalia in Paris</t>
  </si>
  <si>
    <t>Viking,</t>
  </si>
  <si>
    <t>TEEN 629.1309 LANGLEY</t>
  </si>
  <si>
    <t>Langley, Wanda.</t>
  </si>
  <si>
    <t>Women of the wind : early women aviators</t>
  </si>
  <si>
    <t>Morgan Reynolds Pub.,</t>
  </si>
  <si>
    <t>Valid Shelf Locations</t>
  </si>
  <si>
    <t>{LITTLER},{ROSE},{}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</si>
</sst>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scheme val="minor"/>
    </font>
    <font>
      <sz val="10"/>
      <color theme="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6" fillId="0" borderId="0"/>
  </cellStyleXfs>
  <cellXfs count="24">
    <xf numFmtId="0" fontId="0" fillId="0" borderId="0" xfId="0"/>
    <xf numFmtId="0" fontId="4" fillId="0" borderId="0" xfId="2" applyFont="1" applyFill="1" applyBorder="1"/>
    <xf numFmtId="0" fontId="5" fillId="0" borderId="0" xfId="0" applyFont="1" applyAlignment="1">
      <alignment wrapText="1"/>
    </xf>
    <xf numFmtId="0" fontId="4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3" fillId="0" borderId="0" xfId="2" applyFont="1" applyFill="1" applyBorder="1"/>
    <xf numFmtId="0" fontId="3" fillId="0" borderId="0" xfId="2" applyFont="1" applyFill="1" applyBorder="1" applyAlignment="1">
      <alignment horizontal="left" indent="1"/>
    </xf>
    <xf numFmtId="0" fontId="4" fillId="0" borderId="0" xfId="2" applyFont="1" applyFill="1"/>
    <xf numFmtId="0" fontId="4" fillId="0" borderId="0" xfId="2" applyFont="1" applyFill="1" applyAlignment="1">
      <alignment wrapText="1"/>
    </xf>
    <xf numFmtId="0" fontId="4" fillId="0" borderId="0" xfId="2" applyFont="1" applyFill="1" applyAlignment="1">
      <alignment horizontal="left" indent="1"/>
    </xf>
    <xf numFmtId="0" fontId="3" fillId="0" borderId="0" xfId="2" applyFont="1" applyFill="1" applyBorder="1" applyAlignment="1">
      <alignment horizontal="left" wrapText="1"/>
    </xf>
    <xf numFmtId="0" fontId="5" fillId="0" borderId="0" xfId="0" applyFont="1" applyProtection="1">
      <protection locked="0"/>
    </xf>
    <xf numFmtId="0" fontId="5" fillId="0" borderId="0" xfId="0" applyFont="1" applyProtection="1"/>
    <xf numFmtId="0" fontId="0" fillId="0" borderId="0" xfId="0" applyProtection="1"/>
    <xf numFmtId="0" fontId="7" fillId="0" borderId="0" xfId="2" applyFont="1" applyFill="1" applyAlignment="1">
      <alignment wrapText="1"/>
    </xf>
    <xf numFmtId="0" fontId="7" fillId="0" borderId="0" xfId="2" applyFont="1" applyFill="1" applyAlignment="1">
      <alignment horizontal="left" indent="1"/>
    </xf>
    <xf numFmtId="0" fontId="6" fillId="0" borderId="0" xfId="0" applyFont="1" applyFill="1" applyProtection="1"/>
    <xf numFmtId="0" fontId="8" fillId="0" borderId="1" xfId="0" applyFont="1" applyFill="1" applyBorder="1"/>
    <xf numFmtId="0" fontId="8" fillId="0" borderId="2" xfId="0" applyFont="1" applyFill="1" applyBorder="1"/>
    <xf numFmtId="0" fontId="9" fillId="0" borderId="0" xfId="0" applyFont="1" applyAlignment="1" applyProtection="1">
      <alignment horizontal="center" vertical="top" wrapText="1" readingOrder="1"/>
      <protection locked="0"/>
    </xf>
    <xf numFmtId="0" fontId="0" fillId="0" borderId="0" xfId="0"/>
    <xf numFmtId="0" fontId="10" fillId="0" borderId="3" xfId="0" applyFont="1" applyBorder="1" applyAlignment="1" applyProtection="1">
      <alignment horizontal="left" vertical="top" wrapText="1" readingOrder="1"/>
      <protection locked="0"/>
    </xf>
    <xf numFmtId="0" fontId="11" fillId="0" borderId="3" xfId="0" applyFont="1" applyBorder="1" applyAlignment="1" applyProtection="1">
      <alignment horizontal="left" vertical="top" wrapText="1" readingOrder="1"/>
      <protection locked="0"/>
    </xf>
  </cellXfs>
  <cellStyles count="4">
    <cellStyle name="Normal" xfId="0" builtinId="0"/>
    <cellStyle name="Normal 2" xfId="1"/>
    <cellStyle name="Normal 3" xfId="2"/>
    <cellStyle name="Normal 4" xfId="3"/>
  </cellStyles>
  <dxfs count="17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IndexTbl" displayName="IndexTbl" ref="A1:H166" totalsRowShown="0" headerRowDxfId="16" dataDxfId="15" headerRowCellStyle="Normal 3" dataCellStyle="Normal 3">
  <tableColumns count="8">
    <tableColumn id="3" name="Description" dataDxfId="14" dataCellStyle="Normal 3"/>
    <tableColumn id="4" name="Collection Name" dataDxfId="13" dataCellStyle="Normal 3"/>
    <tableColumn id="5" name="Dewey Number" dataDxfId="12" dataCellStyle="Normal 3">
      <calculatedColumnFormula>ISNUMBER(F2)</calculatedColumnFormula>
    </tableColumn>
    <tableColumn id="6" name="Call Number Mask" dataDxfId="11" dataCellStyle="Normal 3">
      <calculatedColumnFormula>TRIM(E2&amp;IF(NOT(C2)," "&amp;F2,""))</calculatedColumnFormula>
    </tableColumn>
    <tableColumn id="7" name="Prefix FIELD 1" dataDxfId="10" dataCellStyle="Normal 3"/>
    <tableColumn id="8" name="Class FIELD 2" dataDxfId="9" dataCellStyle="Normal 3"/>
    <tableColumn id="9" name="Cutter [{Subject},{Author},{Other}]" dataDxfId="8" dataCellStyle="Normal 3"/>
    <tableColumn id="2" name="Section Description" dataDxfId="7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7" totalsRowShown="0" headerRowDxfId="6" dataDxfId="5">
  <tableColumns count="2">
    <tableColumn id="1" name="Section Description" dataDxfId="4"/>
    <tableColumn id="2" name="Shelf Location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I1:I4" totalsRowShown="0" headerRowDxfId="2" dataDxfId="1">
  <autoFilter ref="I1:I4"/>
  <tableColumns count="1">
    <tableColumn id="1" name="Valid Shelf 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8"/>
  <sheetViews>
    <sheetView showGridLines="0" workbookViewId="0">
      <pane ySplit="3" topLeftCell="A95" activePane="bottomLeft" state="frozenSplit"/>
      <selection pane="bottomLeft" activeCell="D102" sqref="D102"/>
    </sheetView>
  </sheetViews>
  <sheetFormatPr defaultRowHeight="13.2" x14ac:dyDescent="0.25"/>
  <cols>
    <col min="1" max="1" width="17.33203125" customWidth="1"/>
    <col min="2" max="2" width="13.6640625" customWidth="1"/>
    <col min="3" max="3" width="11.5546875" customWidth="1"/>
    <col min="4" max="4" width="23.5546875" customWidth="1"/>
    <col min="5" max="5" width="13.6640625" customWidth="1"/>
    <col min="6" max="6" width="35" customWidth="1"/>
    <col min="7" max="7" width="13.6640625" customWidth="1"/>
    <col min="8" max="8" width="6" customWidth="1"/>
    <col min="9" max="9" width="0" hidden="1" customWidth="1"/>
    <col min="10" max="10" width="47.6640625" customWidth="1"/>
    <col min="257" max="257" width="17.33203125" customWidth="1"/>
    <col min="258" max="258" width="13.6640625" customWidth="1"/>
    <col min="259" max="259" width="11.5546875" customWidth="1"/>
    <col min="260" max="260" width="23.5546875" customWidth="1"/>
    <col min="261" max="261" width="13.6640625" customWidth="1"/>
    <col min="262" max="262" width="35" customWidth="1"/>
    <col min="263" max="263" width="13.6640625" customWidth="1"/>
    <col min="264" max="264" width="6" customWidth="1"/>
    <col min="265" max="265" width="0" hidden="1" customWidth="1"/>
    <col min="266" max="266" width="47.6640625" customWidth="1"/>
    <col min="513" max="513" width="17.33203125" customWidth="1"/>
    <col min="514" max="514" width="13.6640625" customWidth="1"/>
    <col min="515" max="515" width="11.5546875" customWidth="1"/>
    <col min="516" max="516" width="23.5546875" customWidth="1"/>
    <col min="517" max="517" width="13.6640625" customWidth="1"/>
    <col min="518" max="518" width="35" customWidth="1"/>
    <col min="519" max="519" width="13.6640625" customWidth="1"/>
    <col min="520" max="520" width="6" customWidth="1"/>
    <col min="521" max="521" width="0" hidden="1" customWidth="1"/>
    <col min="522" max="522" width="47.6640625" customWidth="1"/>
    <col min="769" max="769" width="17.33203125" customWidth="1"/>
    <col min="770" max="770" width="13.6640625" customWidth="1"/>
    <col min="771" max="771" width="11.5546875" customWidth="1"/>
    <col min="772" max="772" width="23.5546875" customWidth="1"/>
    <col min="773" max="773" width="13.6640625" customWidth="1"/>
    <col min="774" max="774" width="35" customWidth="1"/>
    <col min="775" max="775" width="13.6640625" customWidth="1"/>
    <col min="776" max="776" width="6" customWidth="1"/>
    <col min="777" max="777" width="0" hidden="1" customWidth="1"/>
    <col min="778" max="778" width="47.6640625" customWidth="1"/>
    <col min="1025" max="1025" width="17.33203125" customWidth="1"/>
    <col min="1026" max="1026" width="13.6640625" customWidth="1"/>
    <col min="1027" max="1027" width="11.5546875" customWidth="1"/>
    <col min="1028" max="1028" width="23.5546875" customWidth="1"/>
    <col min="1029" max="1029" width="13.6640625" customWidth="1"/>
    <col min="1030" max="1030" width="35" customWidth="1"/>
    <col min="1031" max="1031" width="13.6640625" customWidth="1"/>
    <col min="1032" max="1032" width="6" customWidth="1"/>
    <col min="1033" max="1033" width="0" hidden="1" customWidth="1"/>
    <col min="1034" max="1034" width="47.6640625" customWidth="1"/>
    <col min="1281" max="1281" width="17.33203125" customWidth="1"/>
    <col min="1282" max="1282" width="13.6640625" customWidth="1"/>
    <col min="1283" max="1283" width="11.5546875" customWidth="1"/>
    <col min="1284" max="1284" width="23.5546875" customWidth="1"/>
    <col min="1285" max="1285" width="13.6640625" customWidth="1"/>
    <col min="1286" max="1286" width="35" customWidth="1"/>
    <col min="1287" max="1287" width="13.6640625" customWidth="1"/>
    <col min="1288" max="1288" width="6" customWidth="1"/>
    <col min="1289" max="1289" width="0" hidden="1" customWidth="1"/>
    <col min="1290" max="1290" width="47.6640625" customWidth="1"/>
    <col min="1537" max="1537" width="17.33203125" customWidth="1"/>
    <col min="1538" max="1538" width="13.6640625" customWidth="1"/>
    <col min="1539" max="1539" width="11.5546875" customWidth="1"/>
    <col min="1540" max="1540" width="23.5546875" customWidth="1"/>
    <col min="1541" max="1541" width="13.6640625" customWidth="1"/>
    <col min="1542" max="1542" width="35" customWidth="1"/>
    <col min="1543" max="1543" width="13.6640625" customWidth="1"/>
    <col min="1544" max="1544" width="6" customWidth="1"/>
    <col min="1545" max="1545" width="0" hidden="1" customWidth="1"/>
    <col min="1546" max="1546" width="47.6640625" customWidth="1"/>
    <col min="1793" max="1793" width="17.33203125" customWidth="1"/>
    <col min="1794" max="1794" width="13.6640625" customWidth="1"/>
    <col min="1795" max="1795" width="11.5546875" customWidth="1"/>
    <col min="1796" max="1796" width="23.5546875" customWidth="1"/>
    <col min="1797" max="1797" width="13.6640625" customWidth="1"/>
    <col min="1798" max="1798" width="35" customWidth="1"/>
    <col min="1799" max="1799" width="13.6640625" customWidth="1"/>
    <col min="1800" max="1800" width="6" customWidth="1"/>
    <col min="1801" max="1801" width="0" hidden="1" customWidth="1"/>
    <col min="1802" max="1802" width="47.6640625" customWidth="1"/>
    <col min="2049" max="2049" width="17.33203125" customWidth="1"/>
    <col min="2050" max="2050" width="13.6640625" customWidth="1"/>
    <col min="2051" max="2051" width="11.5546875" customWidth="1"/>
    <col min="2052" max="2052" width="23.5546875" customWidth="1"/>
    <col min="2053" max="2053" width="13.6640625" customWidth="1"/>
    <col min="2054" max="2054" width="35" customWidth="1"/>
    <col min="2055" max="2055" width="13.6640625" customWidth="1"/>
    <col min="2056" max="2056" width="6" customWidth="1"/>
    <col min="2057" max="2057" width="0" hidden="1" customWidth="1"/>
    <col min="2058" max="2058" width="47.6640625" customWidth="1"/>
    <col min="2305" max="2305" width="17.33203125" customWidth="1"/>
    <col min="2306" max="2306" width="13.6640625" customWidth="1"/>
    <col min="2307" max="2307" width="11.5546875" customWidth="1"/>
    <col min="2308" max="2308" width="23.5546875" customWidth="1"/>
    <col min="2309" max="2309" width="13.6640625" customWidth="1"/>
    <col min="2310" max="2310" width="35" customWidth="1"/>
    <col min="2311" max="2311" width="13.6640625" customWidth="1"/>
    <col min="2312" max="2312" width="6" customWidth="1"/>
    <col min="2313" max="2313" width="0" hidden="1" customWidth="1"/>
    <col min="2314" max="2314" width="47.6640625" customWidth="1"/>
    <col min="2561" max="2561" width="17.33203125" customWidth="1"/>
    <col min="2562" max="2562" width="13.6640625" customWidth="1"/>
    <col min="2563" max="2563" width="11.5546875" customWidth="1"/>
    <col min="2564" max="2564" width="23.5546875" customWidth="1"/>
    <col min="2565" max="2565" width="13.6640625" customWidth="1"/>
    <col min="2566" max="2566" width="35" customWidth="1"/>
    <col min="2567" max="2567" width="13.6640625" customWidth="1"/>
    <col min="2568" max="2568" width="6" customWidth="1"/>
    <col min="2569" max="2569" width="0" hidden="1" customWidth="1"/>
    <col min="2570" max="2570" width="47.6640625" customWidth="1"/>
    <col min="2817" max="2817" width="17.33203125" customWidth="1"/>
    <col min="2818" max="2818" width="13.6640625" customWidth="1"/>
    <col min="2819" max="2819" width="11.5546875" customWidth="1"/>
    <col min="2820" max="2820" width="23.5546875" customWidth="1"/>
    <col min="2821" max="2821" width="13.6640625" customWidth="1"/>
    <col min="2822" max="2822" width="35" customWidth="1"/>
    <col min="2823" max="2823" width="13.6640625" customWidth="1"/>
    <col min="2824" max="2824" width="6" customWidth="1"/>
    <col min="2825" max="2825" width="0" hidden="1" customWidth="1"/>
    <col min="2826" max="2826" width="47.6640625" customWidth="1"/>
    <col min="3073" max="3073" width="17.33203125" customWidth="1"/>
    <col min="3074" max="3074" width="13.6640625" customWidth="1"/>
    <col min="3075" max="3075" width="11.5546875" customWidth="1"/>
    <col min="3076" max="3076" width="23.5546875" customWidth="1"/>
    <col min="3077" max="3077" width="13.6640625" customWidth="1"/>
    <col min="3078" max="3078" width="35" customWidth="1"/>
    <col min="3079" max="3079" width="13.6640625" customWidth="1"/>
    <col min="3080" max="3080" width="6" customWidth="1"/>
    <col min="3081" max="3081" width="0" hidden="1" customWidth="1"/>
    <col min="3082" max="3082" width="47.6640625" customWidth="1"/>
    <col min="3329" max="3329" width="17.33203125" customWidth="1"/>
    <col min="3330" max="3330" width="13.6640625" customWidth="1"/>
    <col min="3331" max="3331" width="11.5546875" customWidth="1"/>
    <col min="3332" max="3332" width="23.5546875" customWidth="1"/>
    <col min="3333" max="3333" width="13.6640625" customWidth="1"/>
    <col min="3334" max="3334" width="35" customWidth="1"/>
    <col min="3335" max="3335" width="13.6640625" customWidth="1"/>
    <col min="3336" max="3336" width="6" customWidth="1"/>
    <col min="3337" max="3337" width="0" hidden="1" customWidth="1"/>
    <col min="3338" max="3338" width="47.6640625" customWidth="1"/>
    <col min="3585" max="3585" width="17.33203125" customWidth="1"/>
    <col min="3586" max="3586" width="13.6640625" customWidth="1"/>
    <col min="3587" max="3587" width="11.5546875" customWidth="1"/>
    <col min="3588" max="3588" width="23.5546875" customWidth="1"/>
    <col min="3589" max="3589" width="13.6640625" customWidth="1"/>
    <col min="3590" max="3590" width="35" customWidth="1"/>
    <col min="3591" max="3591" width="13.6640625" customWidth="1"/>
    <col min="3592" max="3592" width="6" customWidth="1"/>
    <col min="3593" max="3593" width="0" hidden="1" customWidth="1"/>
    <col min="3594" max="3594" width="47.6640625" customWidth="1"/>
    <col min="3841" max="3841" width="17.33203125" customWidth="1"/>
    <col min="3842" max="3842" width="13.6640625" customWidth="1"/>
    <col min="3843" max="3843" width="11.5546875" customWidth="1"/>
    <col min="3844" max="3844" width="23.5546875" customWidth="1"/>
    <col min="3845" max="3845" width="13.6640625" customWidth="1"/>
    <col min="3846" max="3846" width="35" customWidth="1"/>
    <col min="3847" max="3847" width="13.6640625" customWidth="1"/>
    <col min="3848" max="3848" width="6" customWidth="1"/>
    <col min="3849" max="3849" width="0" hidden="1" customWidth="1"/>
    <col min="3850" max="3850" width="47.6640625" customWidth="1"/>
    <col min="4097" max="4097" width="17.33203125" customWidth="1"/>
    <col min="4098" max="4098" width="13.6640625" customWidth="1"/>
    <col min="4099" max="4099" width="11.5546875" customWidth="1"/>
    <col min="4100" max="4100" width="23.5546875" customWidth="1"/>
    <col min="4101" max="4101" width="13.6640625" customWidth="1"/>
    <col min="4102" max="4102" width="35" customWidth="1"/>
    <col min="4103" max="4103" width="13.6640625" customWidth="1"/>
    <col min="4104" max="4104" width="6" customWidth="1"/>
    <col min="4105" max="4105" width="0" hidden="1" customWidth="1"/>
    <col min="4106" max="4106" width="47.6640625" customWidth="1"/>
    <col min="4353" max="4353" width="17.33203125" customWidth="1"/>
    <col min="4354" max="4354" width="13.6640625" customWidth="1"/>
    <col min="4355" max="4355" width="11.5546875" customWidth="1"/>
    <col min="4356" max="4356" width="23.5546875" customWidth="1"/>
    <col min="4357" max="4357" width="13.6640625" customWidth="1"/>
    <col min="4358" max="4358" width="35" customWidth="1"/>
    <col min="4359" max="4359" width="13.6640625" customWidth="1"/>
    <col min="4360" max="4360" width="6" customWidth="1"/>
    <col min="4361" max="4361" width="0" hidden="1" customWidth="1"/>
    <col min="4362" max="4362" width="47.6640625" customWidth="1"/>
    <col min="4609" max="4609" width="17.33203125" customWidth="1"/>
    <col min="4610" max="4610" width="13.6640625" customWidth="1"/>
    <col min="4611" max="4611" width="11.5546875" customWidth="1"/>
    <col min="4612" max="4612" width="23.5546875" customWidth="1"/>
    <col min="4613" max="4613" width="13.6640625" customWidth="1"/>
    <col min="4614" max="4614" width="35" customWidth="1"/>
    <col min="4615" max="4615" width="13.6640625" customWidth="1"/>
    <col min="4616" max="4616" width="6" customWidth="1"/>
    <col min="4617" max="4617" width="0" hidden="1" customWidth="1"/>
    <col min="4618" max="4618" width="47.6640625" customWidth="1"/>
    <col min="4865" max="4865" width="17.33203125" customWidth="1"/>
    <col min="4866" max="4866" width="13.6640625" customWidth="1"/>
    <col min="4867" max="4867" width="11.5546875" customWidth="1"/>
    <col min="4868" max="4868" width="23.5546875" customWidth="1"/>
    <col min="4869" max="4869" width="13.6640625" customWidth="1"/>
    <col min="4870" max="4870" width="35" customWidth="1"/>
    <col min="4871" max="4871" width="13.6640625" customWidth="1"/>
    <col min="4872" max="4872" width="6" customWidth="1"/>
    <col min="4873" max="4873" width="0" hidden="1" customWidth="1"/>
    <col min="4874" max="4874" width="47.6640625" customWidth="1"/>
    <col min="5121" max="5121" width="17.33203125" customWidth="1"/>
    <col min="5122" max="5122" width="13.6640625" customWidth="1"/>
    <col min="5123" max="5123" width="11.5546875" customWidth="1"/>
    <col min="5124" max="5124" width="23.5546875" customWidth="1"/>
    <col min="5125" max="5125" width="13.6640625" customWidth="1"/>
    <col min="5126" max="5126" width="35" customWidth="1"/>
    <col min="5127" max="5127" width="13.6640625" customWidth="1"/>
    <col min="5128" max="5128" width="6" customWidth="1"/>
    <col min="5129" max="5129" width="0" hidden="1" customWidth="1"/>
    <col min="5130" max="5130" width="47.6640625" customWidth="1"/>
    <col min="5377" max="5377" width="17.33203125" customWidth="1"/>
    <col min="5378" max="5378" width="13.6640625" customWidth="1"/>
    <col min="5379" max="5379" width="11.5546875" customWidth="1"/>
    <col min="5380" max="5380" width="23.5546875" customWidth="1"/>
    <col min="5381" max="5381" width="13.6640625" customWidth="1"/>
    <col min="5382" max="5382" width="35" customWidth="1"/>
    <col min="5383" max="5383" width="13.6640625" customWidth="1"/>
    <col min="5384" max="5384" width="6" customWidth="1"/>
    <col min="5385" max="5385" width="0" hidden="1" customWidth="1"/>
    <col min="5386" max="5386" width="47.6640625" customWidth="1"/>
    <col min="5633" max="5633" width="17.33203125" customWidth="1"/>
    <col min="5634" max="5634" width="13.6640625" customWidth="1"/>
    <col min="5635" max="5635" width="11.5546875" customWidth="1"/>
    <col min="5636" max="5636" width="23.5546875" customWidth="1"/>
    <col min="5637" max="5637" width="13.6640625" customWidth="1"/>
    <col min="5638" max="5638" width="35" customWidth="1"/>
    <col min="5639" max="5639" width="13.6640625" customWidth="1"/>
    <col min="5640" max="5640" width="6" customWidth="1"/>
    <col min="5641" max="5641" width="0" hidden="1" customWidth="1"/>
    <col min="5642" max="5642" width="47.6640625" customWidth="1"/>
    <col min="5889" max="5889" width="17.33203125" customWidth="1"/>
    <col min="5890" max="5890" width="13.6640625" customWidth="1"/>
    <col min="5891" max="5891" width="11.5546875" customWidth="1"/>
    <col min="5892" max="5892" width="23.5546875" customWidth="1"/>
    <col min="5893" max="5893" width="13.6640625" customWidth="1"/>
    <col min="5894" max="5894" width="35" customWidth="1"/>
    <col min="5895" max="5895" width="13.6640625" customWidth="1"/>
    <col min="5896" max="5896" width="6" customWidth="1"/>
    <col min="5897" max="5897" width="0" hidden="1" customWidth="1"/>
    <col min="5898" max="5898" width="47.6640625" customWidth="1"/>
    <col min="6145" max="6145" width="17.33203125" customWidth="1"/>
    <col min="6146" max="6146" width="13.6640625" customWidth="1"/>
    <col min="6147" max="6147" width="11.5546875" customWidth="1"/>
    <col min="6148" max="6148" width="23.5546875" customWidth="1"/>
    <col min="6149" max="6149" width="13.6640625" customWidth="1"/>
    <col min="6150" max="6150" width="35" customWidth="1"/>
    <col min="6151" max="6151" width="13.6640625" customWidth="1"/>
    <col min="6152" max="6152" width="6" customWidth="1"/>
    <col min="6153" max="6153" width="0" hidden="1" customWidth="1"/>
    <col min="6154" max="6154" width="47.6640625" customWidth="1"/>
    <col min="6401" max="6401" width="17.33203125" customWidth="1"/>
    <col min="6402" max="6402" width="13.6640625" customWidth="1"/>
    <col min="6403" max="6403" width="11.5546875" customWidth="1"/>
    <col min="6404" max="6404" width="23.5546875" customWidth="1"/>
    <col min="6405" max="6405" width="13.6640625" customWidth="1"/>
    <col min="6406" max="6406" width="35" customWidth="1"/>
    <col min="6407" max="6407" width="13.6640625" customWidth="1"/>
    <col min="6408" max="6408" width="6" customWidth="1"/>
    <col min="6409" max="6409" width="0" hidden="1" customWidth="1"/>
    <col min="6410" max="6410" width="47.6640625" customWidth="1"/>
    <col min="6657" max="6657" width="17.33203125" customWidth="1"/>
    <col min="6658" max="6658" width="13.6640625" customWidth="1"/>
    <col min="6659" max="6659" width="11.5546875" customWidth="1"/>
    <col min="6660" max="6660" width="23.5546875" customWidth="1"/>
    <col min="6661" max="6661" width="13.6640625" customWidth="1"/>
    <col min="6662" max="6662" width="35" customWidth="1"/>
    <col min="6663" max="6663" width="13.6640625" customWidth="1"/>
    <col min="6664" max="6664" width="6" customWidth="1"/>
    <col min="6665" max="6665" width="0" hidden="1" customWidth="1"/>
    <col min="6666" max="6666" width="47.6640625" customWidth="1"/>
    <col min="6913" max="6913" width="17.33203125" customWidth="1"/>
    <col min="6914" max="6914" width="13.6640625" customWidth="1"/>
    <col min="6915" max="6915" width="11.5546875" customWidth="1"/>
    <col min="6916" max="6916" width="23.5546875" customWidth="1"/>
    <col min="6917" max="6917" width="13.6640625" customWidth="1"/>
    <col min="6918" max="6918" width="35" customWidth="1"/>
    <col min="6919" max="6919" width="13.6640625" customWidth="1"/>
    <col min="6920" max="6920" width="6" customWidth="1"/>
    <col min="6921" max="6921" width="0" hidden="1" customWidth="1"/>
    <col min="6922" max="6922" width="47.6640625" customWidth="1"/>
    <col min="7169" max="7169" width="17.33203125" customWidth="1"/>
    <col min="7170" max="7170" width="13.6640625" customWidth="1"/>
    <col min="7171" max="7171" width="11.5546875" customWidth="1"/>
    <col min="7172" max="7172" width="23.5546875" customWidth="1"/>
    <col min="7173" max="7173" width="13.6640625" customWidth="1"/>
    <col min="7174" max="7174" width="35" customWidth="1"/>
    <col min="7175" max="7175" width="13.6640625" customWidth="1"/>
    <col min="7176" max="7176" width="6" customWidth="1"/>
    <col min="7177" max="7177" width="0" hidden="1" customWidth="1"/>
    <col min="7178" max="7178" width="47.6640625" customWidth="1"/>
    <col min="7425" max="7425" width="17.33203125" customWidth="1"/>
    <col min="7426" max="7426" width="13.6640625" customWidth="1"/>
    <col min="7427" max="7427" width="11.5546875" customWidth="1"/>
    <col min="7428" max="7428" width="23.5546875" customWidth="1"/>
    <col min="7429" max="7429" width="13.6640625" customWidth="1"/>
    <col min="7430" max="7430" width="35" customWidth="1"/>
    <col min="7431" max="7431" width="13.6640625" customWidth="1"/>
    <col min="7432" max="7432" width="6" customWidth="1"/>
    <col min="7433" max="7433" width="0" hidden="1" customWidth="1"/>
    <col min="7434" max="7434" width="47.6640625" customWidth="1"/>
    <col min="7681" max="7681" width="17.33203125" customWidth="1"/>
    <col min="7682" max="7682" width="13.6640625" customWidth="1"/>
    <col min="7683" max="7683" width="11.5546875" customWidth="1"/>
    <col min="7684" max="7684" width="23.5546875" customWidth="1"/>
    <col min="7685" max="7685" width="13.6640625" customWidth="1"/>
    <col min="7686" max="7686" width="35" customWidth="1"/>
    <col min="7687" max="7687" width="13.6640625" customWidth="1"/>
    <col min="7688" max="7688" width="6" customWidth="1"/>
    <col min="7689" max="7689" width="0" hidden="1" customWidth="1"/>
    <col min="7690" max="7690" width="47.6640625" customWidth="1"/>
    <col min="7937" max="7937" width="17.33203125" customWidth="1"/>
    <col min="7938" max="7938" width="13.6640625" customWidth="1"/>
    <col min="7939" max="7939" width="11.5546875" customWidth="1"/>
    <col min="7940" max="7940" width="23.5546875" customWidth="1"/>
    <col min="7941" max="7941" width="13.6640625" customWidth="1"/>
    <col min="7942" max="7942" width="35" customWidth="1"/>
    <col min="7943" max="7943" width="13.6640625" customWidth="1"/>
    <col min="7944" max="7944" width="6" customWidth="1"/>
    <col min="7945" max="7945" width="0" hidden="1" customWidth="1"/>
    <col min="7946" max="7946" width="47.6640625" customWidth="1"/>
    <col min="8193" max="8193" width="17.33203125" customWidth="1"/>
    <col min="8194" max="8194" width="13.6640625" customWidth="1"/>
    <col min="8195" max="8195" width="11.5546875" customWidth="1"/>
    <col min="8196" max="8196" width="23.5546875" customWidth="1"/>
    <col min="8197" max="8197" width="13.6640625" customWidth="1"/>
    <col min="8198" max="8198" width="35" customWidth="1"/>
    <col min="8199" max="8199" width="13.6640625" customWidth="1"/>
    <col min="8200" max="8200" width="6" customWidth="1"/>
    <col min="8201" max="8201" width="0" hidden="1" customWidth="1"/>
    <col min="8202" max="8202" width="47.6640625" customWidth="1"/>
    <col min="8449" max="8449" width="17.33203125" customWidth="1"/>
    <col min="8450" max="8450" width="13.6640625" customWidth="1"/>
    <col min="8451" max="8451" width="11.5546875" customWidth="1"/>
    <col min="8452" max="8452" width="23.5546875" customWidth="1"/>
    <col min="8453" max="8453" width="13.6640625" customWidth="1"/>
    <col min="8454" max="8454" width="35" customWidth="1"/>
    <col min="8455" max="8455" width="13.6640625" customWidth="1"/>
    <col min="8456" max="8456" width="6" customWidth="1"/>
    <col min="8457" max="8457" width="0" hidden="1" customWidth="1"/>
    <col min="8458" max="8458" width="47.6640625" customWidth="1"/>
    <col min="8705" max="8705" width="17.33203125" customWidth="1"/>
    <col min="8706" max="8706" width="13.6640625" customWidth="1"/>
    <col min="8707" max="8707" width="11.5546875" customWidth="1"/>
    <col min="8708" max="8708" width="23.5546875" customWidth="1"/>
    <col min="8709" max="8709" width="13.6640625" customWidth="1"/>
    <col min="8710" max="8710" width="35" customWidth="1"/>
    <col min="8711" max="8711" width="13.6640625" customWidth="1"/>
    <col min="8712" max="8712" width="6" customWidth="1"/>
    <col min="8713" max="8713" width="0" hidden="1" customWidth="1"/>
    <col min="8714" max="8714" width="47.6640625" customWidth="1"/>
    <col min="8961" max="8961" width="17.33203125" customWidth="1"/>
    <col min="8962" max="8962" width="13.6640625" customWidth="1"/>
    <col min="8963" max="8963" width="11.5546875" customWidth="1"/>
    <col min="8964" max="8964" width="23.5546875" customWidth="1"/>
    <col min="8965" max="8965" width="13.6640625" customWidth="1"/>
    <col min="8966" max="8966" width="35" customWidth="1"/>
    <col min="8967" max="8967" width="13.6640625" customWidth="1"/>
    <col min="8968" max="8968" width="6" customWidth="1"/>
    <col min="8969" max="8969" width="0" hidden="1" customWidth="1"/>
    <col min="8970" max="8970" width="47.6640625" customWidth="1"/>
    <col min="9217" max="9217" width="17.33203125" customWidth="1"/>
    <col min="9218" max="9218" width="13.6640625" customWidth="1"/>
    <col min="9219" max="9219" width="11.5546875" customWidth="1"/>
    <col min="9220" max="9220" width="23.5546875" customWidth="1"/>
    <col min="9221" max="9221" width="13.6640625" customWidth="1"/>
    <col min="9222" max="9222" width="35" customWidth="1"/>
    <col min="9223" max="9223" width="13.6640625" customWidth="1"/>
    <col min="9224" max="9224" width="6" customWidth="1"/>
    <col min="9225" max="9225" width="0" hidden="1" customWidth="1"/>
    <col min="9226" max="9226" width="47.6640625" customWidth="1"/>
    <col min="9473" max="9473" width="17.33203125" customWidth="1"/>
    <col min="9474" max="9474" width="13.6640625" customWidth="1"/>
    <col min="9475" max="9475" width="11.5546875" customWidth="1"/>
    <col min="9476" max="9476" width="23.5546875" customWidth="1"/>
    <col min="9477" max="9477" width="13.6640625" customWidth="1"/>
    <col min="9478" max="9478" width="35" customWidth="1"/>
    <col min="9479" max="9479" width="13.6640625" customWidth="1"/>
    <col min="9480" max="9480" width="6" customWidth="1"/>
    <col min="9481" max="9481" width="0" hidden="1" customWidth="1"/>
    <col min="9482" max="9482" width="47.6640625" customWidth="1"/>
    <col min="9729" max="9729" width="17.33203125" customWidth="1"/>
    <col min="9730" max="9730" width="13.6640625" customWidth="1"/>
    <col min="9731" max="9731" width="11.5546875" customWidth="1"/>
    <col min="9732" max="9732" width="23.5546875" customWidth="1"/>
    <col min="9733" max="9733" width="13.6640625" customWidth="1"/>
    <col min="9734" max="9734" width="35" customWidth="1"/>
    <col min="9735" max="9735" width="13.6640625" customWidth="1"/>
    <col min="9736" max="9736" width="6" customWidth="1"/>
    <col min="9737" max="9737" width="0" hidden="1" customWidth="1"/>
    <col min="9738" max="9738" width="47.6640625" customWidth="1"/>
    <col min="9985" max="9985" width="17.33203125" customWidth="1"/>
    <col min="9986" max="9986" width="13.6640625" customWidth="1"/>
    <col min="9987" max="9987" width="11.5546875" customWidth="1"/>
    <col min="9988" max="9988" width="23.5546875" customWidth="1"/>
    <col min="9989" max="9989" width="13.6640625" customWidth="1"/>
    <col min="9990" max="9990" width="35" customWidth="1"/>
    <col min="9991" max="9991" width="13.6640625" customWidth="1"/>
    <col min="9992" max="9992" width="6" customWidth="1"/>
    <col min="9993" max="9993" width="0" hidden="1" customWidth="1"/>
    <col min="9994" max="9994" width="47.6640625" customWidth="1"/>
    <col min="10241" max="10241" width="17.33203125" customWidth="1"/>
    <col min="10242" max="10242" width="13.6640625" customWidth="1"/>
    <col min="10243" max="10243" width="11.5546875" customWidth="1"/>
    <col min="10244" max="10244" width="23.5546875" customWidth="1"/>
    <col min="10245" max="10245" width="13.6640625" customWidth="1"/>
    <col min="10246" max="10246" width="35" customWidth="1"/>
    <col min="10247" max="10247" width="13.6640625" customWidth="1"/>
    <col min="10248" max="10248" width="6" customWidth="1"/>
    <col min="10249" max="10249" width="0" hidden="1" customWidth="1"/>
    <col min="10250" max="10250" width="47.6640625" customWidth="1"/>
    <col min="10497" max="10497" width="17.33203125" customWidth="1"/>
    <col min="10498" max="10498" width="13.6640625" customWidth="1"/>
    <col min="10499" max="10499" width="11.5546875" customWidth="1"/>
    <col min="10500" max="10500" width="23.5546875" customWidth="1"/>
    <col min="10501" max="10501" width="13.6640625" customWidth="1"/>
    <col min="10502" max="10502" width="35" customWidth="1"/>
    <col min="10503" max="10503" width="13.6640625" customWidth="1"/>
    <col min="10504" max="10504" width="6" customWidth="1"/>
    <col min="10505" max="10505" width="0" hidden="1" customWidth="1"/>
    <col min="10506" max="10506" width="47.6640625" customWidth="1"/>
    <col min="10753" max="10753" width="17.33203125" customWidth="1"/>
    <col min="10754" max="10754" width="13.6640625" customWidth="1"/>
    <col min="10755" max="10755" width="11.5546875" customWidth="1"/>
    <col min="10756" max="10756" width="23.5546875" customWidth="1"/>
    <col min="10757" max="10757" width="13.6640625" customWidth="1"/>
    <col min="10758" max="10758" width="35" customWidth="1"/>
    <col min="10759" max="10759" width="13.6640625" customWidth="1"/>
    <col min="10760" max="10760" width="6" customWidth="1"/>
    <col min="10761" max="10761" width="0" hidden="1" customWidth="1"/>
    <col min="10762" max="10762" width="47.6640625" customWidth="1"/>
    <col min="11009" max="11009" width="17.33203125" customWidth="1"/>
    <col min="11010" max="11010" width="13.6640625" customWidth="1"/>
    <col min="11011" max="11011" width="11.5546875" customWidth="1"/>
    <col min="11012" max="11012" width="23.5546875" customWidth="1"/>
    <col min="11013" max="11013" width="13.6640625" customWidth="1"/>
    <col min="11014" max="11014" width="35" customWidth="1"/>
    <col min="11015" max="11015" width="13.6640625" customWidth="1"/>
    <col min="11016" max="11016" width="6" customWidth="1"/>
    <col min="11017" max="11017" width="0" hidden="1" customWidth="1"/>
    <col min="11018" max="11018" width="47.6640625" customWidth="1"/>
    <col min="11265" max="11265" width="17.33203125" customWidth="1"/>
    <col min="11266" max="11266" width="13.6640625" customWidth="1"/>
    <col min="11267" max="11267" width="11.5546875" customWidth="1"/>
    <col min="11268" max="11268" width="23.5546875" customWidth="1"/>
    <col min="11269" max="11269" width="13.6640625" customWidth="1"/>
    <col min="11270" max="11270" width="35" customWidth="1"/>
    <col min="11271" max="11271" width="13.6640625" customWidth="1"/>
    <col min="11272" max="11272" width="6" customWidth="1"/>
    <col min="11273" max="11273" width="0" hidden="1" customWidth="1"/>
    <col min="11274" max="11274" width="47.6640625" customWidth="1"/>
    <col min="11521" max="11521" width="17.33203125" customWidth="1"/>
    <col min="11522" max="11522" width="13.6640625" customWidth="1"/>
    <col min="11523" max="11523" width="11.5546875" customWidth="1"/>
    <col min="11524" max="11524" width="23.5546875" customWidth="1"/>
    <col min="11525" max="11525" width="13.6640625" customWidth="1"/>
    <col min="11526" max="11526" width="35" customWidth="1"/>
    <col min="11527" max="11527" width="13.6640625" customWidth="1"/>
    <col min="11528" max="11528" width="6" customWidth="1"/>
    <col min="11529" max="11529" width="0" hidden="1" customWidth="1"/>
    <col min="11530" max="11530" width="47.6640625" customWidth="1"/>
    <col min="11777" max="11777" width="17.33203125" customWidth="1"/>
    <col min="11778" max="11778" width="13.6640625" customWidth="1"/>
    <col min="11779" max="11779" width="11.5546875" customWidth="1"/>
    <col min="11780" max="11780" width="23.5546875" customWidth="1"/>
    <col min="11781" max="11781" width="13.6640625" customWidth="1"/>
    <col min="11782" max="11782" width="35" customWidth="1"/>
    <col min="11783" max="11783" width="13.6640625" customWidth="1"/>
    <col min="11784" max="11784" width="6" customWidth="1"/>
    <col min="11785" max="11785" width="0" hidden="1" customWidth="1"/>
    <col min="11786" max="11786" width="47.6640625" customWidth="1"/>
    <col min="12033" max="12033" width="17.33203125" customWidth="1"/>
    <col min="12034" max="12034" width="13.6640625" customWidth="1"/>
    <col min="12035" max="12035" width="11.5546875" customWidth="1"/>
    <col min="12036" max="12036" width="23.5546875" customWidth="1"/>
    <col min="12037" max="12037" width="13.6640625" customWidth="1"/>
    <col min="12038" max="12038" width="35" customWidth="1"/>
    <col min="12039" max="12039" width="13.6640625" customWidth="1"/>
    <col min="12040" max="12040" width="6" customWidth="1"/>
    <col min="12041" max="12041" width="0" hidden="1" customWidth="1"/>
    <col min="12042" max="12042" width="47.6640625" customWidth="1"/>
    <col min="12289" max="12289" width="17.33203125" customWidth="1"/>
    <col min="12290" max="12290" width="13.6640625" customWidth="1"/>
    <col min="12291" max="12291" width="11.5546875" customWidth="1"/>
    <col min="12292" max="12292" width="23.5546875" customWidth="1"/>
    <col min="12293" max="12293" width="13.6640625" customWidth="1"/>
    <col min="12294" max="12294" width="35" customWidth="1"/>
    <col min="12295" max="12295" width="13.6640625" customWidth="1"/>
    <col min="12296" max="12296" width="6" customWidth="1"/>
    <col min="12297" max="12297" width="0" hidden="1" customWidth="1"/>
    <col min="12298" max="12298" width="47.6640625" customWidth="1"/>
    <col min="12545" max="12545" width="17.33203125" customWidth="1"/>
    <col min="12546" max="12546" width="13.6640625" customWidth="1"/>
    <col min="12547" max="12547" width="11.5546875" customWidth="1"/>
    <col min="12548" max="12548" width="23.5546875" customWidth="1"/>
    <col min="12549" max="12549" width="13.6640625" customWidth="1"/>
    <col min="12550" max="12550" width="35" customWidth="1"/>
    <col min="12551" max="12551" width="13.6640625" customWidth="1"/>
    <col min="12552" max="12552" width="6" customWidth="1"/>
    <col min="12553" max="12553" width="0" hidden="1" customWidth="1"/>
    <col min="12554" max="12554" width="47.6640625" customWidth="1"/>
    <col min="12801" max="12801" width="17.33203125" customWidth="1"/>
    <col min="12802" max="12802" width="13.6640625" customWidth="1"/>
    <col min="12803" max="12803" width="11.5546875" customWidth="1"/>
    <col min="12804" max="12804" width="23.5546875" customWidth="1"/>
    <col min="12805" max="12805" width="13.6640625" customWidth="1"/>
    <col min="12806" max="12806" width="35" customWidth="1"/>
    <col min="12807" max="12807" width="13.6640625" customWidth="1"/>
    <col min="12808" max="12808" width="6" customWidth="1"/>
    <col min="12809" max="12809" width="0" hidden="1" customWidth="1"/>
    <col min="12810" max="12810" width="47.6640625" customWidth="1"/>
    <col min="13057" max="13057" width="17.33203125" customWidth="1"/>
    <col min="13058" max="13058" width="13.6640625" customWidth="1"/>
    <col min="13059" max="13059" width="11.5546875" customWidth="1"/>
    <col min="13060" max="13060" width="23.5546875" customWidth="1"/>
    <col min="13061" max="13061" width="13.6640625" customWidth="1"/>
    <col min="13062" max="13062" width="35" customWidth="1"/>
    <col min="13063" max="13063" width="13.6640625" customWidth="1"/>
    <col min="13064" max="13064" width="6" customWidth="1"/>
    <col min="13065" max="13065" width="0" hidden="1" customWidth="1"/>
    <col min="13066" max="13066" width="47.6640625" customWidth="1"/>
    <col min="13313" max="13313" width="17.33203125" customWidth="1"/>
    <col min="13314" max="13314" width="13.6640625" customWidth="1"/>
    <col min="13315" max="13315" width="11.5546875" customWidth="1"/>
    <col min="13316" max="13316" width="23.5546875" customWidth="1"/>
    <col min="13317" max="13317" width="13.6640625" customWidth="1"/>
    <col min="13318" max="13318" width="35" customWidth="1"/>
    <col min="13319" max="13319" width="13.6640625" customWidth="1"/>
    <col min="13320" max="13320" width="6" customWidth="1"/>
    <col min="13321" max="13321" width="0" hidden="1" customWidth="1"/>
    <col min="13322" max="13322" width="47.6640625" customWidth="1"/>
    <col min="13569" max="13569" width="17.33203125" customWidth="1"/>
    <col min="13570" max="13570" width="13.6640625" customWidth="1"/>
    <col min="13571" max="13571" width="11.5546875" customWidth="1"/>
    <col min="13572" max="13572" width="23.5546875" customWidth="1"/>
    <col min="13573" max="13573" width="13.6640625" customWidth="1"/>
    <col min="13574" max="13574" width="35" customWidth="1"/>
    <col min="13575" max="13575" width="13.6640625" customWidth="1"/>
    <col min="13576" max="13576" width="6" customWidth="1"/>
    <col min="13577" max="13577" width="0" hidden="1" customWidth="1"/>
    <col min="13578" max="13578" width="47.6640625" customWidth="1"/>
    <col min="13825" max="13825" width="17.33203125" customWidth="1"/>
    <col min="13826" max="13826" width="13.6640625" customWidth="1"/>
    <col min="13827" max="13827" width="11.5546875" customWidth="1"/>
    <col min="13828" max="13828" width="23.5546875" customWidth="1"/>
    <col min="13829" max="13829" width="13.6640625" customWidth="1"/>
    <col min="13830" max="13830" width="35" customWidth="1"/>
    <col min="13831" max="13831" width="13.6640625" customWidth="1"/>
    <col min="13832" max="13832" width="6" customWidth="1"/>
    <col min="13833" max="13833" width="0" hidden="1" customWidth="1"/>
    <col min="13834" max="13834" width="47.6640625" customWidth="1"/>
    <col min="14081" max="14081" width="17.33203125" customWidth="1"/>
    <col min="14082" max="14082" width="13.6640625" customWidth="1"/>
    <col min="14083" max="14083" width="11.5546875" customWidth="1"/>
    <col min="14084" max="14084" width="23.5546875" customWidth="1"/>
    <col min="14085" max="14085" width="13.6640625" customWidth="1"/>
    <col min="14086" max="14086" width="35" customWidth="1"/>
    <col min="14087" max="14087" width="13.6640625" customWidth="1"/>
    <col min="14088" max="14088" width="6" customWidth="1"/>
    <col min="14089" max="14089" width="0" hidden="1" customWidth="1"/>
    <col min="14090" max="14090" width="47.6640625" customWidth="1"/>
    <col min="14337" max="14337" width="17.33203125" customWidth="1"/>
    <col min="14338" max="14338" width="13.6640625" customWidth="1"/>
    <col min="14339" max="14339" width="11.5546875" customWidth="1"/>
    <col min="14340" max="14340" width="23.5546875" customWidth="1"/>
    <col min="14341" max="14341" width="13.6640625" customWidth="1"/>
    <col min="14342" max="14342" width="35" customWidth="1"/>
    <col min="14343" max="14343" width="13.6640625" customWidth="1"/>
    <col min="14344" max="14344" width="6" customWidth="1"/>
    <col min="14345" max="14345" width="0" hidden="1" customWidth="1"/>
    <col min="14346" max="14346" width="47.6640625" customWidth="1"/>
    <col min="14593" max="14593" width="17.33203125" customWidth="1"/>
    <col min="14594" max="14594" width="13.6640625" customWidth="1"/>
    <col min="14595" max="14595" width="11.5546875" customWidth="1"/>
    <col min="14596" max="14596" width="23.5546875" customWidth="1"/>
    <col min="14597" max="14597" width="13.6640625" customWidth="1"/>
    <col min="14598" max="14598" width="35" customWidth="1"/>
    <col min="14599" max="14599" width="13.6640625" customWidth="1"/>
    <col min="14600" max="14600" width="6" customWidth="1"/>
    <col min="14601" max="14601" width="0" hidden="1" customWidth="1"/>
    <col min="14602" max="14602" width="47.6640625" customWidth="1"/>
    <col min="14849" max="14849" width="17.33203125" customWidth="1"/>
    <col min="14850" max="14850" width="13.6640625" customWidth="1"/>
    <col min="14851" max="14851" width="11.5546875" customWidth="1"/>
    <col min="14852" max="14852" width="23.5546875" customWidth="1"/>
    <col min="14853" max="14853" width="13.6640625" customWidth="1"/>
    <col min="14854" max="14854" width="35" customWidth="1"/>
    <col min="14855" max="14855" width="13.6640625" customWidth="1"/>
    <col min="14856" max="14856" width="6" customWidth="1"/>
    <col min="14857" max="14857" width="0" hidden="1" customWidth="1"/>
    <col min="14858" max="14858" width="47.6640625" customWidth="1"/>
    <col min="15105" max="15105" width="17.33203125" customWidth="1"/>
    <col min="15106" max="15106" width="13.6640625" customWidth="1"/>
    <col min="15107" max="15107" width="11.5546875" customWidth="1"/>
    <col min="15108" max="15108" width="23.5546875" customWidth="1"/>
    <col min="15109" max="15109" width="13.6640625" customWidth="1"/>
    <col min="15110" max="15110" width="35" customWidth="1"/>
    <col min="15111" max="15111" width="13.6640625" customWidth="1"/>
    <col min="15112" max="15112" width="6" customWidth="1"/>
    <col min="15113" max="15113" width="0" hidden="1" customWidth="1"/>
    <col min="15114" max="15114" width="47.6640625" customWidth="1"/>
    <col min="15361" max="15361" width="17.33203125" customWidth="1"/>
    <col min="15362" max="15362" width="13.6640625" customWidth="1"/>
    <col min="15363" max="15363" width="11.5546875" customWidth="1"/>
    <col min="15364" max="15364" width="23.5546875" customWidth="1"/>
    <col min="15365" max="15365" width="13.6640625" customWidth="1"/>
    <col min="15366" max="15366" width="35" customWidth="1"/>
    <col min="15367" max="15367" width="13.6640625" customWidth="1"/>
    <col min="15368" max="15368" width="6" customWidth="1"/>
    <col min="15369" max="15369" width="0" hidden="1" customWidth="1"/>
    <col min="15370" max="15370" width="47.6640625" customWidth="1"/>
    <col min="15617" max="15617" width="17.33203125" customWidth="1"/>
    <col min="15618" max="15618" width="13.6640625" customWidth="1"/>
    <col min="15619" max="15619" width="11.5546875" customWidth="1"/>
    <col min="15620" max="15620" width="23.5546875" customWidth="1"/>
    <col min="15621" max="15621" width="13.6640625" customWidth="1"/>
    <col min="15622" max="15622" width="35" customWidth="1"/>
    <col min="15623" max="15623" width="13.6640625" customWidth="1"/>
    <col min="15624" max="15624" width="6" customWidth="1"/>
    <col min="15625" max="15625" width="0" hidden="1" customWidth="1"/>
    <col min="15626" max="15626" width="47.6640625" customWidth="1"/>
    <col min="15873" max="15873" width="17.33203125" customWidth="1"/>
    <col min="15874" max="15874" width="13.6640625" customWidth="1"/>
    <col min="15875" max="15875" width="11.5546875" customWidth="1"/>
    <col min="15876" max="15876" width="23.5546875" customWidth="1"/>
    <col min="15877" max="15877" width="13.6640625" customWidth="1"/>
    <col min="15878" max="15878" width="35" customWidth="1"/>
    <col min="15879" max="15879" width="13.6640625" customWidth="1"/>
    <col min="15880" max="15880" width="6" customWidth="1"/>
    <col min="15881" max="15881" width="0" hidden="1" customWidth="1"/>
    <col min="15882" max="15882" width="47.6640625" customWidth="1"/>
    <col min="16129" max="16129" width="17.33203125" customWidth="1"/>
    <col min="16130" max="16130" width="13.6640625" customWidth="1"/>
    <col min="16131" max="16131" width="11.5546875" customWidth="1"/>
    <col min="16132" max="16132" width="23.5546875" customWidth="1"/>
    <col min="16133" max="16133" width="13.6640625" customWidth="1"/>
    <col min="16134" max="16134" width="35" customWidth="1"/>
    <col min="16135" max="16135" width="13.6640625" customWidth="1"/>
    <col min="16136" max="16136" width="6" customWidth="1"/>
    <col min="16137" max="16137" width="0" hidden="1" customWidth="1"/>
    <col min="16138" max="16138" width="47.6640625" customWidth="1"/>
  </cols>
  <sheetData>
    <row r="1" spans="1:8" ht="10.5" customHeight="1" x14ac:dyDescent="0.25"/>
    <row r="2" spans="1:8" ht="18.600000000000001" customHeight="1" x14ac:dyDescent="0.25">
      <c r="A2" s="20" t="s">
        <v>311</v>
      </c>
      <c r="B2" s="21"/>
      <c r="C2" s="21"/>
      <c r="D2" s="21"/>
      <c r="E2" s="21"/>
      <c r="F2" s="21"/>
      <c r="G2" s="21"/>
      <c r="H2" s="21"/>
    </row>
    <row r="3" spans="1:8" ht="8.1" customHeight="1" x14ac:dyDescent="0.25"/>
    <row r="4" spans="1:8" ht="40.049999999999997" customHeight="1" x14ac:dyDescent="0.25"/>
    <row r="5" spans="1:8" ht="26.4" x14ac:dyDescent="0.25">
      <c r="A5" s="22" t="s">
        <v>312</v>
      </c>
      <c r="B5" s="22" t="s">
        <v>313</v>
      </c>
      <c r="C5" s="22" t="s">
        <v>314</v>
      </c>
      <c r="D5" s="22" t="s">
        <v>315</v>
      </c>
      <c r="E5" s="22" t="s">
        <v>316</v>
      </c>
      <c r="F5" s="22" t="s">
        <v>317</v>
      </c>
      <c r="G5" s="22" t="s">
        <v>318</v>
      </c>
      <c r="H5" s="22" t="s">
        <v>319</v>
      </c>
    </row>
    <row r="6" spans="1:8" ht="26.4" x14ac:dyDescent="0.25">
      <c r="A6" s="23" t="s">
        <v>45</v>
      </c>
      <c r="B6" s="23"/>
      <c r="C6" s="23"/>
      <c r="D6" s="23" t="s">
        <v>320</v>
      </c>
      <c r="E6" s="23" t="s">
        <v>321</v>
      </c>
      <c r="F6" s="23" t="s">
        <v>322</v>
      </c>
      <c r="G6" s="23" t="s">
        <v>323</v>
      </c>
      <c r="H6" s="23">
        <v>2012</v>
      </c>
    </row>
    <row r="7" spans="1:8" ht="26.4" x14ac:dyDescent="0.25">
      <c r="A7" s="23" t="s">
        <v>45</v>
      </c>
      <c r="B7" s="23"/>
      <c r="C7" s="23"/>
      <c r="D7" s="23" t="s">
        <v>324</v>
      </c>
      <c r="E7" s="23"/>
      <c r="F7" s="23" t="s">
        <v>325</v>
      </c>
      <c r="G7" s="23" t="s">
        <v>326</v>
      </c>
      <c r="H7" s="23">
        <v>2000</v>
      </c>
    </row>
    <row r="8" spans="1:8" ht="26.4" x14ac:dyDescent="0.25">
      <c r="A8" s="23" t="s">
        <v>45</v>
      </c>
      <c r="B8" s="23"/>
      <c r="C8" s="23"/>
      <c r="D8" s="23" t="s">
        <v>327</v>
      </c>
      <c r="E8" s="23" t="s">
        <v>328</v>
      </c>
      <c r="F8" s="23" t="s">
        <v>329</v>
      </c>
      <c r="G8" s="23" t="s">
        <v>330</v>
      </c>
      <c r="H8" s="23">
        <v>2010</v>
      </c>
    </row>
    <row r="9" spans="1:8" ht="39.6" x14ac:dyDescent="0.25">
      <c r="A9" s="23" t="s">
        <v>39</v>
      </c>
      <c r="B9" s="23"/>
      <c r="C9" s="23"/>
      <c r="D9" s="23" t="s">
        <v>331</v>
      </c>
      <c r="E9" s="23" t="s">
        <v>332</v>
      </c>
      <c r="F9" s="23" t="s">
        <v>333</v>
      </c>
      <c r="G9" s="23" t="s">
        <v>334</v>
      </c>
      <c r="H9" s="23">
        <v>2012</v>
      </c>
    </row>
    <row r="10" spans="1:8" ht="39.6" x14ac:dyDescent="0.25">
      <c r="A10" s="23" t="s">
        <v>39</v>
      </c>
      <c r="B10" s="23"/>
      <c r="C10" s="23"/>
      <c r="D10" s="23" t="s">
        <v>335</v>
      </c>
      <c r="E10" s="23" t="s">
        <v>336</v>
      </c>
      <c r="F10" s="23" t="s">
        <v>337</v>
      </c>
      <c r="G10" s="23" t="s">
        <v>338</v>
      </c>
      <c r="H10" s="23">
        <v>2007</v>
      </c>
    </row>
    <row r="11" spans="1:8" ht="52.8" x14ac:dyDescent="0.25">
      <c r="A11" s="23" t="s">
        <v>39</v>
      </c>
      <c r="B11" s="23"/>
      <c r="C11" s="23"/>
      <c r="D11" s="23" t="s">
        <v>339</v>
      </c>
      <c r="E11" s="23" t="s">
        <v>340</v>
      </c>
      <c r="F11" s="23" t="s">
        <v>341</v>
      </c>
      <c r="G11" s="23" t="s">
        <v>342</v>
      </c>
      <c r="H11" s="23">
        <v>2009</v>
      </c>
    </row>
    <row r="12" spans="1:8" ht="39.6" x14ac:dyDescent="0.25">
      <c r="A12" s="23" t="s">
        <v>39</v>
      </c>
      <c r="B12" s="23"/>
      <c r="C12" s="23"/>
      <c r="D12" s="23" t="s">
        <v>343</v>
      </c>
      <c r="E12" s="23" t="s">
        <v>344</v>
      </c>
      <c r="F12" s="23" t="s">
        <v>345</v>
      </c>
      <c r="G12" s="23" t="s">
        <v>346</v>
      </c>
      <c r="H12" s="23">
        <v>2011</v>
      </c>
    </row>
    <row r="13" spans="1:8" ht="52.8" x14ac:dyDescent="0.25">
      <c r="A13" s="23" t="s">
        <v>39</v>
      </c>
      <c r="B13" s="23"/>
      <c r="C13" s="23"/>
      <c r="D13" s="23" t="s">
        <v>347</v>
      </c>
      <c r="E13" s="23" t="s">
        <v>348</v>
      </c>
      <c r="F13" s="23" t="s">
        <v>349</v>
      </c>
      <c r="G13" s="23" t="s">
        <v>350</v>
      </c>
      <c r="H13" s="23">
        <v>2013</v>
      </c>
    </row>
    <row r="14" spans="1:8" ht="26.4" x14ac:dyDescent="0.25">
      <c r="A14" s="23" t="s">
        <v>39</v>
      </c>
      <c r="B14" s="23"/>
      <c r="C14" s="23"/>
      <c r="D14" s="23" t="s">
        <v>351</v>
      </c>
      <c r="E14" s="23" t="s">
        <v>352</v>
      </c>
      <c r="F14" s="23" t="s">
        <v>353</v>
      </c>
      <c r="G14" s="23" t="s">
        <v>354</v>
      </c>
      <c r="H14" s="23">
        <v>2011</v>
      </c>
    </row>
    <row r="15" spans="1:8" ht="26.4" x14ac:dyDescent="0.25">
      <c r="A15" s="23" t="s">
        <v>39</v>
      </c>
      <c r="B15" s="23"/>
      <c r="C15" s="23"/>
      <c r="D15" s="23" t="s">
        <v>355</v>
      </c>
      <c r="E15" s="23" t="s">
        <v>356</v>
      </c>
      <c r="F15" s="23" t="s">
        <v>357</v>
      </c>
      <c r="G15" s="23" t="s">
        <v>358</v>
      </c>
      <c r="H15" s="23">
        <v>2005</v>
      </c>
    </row>
    <row r="16" spans="1:8" ht="39.6" x14ac:dyDescent="0.25">
      <c r="A16" s="23" t="s">
        <v>39</v>
      </c>
      <c r="B16" s="23"/>
      <c r="C16" s="23"/>
      <c r="D16" s="23" t="s">
        <v>359</v>
      </c>
      <c r="E16" s="23" t="s">
        <v>360</v>
      </c>
      <c r="F16" s="23" t="s">
        <v>361</v>
      </c>
      <c r="G16" s="23" t="s">
        <v>362</v>
      </c>
      <c r="H16" s="23">
        <v>2008</v>
      </c>
    </row>
    <row r="17" spans="1:8" ht="26.4" x14ac:dyDescent="0.25">
      <c r="A17" s="23" t="s">
        <v>39</v>
      </c>
      <c r="B17" s="23"/>
      <c r="C17" s="23"/>
      <c r="D17" s="23" t="s">
        <v>363</v>
      </c>
      <c r="E17" s="23" t="s">
        <v>364</v>
      </c>
      <c r="F17" s="23" t="s">
        <v>365</v>
      </c>
      <c r="G17" s="23" t="s">
        <v>366</v>
      </c>
      <c r="H17" s="23">
        <v>2001</v>
      </c>
    </row>
    <row r="18" spans="1:8" ht="26.4" x14ac:dyDescent="0.25">
      <c r="A18" s="23" t="s">
        <v>39</v>
      </c>
      <c r="B18" s="23"/>
      <c r="C18" s="23"/>
      <c r="D18" s="23" t="s">
        <v>367</v>
      </c>
      <c r="E18" s="23" t="s">
        <v>368</v>
      </c>
      <c r="F18" s="23" t="s">
        <v>369</v>
      </c>
      <c r="G18" s="23" t="s">
        <v>370</v>
      </c>
      <c r="H18" s="23">
        <v>2006</v>
      </c>
    </row>
    <row r="19" spans="1:8" ht="52.8" x14ac:dyDescent="0.25">
      <c r="A19" s="23" t="s">
        <v>39</v>
      </c>
      <c r="B19" s="23"/>
      <c r="C19" s="23"/>
      <c r="D19" s="23" t="s">
        <v>371</v>
      </c>
      <c r="E19" s="23" t="s">
        <v>372</v>
      </c>
      <c r="F19" s="23" t="s">
        <v>373</v>
      </c>
      <c r="G19" s="23" t="s">
        <v>374</v>
      </c>
      <c r="H19" s="23">
        <v>2012</v>
      </c>
    </row>
    <row r="20" spans="1:8" x14ac:dyDescent="0.25">
      <c r="A20" s="23" t="s">
        <v>6</v>
      </c>
      <c r="B20" s="23"/>
      <c r="C20" s="23"/>
      <c r="D20" s="23" t="s">
        <v>375</v>
      </c>
      <c r="E20" s="23"/>
      <c r="F20" s="23" t="s">
        <v>376</v>
      </c>
      <c r="G20" s="23" t="s">
        <v>377</v>
      </c>
      <c r="H20" s="23">
        <v>2005</v>
      </c>
    </row>
    <row r="21" spans="1:8" ht="39.6" x14ac:dyDescent="0.25">
      <c r="A21" s="23" t="s">
        <v>8</v>
      </c>
      <c r="B21" s="23"/>
      <c r="C21" s="23"/>
      <c r="D21" s="23" t="s">
        <v>378</v>
      </c>
      <c r="E21" s="23"/>
      <c r="F21" s="23" t="s">
        <v>379</v>
      </c>
      <c r="G21" s="23" t="s">
        <v>380</v>
      </c>
      <c r="H21" s="23">
        <v>2000</v>
      </c>
    </row>
    <row r="22" spans="1:8" ht="26.4" x14ac:dyDescent="0.25">
      <c r="A22" s="23" t="s">
        <v>8</v>
      </c>
      <c r="B22" s="23"/>
      <c r="C22" s="23"/>
      <c r="D22" s="23" t="s">
        <v>381</v>
      </c>
      <c r="E22" s="23"/>
      <c r="F22" s="23" t="s">
        <v>382</v>
      </c>
      <c r="G22" s="23" t="s">
        <v>383</v>
      </c>
      <c r="H22" s="23">
        <v>2010</v>
      </c>
    </row>
    <row r="23" spans="1:8" ht="26.4" x14ac:dyDescent="0.25">
      <c r="A23" s="23" t="s">
        <v>46</v>
      </c>
      <c r="B23" s="23"/>
      <c r="C23" s="23"/>
      <c r="D23" s="23" t="s">
        <v>384</v>
      </c>
      <c r="E23" s="23"/>
      <c r="F23" s="23" t="s">
        <v>385</v>
      </c>
      <c r="G23" s="23" t="s">
        <v>386</v>
      </c>
      <c r="H23" s="23">
        <v>2007</v>
      </c>
    </row>
    <row r="24" spans="1:8" ht="26.4" x14ac:dyDescent="0.25">
      <c r="A24" s="23" t="s">
        <v>46</v>
      </c>
      <c r="B24" s="23"/>
      <c r="C24" s="23"/>
      <c r="D24" s="23" t="s">
        <v>387</v>
      </c>
      <c r="E24" s="23"/>
      <c r="F24" s="23" t="s">
        <v>388</v>
      </c>
      <c r="G24" s="23" t="s">
        <v>389</v>
      </c>
      <c r="H24" s="23">
        <v>2010</v>
      </c>
    </row>
    <row r="25" spans="1:8" ht="52.8" x14ac:dyDescent="0.25">
      <c r="A25" s="23" t="s">
        <v>46</v>
      </c>
      <c r="B25" s="23"/>
      <c r="C25" s="23"/>
      <c r="D25" s="23" t="s">
        <v>390</v>
      </c>
      <c r="E25" s="23"/>
      <c r="F25" s="23" t="s">
        <v>391</v>
      </c>
      <c r="G25" s="23" t="s">
        <v>392</v>
      </c>
      <c r="H25" s="23">
        <v>2013</v>
      </c>
    </row>
    <row r="26" spans="1:8" ht="39.6" x14ac:dyDescent="0.25">
      <c r="A26" s="23" t="s">
        <v>46</v>
      </c>
      <c r="B26" s="23"/>
      <c r="C26" s="23"/>
      <c r="D26" s="23" t="s">
        <v>393</v>
      </c>
      <c r="E26" s="23"/>
      <c r="F26" s="23" t="s">
        <v>394</v>
      </c>
      <c r="G26" s="23" t="s">
        <v>395</v>
      </c>
      <c r="H26" s="23">
        <v>2011</v>
      </c>
    </row>
    <row r="27" spans="1:8" ht="26.4" x14ac:dyDescent="0.25">
      <c r="A27" s="23" t="s">
        <v>11</v>
      </c>
      <c r="B27" s="23"/>
      <c r="C27" s="23"/>
      <c r="D27" s="23" t="s">
        <v>396</v>
      </c>
      <c r="E27" s="23"/>
      <c r="F27" s="23" t="s">
        <v>397</v>
      </c>
      <c r="G27" s="23" t="s">
        <v>398</v>
      </c>
      <c r="H27" s="23">
        <v>2010</v>
      </c>
    </row>
    <row r="28" spans="1:8" ht="26.4" x14ac:dyDescent="0.25">
      <c r="A28" s="23" t="s">
        <v>12</v>
      </c>
      <c r="B28" s="23"/>
      <c r="C28" s="23"/>
      <c r="D28" s="23" t="s">
        <v>399</v>
      </c>
      <c r="E28" s="23"/>
      <c r="F28" s="23" t="s">
        <v>400</v>
      </c>
      <c r="G28" s="23" t="s">
        <v>401</v>
      </c>
      <c r="H28" s="23">
        <v>2012</v>
      </c>
    </row>
    <row r="29" spans="1:8" ht="26.4" x14ac:dyDescent="0.25">
      <c r="A29" s="23" t="s">
        <v>16</v>
      </c>
      <c r="B29" s="23"/>
      <c r="C29" s="23"/>
      <c r="D29" s="23" t="s">
        <v>402</v>
      </c>
      <c r="E29" s="23"/>
      <c r="F29" s="23" t="s">
        <v>403</v>
      </c>
      <c r="G29" s="23" t="s">
        <v>404</v>
      </c>
      <c r="H29" s="23">
        <v>2003</v>
      </c>
    </row>
    <row r="30" spans="1:8" ht="26.4" x14ac:dyDescent="0.25">
      <c r="A30" s="23" t="s">
        <v>16</v>
      </c>
      <c r="B30" s="23"/>
      <c r="C30" s="23"/>
      <c r="D30" s="23" t="s">
        <v>405</v>
      </c>
      <c r="E30" s="23"/>
      <c r="F30" s="23" t="s">
        <v>406</v>
      </c>
      <c r="G30" s="23" t="s">
        <v>407</v>
      </c>
      <c r="H30" s="23">
        <v>2013</v>
      </c>
    </row>
    <row r="31" spans="1:8" ht="26.4" x14ac:dyDescent="0.25">
      <c r="A31" s="23" t="s">
        <v>30</v>
      </c>
      <c r="B31" s="23"/>
      <c r="C31" s="23"/>
      <c r="D31" s="23" t="s">
        <v>408</v>
      </c>
      <c r="E31" s="23" t="s">
        <v>409</v>
      </c>
      <c r="F31" s="23" t="s">
        <v>410</v>
      </c>
      <c r="G31" s="23" t="s">
        <v>411</v>
      </c>
      <c r="H31" s="23">
        <v>2001</v>
      </c>
    </row>
    <row r="32" spans="1:8" ht="39.6" x14ac:dyDescent="0.25">
      <c r="A32" s="23" t="s">
        <v>30</v>
      </c>
      <c r="B32" s="23"/>
      <c r="C32" s="23"/>
      <c r="D32" s="23" t="s">
        <v>412</v>
      </c>
      <c r="E32" s="23" t="s">
        <v>413</v>
      </c>
      <c r="F32" s="23" t="s">
        <v>414</v>
      </c>
      <c r="G32" s="23" t="s">
        <v>415</v>
      </c>
      <c r="H32" s="23">
        <v>2012</v>
      </c>
    </row>
    <row r="33" spans="1:8" x14ac:dyDescent="0.25">
      <c r="A33" s="23" t="s">
        <v>30</v>
      </c>
      <c r="B33" s="23"/>
      <c r="C33" s="23"/>
      <c r="D33" s="23" t="s">
        <v>416</v>
      </c>
      <c r="E33" s="23" t="s">
        <v>417</v>
      </c>
      <c r="F33" s="23" t="s">
        <v>418</v>
      </c>
      <c r="G33" s="23" t="s">
        <v>419</v>
      </c>
      <c r="H33" s="23">
        <v>1986</v>
      </c>
    </row>
    <row r="34" spans="1:8" ht="26.4" x14ac:dyDescent="0.25">
      <c r="A34" s="23" t="s">
        <v>30</v>
      </c>
      <c r="B34" s="23"/>
      <c r="C34" s="23"/>
      <c r="D34" s="23" t="s">
        <v>420</v>
      </c>
      <c r="E34" s="23" t="s">
        <v>421</v>
      </c>
      <c r="F34" s="23" t="s">
        <v>422</v>
      </c>
      <c r="G34" s="23" t="s">
        <v>423</v>
      </c>
      <c r="H34" s="23">
        <v>2013</v>
      </c>
    </row>
    <row r="35" spans="1:8" ht="26.4" x14ac:dyDescent="0.25">
      <c r="A35" s="23" t="s">
        <v>30</v>
      </c>
      <c r="B35" s="23"/>
      <c r="C35" s="23"/>
      <c r="D35" s="23" t="s">
        <v>424</v>
      </c>
      <c r="E35" s="23" t="s">
        <v>425</v>
      </c>
      <c r="F35" s="23" t="s">
        <v>426</v>
      </c>
      <c r="G35" s="23" t="s">
        <v>427</v>
      </c>
      <c r="H35" s="23">
        <v>2005</v>
      </c>
    </row>
    <row r="36" spans="1:8" ht="26.4" x14ac:dyDescent="0.25">
      <c r="A36" s="23" t="s">
        <v>30</v>
      </c>
      <c r="B36" s="23"/>
      <c r="C36" s="23"/>
      <c r="D36" s="23" t="s">
        <v>428</v>
      </c>
      <c r="E36" s="23" t="s">
        <v>429</v>
      </c>
      <c r="F36" s="23" t="s">
        <v>430</v>
      </c>
      <c r="G36" s="23" t="s">
        <v>431</v>
      </c>
      <c r="H36" s="23">
        <v>1984</v>
      </c>
    </row>
    <row r="37" spans="1:8" ht="26.4" x14ac:dyDescent="0.25">
      <c r="A37" s="23" t="s">
        <v>30</v>
      </c>
      <c r="B37" s="23"/>
      <c r="C37" s="23"/>
      <c r="D37" s="23" t="s">
        <v>432</v>
      </c>
      <c r="E37" s="23" t="s">
        <v>433</v>
      </c>
      <c r="F37" s="23" t="s">
        <v>434</v>
      </c>
      <c r="G37" s="23" t="s">
        <v>435</v>
      </c>
      <c r="H37" s="23">
        <v>2011</v>
      </c>
    </row>
    <row r="38" spans="1:8" x14ac:dyDescent="0.25">
      <c r="A38" s="23" t="s">
        <v>30</v>
      </c>
      <c r="B38" s="23"/>
      <c r="C38" s="23"/>
      <c r="D38" s="23" t="s">
        <v>436</v>
      </c>
      <c r="E38" s="23" t="s">
        <v>437</v>
      </c>
      <c r="F38" s="23" t="s">
        <v>438</v>
      </c>
      <c r="G38" s="23" t="s">
        <v>439</v>
      </c>
      <c r="H38" s="23">
        <v>2007</v>
      </c>
    </row>
    <row r="39" spans="1:8" ht="39.6" x14ac:dyDescent="0.25">
      <c r="A39" s="23" t="s">
        <v>30</v>
      </c>
      <c r="B39" s="23"/>
      <c r="C39" s="23"/>
      <c r="D39" s="23" t="s">
        <v>440</v>
      </c>
      <c r="E39" s="23" t="s">
        <v>441</v>
      </c>
      <c r="F39" s="23" t="s">
        <v>442</v>
      </c>
      <c r="G39" s="23" t="s">
        <v>443</v>
      </c>
      <c r="H39" s="23">
        <v>2011</v>
      </c>
    </row>
    <row r="40" spans="1:8" ht="26.4" x14ac:dyDescent="0.25">
      <c r="A40" s="23" t="s">
        <v>30</v>
      </c>
      <c r="B40" s="23"/>
      <c r="C40" s="23"/>
      <c r="D40" s="23" t="s">
        <v>444</v>
      </c>
      <c r="E40" s="23" t="s">
        <v>445</v>
      </c>
      <c r="F40" s="23" t="s">
        <v>446</v>
      </c>
      <c r="G40" s="23" t="s">
        <v>447</v>
      </c>
      <c r="H40" s="23">
        <v>2004</v>
      </c>
    </row>
    <row r="41" spans="1:8" ht="26.4" x14ac:dyDescent="0.25">
      <c r="A41" s="23" t="s">
        <v>30</v>
      </c>
      <c r="B41" s="23"/>
      <c r="C41" s="23"/>
      <c r="D41" s="23" t="s">
        <v>448</v>
      </c>
      <c r="E41" s="23" t="s">
        <v>449</v>
      </c>
      <c r="F41" s="23" t="s">
        <v>450</v>
      </c>
      <c r="G41" s="23" t="s">
        <v>451</v>
      </c>
      <c r="H41" s="23">
        <v>1992</v>
      </c>
    </row>
    <row r="42" spans="1:8" ht="26.4" x14ac:dyDescent="0.25">
      <c r="A42" s="23" t="s">
        <v>29</v>
      </c>
      <c r="B42" s="23"/>
      <c r="C42" s="23"/>
      <c r="D42" s="23" t="s">
        <v>452</v>
      </c>
      <c r="E42" s="23" t="s">
        <v>453</v>
      </c>
      <c r="F42" s="23" t="s">
        <v>454</v>
      </c>
      <c r="G42" s="23" t="s">
        <v>455</v>
      </c>
      <c r="H42" s="23">
        <v>2004</v>
      </c>
    </row>
    <row r="43" spans="1:8" ht="39.6" x14ac:dyDescent="0.25">
      <c r="A43" s="23" t="s">
        <v>29</v>
      </c>
      <c r="B43" s="23"/>
      <c r="C43" s="23"/>
      <c r="D43" s="23" t="s">
        <v>456</v>
      </c>
      <c r="E43" s="23" t="s">
        <v>457</v>
      </c>
      <c r="F43" s="23" t="s">
        <v>458</v>
      </c>
      <c r="G43" s="23" t="s">
        <v>459</v>
      </c>
      <c r="H43" s="23">
        <v>1947</v>
      </c>
    </row>
    <row r="44" spans="1:8" ht="26.4" x14ac:dyDescent="0.25">
      <c r="A44" s="23" t="s">
        <v>47</v>
      </c>
      <c r="B44" s="23"/>
      <c r="C44" s="23"/>
      <c r="D44" s="23" t="s">
        <v>460</v>
      </c>
      <c r="E44" s="23" t="s">
        <v>461</v>
      </c>
      <c r="F44" s="23" t="s">
        <v>462</v>
      </c>
      <c r="G44" s="23" t="s">
        <v>463</v>
      </c>
      <c r="H44" s="23">
        <v>2009</v>
      </c>
    </row>
    <row r="45" spans="1:8" x14ac:dyDescent="0.25">
      <c r="A45" s="23" t="s">
        <v>47</v>
      </c>
      <c r="B45" s="23"/>
      <c r="C45" s="23"/>
      <c r="D45" s="23" t="s">
        <v>464</v>
      </c>
      <c r="E45" s="23" t="s">
        <v>465</v>
      </c>
      <c r="F45" s="23" t="s">
        <v>466</v>
      </c>
      <c r="G45" s="23" t="s">
        <v>467</v>
      </c>
      <c r="H45" s="23">
        <v>2011</v>
      </c>
    </row>
    <row r="46" spans="1:8" ht="26.4" x14ac:dyDescent="0.25">
      <c r="A46" s="23" t="s">
        <v>47</v>
      </c>
      <c r="B46" s="23"/>
      <c r="C46" s="23"/>
      <c r="D46" s="23" t="s">
        <v>468</v>
      </c>
      <c r="E46" s="23" t="s">
        <v>469</v>
      </c>
      <c r="F46" s="23" t="s">
        <v>470</v>
      </c>
      <c r="G46" s="23" t="s">
        <v>471</v>
      </c>
      <c r="H46" s="23">
        <v>2012</v>
      </c>
    </row>
    <row r="47" spans="1:8" x14ac:dyDescent="0.25">
      <c r="A47" s="23" t="s">
        <v>47</v>
      </c>
      <c r="B47" s="23"/>
      <c r="C47" s="23"/>
      <c r="D47" s="23" t="s">
        <v>472</v>
      </c>
      <c r="E47" s="23" t="s">
        <v>465</v>
      </c>
      <c r="F47" s="23" t="s">
        <v>473</v>
      </c>
      <c r="G47" s="23" t="s">
        <v>467</v>
      </c>
      <c r="H47" s="23">
        <v>2011</v>
      </c>
    </row>
    <row r="48" spans="1:8" x14ac:dyDescent="0.25">
      <c r="A48" s="23" t="s">
        <v>47</v>
      </c>
      <c r="B48" s="23"/>
      <c r="C48" s="23"/>
      <c r="D48" s="23" t="s">
        <v>474</v>
      </c>
      <c r="E48" s="23" t="s">
        <v>465</v>
      </c>
      <c r="F48" s="23" t="s">
        <v>475</v>
      </c>
      <c r="G48" s="23" t="s">
        <v>467</v>
      </c>
      <c r="H48" s="23">
        <v>2011</v>
      </c>
    </row>
    <row r="49" spans="1:8" ht="39.6" x14ac:dyDescent="0.25">
      <c r="A49" s="23" t="s">
        <v>24</v>
      </c>
      <c r="B49" s="23"/>
      <c r="C49" s="23"/>
      <c r="D49" s="23" t="s">
        <v>476</v>
      </c>
      <c r="E49" s="23" t="s">
        <v>477</v>
      </c>
      <c r="F49" s="23" t="s">
        <v>478</v>
      </c>
      <c r="G49" s="23" t="s">
        <v>479</v>
      </c>
      <c r="H49" s="23">
        <v>1995</v>
      </c>
    </row>
    <row r="50" spans="1:8" x14ac:dyDescent="0.25">
      <c r="A50" s="23" t="s">
        <v>24</v>
      </c>
      <c r="B50" s="23"/>
      <c r="C50" s="23"/>
      <c r="D50" s="23" t="s">
        <v>480</v>
      </c>
      <c r="E50" s="23" t="s">
        <v>481</v>
      </c>
      <c r="F50" s="23" t="s">
        <v>482</v>
      </c>
      <c r="G50" s="23" t="s">
        <v>483</v>
      </c>
      <c r="H50" s="23">
        <v>1995</v>
      </c>
    </row>
    <row r="51" spans="1:8" ht="26.4" x14ac:dyDescent="0.25">
      <c r="A51" s="23" t="s">
        <v>24</v>
      </c>
      <c r="B51" s="23"/>
      <c r="C51" s="23"/>
      <c r="D51" s="23" t="s">
        <v>484</v>
      </c>
      <c r="E51" s="23" t="s">
        <v>485</v>
      </c>
      <c r="F51" s="23" t="s">
        <v>486</v>
      </c>
      <c r="G51" s="23" t="s">
        <v>487</v>
      </c>
      <c r="H51" s="23">
        <v>2013</v>
      </c>
    </row>
    <row r="52" spans="1:8" ht="26.4" x14ac:dyDescent="0.25">
      <c r="A52" s="23" t="s">
        <v>24</v>
      </c>
      <c r="B52" s="23"/>
      <c r="C52" s="23"/>
      <c r="D52" s="23" t="s">
        <v>488</v>
      </c>
      <c r="E52" s="23" t="s">
        <v>489</v>
      </c>
      <c r="F52" s="23" t="s">
        <v>490</v>
      </c>
      <c r="G52" s="23" t="s">
        <v>491</v>
      </c>
      <c r="H52" s="23">
        <v>2013</v>
      </c>
    </row>
    <row r="53" spans="1:8" ht="26.4" x14ac:dyDescent="0.25">
      <c r="A53" s="23" t="s">
        <v>24</v>
      </c>
      <c r="B53" s="23"/>
      <c r="C53" s="23"/>
      <c r="D53" s="23" t="s">
        <v>492</v>
      </c>
      <c r="E53" s="23" t="s">
        <v>493</v>
      </c>
      <c r="F53" s="23" t="s">
        <v>494</v>
      </c>
      <c r="G53" s="23"/>
      <c r="H53" s="23">
        <v>2013</v>
      </c>
    </row>
    <row r="54" spans="1:8" ht="26.4" x14ac:dyDescent="0.25">
      <c r="A54" s="23" t="s">
        <v>24</v>
      </c>
      <c r="B54" s="23"/>
      <c r="C54" s="23"/>
      <c r="D54" s="23" t="s">
        <v>495</v>
      </c>
      <c r="E54" s="23" t="s">
        <v>496</v>
      </c>
      <c r="F54" s="23" t="s">
        <v>497</v>
      </c>
      <c r="G54" s="23" t="s">
        <v>498</v>
      </c>
      <c r="H54" s="23">
        <v>2011</v>
      </c>
    </row>
    <row r="55" spans="1:8" ht="26.4" x14ac:dyDescent="0.25">
      <c r="A55" s="23" t="s">
        <v>24</v>
      </c>
      <c r="B55" s="23"/>
      <c r="C55" s="23"/>
      <c r="D55" s="23" t="s">
        <v>495</v>
      </c>
      <c r="E55" s="23" t="s">
        <v>496</v>
      </c>
      <c r="F55" s="23" t="s">
        <v>499</v>
      </c>
      <c r="G55" s="23" t="s">
        <v>500</v>
      </c>
      <c r="H55" s="23">
        <v>2010</v>
      </c>
    </row>
    <row r="56" spans="1:8" ht="26.4" x14ac:dyDescent="0.25">
      <c r="A56" s="23" t="s">
        <v>24</v>
      </c>
      <c r="B56" s="23"/>
      <c r="C56" s="23"/>
      <c r="D56" s="23" t="s">
        <v>495</v>
      </c>
      <c r="E56" s="23" t="s">
        <v>496</v>
      </c>
      <c r="F56" s="23" t="s">
        <v>501</v>
      </c>
      <c r="G56" s="23" t="s">
        <v>500</v>
      </c>
      <c r="H56" s="23">
        <v>2007</v>
      </c>
    </row>
    <row r="57" spans="1:8" ht="26.4" x14ac:dyDescent="0.25">
      <c r="A57" s="23" t="s">
        <v>24</v>
      </c>
      <c r="B57" s="23"/>
      <c r="C57" s="23"/>
      <c r="D57" s="23" t="s">
        <v>502</v>
      </c>
      <c r="E57" s="23" t="s">
        <v>503</v>
      </c>
      <c r="F57" s="23" t="s">
        <v>504</v>
      </c>
      <c r="G57" s="23" t="s">
        <v>505</v>
      </c>
      <c r="H57" s="23">
        <v>2011</v>
      </c>
    </row>
    <row r="58" spans="1:8" ht="26.4" x14ac:dyDescent="0.25">
      <c r="A58" s="23" t="s">
        <v>24</v>
      </c>
      <c r="B58" s="23"/>
      <c r="C58" s="23"/>
      <c r="D58" s="23" t="s">
        <v>506</v>
      </c>
      <c r="E58" s="23" t="s">
        <v>507</v>
      </c>
      <c r="F58" s="23" t="s">
        <v>508</v>
      </c>
      <c r="G58" s="23" t="s">
        <v>509</v>
      </c>
      <c r="H58" s="23">
        <v>2008</v>
      </c>
    </row>
    <row r="59" spans="1:8" ht="26.4" x14ac:dyDescent="0.25">
      <c r="A59" s="23" t="s">
        <v>24</v>
      </c>
      <c r="B59" s="23"/>
      <c r="C59" s="23" t="s">
        <v>44</v>
      </c>
      <c r="D59" s="23" t="s">
        <v>510</v>
      </c>
      <c r="E59" s="23" t="s">
        <v>511</v>
      </c>
      <c r="F59" s="23" t="s">
        <v>512</v>
      </c>
      <c r="G59" s="23"/>
      <c r="H59" s="23">
        <v>2014</v>
      </c>
    </row>
    <row r="60" spans="1:8" ht="26.4" x14ac:dyDescent="0.25">
      <c r="A60" s="23" t="s">
        <v>24</v>
      </c>
      <c r="B60" s="23"/>
      <c r="C60" s="23"/>
      <c r="D60" s="23" t="s">
        <v>513</v>
      </c>
      <c r="E60" s="23" t="s">
        <v>514</v>
      </c>
      <c r="F60" s="23" t="s">
        <v>515</v>
      </c>
      <c r="G60" s="23" t="s">
        <v>516</v>
      </c>
      <c r="H60" s="23">
        <v>2011</v>
      </c>
    </row>
    <row r="61" spans="1:8" ht="52.8" x14ac:dyDescent="0.25">
      <c r="A61" s="23" t="s">
        <v>24</v>
      </c>
      <c r="B61" s="23"/>
      <c r="C61" s="23"/>
      <c r="D61" s="23" t="s">
        <v>517</v>
      </c>
      <c r="E61" s="23" t="s">
        <v>518</v>
      </c>
      <c r="F61" s="23" t="s">
        <v>519</v>
      </c>
      <c r="G61" s="23" t="s">
        <v>520</v>
      </c>
      <c r="H61" s="23">
        <v>1951</v>
      </c>
    </row>
    <row r="62" spans="1:8" ht="26.4" x14ac:dyDescent="0.25">
      <c r="A62" s="23" t="s">
        <v>24</v>
      </c>
      <c r="B62" s="23"/>
      <c r="C62" s="23"/>
      <c r="D62" s="23" t="s">
        <v>521</v>
      </c>
      <c r="E62" s="23" t="s">
        <v>522</v>
      </c>
      <c r="F62" s="23" t="s">
        <v>523</v>
      </c>
      <c r="G62" s="23" t="s">
        <v>524</v>
      </c>
      <c r="H62" s="23">
        <v>2008</v>
      </c>
    </row>
    <row r="63" spans="1:8" ht="26.4" x14ac:dyDescent="0.25">
      <c r="A63" s="23" t="s">
        <v>24</v>
      </c>
      <c r="B63" s="23"/>
      <c r="C63" s="23"/>
      <c r="D63" s="23" t="s">
        <v>525</v>
      </c>
      <c r="E63" s="23" t="s">
        <v>328</v>
      </c>
      <c r="F63" s="23" t="s">
        <v>526</v>
      </c>
      <c r="G63" s="23" t="s">
        <v>516</v>
      </c>
      <c r="H63" s="23">
        <v>2011</v>
      </c>
    </row>
    <row r="64" spans="1:8" ht="26.4" x14ac:dyDescent="0.25">
      <c r="A64" s="23" t="s">
        <v>24</v>
      </c>
      <c r="B64" s="23"/>
      <c r="C64" s="23"/>
      <c r="D64" s="23" t="s">
        <v>527</v>
      </c>
      <c r="E64" s="23" t="s">
        <v>528</v>
      </c>
      <c r="F64" s="23" t="s">
        <v>529</v>
      </c>
      <c r="G64" s="23" t="s">
        <v>530</v>
      </c>
      <c r="H64" s="23">
        <v>2011</v>
      </c>
    </row>
    <row r="65" spans="1:8" ht="26.4" x14ac:dyDescent="0.25">
      <c r="A65" s="23" t="s">
        <v>2</v>
      </c>
      <c r="B65" s="23"/>
      <c r="C65" s="23"/>
      <c r="D65" s="23" t="s">
        <v>531</v>
      </c>
      <c r="E65" s="23" t="s">
        <v>532</v>
      </c>
      <c r="F65" s="23" t="s">
        <v>533</v>
      </c>
      <c r="G65" s="23" t="s">
        <v>534</v>
      </c>
      <c r="H65" s="23">
        <v>2006</v>
      </c>
    </row>
    <row r="66" spans="1:8" ht="26.4" x14ac:dyDescent="0.25">
      <c r="A66" s="23" t="s">
        <v>1</v>
      </c>
      <c r="B66" s="23"/>
      <c r="C66" s="23"/>
      <c r="D66" s="23" t="s">
        <v>535</v>
      </c>
      <c r="E66" s="23" t="s">
        <v>536</v>
      </c>
      <c r="F66" s="23" t="s">
        <v>537</v>
      </c>
      <c r="G66" s="23" t="s">
        <v>538</v>
      </c>
      <c r="H66" s="23">
        <v>2010</v>
      </c>
    </row>
    <row r="67" spans="1:8" ht="26.4" x14ac:dyDescent="0.25">
      <c r="A67" s="23" t="s">
        <v>1</v>
      </c>
      <c r="B67" s="23"/>
      <c r="C67" s="23"/>
      <c r="D67" s="23" t="s">
        <v>535</v>
      </c>
      <c r="E67" s="23" t="s">
        <v>536</v>
      </c>
      <c r="F67" s="23" t="s">
        <v>539</v>
      </c>
      <c r="G67" s="23" t="s">
        <v>540</v>
      </c>
      <c r="H67" s="23">
        <v>2000</v>
      </c>
    </row>
    <row r="68" spans="1:8" ht="26.4" x14ac:dyDescent="0.25">
      <c r="A68" s="23" t="s">
        <v>1</v>
      </c>
      <c r="B68" s="23"/>
      <c r="C68" s="23"/>
      <c r="D68" s="23" t="s">
        <v>535</v>
      </c>
      <c r="E68" s="23" t="s">
        <v>536</v>
      </c>
      <c r="F68" s="23" t="s">
        <v>541</v>
      </c>
      <c r="G68" s="23" t="s">
        <v>538</v>
      </c>
      <c r="H68" s="23">
        <v>2006</v>
      </c>
    </row>
    <row r="69" spans="1:8" x14ac:dyDescent="0.25">
      <c r="A69" s="23" t="s">
        <v>1</v>
      </c>
      <c r="B69" s="23"/>
      <c r="C69" s="23"/>
      <c r="D69" s="23" t="s">
        <v>542</v>
      </c>
      <c r="E69" s="23" t="s">
        <v>543</v>
      </c>
      <c r="F69" s="23" t="s">
        <v>544</v>
      </c>
      <c r="G69" s="23"/>
      <c r="H69" s="23">
        <v>2013</v>
      </c>
    </row>
    <row r="70" spans="1:8" ht="26.4" x14ac:dyDescent="0.25">
      <c r="A70" s="23" t="s">
        <v>1</v>
      </c>
      <c r="B70" s="23"/>
      <c r="C70" s="23"/>
      <c r="D70" s="23" t="s">
        <v>545</v>
      </c>
      <c r="E70" s="23" t="s">
        <v>546</v>
      </c>
      <c r="F70" s="23" t="s">
        <v>547</v>
      </c>
      <c r="G70" s="23" t="s">
        <v>548</v>
      </c>
      <c r="H70" s="23">
        <v>2004</v>
      </c>
    </row>
    <row r="71" spans="1:8" ht="26.4" x14ac:dyDescent="0.25">
      <c r="A71" s="23" t="s">
        <v>1</v>
      </c>
      <c r="B71" s="23"/>
      <c r="C71" s="23"/>
      <c r="D71" s="23" t="s">
        <v>549</v>
      </c>
      <c r="E71" s="23" t="s">
        <v>550</v>
      </c>
      <c r="F71" s="23" t="s">
        <v>551</v>
      </c>
      <c r="G71" s="23"/>
      <c r="H71" s="23">
        <v>2011</v>
      </c>
    </row>
    <row r="72" spans="1:8" ht="26.4" x14ac:dyDescent="0.25">
      <c r="A72" s="23" t="s">
        <v>3</v>
      </c>
      <c r="B72" s="23"/>
      <c r="C72" s="23"/>
      <c r="D72" s="23" t="s">
        <v>552</v>
      </c>
      <c r="E72" s="23" t="s">
        <v>553</v>
      </c>
      <c r="F72" s="23" t="s">
        <v>554</v>
      </c>
      <c r="G72" s="23" t="s">
        <v>555</v>
      </c>
      <c r="H72" s="23">
        <v>2007</v>
      </c>
    </row>
    <row r="73" spans="1:8" ht="26.4" x14ac:dyDescent="0.25">
      <c r="A73" s="23" t="s">
        <v>3</v>
      </c>
      <c r="B73" s="23"/>
      <c r="C73" s="23"/>
      <c r="D73" s="23" t="s">
        <v>552</v>
      </c>
      <c r="E73" s="23" t="s">
        <v>553</v>
      </c>
      <c r="F73" s="23" t="s">
        <v>556</v>
      </c>
      <c r="G73" s="23" t="s">
        <v>505</v>
      </c>
      <c r="H73" s="23">
        <v>2007</v>
      </c>
    </row>
    <row r="74" spans="1:8" ht="26.4" x14ac:dyDescent="0.25">
      <c r="A74" s="23" t="s">
        <v>3</v>
      </c>
      <c r="B74" s="23"/>
      <c r="C74" s="23"/>
      <c r="D74" s="23" t="s">
        <v>557</v>
      </c>
      <c r="E74" s="23" t="s">
        <v>558</v>
      </c>
      <c r="F74" s="23" t="s">
        <v>559</v>
      </c>
      <c r="G74" s="23" t="s">
        <v>560</v>
      </c>
      <c r="H74" s="23">
        <v>2008</v>
      </c>
    </row>
    <row r="75" spans="1:8" ht="26.4" x14ac:dyDescent="0.25">
      <c r="A75" s="23" t="s">
        <v>3</v>
      </c>
      <c r="B75" s="23"/>
      <c r="C75" s="23"/>
      <c r="D75" s="23" t="s">
        <v>557</v>
      </c>
      <c r="E75" s="23" t="s">
        <v>558</v>
      </c>
      <c r="F75" s="23" t="s">
        <v>561</v>
      </c>
      <c r="G75" s="23" t="s">
        <v>562</v>
      </c>
      <c r="H75" s="23">
        <v>2009</v>
      </c>
    </row>
    <row r="76" spans="1:8" ht="26.4" x14ac:dyDescent="0.25">
      <c r="A76" s="23" t="s">
        <v>3</v>
      </c>
      <c r="B76" s="23"/>
      <c r="C76" s="23"/>
      <c r="D76" s="23" t="s">
        <v>563</v>
      </c>
      <c r="E76" s="23" t="s">
        <v>564</v>
      </c>
      <c r="F76" s="23" t="s">
        <v>565</v>
      </c>
      <c r="G76" s="23" t="s">
        <v>555</v>
      </c>
      <c r="H76" s="23">
        <v>2011</v>
      </c>
    </row>
    <row r="77" spans="1:8" ht="26.4" x14ac:dyDescent="0.25">
      <c r="A77" s="23" t="s">
        <v>3</v>
      </c>
      <c r="B77" s="23"/>
      <c r="C77" s="23"/>
      <c r="D77" s="23" t="s">
        <v>566</v>
      </c>
      <c r="E77" s="23" t="s">
        <v>567</v>
      </c>
      <c r="F77" s="23" t="s">
        <v>568</v>
      </c>
      <c r="G77" s="23" t="s">
        <v>569</v>
      </c>
      <c r="H77" s="23">
        <v>2003</v>
      </c>
    </row>
    <row r="78" spans="1:8" ht="26.4" x14ac:dyDescent="0.25">
      <c r="A78" s="23" t="s">
        <v>34</v>
      </c>
      <c r="B78" s="23"/>
      <c r="C78" s="23" t="s">
        <v>570</v>
      </c>
      <c r="D78" s="23"/>
      <c r="E78" s="23"/>
      <c r="F78" s="23" t="s">
        <v>571</v>
      </c>
      <c r="G78" s="23" t="s">
        <v>572</v>
      </c>
      <c r="H78" s="23"/>
    </row>
    <row r="79" spans="1:8" ht="26.4" x14ac:dyDescent="0.25">
      <c r="A79" s="23" t="s">
        <v>34</v>
      </c>
      <c r="B79" s="23"/>
      <c r="C79" s="23" t="s">
        <v>570</v>
      </c>
      <c r="D79" s="23"/>
      <c r="E79" s="23"/>
      <c r="F79" s="23" t="s">
        <v>571</v>
      </c>
      <c r="G79" s="23" t="s">
        <v>572</v>
      </c>
      <c r="H79" s="23"/>
    </row>
    <row r="80" spans="1:8" ht="26.4" x14ac:dyDescent="0.25">
      <c r="A80" s="23" t="s">
        <v>38</v>
      </c>
      <c r="B80" s="23"/>
      <c r="C80" s="23"/>
      <c r="D80" s="23"/>
      <c r="E80" s="23"/>
      <c r="F80" s="23" t="s">
        <v>573</v>
      </c>
      <c r="G80" s="23" t="s">
        <v>574</v>
      </c>
      <c r="H80" s="23">
        <v>1977</v>
      </c>
    </row>
    <row r="81" spans="1:8" ht="39.6" x14ac:dyDescent="0.25">
      <c r="A81" s="23" t="s">
        <v>28</v>
      </c>
      <c r="B81" s="23"/>
      <c r="C81" s="23"/>
      <c r="D81" s="23" t="s">
        <v>575</v>
      </c>
      <c r="E81" s="23" t="s">
        <v>576</v>
      </c>
      <c r="F81" s="23" t="s">
        <v>577</v>
      </c>
      <c r="G81" s="23" t="s">
        <v>578</v>
      </c>
      <c r="H81" s="23">
        <v>2011</v>
      </c>
    </row>
    <row r="82" spans="1:8" ht="26.4" x14ac:dyDescent="0.25">
      <c r="A82" s="23" t="s">
        <v>28</v>
      </c>
      <c r="B82" s="23"/>
      <c r="C82" s="23"/>
      <c r="D82" s="23" t="s">
        <v>579</v>
      </c>
      <c r="E82" s="23"/>
      <c r="F82" s="23" t="s">
        <v>580</v>
      </c>
      <c r="G82" s="23" t="s">
        <v>581</v>
      </c>
      <c r="H82" s="23">
        <v>2009</v>
      </c>
    </row>
    <row r="83" spans="1:8" ht="39.6" x14ac:dyDescent="0.25">
      <c r="A83" s="23" t="s">
        <v>49</v>
      </c>
      <c r="B83" s="23"/>
      <c r="C83" s="23"/>
      <c r="D83" s="23" t="s">
        <v>582</v>
      </c>
      <c r="E83" s="23"/>
      <c r="F83" s="23" t="s">
        <v>583</v>
      </c>
      <c r="G83" s="23" t="s">
        <v>584</v>
      </c>
      <c r="H83" s="23">
        <v>2007</v>
      </c>
    </row>
    <row r="84" spans="1:8" ht="39.6" x14ac:dyDescent="0.25">
      <c r="A84" s="23" t="s">
        <v>49</v>
      </c>
      <c r="B84" s="23"/>
      <c r="C84" s="23"/>
      <c r="D84" s="23" t="s">
        <v>585</v>
      </c>
      <c r="E84" s="23"/>
      <c r="F84" s="23" t="s">
        <v>586</v>
      </c>
      <c r="G84" s="23" t="s">
        <v>584</v>
      </c>
      <c r="H84" s="23">
        <v>2007</v>
      </c>
    </row>
    <row r="85" spans="1:8" ht="39.6" x14ac:dyDescent="0.25">
      <c r="A85" s="23" t="s">
        <v>49</v>
      </c>
      <c r="B85" s="23"/>
      <c r="C85" s="23"/>
      <c r="D85" s="23" t="s">
        <v>587</v>
      </c>
      <c r="E85" s="23"/>
      <c r="F85" s="23" t="s">
        <v>588</v>
      </c>
      <c r="G85" s="23" t="s">
        <v>584</v>
      </c>
      <c r="H85" s="23">
        <v>2007</v>
      </c>
    </row>
    <row r="86" spans="1:8" ht="39.6" x14ac:dyDescent="0.25">
      <c r="A86" s="23" t="s">
        <v>49</v>
      </c>
      <c r="B86" s="23"/>
      <c r="C86" s="23"/>
      <c r="D86" s="23" t="s">
        <v>589</v>
      </c>
      <c r="E86" s="23"/>
      <c r="F86" s="23" t="s">
        <v>590</v>
      </c>
      <c r="G86" s="23" t="s">
        <v>584</v>
      </c>
      <c r="H86" s="23">
        <v>2006</v>
      </c>
    </row>
    <row r="87" spans="1:8" ht="39.6" x14ac:dyDescent="0.25">
      <c r="A87" s="23" t="s">
        <v>49</v>
      </c>
      <c r="B87" s="23"/>
      <c r="C87" s="23"/>
      <c r="D87" s="23" t="s">
        <v>591</v>
      </c>
      <c r="E87" s="23"/>
      <c r="F87" s="23" t="s">
        <v>592</v>
      </c>
      <c r="G87" s="23" t="s">
        <v>584</v>
      </c>
      <c r="H87" s="23">
        <v>2005</v>
      </c>
    </row>
    <row r="88" spans="1:8" ht="39.6" x14ac:dyDescent="0.25">
      <c r="A88" s="23" t="s">
        <v>49</v>
      </c>
      <c r="B88" s="23"/>
      <c r="C88" s="23"/>
      <c r="D88" s="23" t="s">
        <v>593</v>
      </c>
      <c r="E88" s="23"/>
      <c r="F88" s="23" t="s">
        <v>594</v>
      </c>
      <c r="G88" s="23" t="s">
        <v>584</v>
      </c>
      <c r="H88" s="23">
        <v>2002</v>
      </c>
    </row>
    <row r="89" spans="1:8" ht="39.6" x14ac:dyDescent="0.25">
      <c r="A89" s="23" t="s">
        <v>49</v>
      </c>
      <c r="B89" s="23"/>
      <c r="C89" s="23"/>
      <c r="D89" s="23" t="s">
        <v>593</v>
      </c>
      <c r="E89" s="23"/>
      <c r="F89" s="23" t="s">
        <v>595</v>
      </c>
      <c r="G89" s="23" t="s">
        <v>596</v>
      </c>
      <c r="H89" s="23">
        <v>2004</v>
      </c>
    </row>
    <row r="90" spans="1:8" ht="39.6" x14ac:dyDescent="0.25">
      <c r="A90" s="23" t="s">
        <v>49</v>
      </c>
      <c r="B90" s="23"/>
      <c r="C90" s="23"/>
      <c r="D90" s="23" t="s">
        <v>593</v>
      </c>
      <c r="E90" s="23"/>
      <c r="F90" s="23" t="s">
        <v>597</v>
      </c>
      <c r="G90" s="23" t="s">
        <v>584</v>
      </c>
      <c r="H90" s="23">
        <v>2002</v>
      </c>
    </row>
    <row r="91" spans="1:8" ht="39.6" x14ac:dyDescent="0.25">
      <c r="A91" s="23" t="s">
        <v>49</v>
      </c>
      <c r="B91" s="23"/>
      <c r="C91" s="23"/>
      <c r="D91" s="23" t="s">
        <v>593</v>
      </c>
      <c r="E91" s="23"/>
      <c r="F91" s="23" t="s">
        <v>598</v>
      </c>
      <c r="G91" s="23" t="s">
        <v>584</v>
      </c>
      <c r="H91" s="23">
        <v>2002</v>
      </c>
    </row>
    <row r="92" spans="1:8" ht="39.6" x14ac:dyDescent="0.25">
      <c r="A92" s="23" t="s">
        <v>49</v>
      </c>
      <c r="B92" s="23"/>
      <c r="C92" s="23"/>
      <c r="D92" s="23" t="s">
        <v>593</v>
      </c>
      <c r="E92" s="23"/>
      <c r="F92" s="23" t="s">
        <v>599</v>
      </c>
      <c r="G92" s="23" t="s">
        <v>584</v>
      </c>
      <c r="H92" s="23">
        <v>2008</v>
      </c>
    </row>
    <row r="93" spans="1:8" ht="26.4" x14ac:dyDescent="0.25">
      <c r="A93" s="23" t="s">
        <v>49</v>
      </c>
      <c r="B93" s="23"/>
      <c r="C93" s="23"/>
      <c r="D93" s="23" t="s">
        <v>600</v>
      </c>
      <c r="E93" s="23"/>
      <c r="F93" s="23" t="s">
        <v>601</v>
      </c>
      <c r="G93" s="23" t="s">
        <v>602</v>
      </c>
      <c r="H93" s="23">
        <v>2007</v>
      </c>
    </row>
    <row r="94" spans="1:8" ht="26.4" x14ac:dyDescent="0.25">
      <c r="A94" s="23" t="s">
        <v>26</v>
      </c>
      <c r="B94" s="23"/>
      <c r="C94" s="23"/>
      <c r="D94" s="23" t="s">
        <v>603</v>
      </c>
      <c r="E94" s="23" t="s">
        <v>604</v>
      </c>
      <c r="F94" s="23" t="s">
        <v>605</v>
      </c>
      <c r="G94" s="23" t="s">
        <v>606</v>
      </c>
      <c r="H94" s="23">
        <v>2013</v>
      </c>
    </row>
    <row r="95" spans="1:8" x14ac:dyDescent="0.25">
      <c r="A95" s="23" t="s">
        <v>26</v>
      </c>
      <c r="B95" s="23"/>
      <c r="C95" s="23"/>
      <c r="D95" s="23" t="s">
        <v>607</v>
      </c>
      <c r="E95" s="23" t="s">
        <v>608</v>
      </c>
      <c r="F95" s="23" t="s">
        <v>609</v>
      </c>
      <c r="G95" s="23"/>
      <c r="H95" s="23">
        <v>2013</v>
      </c>
    </row>
    <row r="96" spans="1:8" ht="39.6" x14ac:dyDescent="0.25">
      <c r="A96" s="23" t="s">
        <v>26</v>
      </c>
      <c r="B96" s="23"/>
      <c r="C96" s="23"/>
      <c r="D96" s="23" t="s">
        <v>610</v>
      </c>
      <c r="E96" s="23" t="s">
        <v>611</v>
      </c>
      <c r="F96" s="23" t="s">
        <v>612</v>
      </c>
      <c r="G96" s="23" t="s">
        <v>613</v>
      </c>
      <c r="H96" s="23">
        <v>1947</v>
      </c>
    </row>
    <row r="97" spans="1:8" ht="26.4" x14ac:dyDescent="0.25">
      <c r="A97" s="23" t="s">
        <v>26</v>
      </c>
      <c r="B97" s="23"/>
      <c r="C97" s="23"/>
      <c r="D97" s="23" t="s">
        <v>614</v>
      </c>
      <c r="E97" s="23" t="s">
        <v>615</v>
      </c>
      <c r="F97" s="23" t="s">
        <v>616</v>
      </c>
      <c r="G97" s="23" t="s">
        <v>505</v>
      </c>
      <c r="H97" s="23">
        <v>2010</v>
      </c>
    </row>
    <row r="98" spans="1:8" ht="26.4" x14ac:dyDescent="0.25">
      <c r="A98" s="23" t="s">
        <v>26</v>
      </c>
      <c r="B98" s="23"/>
      <c r="C98" s="23" t="s">
        <v>44</v>
      </c>
      <c r="D98" s="23" t="s">
        <v>617</v>
      </c>
      <c r="E98" s="23" t="s">
        <v>618</v>
      </c>
      <c r="F98" s="23" t="s">
        <v>619</v>
      </c>
      <c r="G98" s="23"/>
      <c r="H98" s="23">
        <v>2014</v>
      </c>
    </row>
    <row r="99" spans="1:8" ht="26.4" x14ac:dyDescent="0.25">
      <c r="A99" s="23" t="s">
        <v>26</v>
      </c>
      <c r="B99" s="23"/>
      <c r="C99" s="23"/>
      <c r="D99" s="23" t="s">
        <v>620</v>
      </c>
      <c r="E99" s="23" t="s">
        <v>621</v>
      </c>
      <c r="F99" s="23" t="s">
        <v>622</v>
      </c>
      <c r="G99" s="23" t="s">
        <v>439</v>
      </c>
      <c r="H99" s="23">
        <v>2012</v>
      </c>
    </row>
    <row r="100" spans="1:8" ht="26.4" x14ac:dyDescent="0.25">
      <c r="A100" s="23" t="s">
        <v>26</v>
      </c>
      <c r="B100" s="23"/>
      <c r="C100" s="23"/>
      <c r="D100" s="23" t="s">
        <v>623</v>
      </c>
      <c r="E100" s="23" t="s">
        <v>624</v>
      </c>
      <c r="F100" s="23" t="s">
        <v>625</v>
      </c>
      <c r="G100" s="23" t="s">
        <v>439</v>
      </c>
      <c r="H100" s="23">
        <v>2013</v>
      </c>
    </row>
    <row r="101" spans="1:8" ht="26.4" x14ac:dyDescent="0.25">
      <c r="A101" s="23" t="s">
        <v>26</v>
      </c>
      <c r="B101" s="23"/>
      <c r="C101" s="23"/>
      <c r="D101" s="23" t="s">
        <v>626</v>
      </c>
      <c r="E101" s="23" t="s">
        <v>627</v>
      </c>
      <c r="F101" s="23" t="s">
        <v>628</v>
      </c>
      <c r="G101" s="23" t="s">
        <v>629</v>
      </c>
      <c r="H101" s="23">
        <v>2012</v>
      </c>
    </row>
    <row r="102" spans="1:8" ht="26.4" x14ac:dyDescent="0.25">
      <c r="A102" s="23" t="s">
        <v>26</v>
      </c>
      <c r="B102" s="23"/>
      <c r="C102" s="23"/>
      <c r="D102" s="23" t="s">
        <v>630</v>
      </c>
      <c r="E102" s="23" t="s">
        <v>631</v>
      </c>
      <c r="F102" s="23" t="s">
        <v>632</v>
      </c>
      <c r="G102" s="23" t="s">
        <v>439</v>
      </c>
      <c r="H102" s="23">
        <v>2012</v>
      </c>
    </row>
    <row r="103" spans="1:8" ht="26.4" x14ac:dyDescent="0.25">
      <c r="A103" s="23" t="s">
        <v>26</v>
      </c>
      <c r="B103" s="23"/>
      <c r="C103" s="23"/>
      <c r="D103" s="23" t="s">
        <v>630</v>
      </c>
      <c r="E103" s="23" t="s">
        <v>633</v>
      </c>
      <c r="F103" s="23" t="s">
        <v>634</v>
      </c>
      <c r="G103" s="23" t="s">
        <v>439</v>
      </c>
      <c r="H103" s="23">
        <v>2012</v>
      </c>
    </row>
    <row r="104" spans="1:8" ht="26.4" x14ac:dyDescent="0.25">
      <c r="A104" s="23" t="s">
        <v>26</v>
      </c>
      <c r="B104" s="23"/>
      <c r="C104" s="23"/>
      <c r="D104" s="23" t="s">
        <v>635</v>
      </c>
      <c r="E104" s="23" t="s">
        <v>636</v>
      </c>
      <c r="F104" s="23" t="s">
        <v>637</v>
      </c>
      <c r="G104" s="23" t="s">
        <v>638</v>
      </c>
      <c r="H104" s="23">
        <v>2001</v>
      </c>
    </row>
    <row r="105" spans="1:8" ht="26.4" x14ac:dyDescent="0.25">
      <c r="A105" s="23" t="s">
        <v>26</v>
      </c>
      <c r="B105" s="23"/>
      <c r="C105" s="23"/>
      <c r="D105" s="23" t="s">
        <v>635</v>
      </c>
      <c r="E105" s="23" t="s">
        <v>636</v>
      </c>
      <c r="F105" s="23" t="s">
        <v>639</v>
      </c>
      <c r="G105" s="23" t="s">
        <v>638</v>
      </c>
      <c r="H105" s="23">
        <v>2001</v>
      </c>
    </row>
    <row r="106" spans="1:8" ht="26.4" x14ac:dyDescent="0.25">
      <c r="A106" s="23" t="s">
        <v>26</v>
      </c>
      <c r="B106" s="23"/>
      <c r="C106" s="23"/>
      <c r="D106" s="23" t="s">
        <v>640</v>
      </c>
      <c r="E106" s="23" t="s">
        <v>641</v>
      </c>
      <c r="F106" s="23" t="s">
        <v>642</v>
      </c>
      <c r="G106" s="23" t="s">
        <v>643</v>
      </c>
      <c r="H106" s="23">
        <v>2011</v>
      </c>
    </row>
    <row r="107" spans="1:8" ht="26.4" x14ac:dyDescent="0.25">
      <c r="A107" s="23" t="s">
        <v>26</v>
      </c>
      <c r="B107" s="23"/>
      <c r="C107" s="23"/>
      <c r="D107" s="23" t="s">
        <v>640</v>
      </c>
      <c r="E107" s="23" t="s">
        <v>641</v>
      </c>
      <c r="F107" s="23" t="s">
        <v>644</v>
      </c>
      <c r="G107" s="23" t="s">
        <v>643</v>
      </c>
      <c r="H107" s="23">
        <v>2011</v>
      </c>
    </row>
    <row r="108" spans="1:8" ht="26.4" x14ac:dyDescent="0.25">
      <c r="A108" s="23" t="s">
        <v>26</v>
      </c>
      <c r="B108" s="23"/>
      <c r="C108" s="23"/>
      <c r="D108" s="23" t="s">
        <v>645</v>
      </c>
      <c r="E108" s="23" t="s">
        <v>646</v>
      </c>
      <c r="F108" s="23" t="s">
        <v>647</v>
      </c>
      <c r="G108" s="23" t="s">
        <v>648</v>
      </c>
      <c r="H108" s="23">
        <v>2004</v>
      </c>
    </row>
    <row r="109" spans="1:8" ht="26.4" x14ac:dyDescent="0.25">
      <c r="A109" s="23" t="s">
        <v>26</v>
      </c>
      <c r="B109" s="23"/>
      <c r="C109" s="23"/>
      <c r="D109" s="23" t="s">
        <v>645</v>
      </c>
      <c r="E109" s="23" t="s">
        <v>646</v>
      </c>
      <c r="F109" s="23" t="s">
        <v>649</v>
      </c>
      <c r="G109" s="23" t="s">
        <v>648</v>
      </c>
      <c r="H109" s="23">
        <v>2004</v>
      </c>
    </row>
    <row r="110" spans="1:8" ht="26.4" x14ac:dyDescent="0.25">
      <c r="A110" s="23" t="s">
        <v>26</v>
      </c>
      <c r="B110" s="23"/>
      <c r="C110" s="23"/>
      <c r="D110" s="23" t="s">
        <v>650</v>
      </c>
      <c r="E110" s="23" t="s">
        <v>651</v>
      </c>
      <c r="F110" s="23" t="s">
        <v>652</v>
      </c>
      <c r="G110" s="23" t="s">
        <v>653</v>
      </c>
      <c r="H110" s="23">
        <v>2001</v>
      </c>
    </row>
    <row r="111" spans="1:8" x14ac:dyDescent="0.25">
      <c r="A111" s="23" t="s">
        <v>26</v>
      </c>
      <c r="B111" s="23"/>
      <c r="C111" s="23"/>
      <c r="D111" s="23" t="s">
        <v>650</v>
      </c>
      <c r="E111" s="23" t="s">
        <v>651</v>
      </c>
      <c r="F111" s="23" t="s">
        <v>654</v>
      </c>
      <c r="G111" s="23" t="s">
        <v>655</v>
      </c>
      <c r="H111" s="23">
        <v>2002</v>
      </c>
    </row>
    <row r="112" spans="1:8" ht="26.4" x14ac:dyDescent="0.25">
      <c r="A112" s="23" t="s">
        <v>26</v>
      </c>
      <c r="B112" s="23"/>
      <c r="C112" s="23"/>
      <c r="D112" s="23" t="s">
        <v>656</v>
      </c>
      <c r="E112" s="23" t="s">
        <v>657</v>
      </c>
      <c r="F112" s="23" t="s">
        <v>658</v>
      </c>
      <c r="G112" s="23" t="s">
        <v>638</v>
      </c>
      <c r="H112" s="23">
        <v>2005</v>
      </c>
    </row>
    <row r="113" spans="1:8" ht="26.4" x14ac:dyDescent="0.25">
      <c r="A113" s="23" t="s">
        <v>26</v>
      </c>
      <c r="B113" s="23"/>
      <c r="C113" s="23"/>
      <c r="D113" s="23" t="s">
        <v>656</v>
      </c>
      <c r="E113" s="23" t="s">
        <v>657</v>
      </c>
      <c r="F113" s="23" t="s">
        <v>659</v>
      </c>
      <c r="G113" s="23" t="s">
        <v>638</v>
      </c>
      <c r="H113" s="23">
        <v>2007</v>
      </c>
    </row>
    <row r="114" spans="1:8" ht="26.4" x14ac:dyDescent="0.25">
      <c r="A114" s="23" t="s">
        <v>26</v>
      </c>
      <c r="B114" s="23"/>
      <c r="C114" s="23"/>
      <c r="D114" s="23" t="s">
        <v>656</v>
      </c>
      <c r="E114" s="23" t="s">
        <v>657</v>
      </c>
      <c r="F114" s="23" t="s">
        <v>660</v>
      </c>
      <c r="G114" s="23" t="s">
        <v>638</v>
      </c>
      <c r="H114" s="23">
        <v>2006</v>
      </c>
    </row>
    <row r="115" spans="1:8" ht="26.4" x14ac:dyDescent="0.25">
      <c r="A115" s="23" t="s">
        <v>26</v>
      </c>
      <c r="B115" s="23"/>
      <c r="C115" s="23"/>
      <c r="D115" s="23" t="s">
        <v>656</v>
      </c>
      <c r="E115" s="23" t="s">
        <v>657</v>
      </c>
      <c r="F115" s="23" t="s">
        <v>661</v>
      </c>
      <c r="G115" s="23" t="s">
        <v>638</v>
      </c>
      <c r="H115" s="23">
        <v>2010</v>
      </c>
    </row>
    <row r="116" spans="1:8" ht="39.6" x14ac:dyDescent="0.25">
      <c r="A116" s="23" t="s">
        <v>26</v>
      </c>
      <c r="B116" s="23"/>
      <c r="C116" s="23"/>
      <c r="D116" s="23" t="s">
        <v>662</v>
      </c>
      <c r="E116" s="23" t="s">
        <v>663</v>
      </c>
      <c r="F116" s="23" t="s">
        <v>664</v>
      </c>
      <c r="G116" s="23"/>
      <c r="H116" s="23">
        <v>2014</v>
      </c>
    </row>
    <row r="117" spans="1:8" ht="26.4" x14ac:dyDescent="0.25">
      <c r="A117" s="23" t="s">
        <v>51</v>
      </c>
      <c r="B117" s="23"/>
      <c r="C117" s="23" t="s">
        <v>570</v>
      </c>
      <c r="D117" s="23"/>
      <c r="E117" s="23"/>
      <c r="F117" s="23" t="s">
        <v>665</v>
      </c>
      <c r="G117" s="23" t="s">
        <v>666</v>
      </c>
      <c r="H117" s="23">
        <v>2000</v>
      </c>
    </row>
    <row r="118" spans="1:8" ht="39.6" x14ac:dyDescent="0.25">
      <c r="A118" s="23" t="s">
        <v>52</v>
      </c>
      <c r="B118" s="23"/>
      <c r="C118" s="23"/>
      <c r="D118" s="23" t="s">
        <v>667</v>
      </c>
      <c r="E118" s="23" t="s">
        <v>668</v>
      </c>
      <c r="F118" s="23" t="s">
        <v>669</v>
      </c>
      <c r="G118" s="23" t="s">
        <v>670</v>
      </c>
      <c r="H118" s="23">
        <v>1998</v>
      </c>
    </row>
    <row r="119" spans="1:8" ht="26.4" x14ac:dyDescent="0.25">
      <c r="A119" s="23" t="s">
        <v>52</v>
      </c>
      <c r="B119" s="23"/>
      <c r="C119" s="23"/>
      <c r="D119" s="23" t="s">
        <v>671</v>
      </c>
      <c r="E119" s="23" t="s">
        <v>672</v>
      </c>
      <c r="F119" s="23" t="s">
        <v>673</v>
      </c>
      <c r="G119" s="23" t="s">
        <v>674</v>
      </c>
      <c r="H119" s="23">
        <v>1997</v>
      </c>
    </row>
    <row r="120" spans="1:8" ht="26.4" x14ac:dyDescent="0.25">
      <c r="A120" s="23" t="s">
        <v>52</v>
      </c>
      <c r="B120" s="23"/>
      <c r="C120" s="23"/>
      <c r="D120" s="23" t="s">
        <v>675</v>
      </c>
      <c r="E120" s="23" t="s">
        <v>676</v>
      </c>
      <c r="F120" s="23" t="s">
        <v>677</v>
      </c>
      <c r="G120" s="23" t="s">
        <v>629</v>
      </c>
      <c r="H120" s="23">
        <v>2001</v>
      </c>
    </row>
    <row r="121" spans="1:8" ht="26.4" x14ac:dyDescent="0.25">
      <c r="A121" s="23" t="s">
        <v>52</v>
      </c>
      <c r="B121" s="23"/>
      <c r="C121" s="23"/>
      <c r="D121" s="23" t="s">
        <v>678</v>
      </c>
      <c r="E121" s="23" t="s">
        <v>679</v>
      </c>
      <c r="F121" s="23" t="s">
        <v>680</v>
      </c>
      <c r="G121" s="23" t="s">
        <v>681</v>
      </c>
      <c r="H121" s="23">
        <v>2006</v>
      </c>
    </row>
    <row r="122" spans="1:8" ht="26.4" x14ac:dyDescent="0.25">
      <c r="A122" s="23" t="s">
        <v>52</v>
      </c>
      <c r="B122" s="23"/>
      <c r="C122" s="23"/>
      <c r="D122" s="23" t="s">
        <v>682</v>
      </c>
      <c r="E122" s="23"/>
      <c r="F122" s="23" t="s">
        <v>683</v>
      </c>
      <c r="G122" s="23" t="s">
        <v>684</v>
      </c>
      <c r="H122" s="23">
        <v>2012</v>
      </c>
    </row>
    <row r="123" spans="1:8" ht="26.4" x14ac:dyDescent="0.25">
      <c r="A123" s="23" t="s">
        <v>23</v>
      </c>
      <c r="B123" s="23"/>
      <c r="C123" s="23"/>
      <c r="D123" s="23" t="s">
        <v>685</v>
      </c>
      <c r="E123" s="23"/>
      <c r="F123" s="23" t="s">
        <v>686</v>
      </c>
      <c r="G123" s="23" t="s">
        <v>687</v>
      </c>
      <c r="H123" s="23">
        <v>1996</v>
      </c>
    </row>
    <row r="124" spans="1:8" ht="52.8" x14ac:dyDescent="0.25">
      <c r="A124" s="23" t="s">
        <v>23</v>
      </c>
      <c r="B124" s="23"/>
      <c r="C124" s="23"/>
      <c r="D124" s="23" t="s">
        <v>688</v>
      </c>
      <c r="E124" s="23" t="s">
        <v>689</v>
      </c>
      <c r="F124" s="23" t="s">
        <v>690</v>
      </c>
      <c r="G124" s="23" t="s">
        <v>691</v>
      </c>
      <c r="H124" s="23">
        <v>2001</v>
      </c>
    </row>
    <row r="125" spans="1:8" ht="39.6" x14ac:dyDescent="0.25">
      <c r="A125" s="23" t="s">
        <v>23</v>
      </c>
      <c r="B125" s="23"/>
      <c r="C125" s="23"/>
      <c r="D125" s="23" t="s">
        <v>692</v>
      </c>
      <c r="E125" s="23" t="s">
        <v>693</v>
      </c>
      <c r="F125" s="23" t="s">
        <v>694</v>
      </c>
      <c r="G125" s="23" t="s">
        <v>695</v>
      </c>
      <c r="H125" s="23">
        <v>2007</v>
      </c>
    </row>
    <row r="126" spans="1:8" ht="39.6" x14ac:dyDescent="0.25">
      <c r="A126" s="23" t="s">
        <v>23</v>
      </c>
      <c r="B126" s="23"/>
      <c r="C126" s="23"/>
      <c r="D126" s="23" t="s">
        <v>692</v>
      </c>
      <c r="E126" s="23" t="s">
        <v>693</v>
      </c>
      <c r="F126" s="23" t="s">
        <v>696</v>
      </c>
      <c r="G126" s="23" t="s">
        <v>695</v>
      </c>
      <c r="H126" s="23">
        <v>2005</v>
      </c>
    </row>
    <row r="127" spans="1:8" ht="39.6" x14ac:dyDescent="0.25">
      <c r="A127" s="23" t="s">
        <v>40</v>
      </c>
      <c r="B127" s="23"/>
      <c r="C127" s="23"/>
      <c r="D127" s="23"/>
      <c r="E127" s="23"/>
      <c r="F127" s="23" t="s">
        <v>697</v>
      </c>
      <c r="G127" s="23" t="s">
        <v>698</v>
      </c>
      <c r="H127" s="23">
        <v>1979</v>
      </c>
    </row>
    <row r="128" spans="1:8" ht="26.4" x14ac:dyDescent="0.25">
      <c r="A128" s="23" t="s">
        <v>40</v>
      </c>
      <c r="B128" s="23"/>
      <c r="C128" s="23" t="s">
        <v>570</v>
      </c>
      <c r="D128" s="23"/>
      <c r="E128" s="23"/>
      <c r="F128" s="23" t="s">
        <v>699</v>
      </c>
      <c r="G128" s="23" t="s">
        <v>700</v>
      </c>
      <c r="H128" s="23">
        <v>1914</v>
      </c>
    </row>
    <row r="129" spans="1:8" x14ac:dyDescent="0.25">
      <c r="A129" s="23" t="s">
        <v>40</v>
      </c>
      <c r="B129" s="23"/>
      <c r="C129" s="23"/>
      <c r="D129" s="23"/>
      <c r="E129" s="23"/>
      <c r="F129" s="23" t="s">
        <v>701</v>
      </c>
      <c r="G129" s="23" t="s">
        <v>702</v>
      </c>
      <c r="H129" s="23">
        <v>1972</v>
      </c>
    </row>
    <row r="130" spans="1:8" ht="39.6" x14ac:dyDescent="0.25">
      <c r="A130" s="23" t="s">
        <v>40</v>
      </c>
      <c r="B130" s="23"/>
      <c r="C130" s="23"/>
      <c r="D130" s="23"/>
      <c r="E130" s="23"/>
      <c r="F130" s="23" t="s">
        <v>703</v>
      </c>
      <c r="G130" s="23" t="s">
        <v>704</v>
      </c>
      <c r="H130" s="23">
        <v>1959</v>
      </c>
    </row>
    <row r="131" spans="1:8" ht="26.4" x14ac:dyDescent="0.25">
      <c r="A131" s="23" t="s">
        <v>40</v>
      </c>
      <c r="B131" s="23"/>
      <c r="C131" s="23" t="s">
        <v>570</v>
      </c>
      <c r="D131" s="23"/>
      <c r="E131" s="23"/>
      <c r="F131" s="23" t="s">
        <v>705</v>
      </c>
      <c r="G131" s="23" t="s">
        <v>706</v>
      </c>
      <c r="H131" s="23">
        <v>1981</v>
      </c>
    </row>
    <row r="132" spans="1:8" ht="26.4" x14ac:dyDescent="0.25">
      <c r="A132" s="23" t="s">
        <v>40</v>
      </c>
      <c r="B132" s="23"/>
      <c r="C132" s="23" t="s">
        <v>570</v>
      </c>
      <c r="D132" s="23"/>
      <c r="E132" s="23"/>
      <c r="F132" s="23" t="s">
        <v>707</v>
      </c>
      <c r="G132" s="23" t="s">
        <v>708</v>
      </c>
      <c r="H132" s="23">
        <v>1985</v>
      </c>
    </row>
    <row r="133" spans="1:8" ht="26.4" x14ac:dyDescent="0.25">
      <c r="A133" s="23" t="s">
        <v>40</v>
      </c>
      <c r="B133" s="23"/>
      <c r="C133" s="23" t="s">
        <v>570</v>
      </c>
      <c r="D133" s="23"/>
      <c r="E133" s="23"/>
      <c r="F133" s="23" t="s">
        <v>709</v>
      </c>
      <c r="G133" s="23" t="s">
        <v>710</v>
      </c>
      <c r="H133" s="23">
        <v>1990</v>
      </c>
    </row>
    <row r="134" spans="1:8" ht="26.4" x14ac:dyDescent="0.25">
      <c r="A134" s="23" t="s">
        <v>40</v>
      </c>
      <c r="B134" s="23"/>
      <c r="C134" s="23" t="s">
        <v>570</v>
      </c>
      <c r="D134" s="23"/>
      <c r="E134" s="23"/>
      <c r="F134" s="23" t="s">
        <v>711</v>
      </c>
      <c r="G134" s="23" t="s">
        <v>712</v>
      </c>
      <c r="H134" s="23"/>
    </row>
    <row r="135" spans="1:8" ht="26.4" x14ac:dyDescent="0.25">
      <c r="A135" s="23" t="s">
        <v>40</v>
      </c>
      <c r="B135" s="23"/>
      <c r="C135" s="23" t="s">
        <v>570</v>
      </c>
      <c r="D135" s="23"/>
      <c r="E135" s="23"/>
      <c r="F135" s="23" t="s">
        <v>713</v>
      </c>
      <c r="G135" s="23" t="s">
        <v>714</v>
      </c>
      <c r="H135" s="23">
        <v>1973</v>
      </c>
    </row>
    <row r="136" spans="1:8" ht="26.4" x14ac:dyDescent="0.25">
      <c r="A136" s="23" t="s">
        <v>40</v>
      </c>
      <c r="B136" s="23"/>
      <c r="C136" s="23" t="s">
        <v>570</v>
      </c>
      <c r="D136" s="23"/>
      <c r="E136" s="23"/>
      <c r="F136" s="23" t="s">
        <v>715</v>
      </c>
      <c r="G136" s="23" t="s">
        <v>716</v>
      </c>
      <c r="H136" s="23"/>
    </row>
    <row r="137" spans="1:8" ht="26.4" x14ac:dyDescent="0.25">
      <c r="A137" s="23" t="s">
        <v>40</v>
      </c>
      <c r="B137" s="23"/>
      <c r="C137" s="23" t="s">
        <v>570</v>
      </c>
      <c r="D137" s="23"/>
      <c r="E137" s="23"/>
      <c r="F137" s="23" t="s">
        <v>717</v>
      </c>
      <c r="G137" s="23" t="s">
        <v>718</v>
      </c>
      <c r="H137" s="23">
        <v>1974</v>
      </c>
    </row>
    <row r="138" spans="1:8" ht="26.4" x14ac:dyDescent="0.25">
      <c r="A138" s="23" t="s">
        <v>40</v>
      </c>
      <c r="B138" s="23"/>
      <c r="C138" s="23" t="s">
        <v>570</v>
      </c>
      <c r="D138" s="23"/>
      <c r="E138" s="23"/>
      <c r="F138" s="23" t="s">
        <v>719</v>
      </c>
      <c r="G138" s="23" t="s">
        <v>720</v>
      </c>
      <c r="H138" s="23">
        <v>2000</v>
      </c>
    </row>
    <row r="139" spans="1:8" ht="26.4" x14ac:dyDescent="0.25">
      <c r="A139" s="23" t="s">
        <v>40</v>
      </c>
      <c r="B139" s="23"/>
      <c r="C139" s="23"/>
      <c r="D139" s="23"/>
      <c r="E139" s="23"/>
      <c r="F139" s="23" t="s">
        <v>721</v>
      </c>
      <c r="G139" s="23" t="s">
        <v>720</v>
      </c>
      <c r="H139" s="23">
        <v>2000</v>
      </c>
    </row>
    <row r="140" spans="1:8" ht="39.6" x14ac:dyDescent="0.25">
      <c r="A140" s="23" t="s">
        <v>40</v>
      </c>
      <c r="B140" s="23"/>
      <c r="C140" s="23"/>
      <c r="D140" s="23"/>
      <c r="E140" s="23"/>
      <c r="F140" s="23" t="s">
        <v>722</v>
      </c>
      <c r="G140" s="23" t="s">
        <v>723</v>
      </c>
      <c r="H140" s="23">
        <v>2000</v>
      </c>
    </row>
    <row r="141" spans="1:8" ht="39.6" x14ac:dyDescent="0.25">
      <c r="A141" s="23" t="s">
        <v>40</v>
      </c>
      <c r="B141" s="23"/>
      <c r="C141" s="23"/>
      <c r="D141" s="23"/>
      <c r="E141" s="23"/>
      <c r="F141" s="23" t="s">
        <v>724</v>
      </c>
      <c r="G141" s="23" t="s">
        <v>723</v>
      </c>
      <c r="H141" s="23">
        <v>2000</v>
      </c>
    </row>
    <row r="142" spans="1:8" ht="26.4" x14ac:dyDescent="0.25">
      <c r="A142" s="23" t="s">
        <v>40</v>
      </c>
      <c r="B142" s="23"/>
      <c r="C142" s="23" t="s">
        <v>570</v>
      </c>
      <c r="D142" s="23"/>
      <c r="E142" s="23"/>
      <c r="F142" s="23" t="s">
        <v>725</v>
      </c>
      <c r="G142" s="23" t="s">
        <v>726</v>
      </c>
      <c r="H142" s="23">
        <v>1985</v>
      </c>
    </row>
    <row r="143" spans="1:8" ht="26.4" x14ac:dyDescent="0.25">
      <c r="A143" s="23" t="s">
        <v>40</v>
      </c>
      <c r="B143" s="23"/>
      <c r="C143" s="23" t="s">
        <v>570</v>
      </c>
      <c r="D143" s="23"/>
      <c r="E143" s="23"/>
      <c r="F143" s="23" t="s">
        <v>727</v>
      </c>
      <c r="G143" s="23" t="s">
        <v>728</v>
      </c>
      <c r="H143" s="23">
        <v>1991</v>
      </c>
    </row>
    <row r="144" spans="1:8" ht="39.6" x14ac:dyDescent="0.25">
      <c r="A144" s="23" t="s">
        <v>40</v>
      </c>
      <c r="B144" s="23"/>
      <c r="C144" s="23" t="s">
        <v>570</v>
      </c>
      <c r="D144" s="23"/>
      <c r="E144" s="23"/>
      <c r="F144" s="23" t="s">
        <v>729</v>
      </c>
      <c r="G144" s="23" t="s">
        <v>730</v>
      </c>
      <c r="H144" s="23">
        <v>1994</v>
      </c>
    </row>
    <row r="145" spans="1:8" ht="26.4" x14ac:dyDescent="0.25">
      <c r="A145" s="23" t="s">
        <v>40</v>
      </c>
      <c r="B145" s="23"/>
      <c r="C145" s="23" t="s">
        <v>570</v>
      </c>
      <c r="D145" s="23"/>
      <c r="E145" s="23"/>
      <c r="F145" s="23" t="s">
        <v>731</v>
      </c>
      <c r="G145" s="23" t="s">
        <v>732</v>
      </c>
      <c r="H145" s="23">
        <v>2000</v>
      </c>
    </row>
    <row r="146" spans="1:8" ht="26.4" x14ac:dyDescent="0.25">
      <c r="A146" s="23" t="s">
        <v>40</v>
      </c>
      <c r="B146" s="23"/>
      <c r="C146" s="23"/>
      <c r="D146" s="23"/>
      <c r="E146" s="23"/>
      <c r="F146" s="23" t="s">
        <v>733</v>
      </c>
      <c r="G146" s="23" t="s">
        <v>734</v>
      </c>
      <c r="H146" s="23">
        <v>1865</v>
      </c>
    </row>
    <row r="147" spans="1:8" ht="26.4" x14ac:dyDescent="0.25">
      <c r="A147" s="23" t="s">
        <v>40</v>
      </c>
      <c r="B147" s="23"/>
      <c r="C147" s="23" t="s">
        <v>570</v>
      </c>
      <c r="D147" s="23"/>
      <c r="E147" s="23"/>
      <c r="F147" s="23" t="s">
        <v>735</v>
      </c>
      <c r="G147" s="23" t="s">
        <v>736</v>
      </c>
      <c r="H147" s="23">
        <v>2008</v>
      </c>
    </row>
    <row r="148" spans="1:8" ht="26.4" x14ac:dyDescent="0.25">
      <c r="A148" s="23" t="s">
        <v>40</v>
      </c>
      <c r="B148" s="23"/>
      <c r="C148" s="23" t="s">
        <v>570</v>
      </c>
      <c r="D148" s="23"/>
      <c r="E148" s="23"/>
      <c r="F148" s="23" t="s">
        <v>737</v>
      </c>
      <c r="G148" s="23" t="s">
        <v>738</v>
      </c>
      <c r="H148" s="23">
        <v>2002</v>
      </c>
    </row>
    <row r="149" spans="1:8" ht="26.4" x14ac:dyDescent="0.25">
      <c r="A149" s="23" t="s">
        <v>40</v>
      </c>
      <c r="B149" s="23"/>
      <c r="C149" s="23"/>
      <c r="D149" s="23"/>
      <c r="E149" s="23"/>
      <c r="F149" s="23" t="s">
        <v>739</v>
      </c>
      <c r="G149" s="23" t="s">
        <v>740</v>
      </c>
      <c r="H149" s="23">
        <v>1932</v>
      </c>
    </row>
    <row r="150" spans="1:8" ht="39.6" x14ac:dyDescent="0.25">
      <c r="A150" s="23" t="s">
        <v>40</v>
      </c>
      <c r="B150" s="23"/>
      <c r="C150" s="23"/>
      <c r="D150" s="23"/>
      <c r="E150" s="23"/>
      <c r="F150" s="23" t="s">
        <v>741</v>
      </c>
      <c r="G150" s="23" t="s">
        <v>742</v>
      </c>
      <c r="H150" s="23">
        <v>2008</v>
      </c>
    </row>
    <row r="151" spans="1:8" ht="52.8" x14ac:dyDescent="0.25">
      <c r="A151" s="23" t="s">
        <v>40</v>
      </c>
      <c r="B151" s="23"/>
      <c r="C151" s="23" t="s">
        <v>570</v>
      </c>
      <c r="D151" s="23"/>
      <c r="E151" s="23"/>
      <c r="F151" s="23" t="s">
        <v>743</v>
      </c>
      <c r="G151" s="23" t="s">
        <v>744</v>
      </c>
      <c r="H151" s="23">
        <v>1975</v>
      </c>
    </row>
    <row r="152" spans="1:8" ht="39.6" x14ac:dyDescent="0.25">
      <c r="A152" s="23" t="s">
        <v>40</v>
      </c>
      <c r="B152" s="23"/>
      <c r="C152" s="23" t="s">
        <v>570</v>
      </c>
      <c r="D152" s="23"/>
      <c r="E152" s="23"/>
      <c r="F152" s="23" t="s">
        <v>745</v>
      </c>
      <c r="G152" s="23" t="s">
        <v>746</v>
      </c>
      <c r="H152" s="23"/>
    </row>
    <row r="153" spans="1:8" ht="26.4" x14ac:dyDescent="0.25">
      <c r="A153" s="23" t="s">
        <v>40</v>
      </c>
      <c r="B153" s="23"/>
      <c r="C153" s="23" t="s">
        <v>570</v>
      </c>
      <c r="D153" s="23"/>
      <c r="E153" s="23"/>
      <c r="F153" s="23" t="s">
        <v>747</v>
      </c>
      <c r="G153" s="23" t="s">
        <v>748</v>
      </c>
      <c r="H153" s="23">
        <v>1953</v>
      </c>
    </row>
    <row r="154" spans="1:8" ht="26.4" x14ac:dyDescent="0.25">
      <c r="A154" s="23" t="s">
        <v>40</v>
      </c>
      <c r="B154" s="23"/>
      <c r="C154" s="23" t="s">
        <v>570</v>
      </c>
      <c r="D154" s="23"/>
      <c r="E154" s="23"/>
      <c r="F154" s="23" t="s">
        <v>749</v>
      </c>
      <c r="G154" s="23" t="s">
        <v>750</v>
      </c>
      <c r="H154" s="23"/>
    </row>
    <row r="155" spans="1:8" ht="26.4" x14ac:dyDescent="0.25">
      <c r="A155" s="23" t="s">
        <v>40</v>
      </c>
      <c r="B155" s="23"/>
      <c r="C155" s="23" t="s">
        <v>570</v>
      </c>
      <c r="D155" s="23"/>
      <c r="E155" s="23"/>
      <c r="F155" s="23" t="s">
        <v>751</v>
      </c>
      <c r="G155" s="23" t="s">
        <v>752</v>
      </c>
      <c r="H155" s="23">
        <v>2012</v>
      </c>
    </row>
    <row r="156" spans="1:8" ht="39.6" x14ac:dyDescent="0.25">
      <c r="A156" s="23" t="s">
        <v>40</v>
      </c>
      <c r="B156" s="23"/>
      <c r="C156" s="23" t="s">
        <v>570</v>
      </c>
      <c r="D156" s="23"/>
      <c r="E156" s="23"/>
      <c r="F156" s="23" t="s">
        <v>753</v>
      </c>
      <c r="G156" s="23" t="s">
        <v>704</v>
      </c>
      <c r="H156" s="23">
        <v>1959</v>
      </c>
    </row>
    <row r="157" spans="1:8" ht="39.6" x14ac:dyDescent="0.25">
      <c r="A157" s="23" t="s">
        <v>40</v>
      </c>
      <c r="B157" s="23"/>
      <c r="C157" s="23" t="s">
        <v>570</v>
      </c>
      <c r="D157" s="23"/>
      <c r="E157" s="23"/>
      <c r="F157" s="23" t="s">
        <v>754</v>
      </c>
      <c r="G157" s="23" t="s">
        <v>755</v>
      </c>
      <c r="H157" s="23">
        <v>1992</v>
      </c>
    </row>
    <row r="158" spans="1:8" ht="26.4" x14ac:dyDescent="0.25">
      <c r="A158" s="23" t="s">
        <v>40</v>
      </c>
      <c r="B158" s="23"/>
      <c r="C158" s="23" t="s">
        <v>570</v>
      </c>
      <c r="D158" s="23"/>
      <c r="E158" s="23"/>
      <c r="F158" s="23" t="s">
        <v>756</v>
      </c>
      <c r="G158" s="23" t="s">
        <v>757</v>
      </c>
      <c r="H158" s="23">
        <v>2006</v>
      </c>
    </row>
    <row r="159" spans="1:8" ht="26.4" x14ac:dyDescent="0.25">
      <c r="A159" s="23" t="s">
        <v>40</v>
      </c>
      <c r="B159" s="23"/>
      <c r="C159" s="23" t="s">
        <v>570</v>
      </c>
      <c r="D159" s="23"/>
      <c r="E159" s="23"/>
      <c r="F159" s="23" t="s">
        <v>758</v>
      </c>
      <c r="G159" s="23" t="s">
        <v>759</v>
      </c>
      <c r="H159" s="23">
        <v>1995</v>
      </c>
    </row>
    <row r="160" spans="1:8" ht="26.4" x14ac:dyDescent="0.25">
      <c r="A160" s="23" t="s">
        <v>40</v>
      </c>
      <c r="B160" s="23"/>
      <c r="C160" s="23" t="s">
        <v>570</v>
      </c>
      <c r="D160" s="23"/>
      <c r="E160" s="23"/>
      <c r="F160" s="23" t="s">
        <v>760</v>
      </c>
      <c r="G160" s="23" t="s">
        <v>761</v>
      </c>
      <c r="H160" s="23">
        <v>1930</v>
      </c>
    </row>
    <row r="161" spans="1:8" ht="39.6" x14ac:dyDescent="0.25">
      <c r="A161" s="23" t="s">
        <v>40</v>
      </c>
      <c r="B161" s="23"/>
      <c r="C161" s="23"/>
      <c r="D161" s="23"/>
      <c r="E161" s="23"/>
      <c r="F161" s="23" t="s">
        <v>762</v>
      </c>
      <c r="G161" s="23" t="s">
        <v>763</v>
      </c>
      <c r="H161" s="23">
        <v>1995</v>
      </c>
    </row>
    <row r="162" spans="1:8" ht="26.4" x14ac:dyDescent="0.25">
      <c r="A162" s="23" t="s">
        <v>40</v>
      </c>
      <c r="B162" s="23"/>
      <c r="C162" s="23" t="s">
        <v>570</v>
      </c>
      <c r="D162" s="23"/>
      <c r="E162" s="23"/>
      <c r="F162" s="23" t="s">
        <v>764</v>
      </c>
      <c r="G162" s="23" t="s">
        <v>765</v>
      </c>
      <c r="H162" s="23">
        <v>1867</v>
      </c>
    </row>
    <row r="163" spans="1:8" ht="26.4" x14ac:dyDescent="0.25">
      <c r="A163" s="23" t="s">
        <v>40</v>
      </c>
      <c r="B163" s="23"/>
      <c r="C163" s="23" t="s">
        <v>570</v>
      </c>
      <c r="D163" s="23"/>
      <c r="E163" s="23"/>
      <c r="F163" s="23" t="s">
        <v>766</v>
      </c>
      <c r="G163" s="23" t="s">
        <v>767</v>
      </c>
      <c r="H163" s="23">
        <v>1995</v>
      </c>
    </row>
    <row r="164" spans="1:8" ht="52.8" x14ac:dyDescent="0.25">
      <c r="A164" s="23" t="s">
        <v>19</v>
      </c>
      <c r="B164" s="23"/>
      <c r="C164" s="23"/>
      <c r="D164" s="23" t="s">
        <v>768</v>
      </c>
      <c r="E164" s="23" t="s">
        <v>769</v>
      </c>
      <c r="F164" s="23" t="s">
        <v>770</v>
      </c>
      <c r="G164" s="23"/>
      <c r="H164" s="23">
        <v>2014</v>
      </c>
    </row>
    <row r="165" spans="1:8" ht="26.4" x14ac:dyDescent="0.25">
      <c r="A165" s="23" t="s">
        <v>19</v>
      </c>
      <c r="B165" s="23"/>
      <c r="C165" s="23"/>
      <c r="D165" s="23" t="s">
        <v>771</v>
      </c>
      <c r="E165" s="23" t="s">
        <v>772</v>
      </c>
      <c r="F165" s="23" t="s">
        <v>773</v>
      </c>
      <c r="G165" s="23" t="s">
        <v>774</v>
      </c>
      <c r="H165" s="23">
        <v>2011</v>
      </c>
    </row>
    <row r="166" spans="1:8" ht="26.4" x14ac:dyDescent="0.25">
      <c r="A166" s="23" t="s">
        <v>19</v>
      </c>
      <c r="B166" s="23"/>
      <c r="C166" s="23"/>
      <c r="D166" s="23" t="s">
        <v>775</v>
      </c>
      <c r="E166" s="23" t="s">
        <v>776</v>
      </c>
      <c r="F166" s="23" t="s">
        <v>777</v>
      </c>
      <c r="G166" s="23" t="s">
        <v>778</v>
      </c>
      <c r="H166" s="23">
        <v>2011</v>
      </c>
    </row>
    <row r="167" spans="1:8" ht="26.4" x14ac:dyDescent="0.25">
      <c r="A167" s="23" t="s">
        <v>19</v>
      </c>
      <c r="B167" s="23"/>
      <c r="C167" s="23"/>
      <c r="D167" s="23" t="s">
        <v>779</v>
      </c>
      <c r="E167" s="23" t="s">
        <v>780</v>
      </c>
      <c r="F167" s="23" t="s">
        <v>781</v>
      </c>
      <c r="G167" s="23" t="s">
        <v>782</v>
      </c>
      <c r="H167" s="23">
        <v>2008</v>
      </c>
    </row>
    <row r="168" spans="1:8" ht="26.4" x14ac:dyDescent="0.25">
      <c r="A168" s="23" t="s">
        <v>19</v>
      </c>
      <c r="B168" s="23"/>
      <c r="C168" s="23"/>
      <c r="D168" s="23" t="s">
        <v>783</v>
      </c>
      <c r="E168" s="23" t="s">
        <v>784</v>
      </c>
      <c r="F168" s="23" t="s">
        <v>785</v>
      </c>
      <c r="G168" s="23" t="s">
        <v>786</v>
      </c>
      <c r="H168" s="23">
        <v>2013</v>
      </c>
    </row>
    <row r="169" spans="1:8" ht="39.6" x14ac:dyDescent="0.25">
      <c r="A169" s="23" t="s">
        <v>19</v>
      </c>
      <c r="B169" s="23"/>
      <c r="C169" s="23"/>
      <c r="D169" s="23" t="s">
        <v>787</v>
      </c>
      <c r="E169" s="23" t="s">
        <v>788</v>
      </c>
      <c r="F169" s="23" t="s">
        <v>789</v>
      </c>
      <c r="G169" s="23" t="s">
        <v>790</v>
      </c>
      <c r="H169" s="23">
        <v>2010</v>
      </c>
    </row>
    <row r="170" spans="1:8" ht="39.6" x14ac:dyDescent="0.25">
      <c r="A170" s="23" t="s">
        <v>19</v>
      </c>
      <c r="B170" s="23"/>
      <c r="C170" s="23"/>
      <c r="D170" s="23" t="s">
        <v>791</v>
      </c>
      <c r="E170" s="23" t="s">
        <v>792</v>
      </c>
      <c r="F170" s="23" t="s">
        <v>793</v>
      </c>
      <c r="G170" s="23" t="s">
        <v>794</v>
      </c>
      <c r="H170" s="23">
        <v>2003</v>
      </c>
    </row>
    <row r="171" spans="1:8" ht="26.4" x14ac:dyDescent="0.25">
      <c r="A171" s="23" t="s">
        <v>19</v>
      </c>
      <c r="B171" s="23"/>
      <c r="C171" s="23"/>
      <c r="D171" s="23" t="s">
        <v>795</v>
      </c>
      <c r="E171" s="23" t="s">
        <v>796</v>
      </c>
      <c r="F171" s="23" t="s">
        <v>797</v>
      </c>
      <c r="G171" s="23" t="s">
        <v>798</v>
      </c>
      <c r="H171" s="23">
        <v>2012</v>
      </c>
    </row>
    <row r="172" spans="1:8" ht="26.4" x14ac:dyDescent="0.25">
      <c r="A172" s="23" t="s">
        <v>19</v>
      </c>
      <c r="B172" s="23"/>
      <c r="C172" s="23"/>
      <c r="D172" s="23" t="s">
        <v>799</v>
      </c>
      <c r="E172" s="23"/>
      <c r="F172" s="23" t="s">
        <v>800</v>
      </c>
      <c r="G172" s="23" t="s">
        <v>801</v>
      </c>
      <c r="H172" s="23">
        <v>2011</v>
      </c>
    </row>
    <row r="173" spans="1:8" ht="39.6" x14ac:dyDescent="0.25">
      <c r="A173" s="23" t="s">
        <v>19</v>
      </c>
      <c r="B173" s="23"/>
      <c r="C173" s="23"/>
      <c r="D173" s="23" t="s">
        <v>802</v>
      </c>
      <c r="E173" s="23" t="s">
        <v>803</v>
      </c>
      <c r="F173" s="23" t="s">
        <v>804</v>
      </c>
      <c r="G173" s="23" t="s">
        <v>805</v>
      </c>
      <c r="H173" s="23">
        <v>2004</v>
      </c>
    </row>
    <row r="174" spans="1:8" ht="26.4" x14ac:dyDescent="0.25">
      <c r="A174" s="23" t="s">
        <v>19</v>
      </c>
      <c r="B174" s="23"/>
      <c r="C174" s="23" t="s">
        <v>44</v>
      </c>
      <c r="D174" s="23" t="s">
        <v>806</v>
      </c>
      <c r="E174" s="23" t="s">
        <v>807</v>
      </c>
      <c r="F174" s="23" t="s">
        <v>808</v>
      </c>
      <c r="G174" s="23"/>
      <c r="H174" s="23">
        <v>2014</v>
      </c>
    </row>
    <row r="175" spans="1:8" ht="26.4" x14ac:dyDescent="0.25">
      <c r="A175" s="23" t="s">
        <v>19</v>
      </c>
      <c r="B175" s="23" t="s">
        <v>809</v>
      </c>
      <c r="C175" s="23"/>
      <c r="D175" s="23" t="s">
        <v>810</v>
      </c>
      <c r="E175" s="23"/>
      <c r="F175" s="23" t="s">
        <v>811</v>
      </c>
      <c r="G175" s="23" t="s">
        <v>638</v>
      </c>
      <c r="H175" s="23">
        <v>2003</v>
      </c>
    </row>
    <row r="176" spans="1:8" ht="26.4" x14ac:dyDescent="0.25">
      <c r="A176" s="23" t="s">
        <v>19</v>
      </c>
      <c r="B176" s="23"/>
      <c r="C176" s="23"/>
      <c r="D176" s="23" t="s">
        <v>812</v>
      </c>
      <c r="E176" s="23" t="s">
        <v>813</v>
      </c>
      <c r="F176" s="23" t="s">
        <v>814</v>
      </c>
      <c r="G176" s="23" t="s">
        <v>487</v>
      </c>
      <c r="H176" s="23">
        <v>1999</v>
      </c>
    </row>
    <row r="177" spans="1:8" ht="39.6" x14ac:dyDescent="0.25">
      <c r="A177" s="23" t="s">
        <v>19</v>
      </c>
      <c r="B177" s="23"/>
      <c r="C177" s="23"/>
      <c r="D177" s="23" t="s">
        <v>815</v>
      </c>
      <c r="E177" s="23" t="s">
        <v>816</v>
      </c>
      <c r="F177" s="23" t="s">
        <v>817</v>
      </c>
      <c r="G177" s="23" t="s">
        <v>818</v>
      </c>
      <c r="H177" s="23">
        <v>2010</v>
      </c>
    </row>
    <row r="178" spans="1:8" ht="26.4" x14ac:dyDescent="0.25">
      <c r="A178" s="23" t="s">
        <v>19</v>
      </c>
      <c r="B178" s="23"/>
      <c r="C178" s="23"/>
      <c r="D178" s="23" t="s">
        <v>819</v>
      </c>
      <c r="E178" s="23" t="s">
        <v>820</v>
      </c>
      <c r="F178" s="23" t="s">
        <v>821</v>
      </c>
      <c r="G178" s="23" t="s">
        <v>822</v>
      </c>
      <c r="H178" s="23">
        <v>2002</v>
      </c>
    </row>
    <row r="179" spans="1:8" ht="52.8" x14ac:dyDescent="0.25">
      <c r="A179" s="23" t="s">
        <v>19</v>
      </c>
      <c r="B179" s="23"/>
      <c r="C179" s="23"/>
      <c r="D179" s="23" t="s">
        <v>823</v>
      </c>
      <c r="E179" s="23" t="s">
        <v>824</v>
      </c>
      <c r="F179" s="23" t="s">
        <v>825</v>
      </c>
      <c r="G179" s="23"/>
      <c r="H179" s="23">
        <v>2013</v>
      </c>
    </row>
    <row r="180" spans="1:8" ht="26.4" x14ac:dyDescent="0.25">
      <c r="A180" s="23" t="s">
        <v>19</v>
      </c>
      <c r="B180" s="23"/>
      <c r="C180" s="23"/>
      <c r="D180" s="23" t="s">
        <v>826</v>
      </c>
      <c r="E180" s="23" t="s">
        <v>827</v>
      </c>
      <c r="F180" s="23" t="s">
        <v>828</v>
      </c>
      <c r="G180" s="23" t="s">
        <v>829</v>
      </c>
      <c r="H180" s="23">
        <v>2012</v>
      </c>
    </row>
    <row r="181" spans="1:8" ht="26.4" x14ac:dyDescent="0.25">
      <c r="A181" s="23" t="s">
        <v>19</v>
      </c>
      <c r="B181" s="23"/>
      <c r="C181" s="23"/>
      <c r="D181" s="23" t="s">
        <v>830</v>
      </c>
      <c r="E181" s="23"/>
      <c r="F181" s="23" t="s">
        <v>831</v>
      </c>
      <c r="G181" s="23" t="s">
        <v>832</v>
      </c>
      <c r="H181" s="23">
        <v>2013</v>
      </c>
    </row>
    <row r="182" spans="1:8" ht="26.4" x14ac:dyDescent="0.25">
      <c r="A182" s="23" t="s">
        <v>19</v>
      </c>
      <c r="B182" s="23"/>
      <c r="C182" s="23"/>
      <c r="D182" s="23" t="s">
        <v>833</v>
      </c>
      <c r="E182" s="23" t="s">
        <v>834</v>
      </c>
      <c r="F182" s="23" t="s">
        <v>835</v>
      </c>
      <c r="G182" s="23" t="s">
        <v>836</v>
      </c>
      <c r="H182" s="23">
        <v>2008</v>
      </c>
    </row>
    <row r="183" spans="1:8" ht="39.6" x14ac:dyDescent="0.25">
      <c r="A183" s="23" t="s">
        <v>19</v>
      </c>
      <c r="B183" s="23"/>
      <c r="C183" s="23"/>
      <c r="D183" s="23" t="s">
        <v>837</v>
      </c>
      <c r="E183" s="23" t="s">
        <v>838</v>
      </c>
      <c r="F183" s="23" t="s">
        <v>839</v>
      </c>
      <c r="G183" s="23" t="s">
        <v>840</v>
      </c>
      <c r="H183" s="23">
        <v>2010</v>
      </c>
    </row>
    <row r="184" spans="1:8" ht="26.4" x14ac:dyDescent="0.25">
      <c r="A184" s="23" t="s">
        <v>19</v>
      </c>
      <c r="B184" s="23"/>
      <c r="C184" s="23"/>
      <c r="D184" s="23" t="s">
        <v>841</v>
      </c>
      <c r="E184" s="23" t="s">
        <v>842</v>
      </c>
      <c r="F184" s="23" t="s">
        <v>843</v>
      </c>
      <c r="G184" s="23" t="s">
        <v>844</v>
      </c>
      <c r="H184" s="23">
        <v>2009</v>
      </c>
    </row>
    <row r="185" spans="1:8" ht="39.6" x14ac:dyDescent="0.25">
      <c r="A185" s="23" t="s">
        <v>19</v>
      </c>
      <c r="B185" s="23"/>
      <c r="C185" s="23"/>
      <c r="D185" s="23" t="s">
        <v>845</v>
      </c>
      <c r="E185" s="23" t="s">
        <v>846</v>
      </c>
      <c r="F185" s="23" t="s">
        <v>847</v>
      </c>
      <c r="G185" s="23" t="s">
        <v>848</v>
      </c>
      <c r="H185" s="23">
        <v>2007</v>
      </c>
    </row>
    <row r="186" spans="1:8" ht="39.6" x14ac:dyDescent="0.25">
      <c r="A186" s="23" t="s">
        <v>19</v>
      </c>
      <c r="B186" s="23"/>
      <c r="C186" s="23"/>
      <c r="D186" s="23" t="s">
        <v>849</v>
      </c>
      <c r="E186" s="23" t="s">
        <v>850</v>
      </c>
      <c r="F186" s="23" t="s">
        <v>851</v>
      </c>
      <c r="G186" s="23" t="s">
        <v>852</v>
      </c>
      <c r="H186" s="23">
        <v>2009</v>
      </c>
    </row>
    <row r="187" spans="1:8" ht="39.6" x14ac:dyDescent="0.25">
      <c r="A187" s="23" t="s">
        <v>19</v>
      </c>
      <c r="B187" s="23"/>
      <c r="C187" s="23"/>
      <c r="D187" s="23" t="s">
        <v>853</v>
      </c>
      <c r="E187" s="23" t="s">
        <v>854</v>
      </c>
      <c r="F187" s="23" t="s">
        <v>855</v>
      </c>
      <c r="G187" s="23" t="s">
        <v>856</v>
      </c>
      <c r="H187" s="23">
        <v>2006</v>
      </c>
    </row>
    <row r="188" spans="1:8" ht="39.6" x14ac:dyDescent="0.25">
      <c r="A188" s="23" t="s">
        <v>19</v>
      </c>
      <c r="B188" s="23"/>
      <c r="C188" s="23"/>
      <c r="D188" s="23" t="s">
        <v>857</v>
      </c>
      <c r="E188" s="23" t="s">
        <v>858</v>
      </c>
      <c r="F188" s="23" t="s">
        <v>859</v>
      </c>
      <c r="G188" s="23" t="s">
        <v>860</v>
      </c>
      <c r="H188" s="23">
        <v>2000</v>
      </c>
    </row>
    <row r="189" spans="1:8" ht="39.6" x14ac:dyDescent="0.25">
      <c r="A189" s="23" t="s">
        <v>19</v>
      </c>
      <c r="B189" s="23"/>
      <c r="C189" s="23"/>
      <c r="D189" s="23" t="s">
        <v>861</v>
      </c>
      <c r="E189" s="23" t="s">
        <v>862</v>
      </c>
      <c r="F189" s="23" t="s">
        <v>863</v>
      </c>
      <c r="G189" s="23" t="s">
        <v>864</v>
      </c>
      <c r="H189" s="23">
        <v>2011</v>
      </c>
    </row>
    <row r="190" spans="1:8" ht="26.4" x14ac:dyDescent="0.25">
      <c r="A190" s="23" t="s">
        <v>19</v>
      </c>
      <c r="B190" s="23"/>
      <c r="C190" s="23"/>
      <c r="D190" s="23" t="s">
        <v>865</v>
      </c>
      <c r="E190" s="23" t="s">
        <v>866</v>
      </c>
      <c r="F190" s="23" t="s">
        <v>867</v>
      </c>
      <c r="G190" s="23" t="s">
        <v>868</v>
      </c>
      <c r="H190" s="23">
        <v>1998</v>
      </c>
    </row>
    <row r="191" spans="1:8" ht="26.4" x14ac:dyDescent="0.25">
      <c r="A191" s="23" t="s">
        <v>19</v>
      </c>
      <c r="B191" s="23"/>
      <c r="C191" s="23"/>
      <c r="D191" s="23" t="s">
        <v>869</v>
      </c>
      <c r="E191" s="23" t="s">
        <v>870</v>
      </c>
      <c r="F191" s="23" t="s">
        <v>871</v>
      </c>
      <c r="G191" s="23" t="s">
        <v>872</v>
      </c>
      <c r="H191" s="23">
        <v>2010</v>
      </c>
    </row>
    <row r="192" spans="1:8" ht="39.6" x14ac:dyDescent="0.25">
      <c r="A192" s="23" t="s">
        <v>19</v>
      </c>
      <c r="B192" s="23"/>
      <c r="C192" s="23"/>
      <c r="D192" s="23" t="s">
        <v>873</v>
      </c>
      <c r="E192" s="23" t="s">
        <v>874</v>
      </c>
      <c r="F192" s="23" t="s">
        <v>875</v>
      </c>
      <c r="G192" s="23" t="s">
        <v>876</v>
      </c>
      <c r="H192" s="23">
        <v>2006</v>
      </c>
    </row>
    <row r="193" spans="1:8" x14ac:dyDescent="0.25">
      <c r="A193" s="23" t="s">
        <v>19</v>
      </c>
      <c r="B193" s="23"/>
      <c r="C193" s="23"/>
      <c r="D193" s="23" t="s">
        <v>877</v>
      </c>
      <c r="E193" s="23" t="s">
        <v>878</v>
      </c>
      <c r="F193" s="23" t="s">
        <v>879</v>
      </c>
      <c r="G193" s="23" t="s">
        <v>880</v>
      </c>
      <c r="H193" s="23">
        <v>2012</v>
      </c>
    </row>
    <row r="194" spans="1:8" ht="26.4" x14ac:dyDescent="0.25">
      <c r="A194" s="23" t="s">
        <v>19</v>
      </c>
      <c r="B194" s="23"/>
      <c r="C194" s="23"/>
      <c r="D194" s="23" t="s">
        <v>881</v>
      </c>
      <c r="E194" s="23" t="s">
        <v>882</v>
      </c>
      <c r="F194" s="23" t="s">
        <v>883</v>
      </c>
      <c r="G194" s="23" t="s">
        <v>884</v>
      </c>
      <c r="H194" s="23">
        <v>2011</v>
      </c>
    </row>
    <row r="195" spans="1:8" ht="26.4" x14ac:dyDescent="0.25">
      <c r="A195" s="23" t="s">
        <v>19</v>
      </c>
      <c r="B195" s="23"/>
      <c r="C195" s="23"/>
      <c r="D195" s="23" t="s">
        <v>885</v>
      </c>
      <c r="E195" s="23" t="s">
        <v>886</v>
      </c>
      <c r="F195" s="23" t="s">
        <v>887</v>
      </c>
      <c r="G195" s="23" t="s">
        <v>888</v>
      </c>
      <c r="H195" s="23">
        <v>2001</v>
      </c>
    </row>
    <row r="196" spans="1:8" ht="26.4" x14ac:dyDescent="0.25">
      <c r="A196" s="23" t="s">
        <v>19</v>
      </c>
      <c r="B196" s="23"/>
      <c r="C196" s="23"/>
      <c r="D196" s="23" t="s">
        <v>889</v>
      </c>
      <c r="E196" s="23" t="s">
        <v>890</v>
      </c>
      <c r="F196" s="23" t="s">
        <v>891</v>
      </c>
      <c r="G196" s="23" t="s">
        <v>892</v>
      </c>
      <c r="H196" s="23">
        <v>2013</v>
      </c>
    </row>
    <row r="197" spans="1:8" ht="26.4" x14ac:dyDescent="0.25">
      <c r="A197" s="23" t="s">
        <v>19</v>
      </c>
      <c r="B197" s="23"/>
      <c r="C197" s="23"/>
      <c r="D197" s="23" t="s">
        <v>893</v>
      </c>
      <c r="E197" s="23" t="s">
        <v>894</v>
      </c>
      <c r="F197" s="23" t="s">
        <v>895</v>
      </c>
      <c r="G197" s="23" t="s">
        <v>638</v>
      </c>
      <c r="H197" s="23">
        <v>2008</v>
      </c>
    </row>
    <row r="198" spans="1:8" ht="39.6" x14ac:dyDescent="0.25">
      <c r="A198" s="23" t="s">
        <v>19</v>
      </c>
      <c r="B198" s="23"/>
      <c r="C198" s="23"/>
      <c r="D198" s="23" t="s">
        <v>896</v>
      </c>
      <c r="E198" s="23" t="s">
        <v>897</v>
      </c>
      <c r="F198" s="23" t="s">
        <v>898</v>
      </c>
      <c r="G198" s="23" t="s">
        <v>899</v>
      </c>
      <c r="H198" s="23">
        <v>2009</v>
      </c>
    </row>
    <row r="199" spans="1:8" ht="26.4" x14ac:dyDescent="0.25">
      <c r="A199" s="23" t="s">
        <v>19</v>
      </c>
      <c r="B199" s="23"/>
      <c r="C199" s="23"/>
      <c r="D199" s="23" t="s">
        <v>900</v>
      </c>
      <c r="E199" s="23" t="s">
        <v>901</v>
      </c>
      <c r="F199" s="23" t="s">
        <v>902</v>
      </c>
      <c r="G199" s="23" t="s">
        <v>903</v>
      </c>
      <c r="H199" s="23">
        <v>1999</v>
      </c>
    </row>
    <row r="200" spans="1:8" ht="26.4" x14ac:dyDescent="0.25">
      <c r="A200" s="23" t="s">
        <v>19</v>
      </c>
      <c r="B200" s="23"/>
      <c r="C200" s="23" t="s">
        <v>44</v>
      </c>
      <c r="D200" s="23" t="s">
        <v>904</v>
      </c>
      <c r="E200" s="23" t="s">
        <v>905</v>
      </c>
      <c r="F200" s="23" t="s">
        <v>906</v>
      </c>
      <c r="G200" s="23"/>
      <c r="H200" s="23">
        <v>2014</v>
      </c>
    </row>
    <row r="201" spans="1:8" ht="26.4" x14ac:dyDescent="0.25">
      <c r="A201" s="23" t="s">
        <v>0</v>
      </c>
      <c r="B201" s="23"/>
      <c r="C201" s="23"/>
      <c r="D201" s="23" t="s">
        <v>907</v>
      </c>
      <c r="E201" s="23" t="s">
        <v>908</v>
      </c>
      <c r="F201" s="23" t="s">
        <v>909</v>
      </c>
      <c r="G201" s="23" t="s">
        <v>910</v>
      </c>
      <c r="H201" s="23">
        <v>2012</v>
      </c>
    </row>
    <row r="202" spans="1:8" ht="26.4" x14ac:dyDescent="0.25">
      <c r="A202" s="23" t="s">
        <v>0</v>
      </c>
      <c r="B202" s="23"/>
      <c r="C202" s="23"/>
      <c r="D202" s="23" t="s">
        <v>911</v>
      </c>
      <c r="E202" s="23" t="s">
        <v>912</v>
      </c>
      <c r="F202" s="23" t="s">
        <v>913</v>
      </c>
      <c r="G202" s="23" t="s">
        <v>638</v>
      </c>
      <c r="H202" s="23">
        <v>2013</v>
      </c>
    </row>
    <row r="203" spans="1:8" ht="39.6" x14ac:dyDescent="0.25">
      <c r="A203" s="23" t="s">
        <v>21</v>
      </c>
      <c r="B203" s="23"/>
      <c r="C203" s="23"/>
      <c r="D203" s="23" t="s">
        <v>914</v>
      </c>
      <c r="E203" s="23" t="s">
        <v>915</v>
      </c>
      <c r="F203" s="23" t="s">
        <v>916</v>
      </c>
      <c r="G203" s="23" t="s">
        <v>917</v>
      </c>
      <c r="H203" s="23">
        <v>2014</v>
      </c>
    </row>
    <row r="204" spans="1:8" ht="26.4" x14ac:dyDescent="0.25">
      <c r="A204" s="23" t="s">
        <v>22</v>
      </c>
      <c r="B204" s="23"/>
      <c r="C204" s="23"/>
      <c r="D204" s="23" t="s">
        <v>918</v>
      </c>
      <c r="E204" s="23" t="s">
        <v>919</v>
      </c>
      <c r="F204" s="23" t="s">
        <v>920</v>
      </c>
      <c r="G204" s="23" t="s">
        <v>921</v>
      </c>
      <c r="H204" s="23">
        <v>2011</v>
      </c>
    </row>
    <row r="205" spans="1:8" x14ac:dyDescent="0.25">
      <c r="A205" s="23" t="s">
        <v>22</v>
      </c>
      <c r="B205" s="23"/>
      <c r="C205" s="23"/>
      <c r="D205" s="23" t="s">
        <v>922</v>
      </c>
      <c r="E205" s="23" t="s">
        <v>923</v>
      </c>
      <c r="F205" s="23" t="s">
        <v>924</v>
      </c>
      <c r="G205" s="23" t="s">
        <v>925</v>
      </c>
      <c r="H205" s="23">
        <v>2010</v>
      </c>
    </row>
    <row r="206" spans="1:8" x14ac:dyDescent="0.25">
      <c r="A206" s="23" t="s">
        <v>22</v>
      </c>
      <c r="B206" s="23"/>
      <c r="C206" s="23"/>
      <c r="D206" s="23" t="s">
        <v>922</v>
      </c>
      <c r="E206" s="23" t="s">
        <v>923</v>
      </c>
      <c r="F206" s="23" t="s">
        <v>926</v>
      </c>
      <c r="G206" s="23" t="s">
        <v>925</v>
      </c>
      <c r="H206" s="23">
        <v>2010</v>
      </c>
    </row>
    <row r="207" spans="1:8" ht="26.4" x14ac:dyDescent="0.25">
      <c r="A207" s="23" t="s">
        <v>22</v>
      </c>
      <c r="B207" s="23"/>
      <c r="C207" s="23"/>
      <c r="D207" s="23" t="s">
        <v>927</v>
      </c>
      <c r="E207" s="23" t="s">
        <v>928</v>
      </c>
      <c r="F207" s="23" t="s">
        <v>929</v>
      </c>
      <c r="G207" s="23" t="s">
        <v>930</v>
      </c>
      <c r="H207" s="23">
        <v>2008</v>
      </c>
    </row>
    <row r="208" spans="1:8" ht="26.4" x14ac:dyDescent="0.25">
      <c r="A208" s="23" t="s">
        <v>56</v>
      </c>
      <c r="B208" s="23"/>
      <c r="C208" s="23"/>
      <c r="D208" s="23" t="s">
        <v>931</v>
      </c>
      <c r="E208" s="23" t="s">
        <v>932</v>
      </c>
      <c r="F208" s="23" t="s">
        <v>933</v>
      </c>
      <c r="G208" s="23" t="s">
        <v>934</v>
      </c>
      <c r="H208" s="23">
        <v>2006</v>
      </c>
    </row>
  </sheetData>
  <mergeCells count="1">
    <mergeCell ref="A2:H2"/>
  </mergeCells>
  <pageMargins left="0.25" right="0.25" top="0.25" bottom="0.25" header="0.25" footer="0.25"/>
  <pageSetup orientation="landscape" horizontalDpi="0" verticalDpi="0"/>
  <headerFooter alignWithMargins="0">
    <oddFooter>&amp;L&amp;C&amp;R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tabSelected="1" topLeftCell="A18" zoomScale="85" zoomScaleNormal="85" workbookViewId="0">
      <selection activeCell="F32" sqref="F32"/>
    </sheetView>
  </sheetViews>
  <sheetFormatPr defaultColWidth="8.88671875" defaultRowHeight="18" x14ac:dyDescent="0.35"/>
  <cols>
    <col min="1" max="1" width="32.33203125" bestFit="1" customWidth="1"/>
    <col min="2" max="2" width="25" style="6" bestFit="1" customWidth="1"/>
    <col min="3" max="3" width="18.44140625" style="6" bestFit="1" customWidth="1"/>
    <col min="4" max="4" width="21.5546875" style="6" customWidth="1"/>
    <col min="5" max="5" width="17.21875" style="6" customWidth="1"/>
    <col min="6" max="6" width="15.21875" style="6" customWidth="1"/>
    <col min="7" max="7" width="40.33203125" style="7" customWidth="1"/>
    <col min="8" max="8" width="26.21875" style="7" bestFit="1" customWidth="1"/>
    <col min="9" max="16384" width="8.88671875" style="6"/>
  </cols>
  <sheetData>
    <row r="1" spans="1:8" x14ac:dyDescent="0.35">
      <c r="A1" s="11" t="s">
        <v>304</v>
      </c>
      <c r="B1" s="11" t="s">
        <v>302</v>
      </c>
      <c r="C1" s="11" t="s">
        <v>307</v>
      </c>
      <c r="D1" s="11" t="s">
        <v>306</v>
      </c>
      <c r="E1" s="11" t="s">
        <v>63</v>
      </c>
      <c r="F1" s="11" t="s">
        <v>64</v>
      </c>
      <c r="G1" s="11" t="s">
        <v>297</v>
      </c>
      <c r="H1" s="2" t="s">
        <v>303</v>
      </c>
    </row>
    <row r="2" spans="1:8" ht="19.95" customHeight="1" x14ac:dyDescent="0.35">
      <c r="A2" s="9" t="s">
        <v>146</v>
      </c>
      <c r="B2" s="9" t="s">
        <v>19</v>
      </c>
      <c r="C2" s="9" t="b">
        <f t="shared" ref="C2:C33" si="0">ISNUMBER(F2)</f>
        <v>1</v>
      </c>
      <c r="D2" s="9" t="str">
        <f t="shared" ref="D2:D33" si="1">TRIM(E2&amp;IF(NOT(C2)," "&amp;F2,""))</f>
        <v/>
      </c>
      <c r="E2" s="10"/>
      <c r="F2" s="10">
        <v>999.99</v>
      </c>
      <c r="G2" s="10" t="s">
        <v>280</v>
      </c>
      <c r="H2" s="8" t="s">
        <v>19</v>
      </c>
    </row>
    <row r="3" spans="1:8" ht="19.95" customHeight="1" x14ac:dyDescent="0.35">
      <c r="A3" s="9" t="s">
        <v>102</v>
      </c>
      <c r="B3" s="9" t="s">
        <v>52</v>
      </c>
      <c r="C3" s="9" t="b">
        <f t="shared" si="0"/>
        <v>1</v>
      </c>
      <c r="D3" s="9" t="str">
        <f t="shared" si="1"/>
        <v>J</v>
      </c>
      <c r="E3" s="10" t="s">
        <v>99</v>
      </c>
      <c r="F3" s="10">
        <v>999.99</v>
      </c>
      <c r="G3" s="10" t="s">
        <v>263</v>
      </c>
      <c r="H3" s="8" t="s">
        <v>19</v>
      </c>
    </row>
    <row r="4" spans="1:8" ht="19.95" customHeight="1" x14ac:dyDescent="0.35">
      <c r="A4" s="9" t="s">
        <v>150</v>
      </c>
      <c r="B4" s="9" t="s">
        <v>45</v>
      </c>
      <c r="C4" s="9" t="b">
        <f t="shared" si="0"/>
        <v>1</v>
      </c>
      <c r="D4" s="9" t="str">
        <f t="shared" si="1"/>
        <v>CD</v>
      </c>
      <c r="E4" s="10" t="s">
        <v>149</v>
      </c>
      <c r="F4" s="10">
        <v>999.99</v>
      </c>
      <c r="G4" s="10" t="s">
        <v>282</v>
      </c>
      <c r="H4" s="8" t="s">
        <v>19</v>
      </c>
    </row>
    <row r="5" spans="1:8" ht="19.95" customHeight="1" x14ac:dyDescent="0.35">
      <c r="A5" s="9" t="s">
        <v>218</v>
      </c>
      <c r="B5" s="9" t="s">
        <v>56</v>
      </c>
      <c r="C5" s="9" t="b">
        <f t="shared" si="0"/>
        <v>1</v>
      </c>
      <c r="D5" s="9" t="str">
        <f t="shared" si="1"/>
        <v>TEEN</v>
      </c>
      <c r="E5" s="10" t="s">
        <v>217</v>
      </c>
      <c r="F5" s="10">
        <v>999.99</v>
      </c>
      <c r="G5" s="10" t="s">
        <v>291</v>
      </c>
      <c r="H5" s="8" t="s">
        <v>19</v>
      </c>
    </row>
    <row r="6" spans="1:8" ht="19.95" customHeight="1" x14ac:dyDescent="0.35">
      <c r="A6" s="9" t="s">
        <v>147</v>
      </c>
      <c r="B6" s="9" t="s">
        <v>20</v>
      </c>
      <c r="C6" s="9" t="b">
        <f t="shared" si="0"/>
        <v>0</v>
      </c>
      <c r="D6" s="9" t="str">
        <f t="shared" si="1"/>
        <v>BIO</v>
      </c>
      <c r="E6" s="10"/>
      <c r="F6" s="10" t="s">
        <v>70</v>
      </c>
      <c r="G6" s="10" t="s">
        <v>277</v>
      </c>
      <c r="H6" s="8" t="s">
        <v>20</v>
      </c>
    </row>
    <row r="7" spans="1:8" ht="19.95" customHeight="1" x14ac:dyDescent="0.35">
      <c r="A7" s="9" t="s">
        <v>115</v>
      </c>
      <c r="B7" s="9" t="s">
        <v>48</v>
      </c>
      <c r="C7" s="9" t="b">
        <f t="shared" si="0"/>
        <v>0</v>
      </c>
      <c r="D7" s="9" t="str">
        <f t="shared" si="1"/>
        <v>J BIO</v>
      </c>
      <c r="E7" s="10" t="s">
        <v>99</v>
      </c>
      <c r="F7" s="10" t="s">
        <v>70</v>
      </c>
      <c r="G7" s="10" t="s">
        <v>277</v>
      </c>
      <c r="H7" s="8" t="s">
        <v>20</v>
      </c>
    </row>
    <row r="8" spans="1:8" ht="19.95" customHeight="1" x14ac:dyDescent="0.35">
      <c r="A8" s="9" t="s">
        <v>151</v>
      </c>
      <c r="B8" s="9" t="s">
        <v>45</v>
      </c>
      <c r="C8" s="9" t="b">
        <f t="shared" si="0"/>
        <v>0</v>
      </c>
      <c r="D8" s="9" t="str">
        <f t="shared" si="1"/>
        <v>CD BIO</v>
      </c>
      <c r="E8" s="10" t="s">
        <v>149</v>
      </c>
      <c r="F8" s="10" t="s">
        <v>70</v>
      </c>
      <c r="G8" s="10" t="s">
        <v>283</v>
      </c>
      <c r="H8" s="8" t="s">
        <v>20</v>
      </c>
    </row>
    <row r="9" spans="1:8" ht="19.95" customHeight="1" x14ac:dyDescent="0.35">
      <c r="A9" s="9" t="s">
        <v>54</v>
      </c>
      <c r="B9" s="9" t="s">
        <v>54</v>
      </c>
      <c r="C9" s="9" t="b">
        <f t="shared" si="0"/>
        <v>0</v>
      </c>
      <c r="D9" s="9" t="str">
        <f t="shared" si="1"/>
        <v>TEEN BIO</v>
      </c>
      <c r="E9" s="10" t="s">
        <v>217</v>
      </c>
      <c r="F9" s="10" t="s">
        <v>70</v>
      </c>
      <c r="G9" s="10" t="s">
        <v>264</v>
      </c>
      <c r="H9" s="8" t="s">
        <v>20</v>
      </c>
    </row>
    <row r="10" spans="1:8" ht="19.95" customHeight="1" x14ac:dyDescent="0.35">
      <c r="A10" s="9" t="s">
        <v>145</v>
      </c>
      <c r="B10" s="9" t="s">
        <v>4</v>
      </c>
      <c r="C10" s="9" t="b">
        <f t="shared" si="0"/>
        <v>0</v>
      </c>
      <c r="D10" s="9" t="str">
        <f t="shared" si="1"/>
        <v>FIC</v>
      </c>
      <c r="E10" s="10"/>
      <c r="F10" s="10" t="s">
        <v>73</v>
      </c>
      <c r="G10" s="10" t="s">
        <v>279</v>
      </c>
      <c r="H10" s="8" t="s">
        <v>24</v>
      </c>
    </row>
    <row r="11" spans="1:8" ht="19.95" customHeight="1" x14ac:dyDescent="0.35">
      <c r="A11" s="9" t="s">
        <v>145</v>
      </c>
      <c r="B11" s="9" t="s">
        <v>1</v>
      </c>
      <c r="C11" s="9" t="b">
        <f t="shared" si="0"/>
        <v>0</v>
      </c>
      <c r="D11" s="9" t="str">
        <f t="shared" si="1"/>
        <v>FIC</v>
      </c>
      <c r="E11" s="10"/>
      <c r="F11" s="10" t="s">
        <v>73</v>
      </c>
      <c r="G11" s="10" t="s">
        <v>279</v>
      </c>
      <c r="H11" s="8" t="s">
        <v>24</v>
      </c>
    </row>
    <row r="12" spans="1:8" ht="19.95" customHeight="1" x14ac:dyDescent="0.35">
      <c r="A12" s="9" t="s">
        <v>145</v>
      </c>
      <c r="B12" s="9" t="s">
        <v>2</v>
      </c>
      <c r="C12" s="9" t="b">
        <f t="shared" si="0"/>
        <v>0</v>
      </c>
      <c r="D12" s="9" t="str">
        <f t="shared" si="1"/>
        <v>FIC</v>
      </c>
      <c r="E12" s="10"/>
      <c r="F12" s="10" t="s">
        <v>73</v>
      </c>
      <c r="G12" s="10" t="s">
        <v>279</v>
      </c>
      <c r="H12" s="8" t="s">
        <v>24</v>
      </c>
    </row>
    <row r="13" spans="1:8" ht="19.95" customHeight="1" x14ac:dyDescent="0.35">
      <c r="A13" s="9" t="s">
        <v>145</v>
      </c>
      <c r="B13" s="9" t="s">
        <v>24</v>
      </c>
      <c r="C13" s="9" t="b">
        <f t="shared" si="0"/>
        <v>0</v>
      </c>
      <c r="D13" s="9" t="str">
        <f t="shared" si="1"/>
        <v>FIC</v>
      </c>
      <c r="E13" s="10"/>
      <c r="F13" s="10" t="s">
        <v>73</v>
      </c>
      <c r="G13" s="10" t="s">
        <v>279</v>
      </c>
      <c r="H13" s="8" t="s">
        <v>24</v>
      </c>
    </row>
    <row r="14" spans="1:8" ht="19.95" customHeight="1" x14ac:dyDescent="0.35">
      <c r="A14" s="9" t="s">
        <v>148</v>
      </c>
      <c r="B14" s="9" t="s">
        <v>45</v>
      </c>
      <c r="C14" s="9" t="b">
        <f t="shared" si="0"/>
        <v>0</v>
      </c>
      <c r="D14" s="9" t="str">
        <f t="shared" si="1"/>
        <v>CD FIC</v>
      </c>
      <c r="E14" s="10" t="s">
        <v>149</v>
      </c>
      <c r="F14" s="10" t="s">
        <v>73</v>
      </c>
      <c r="G14" s="10" t="s">
        <v>281</v>
      </c>
      <c r="H14" s="8" t="s">
        <v>25</v>
      </c>
    </row>
    <row r="15" spans="1:8" ht="19.95" customHeight="1" x14ac:dyDescent="0.35">
      <c r="A15" s="3" t="s">
        <v>109</v>
      </c>
      <c r="B15" s="3" t="s">
        <v>49</v>
      </c>
      <c r="C15" s="3" t="b">
        <f t="shared" si="0"/>
        <v>1</v>
      </c>
      <c r="D15" s="3" t="str">
        <f t="shared" si="1"/>
        <v>J DVD-ED</v>
      </c>
      <c r="E15" s="4" t="s">
        <v>110</v>
      </c>
      <c r="F15" s="4">
        <v>999.99</v>
      </c>
      <c r="G15" s="4" t="s">
        <v>274</v>
      </c>
      <c r="H15" s="1" t="s">
        <v>19</v>
      </c>
    </row>
    <row r="16" spans="1:8" ht="19.95" customHeight="1" x14ac:dyDescent="0.35">
      <c r="A16" s="3" t="s">
        <v>113</v>
      </c>
      <c r="B16" s="3" t="s">
        <v>50</v>
      </c>
      <c r="C16" s="3" t="b">
        <f t="shared" si="0"/>
        <v>1</v>
      </c>
      <c r="D16" s="3" t="str">
        <f t="shared" si="1"/>
        <v>J LGE-TYPE</v>
      </c>
      <c r="E16" s="4" t="s">
        <v>112</v>
      </c>
      <c r="F16" s="4">
        <v>999.99</v>
      </c>
      <c r="G16" s="4" t="s">
        <v>276</v>
      </c>
      <c r="H16" s="1" t="s">
        <v>19</v>
      </c>
    </row>
    <row r="17" spans="1:8" ht="19.95" customHeight="1" x14ac:dyDescent="0.35">
      <c r="A17" s="3" t="s">
        <v>153</v>
      </c>
      <c r="B17" s="3" t="s">
        <v>46</v>
      </c>
      <c r="C17" s="3" t="b">
        <f t="shared" si="0"/>
        <v>1</v>
      </c>
      <c r="D17" s="3" t="str">
        <f t="shared" si="1"/>
        <v>DVD-ED</v>
      </c>
      <c r="E17" s="4" t="s">
        <v>154</v>
      </c>
      <c r="F17" s="4">
        <v>999.99</v>
      </c>
      <c r="G17" s="4" t="s">
        <v>285</v>
      </c>
      <c r="H17" s="1" t="s">
        <v>19</v>
      </c>
    </row>
    <row r="18" spans="1:8" ht="19.95" customHeight="1" x14ac:dyDescent="0.35">
      <c r="A18" s="3" t="s">
        <v>225</v>
      </c>
      <c r="B18" s="3" t="s">
        <v>55</v>
      </c>
      <c r="C18" s="3" t="b">
        <f t="shared" si="0"/>
        <v>1</v>
      </c>
      <c r="D18" s="3" t="str">
        <f t="shared" si="1"/>
        <v>TEEN LGE-TYPE</v>
      </c>
      <c r="E18" s="4" t="s">
        <v>224</v>
      </c>
      <c r="F18" s="4">
        <v>999.99</v>
      </c>
      <c r="G18" s="4" t="s">
        <v>295</v>
      </c>
      <c r="H18" s="1" t="s">
        <v>19</v>
      </c>
    </row>
    <row r="19" spans="1:8" ht="19.95" customHeight="1" x14ac:dyDescent="0.35">
      <c r="A19" s="3" t="s">
        <v>114</v>
      </c>
      <c r="B19" s="3" t="s">
        <v>50</v>
      </c>
      <c r="C19" s="3" t="b">
        <f t="shared" si="0"/>
        <v>0</v>
      </c>
      <c r="D19" s="3" t="str">
        <f t="shared" si="1"/>
        <v>J LGE-TYPE BIO</v>
      </c>
      <c r="E19" s="4" t="s">
        <v>112</v>
      </c>
      <c r="F19" s="4" t="s">
        <v>70</v>
      </c>
      <c r="G19" s="4" t="s">
        <v>277</v>
      </c>
      <c r="H19" s="1" t="s">
        <v>20</v>
      </c>
    </row>
    <row r="20" spans="1:8" ht="19.95" customHeight="1" x14ac:dyDescent="0.35">
      <c r="A20" s="3" t="s">
        <v>226</v>
      </c>
      <c r="B20" s="3" t="s">
        <v>55</v>
      </c>
      <c r="C20" s="3" t="b">
        <f t="shared" si="0"/>
        <v>0</v>
      </c>
      <c r="D20" s="3" t="str">
        <f t="shared" si="1"/>
        <v>TEEN LGE-TYPE BIO</v>
      </c>
      <c r="E20" s="4" t="s">
        <v>224</v>
      </c>
      <c r="F20" s="4" t="s">
        <v>70</v>
      </c>
      <c r="G20" s="4" t="s">
        <v>296</v>
      </c>
      <c r="H20" s="1" t="s">
        <v>20</v>
      </c>
    </row>
    <row r="21" spans="1:8" ht="19.95" customHeight="1" x14ac:dyDescent="0.35">
      <c r="A21" s="9" t="s">
        <v>219</v>
      </c>
      <c r="B21" s="9" t="s">
        <v>21</v>
      </c>
      <c r="C21" s="9" t="b">
        <f t="shared" si="0"/>
        <v>0</v>
      </c>
      <c r="D21" s="9" t="str">
        <f t="shared" si="1"/>
        <v>TEEN CD FIC</v>
      </c>
      <c r="E21" s="10" t="s">
        <v>220</v>
      </c>
      <c r="F21" s="10" t="s">
        <v>73</v>
      </c>
      <c r="G21" s="10" t="s">
        <v>292</v>
      </c>
      <c r="H21" s="8" t="s">
        <v>21</v>
      </c>
    </row>
    <row r="22" spans="1:8" ht="19.95" customHeight="1" x14ac:dyDescent="0.35">
      <c r="A22" s="9" t="s">
        <v>221</v>
      </c>
      <c r="B22" s="9" t="s">
        <v>21</v>
      </c>
      <c r="C22" s="9" t="b">
        <f t="shared" si="0"/>
        <v>1</v>
      </c>
      <c r="D22" s="9" t="str">
        <f t="shared" si="1"/>
        <v>TEEN CD</v>
      </c>
      <c r="E22" s="10" t="s">
        <v>220</v>
      </c>
      <c r="F22" s="10">
        <v>999.99</v>
      </c>
      <c r="G22" s="10" t="s">
        <v>293</v>
      </c>
      <c r="H22" s="8" t="s">
        <v>21</v>
      </c>
    </row>
    <row r="23" spans="1:8" ht="19.95" customHeight="1" x14ac:dyDescent="0.35">
      <c r="A23" s="9" t="s">
        <v>222</v>
      </c>
      <c r="B23" s="9" t="s">
        <v>21</v>
      </c>
      <c r="C23" s="9" t="b">
        <f t="shared" si="0"/>
        <v>0</v>
      </c>
      <c r="D23" s="9" t="str">
        <f t="shared" si="1"/>
        <v>TEEN CD BIO</v>
      </c>
      <c r="E23" s="10" t="s">
        <v>220</v>
      </c>
      <c r="F23" s="10" t="s">
        <v>70</v>
      </c>
      <c r="G23" s="10" t="s">
        <v>294</v>
      </c>
      <c r="H23" s="8" t="s">
        <v>21</v>
      </c>
    </row>
    <row r="24" spans="1:8" ht="19.95" customHeight="1" x14ac:dyDescent="0.35">
      <c r="A24" s="9" t="s">
        <v>22</v>
      </c>
      <c r="B24" s="9" t="s">
        <v>22</v>
      </c>
      <c r="C24" s="9" t="b">
        <f t="shared" si="0"/>
        <v>0</v>
      </c>
      <c r="D24" s="9" t="str">
        <f t="shared" si="1"/>
        <v>TEEN</v>
      </c>
      <c r="E24" s="10" t="s">
        <v>217</v>
      </c>
      <c r="F24" s="10"/>
      <c r="G24" s="10" t="s">
        <v>290</v>
      </c>
      <c r="H24" s="8" t="s">
        <v>22</v>
      </c>
    </row>
    <row r="25" spans="1:8" ht="19.95" customHeight="1" x14ac:dyDescent="0.35">
      <c r="A25" s="3" t="s">
        <v>155</v>
      </c>
      <c r="B25" s="3" t="s">
        <v>23</v>
      </c>
      <c r="C25" s="3" t="b">
        <f t="shared" si="0"/>
        <v>0</v>
      </c>
      <c r="D25" s="3" t="str">
        <f t="shared" si="1"/>
        <v>LGE-TYPE</v>
      </c>
      <c r="E25" s="4" t="s">
        <v>156</v>
      </c>
      <c r="F25" s="4"/>
      <c r="G25" s="4" t="s">
        <v>286</v>
      </c>
      <c r="H25" s="1" t="s">
        <v>23</v>
      </c>
    </row>
    <row r="26" spans="1:8" ht="19.95" customHeight="1" x14ac:dyDescent="0.35">
      <c r="A26" s="3" t="s">
        <v>157</v>
      </c>
      <c r="B26" s="3" t="s">
        <v>23</v>
      </c>
      <c r="C26" s="3" t="b">
        <f t="shared" si="0"/>
        <v>1</v>
      </c>
      <c r="D26" s="3" t="str">
        <f t="shared" si="1"/>
        <v>LGE-TYPE</v>
      </c>
      <c r="E26" s="4" t="s">
        <v>156</v>
      </c>
      <c r="F26" s="4">
        <v>999.99</v>
      </c>
      <c r="G26" s="4" t="s">
        <v>287</v>
      </c>
      <c r="H26" s="1" t="s">
        <v>23</v>
      </c>
    </row>
    <row r="27" spans="1:8" ht="19.95" customHeight="1" x14ac:dyDescent="0.35">
      <c r="A27" s="3" t="s">
        <v>158</v>
      </c>
      <c r="B27" s="3" t="s">
        <v>23</v>
      </c>
      <c r="C27" s="3" t="b">
        <f t="shared" si="0"/>
        <v>0</v>
      </c>
      <c r="D27" s="3" t="str">
        <f t="shared" si="1"/>
        <v>LGE-TYPE BIO</v>
      </c>
      <c r="E27" s="4" t="s">
        <v>156</v>
      </c>
      <c r="F27" s="4" t="s">
        <v>70</v>
      </c>
      <c r="G27" s="4" t="s">
        <v>277</v>
      </c>
      <c r="H27" s="1" t="s">
        <v>23</v>
      </c>
    </row>
    <row r="28" spans="1:8" ht="19.95" customHeight="1" x14ac:dyDescent="0.35">
      <c r="A28" s="3" t="s">
        <v>111</v>
      </c>
      <c r="B28" s="3" t="s">
        <v>50</v>
      </c>
      <c r="C28" s="3" t="b">
        <f t="shared" si="0"/>
        <v>0</v>
      </c>
      <c r="D28" s="3" t="str">
        <f t="shared" si="1"/>
        <v>J LGE-TYPE</v>
      </c>
      <c r="E28" s="4" t="s">
        <v>112</v>
      </c>
      <c r="F28" s="4"/>
      <c r="G28" s="4" t="s">
        <v>275</v>
      </c>
      <c r="H28" s="1" t="s">
        <v>23</v>
      </c>
    </row>
    <row r="29" spans="1:8" ht="19.95" customHeight="1" x14ac:dyDescent="0.35">
      <c r="A29" s="3" t="s">
        <v>223</v>
      </c>
      <c r="B29" s="3" t="s">
        <v>55</v>
      </c>
      <c r="C29" s="3" t="b">
        <f t="shared" si="0"/>
        <v>0</v>
      </c>
      <c r="D29" s="3" t="str">
        <f t="shared" si="1"/>
        <v>TEEN LGE-TYPE</v>
      </c>
      <c r="E29" s="4" t="s">
        <v>224</v>
      </c>
      <c r="F29" s="4"/>
      <c r="G29" s="4" t="s">
        <v>286</v>
      </c>
      <c r="H29" s="1" t="s">
        <v>23</v>
      </c>
    </row>
    <row r="30" spans="1:8" ht="19.95" customHeight="1" x14ac:dyDescent="0.35">
      <c r="A30" s="9" t="s">
        <v>98</v>
      </c>
      <c r="B30" s="9" t="s">
        <v>26</v>
      </c>
      <c r="C30" s="9" t="b">
        <f t="shared" si="0"/>
        <v>0</v>
      </c>
      <c r="D30" s="9" t="str">
        <f t="shared" si="1"/>
        <v>J</v>
      </c>
      <c r="E30" s="10" t="s">
        <v>99</v>
      </c>
      <c r="F30" s="10"/>
      <c r="G30" s="10" t="s">
        <v>269</v>
      </c>
      <c r="H30" s="8" t="s">
        <v>26</v>
      </c>
    </row>
    <row r="31" spans="1:8" ht="19.95" customHeight="1" x14ac:dyDescent="0.35">
      <c r="A31" s="9" t="s">
        <v>100</v>
      </c>
      <c r="B31" s="9" t="s">
        <v>26</v>
      </c>
      <c r="C31" s="9" t="b">
        <f t="shared" si="0"/>
        <v>0</v>
      </c>
      <c r="D31" s="9" t="str">
        <f t="shared" si="1"/>
        <v>J SERIES</v>
      </c>
      <c r="E31" s="10" t="s">
        <v>62</v>
      </c>
      <c r="F31" s="10" t="s">
        <v>101</v>
      </c>
      <c r="G31" s="10" t="s">
        <v>936</v>
      </c>
      <c r="H31" s="8" t="s">
        <v>26</v>
      </c>
    </row>
    <row r="32" spans="1:8" ht="19.95" customHeight="1" x14ac:dyDescent="0.35">
      <c r="A32" s="9" t="s">
        <v>103</v>
      </c>
      <c r="B32" s="9" t="s">
        <v>42</v>
      </c>
      <c r="C32" s="9" t="b">
        <f t="shared" si="0"/>
        <v>0</v>
      </c>
      <c r="D32" s="9" t="str">
        <f t="shared" si="1"/>
        <v>J CD FIC</v>
      </c>
      <c r="E32" s="10" t="s">
        <v>104</v>
      </c>
      <c r="F32" s="10" t="s">
        <v>73</v>
      </c>
      <c r="G32" s="10" t="s">
        <v>270</v>
      </c>
      <c r="H32" s="8" t="s">
        <v>42</v>
      </c>
    </row>
    <row r="33" spans="1:8" ht="19.95" customHeight="1" x14ac:dyDescent="0.35">
      <c r="A33" s="9" t="s">
        <v>105</v>
      </c>
      <c r="B33" s="9" t="s">
        <v>42</v>
      </c>
      <c r="C33" s="9" t="b">
        <f t="shared" si="0"/>
        <v>1</v>
      </c>
      <c r="D33" s="9" t="str">
        <f t="shared" si="1"/>
        <v>J CD</v>
      </c>
      <c r="E33" s="10" t="s">
        <v>104</v>
      </c>
      <c r="F33" s="10">
        <v>999.99</v>
      </c>
      <c r="G33" s="10" t="s">
        <v>271</v>
      </c>
      <c r="H33" s="8" t="s">
        <v>42</v>
      </c>
    </row>
    <row r="34" spans="1:8" ht="19.95" customHeight="1" x14ac:dyDescent="0.35">
      <c r="A34" s="9" t="s">
        <v>106</v>
      </c>
      <c r="B34" s="9" t="s">
        <v>42</v>
      </c>
      <c r="C34" s="9" t="b">
        <f t="shared" ref="C34:C65" si="2">ISNUMBER(F34)</f>
        <v>0</v>
      </c>
      <c r="D34" s="9" t="str">
        <f t="shared" ref="D34:D65" si="3">TRIM(E34&amp;IF(NOT(C34)," "&amp;F34,""))</f>
        <v>J CD BIO</v>
      </c>
      <c r="E34" s="10" t="s">
        <v>104</v>
      </c>
      <c r="F34" s="10" t="s">
        <v>70</v>
      </c>
      <c r="G34" s="10" t="s">
        <v>272</v>
      </c>
      <c r="H34" s="8" t="s">
        <v>42</v>
      </c>
    </row>
    <row r="35" spans="1:8" ht="19.95" customHeight="1" x14ac:dyDescent="0.35">
      <c r="A35" s="3" t="s">
        <v>107</v>
      </c>
      <c r="B35" s="3" t="s">
        <v>27</v>
      </c>
      <c r="C35" s="3" t="b">
        <f t="shared" si="2"/>
        <v>0</v>
      </c>
      <c r="D35" s="3" t="str">
        <f t="shared" si="3"/>
        <v>J DVD</v>
      </c>
      <c r="E35" s="4" t="s">
        <v>108</v>
      </c>
      <c r="F35" s="4"/>
      <c r="G35" s="4" t="s">
        <v>273</v>
      </c>
      <c r="H35" s="1" t="s">
        <v>27</v>
      </c>
    </row>
    <row r="36" spans="1:8" ht="19.95" customHeight="1" x14ac:dyDescent="0.35">
      <c r="A36" s="3" t="s">
        <v>140</v>
      </c>
      <c r="B36" s="3" t="s">
        <v>28</v>
      </c>
      <c r="C36" s="3" t="b">
        <f t="shared" si="2"/>
        <v>0</v>
      </c>
      <c r="D36" s="3" t="str">
        <f t="shared" si="3"/>
        <v>J CD OH</v>
      </c>
      <c r="E36" s="4" t="s">
        <v>104</v>
      </c>
      <c r="F36" s="4" t="s">
        <v>141</v>
      </c>
      <c r="G36" s="4" t="s">
        <v>278</v>
      </c>
      <c r="H36" s="1" t="s">
        <v>28</v>
      </c>
    </row>
    <row r="37" spans="1:8" ht="19.95" customHeight="1" x14ac:dyDescent="0.35">
      <c r="A37" s="3" t="s">
        <v>140</v>
      </c>
      <c r="B37" s="3" t="s">
        <v>28</v>
      </c>
      <c r="C37" s="3" t="b">
        <f t="shared" si="2"/>
        <v>0</v>
      </c>
      <c r="D37" s="3" t="str">
        <f t="shared" si="3"/>
        <v>J CD OM</v>
      </c>
      <c r="E37" s="4" t="s">
        <v>104</v>
      </c>
      <c r="F37" s="4" t="s">
        <v>142</v>
      </c>
      <c r="G37" s="4" t="s">
        <v>278</v>
      </c>
      <c r="H37" s="1" t="s">
        <v>28</v>
      </c>
    </row>
    <row r="38" spans="1:8" ht="19.95" customHeight="1" x14ac:dyDescent="0.35">
      <c r="A38" s="9" t="s">
        <v>299</v>
      </c>
      <c r="B38" s="9" t="s">
        <v>29</v>
      </c>
      <c r="C38" s="9" t="b">
        <f t="shared" si="2"/>
        <v>0</v>
      </c>
      <c r="D38" s="9" t="str">
        <f t="shared" si="3"/>
        <v>E</v>
      </c>
      <c r="E38" s="10" t="s">
        <v>65</v>
      </c>
      <c r="F38" s="10"/>
      <c r="G38" s="10" t="s">
        <v>261</v>
      </c>
      <c r="H38" s="8" t="s">
        <v>29</v>
      </c>
    </row>
    <row r="39" spans="1:8" ht="19.95" customHeight="1" x14ac:dyDescent="0.35">
      <c r="A39" s="9" t="s">
        <v>260</v>
      </c>
      <c r="B39" s="9" t="s">
        <v>30</v>
      </c>
      <c r="C39" s="9" t="b">
        <f t="shared" si="2"/>
        <v>0</v>
      </c>
      <c r="D39" s="9" t="str">
        <f t="shared" si="3"/>
        <v>E</v>
      </c>
      <c r="E39" s="10" t="s">
        <v>65</v>
      </c>
      <c r="F39" s="10"/>
      <c r="G39" s="10" t="s">
        <v>261</v>
      </c>
      <c r="H39" s="8" t="s">
        <v>30</v>
      </c>
    </row>
    <row r="40" spans="1:8" ht="19.95" customHeight="1" x14ac:dyDescent="0.35">
      <c r="A40" s="9" t="s">
        <v>66</v>
      </c>
      <c r="B40" s="9" t="s">
        <v>30</v>
      </c>
      <c r="C40" s="9" t="b">
        <f t="shared" si="2"/>
        <v>0</v>
      </c>
      <c r="D40" s="9" t="str">
        <f t="shared" si="3"/>
        <v>E BOARD</v>
      </c>
      <c r="E40" s="10" t="s">
        <v>65</v>
      </c>
      <c r="F40" s="10" t="s">
        <v>67</v>
      </c>
      <c r="G40" s="10" t="s">
        <v>262</v>
      </c>
      <c r="H40" s="8" t="s">
        <v>30</v>
      </c>
    </row>
    <row r="41" spans="1:8" ht="19.95" customHeight="1" x14ac:dyDescent="0.35">
      <c r="A41" s="9" t="s">
        <v>300</v>
      </c>
      <c r="B41" s="9" t="s">
        <v>29</v>
      </c>
      <c r="C41" s="9" t="b">
        <f t="shared" si="2"/>
        <v>1</v>
      </c>
      <c r="D41" s="9" t="str">
        <f t="shared" si="3"/>
        <v>E</v>
      </c>
      <c r="E41" s="10" t="s">
        <v>65</v>
      </c>
      <c r="F41" s="10">
        <v>999.99</v>
      </c>
      <c r="G41" s="10" t="s">
        <v>301</v>
      </c>
      <c r="H41" s="8" t="s">
        <v>31</v>
      </c>
    </row>
    <row r="42" spans="1:8" ht="19.95" customHeight="1" x14ac:dyDescent="0.35">
      <c r="A42" s="9" t="s">
        <v>47</v>
      </c>
      <c r="B42" s="9" t="s">
        <v>47</v>
      </c>
      <c r="C42" s="9" t="b">
        <f t="shared" si="2"/>
        <v>1</v>
      </c>
      <c r="D42" s="9" t="str">
        <f t="shared" si="3"/>
        <v>E</v>
      </c>
      <c r="E42" s="10" t="s">
        <v>65</v>
      </c>
      <c r="F42" s="10">
        <v>999.99</v>
      </c>
      <c r="G42" s="10" t="s">
        <v>263</v>
      </c>
      <c r="H42" s="8" t="s">
        <v>31</v>
      </c>
    </row>
    <row r="43" spans="1:8" ht="19.95" customHeight="1" x14ac:dyDescent="0.35">
      <c r="A43" s="9" t="s">
        <v>68</v>
      </c>
      <c r="B43" s="9" t="s">
        <v>47</v>
      </c>
      <c r="C43" s="9" t="b">
        <f t="shared" si="2"/>
        <v>0</v>
      </c>
      <c r="D43" s="9" t="str">
        <f t="shared" si="3"/>
        <v>E BIO</v>
      </c>
      <c r="E43" s="10" t="s">
        <v>69</v>
      </c>
      <c r="F43" s="10" t="s">
        <v>70</v>
      </c>
      <c r="G43" s="10" t="s">
        <v>264</v>
      </c>
      <c r="H43" s="8" t="s">
        <v>31</v>
      </c>
    </row>
    <row r="44" spans="1:8" ht="19.95" customHeight="1" x14ac:dyDescent="0.35">
      <c r="A44" s="9" t="s">
        <v>71</v>
      </c>
      <c r="B44" s="9" t="s">
        <v>32</v>
      </c>
      <c r="C44" s="9" t="b">
        <f t="shared" si="2"/>
        <v>0</v>
      </c>
      <c r="D44" s="9" t="str">
        <f t="shared" si="3"/>
        <v>E CD FIC</v>
      </c>
      <c r="E44" s="10" t="s">
        <v>72</v>
      </c>
      <c r="F44" s="10" t="s">
        <v>73</v>
      </c>
      <c r="G44" s="10" t="s">
        <v>265</v>
      </c>
      <c r="H44" s="8" t="s">
        <v>32</v>
      </c>
    </row>
    <row r="45" spans="1:8" ht="19.95" customHeight="1" x14ac:dyDescent="0.35">
      <c r="A45" s="9" t="s">
        <v>74</v>
      </c>
      <c r="B45" s="9" t="s">
        <v>32</v>
      </c>
      <c r="C45" s="9" t="b">
        <f t="shared" si="2"/>
        <v>1</v>
      </c>
      <c r="D45" s="9" t="str">
        <f t="shared" si="3"/>
        <v>E CD</v>
      </c>
      <c r="E45" s="10" t="s">
        <v>72</v>
      </c>
      <c r="F45" s="10">
        <v>999.99</v>
      </c>
      <c r="G45" s="10" t="s">
        <v>266</v>
      </c>
      <c r="H45" s="8" t="s">
        <v>32</v>
      </c>
    </row>
    <row r="46" spans="1:8" ht="19.95" customHeight="1" x14ac:dyDescent="0.35">
      <c r="A46" s="9" t="s">
        <v>75</v>
      </c>
      <c r="B46" s="9" t="s">
        <v>32</v>
      </c>
      <c r="C46" s="9" t="b">
        <f t="shared" si="2"/>
        <v>0</v>
      </c>
      <c r="D46" s="9" t="str">
        <f t="shared" si="3"/>
        <v>E CD BIO</v>
      </c>
      <c r="E46" s="10" t="s">
        <v>72</v>
      </c>
      <c r="F46" s="10" t="s">
        <v>70</v>
      </c>
      <c r="G46" s="10" t="s">
        <v>267</v>
      </c>
      <c r="H46" s="8" t="s">
        <v>32</v>
      </c>
    </row>
    <row r="47" spans="1:8" ht="19.95" customHeight="1" x14ac:dyDescent="0.35">
      <c r="A47" s="3" t="s">
        <v>80</v>
      </c>
      <c r="B47" s="3" t="s">
        <v>33</v>
      </c>
      <c r="C47" s="3" t="b">
        <f t="shared" si="2"/>
        <v>0</v>
      </c>
      <c r="D47" s="3" t="str">
        <f t="shared" si="3"/>
        <v>E INTL-CHI</v>
      </c>
      <c r="E47" s="4" t="s">
        <v>81</v>
      </c>
      <c r="F47" s="4"/>
      <c r="G47" s="4" t="s">
        <v>268</v>
      </c>
      <c r="H47" s="1" t="s">
        <v>33</v>
      </c>
    </row>
    <row r="48" spans="1:8" ht="19.95" customHeight="1" x14ac:dyDescent="0.35">
      <c r="A48" s="3" t="s">
        <v>90</v>
      </c>
      <c r="B48" s="3" t="s">
        <v>33</v>
      </c>
      <c r="C48" s="3" t="b">
        <f t="shared" si="2"/>
        <v>1</v>
      </c>
      <c r="D48" s="3" t="str">
        <f t="shared" si="3"/>
        <v>E INTL-CHI</v>
      </c>
      <c r="E48" s="4" t="s">
        <v>91</v>
      </c>
      <c r="F48" s="4">
        <v>999.99</v>
      </c>
      <c r="G48" s="4" t="s">
        <v>263</v>
      </c>
      <c r="H48" s="1" t="s">
        <v>33</v>
      </c>
    </row>
    <row r="49" spans="1:8" ht="19.95" customHeight="1" x14ac:dyDescent="0.35">
      <c r="A49" s="3" t="s">
        <v>120</v>
      </c>
      <c r="B49" s="3" t="s">
        <v>33</v>
      </c>
      <c r="C49" s="3" t="b">
        <f t="shared" si="2"/>
        <v>0</v>
      </c>
      <c r="D49" s="3" t="str">
        <f t="shared" si="3"/>
        <v>J INTL-CHI</v>
      </c>
      <c r="E49" s="4" t="s">
        <v>121</v>
      </c>
      <c r="F49" s="4"/>
      <c r="G49" s="4" t="s">
        <v>269</v>
      </c>
      <c r="H49" s="1" t="s">
        <v>33</v>
      </c>
    </row>
    <row r="50" spans="1:8" ht="19.95" customHeight="1" x14ac:dyDescent="0.35">
      <c r="A50" s="3" t="s">
        <v>130</v>
      </c>
      <c r="B50" s="3" t="s">
        <v>33</v>
      </c>
      <c r="C50" s="3" t="b">
        <f t="shared" si="2"/>
        <v>1</v>
      </c>
      <c r="D50" s="3" t="str">
        <f t="shared" si="3"/>
        <v>J INTL-CHI</v>
      </c>
      <c r="E50" s="4" t="s">
        <v>121</v>
      </c>
      <c r="F50" s="4">
        <v>999.99</v>
      </c>
      <c r="G50" s="4" t="s">
        <v>263</v>
      </c>
      <c r="H50" s="1" t="s">
        <v>33</v>
      </c>
    </row>
    <row r="51" spans="1:8" ht="19.95" customHeight="1" x14ac:dyDescent="0.35">
      <c r="A51" s="3" t="s">
        <v>136</v>
      </c>
      <c r="B51" s="3" t="s">
        <v>33</v>
      </c>
      <c r="C51" s="3" t="b">
        <f t="shared" si="2"/>
        <v>0</v>
      </c>
      <c r="D51" s="3" t="str">
        <f t="shared" si="3"/>
        <v>J INTL-CHI BIO</v>
      </c>
      <c r="E51" s="4" t="s">
        <v>121</v>
      </c>
      <c r="F51" s="4" t="s">
        <v>70</v>
      </c>
      <c r="G51" s="4" t="s">
        <v>277</v>
      </c>
      <c r="H51" s="1" t="s">
        <v>33</v>
      </c>
    </row>
    <row r="52" spans="1:8" ht="19.95" customHeight="1" x14ac:dyDescent="0.35">
      <c r="A52" s="3" t="s">
        <v>197</v>
      </c>
      <c r="B52" s="3" t="s">
        <v>33</v>
      </c>
      <c r="C52" s="3" t="b">
        <f t="shared" si="2"/>
        <v>0</v>
      </c>
      <c r="D52" s="3" t="str">
        <f t="shared" si="3"/>
        <v>INTL-CHI FIC</v>
      </c>
      <c r="E52" s="4" t="s">
        <v>198</v>
      </c>
      <c r="F52" s="4" t="s">
        <v>194</v>
      </c>
      <c r="G52" s="4" t="s">
        <v>279</v>
      </c>
      <c r="H52" s="1" t="s">
        <v>33</v>
      </c>
    </row>
    <row r="53" spans="1:8" ht="19.95" customHeight="1" x14ac:dyDescent="0.35">
      <c r="A53" s="3" t="s">
        <v>207</v>
      </c>
      <c r="B53" s="3" t="s">
        <v>33</v>
      </c>
      <c r="C53" s="3" t="b">
        <f t="shared" si="2"/>
        <v>1</v>
      </c>
      <c r="D53" s="3" t="str">
        <f t="shared" si="3"/>
        <v>INTL-CHI</v>
      </c>
      <c r="E53" s="4" t="s">
        <v>198</v>
      </c>
      <c r="F53" s="4">
        <v>999.99</v>
      </c>
      <c r="G53" s="4" t="s">
        <v>280</v>
      </c>
      <c r="H53" s="1" t="s">
        <v>33</v>
      </c>
    </row>
    <row r="54" spans="1:8" ht="19.95" customHeight="1" x14ac:dyDescent="0.35">
      <c r="A54" s="3" t="s">
        <v>213</v>
      </c>
      <c r="B54" s="3" t="s">
        <v>33</v>
      </c>
      <c r="C54" s="3" t="b">
        <f t="shared" si="2"/>
        <v>0</v>
      </c>
      <c r="D54" s="3" t="str">
        <f t="shared" si="3"/>
        <v>INTL-CHI BIO</v>
      </c>
      <c r="E54" s="4" t="s">
        <v>198</v>
      </c>
      <c r="F54" s="4" t="s">
        <v>70</v>
      </c>
      <c r="G54" s="4" t="s">
        <v>277</v>
      </c>
      <c r="H54" s="1" t="s">
        <v>33</v>
      </c>
    </row>
    <row r="55" spans="1:8" ht="19.95" customHeight="1" x14ac:dyDescent="0.35">
      <c r="A55" s="3" t="s">
        <v>233</v>
      </c>
      <c r="B55" s="3" t="s">
        <v>33</v>
      </c>
      <c r="C55" s="3" t="b">
        <f t="shared" si="2"/>
        <v>0</v>
      </c>
      <c r="D55" s="3" t="str">
        <f t="shared" si="3"/>
        <v>TEEN INTL-CHI</v>
      </c>
      <c r="E55" s="4" t="s">
        <v>234</v>
      </c>
      <c r="F55" s="4"/>
      <c r="G55" s="4" t="s">
        <v>290</v>
      </c>
      <c r="H55" s="1" t="s">
        <v>33</v>
      </c>
    </row>
    <row r="56" spans="1:8" ht="19.95" customHeight="1" x14ac:dyDescent="0.35">
      <c r="A56" s="3" t="s">
        <v>243</v>
      </c>
      <c r="B56" s="3" t="s">
        <v>33</v>
      </c>
      <c r="C56" s="3" t="b">
        <f t="shared" si="2"/>
        <v>1</v>
      </c>
      <c r="D56" s="3" t="str">
        <f t="shared" si="3"/>
        <v>TEEN INTL-CHI</v>
      </c>
      <c r="E56" s="4" t="s">
        <v>234</v>
      </c>
      <c r="F56" s="4">
        <v>999.99</v>
      </c>
      <c r="G56" s="4" t="s">
        <v>291</v>
      </c>
      <c r="H56" s="1" t="s">
        <v>33</v>
      </c>
    </row>
    <row r="57" spans="1:8" ht="19.95" customHeight="1" x14ac:dyDescent="0.35">
      <c r="A57" s="3" t="s">
        <v>250</v>
      </c>
      <c r="B57" s="3" t="s">
        <v>33</v>
      </c>
      <c r="C57" s="3" t="b">
        <f t="shared" si="2"/>
        <v>0</v>
      </c>
      <c r="D57" s="3" t="str">
        <f t="shared" si="3"/>
        <v>TEEN INTL-CHI BIO</v>
      </c>
      <c r="E57" s="4" t="s">
        <v>234</v>
      </c>
      <c r="F57" s="4" t="s">
        <v>70</v>
      </c>
      <c r="G57" s="4" t="s">
        <v>277</v>
      </c>
      <c r="H57" s="1" t="s">
        <v>33</v>
      </c>
    </row>
    <row r="58" spans="1:8" ht="19.95" customHeight="1" x14ac:dyDescent="0.35">
      <c r="A58" s="3" t="s">
        <v>76</v>
      </c>
      <c r="B58" s="3" t="s">
        <v>34</v>
      </c>
      <c r="C58" s="3" t="b">
        <f t="shared" si="2"/>
        <v>0</v>
      </c>
      <c r="D58" s="3" t="str">
        <f t="shared" si="3"/>
        <v>E INTL-KOR</v>
      </c>
      <c r="E58" s="4" t="s">
        <v>77</v>
      </c>
      <c r="F58" s="4"/>
      <c r="G58" s="4" t="s">
        <v>268</v>
      </c>
      <c r="H58" s="1" t="s">
        <v>34</v>
      </c>
    </row>
    <row r="59" spans="1:8" ht="19.95" customHeight="1" x14ac:dyDescent="0.35">
      <c r="A59" s="3" t="s">
        <v>88</v>
      </c>
      <c r="B59" s="3" t="s">
        <v>34</v>
      </c>
      <c r="C59" s="3" t="b">
        <f t="shared" si="2"/>
        <v>1</v>
      </c>
      <c r="D59" s="3" t="str">
        <f t="shared" si="3"/>
        <v>E INTL-KOR</v>
      </c>
      <c r="E59" s="4" t="s">
        <v>77</v>
      </c>
      <c r="F59" s="4">
        <v>999.99</v>
      </c>
      <c r="G59" s="4" t="s">
        <v>263</v>
      </c>
      <c r="H59" s="1" t="s">
        <v>34</v>
      </c>
    </row>
    <row r="60" spans="1:8" ht="19.95" customHeight="1" x14ac:dyDescent="0.35">
      <c r="A60" s="3" t="s">
        <v>116</v>
      </c>
      <c r="B60" s="3" t="s">
        <v>34</v>
      </c>
      <c r="C60" s="3" t="b">
        <f t="shared" si="2"/>
        <v>0</v>
      </c>
      <c r="D60" s="3" t="str">
        <f t="shared" si="3"/>
        <v>J INTL-KOR</v>
      </c>
      <c r="E60" s="4" t="s">
        <v>117</v>
      </c>
      <c r="F60" s="4"/>
      <c r="G60" s="4" t="s">
        <v>269</v>
      </c>
      <c r="H60" s="1" t="s">
        <v>34</v>
      </c>
    </row>
    <row r="61" spans="1:8" ht="19.95" customHeight="1" x14ac:dyDescent="0.35">
      <c r="A61" s="3" t="s">
        <v>128</v>
      </c>
      <c r="B61" s="3" t="s">
        <v>34</v>
      </c>
      <c r="C61" s="3" t="b">
        <f t="shared" si="2"/>
        <v>1</v>
      </c>
      <c r="D61" s="3" t="str">
        <f t="shared" si="3"/>
        <v>J INTL-KOR</v>
      </c>
      <c r="E61" s="4" t="s">
        <v>117</v>
      </c>
      <c r="F61" s="4">
        <v>999.99</v>
      </c>
      <c r="G61" s="4" t="s">
        <v>263</v>
      </c>
      <c r="H61" s="1" t="s">
        <v>34</v>
      </c>
    </row>
    <row r="62" spans="1:8" ht="19.95" customHeight="1" x14ac:dyDescent="0.35">
      <c r="A62" s="3" t="s">
        <v>134</v>
      </c>
      <c r="B62" s="3" t="s">
        <v>34</v>
      </c>
      <c r="C62" s="3" t="b">
        <f t="shared" si="2"/>
        <v>0</v>
      </c>
      <c r="D62" s="3" t="str">
        <f t="shared" si="3"/>
        <v>J INTL-KOR BIO</v>
      </c>
      <c r="E62" s="4" t="s">
        <v>117</v>
      </c>
      <c r="F62" s="4" t="s">
        <v>70</v>
      </c>
      <c r="G62" s="4" t="s">
        <v>277</v>
      </c>
      <c r="H62" s="1" t="s">
        <v>34</v>
      </c>
    </row>
    <row r="63" spans="1:8" ht="19.95" customHeight="1" x14ac:dyDescent="0.35">
      <c r="A63" s="3" t="s">
        <v>192</v>
      </c>
      <c r="B63" s="3" t="s">
        <v>34</v>
      </c>
      <c r="C63" s="3" t="b">
        <f t="shared" si="2"/>
        <v>0</v>
      </c>
      <c r="D63" s="3" t="str">
        <f t="shared" si="3"/>
        <v>INTL-KOR FIC</v>
      </c>
      <c r="E63" s="4" t="s">
        <v>193</v>
      </c>
      <c r="F63" s="4" t="s">
        <v>194</v>
      </c>
      <c r="G63" s="4" t="s">
        <v>279</v>
      </c>
      <c r="H63" s="1" t="s">
        <v>34</v>
      </c>
    </row>
    <row r="64" spans="1:8" ht="19.95" customHeight="1" x14ac:dyDescent="0.35">
      <c r="A64" s="3" t="s">
        <v>205</v>
      </c>
      <c r="B64" s="3" t="s">
        <v>34</v>
      </c>
      <c r="C64" s="3" t="b">
        <f t="shared" si="2"/>
        <v>1</v>
      </c>
      <c r="D64" s="3" t="str">
        <f t="shared" si="3"/>
        <v>INTL-KOR</v>
      </c>
      <c r="E64" s="4" t="s">
        <v>193</v>
      </c>
      <c r="F64" s="4">
        <v>999.99</v>
      </c>
      <c r="G64" s="4" t="s">
        <v>280</v>
      </c>
      <c r="H64" s="1" t="s">
        <v>34</v>
      </c>
    </row>
    <row r="65" spans="1:8" ht="19.95" customHeight="1" x14ac:dyDescent="0.35">
      <c r="A65" s="3" t="s">
        <v>211</v>
      </c>
      <c r="B65" s="3" t="s">
        <v>34</v>
      </c>
      <c r="C65" s="3" t="b">
        <f t="shared" si="2"/>
        <v>0</v>
      </c>
      <c r="D65" s="3" t="str">
        <f t="shared" si="3"/>
        <v>INTL-KOR BIO</v>
      </c>
      <c r="E65" s="4" t="s">
        <v>193</v>
      </c>
      <c r="F65" s="4" t="s">
        <v>70</v>
      </c>
      <c r="G65" s="4" t="s">
        <v>277</v>
      </c>
      <c r="H65" s="1" t="s">
        <v>34</v>
      </c>
    </row>
    <row r="66" spans="1:8" ht="19.95" customHeight="1" x14ac:dyDescent="0.35">
      <c r="A66" s="3" t="s">
        <v>229</v>
      </c>
      <c r="B66" s="3" t="s">
        <v>34</v>
      </c>
      <c r="C66" s="3" t="b">
        <f t="shared" ref="C66:C97" si="4">ISNUMBER(F66)</f>
        <v>0</v>
      </c>
      <c r="D66" s="3" t="str">
        <f t="shared" ref="D66:D97" si="5">TRIM(E66&amp;IF(NOT(C66)," "&amp;F66,""))</f>
        <v>TEEN INTL-KOR</v>
      </c>
      <c r="E66" s="4" t="s">
        <v>230</v>
      </c>
      <c r="F66" s="4"/>
      <c r="G66" s="4" t="s">
        <v>290</v>
      </c>
      <c r="H66" s="1" t="s">
        <v>34</v>
      </c>
    </row>
    <row r="67" spans="1:8" ht="19.95" customHeight="1" x14ac:dyDescent="0.35">
      <c r="A67" s="3" t="s">
        <v>241</v>
      </c>
      <c r="B67" s="3" t="s">
        <v>34</v>
      </c>
      <c r="C67" s="3" t="b">
        <f t="shared" si="4"/>
        <v>1</v>
      </c>
      <c r="D67" s="3" t="str">
        <f t="shared" si="5"/>
        <v>TEEN INTL-KOR</v>
      </c>
      <c r="E67" s="4" t="s">
        <v>230</v>
      </c>
      <c r="F67" s="4">
        <v>999.99</v>
      </c>
      <c r="G67" s="4" t="s">
        <v>291</v>
      </c>
      <c r="H67" s="1" t="s">
        <v>34</v>
      </c>
    </row>
    <row r="68" spans="1:8" ht="19.95" customHeight="1" x14ac:dyDescent="0.35">
      <c r="A68" s="3" t="s">
        <v>247</v>
      </c>
      <c r="B68" s="3" t="s">
        <v>34</v>
      </c>
      <c r="C68" s="3" t="b">
        <f t="shared" si="4"/>
        <v>0</v>
      </c>
      <c r="D68" s="3" t="str">
        <f t="shared" si="5"/>
        <v>TEEN INTL-KOR BIO</v>
      </c>
      <c r="E68" s="4" t="s">
        <v>248</v>
      </c>
      <c r="F68" s="4" t="s">
        <v>70</v>
      </c>
      <c r="G68" s="4" t="s">
        <v>277</v>
      </c>
      <c r="H68" s="1" t="s">
        <v>34</v>
      </c>
    </row>
    <row r="69" spans="1:8" ht="19.95" customHeight="1" x14ac:dyDescent="0.35">
      <c r="A69" s="3" t="s">
        <v>78</v>
      </c>
      <c r="B69" s="3" t="s">
        <v>35</v>
      </c>
      <c r="C69" s="3" t="b">
        <f t="shared" si="4"/>
        <v>0</v>
      </c>
      <c r="D69" s="3" t="str">
        <f t="shared" si="5"/>
        <v>E INTL-JPN</v>
      </c>
      <c r="E69" s="4" t="s">
        <v>79</v>
      </c>
      <c r="F69" s="4"/>
      <c r="G69" s="4" t="s">
        <v>268</v>
      </c>
      <c r="H69" s="1" t="s">
        <v>35</v>
      </c>
    </row>
    <row r="70" spans="1:8" ht="19.95" customHeight="1" x14ac:dyDescent="0.35">
      <c r="A70" s="3" t="s">
        <v>89</v>
      </c>
      <c r="B70" s="3" t="s">
        <v>35</v>
      </c>
      <c r="C70" s="3" t="b">
        <f t="shared" si="4"/>
        <v>1</v>
      </c>
      <c r="D70" s="3" t="str">
        <f t="shared" si="5"/>
        <v>E INTL-JPN</v>
      </c>
      <c r="E70" s="4" t="s">
        <v>79</v>
      </c>
      <c r="F70" s="4">
        <v>999.99</v>
      </c>
      <c r="G70" s="4" t="s">
        <v>263</v>
      </c>
      <c r="H70" s="1" t="s">
        <v>35</v>
      </c>
    </row>
    <row r="71" spans="1:8" ht="19.95" customHeight="1" x14ac:dyDescent="0.35">
      <c r="A71" s="3" t="s">
        <v>118</v>
      </c>
      <c r="B71" s="3" t="s">
        <v>35</v>
      </c>
      <c r="C71" s="3" t="b">
        <f t="shared" si="4"/>
        <v>0</v>
      </c>
      <c r="D71" s="3" t="str">
        <f t="shared" si="5"/>
        <v>J INTL-JPN</v>
      </c>
      <c r="E71" s="4" t="s">
        <v>119</v>
      </c>
      <c r="F71" s="4"/>
      <c r="G71" s="4" t="s">
        <v>269</v>
      </c>
      <c r="H71" s="1" t="s">
        <v>35</v>
      </c>
    </row>
    <row r="72" spans="1:8" ht="19.95" customHeight="1" x14ac:dyDescent="0.35">
      <c r="A72" s="3" t="s">
        <v>129</v>
      </c>
      <c r="B72" s="3" t="s">
        <v>35</v>
      </c>
      <c r="C72" s="3" t="b">
        <f t="shared" si="4"/>
        <v>1</v>
      </c>
      <c r="D72" s="3" t="str">
        <f t="shared" si="5"/>
        <v>J INTL-JPN</v>
      </c>
      <c r="E72" s="4" t="s">
        <v>119</v>
      </c>
      <c r="F72" s="4">
        <v>999.99</v>
      </c>
      <c r="G72" s="4" t="s">
        <v>263</v>
      </c>
      <c r="H72" s="1" t="s">
        <v>35</v>
      </c>
    </row>
    <row r="73" spans="1:8" ht="19.95" customHeight="1" x14ac:dyDescent="0.35">
      <c r="A73" s="3" t="s">
        <v>135</v>
      </c>
      <c r="B73" s="3" t="s">
        <v>35</v>
      </c>
      <c r="C73" s="3" t="b">
        <f t="shared" si="4"/>
        <v>0</v>
      </c>
      <c r="D73" s="3" t="str">
        <f t="shared" si="5"/>
        <v>J INTL-JPN BIO</v>
      </c>
      <c r="E73" s="4" t="s">
        <v>119</v>
      </c>
      <c r="F73" s="4" t="s">
        <v>70</v>
      </c>
      <c r="G73" s="4" t="s">
        <v>277</v>
      </c>
      <c r="H73" s="1" t="s">
        <v>35</v>
      </c>
    </row>
    <row r="74" spans="1:8" ht="19.95" customHeight="1" x14ac:dyDescent="0.35">
      <c r="A74" s="3" t="s">
        <v>195</v>
      </c>
      <c r="B74" s="3" t="s">
        <v>35</v>
      </c>
      <c r="C74" s="3" t="b">
        <f t="shared" si="4"/>
        <v>0</v>
      </c>
      <c r="D74" s="3" t="str">
        <f t="shared" si="5"/>
        <v>INTL-JPN FIC</v>
      </c>
      <c r="E74" s="4" t="s">
        <v>196</v>
      </c>
      <c r="F74" s="4" t="s">
        <v>194</v>
      </c>
      <c r="G74" s="4" t="s">
        <v>279</v>
      </c>
      <c r="H74" s="1" t="s">
        <v>35</v>
      </c>
    </row>
    <row r="75" spans="1:8" ht="19.95" customHeight="1" x14ac:dyDescent="0.35">
      <c r="A75" s="3" t="s">
        <v>206</v>
      </c>
      <c r="B75" s="3" t="s">
        <v>35</v>
      </c>
      <c r="C75" s="3" t="b">
        <f t="shared" si="4"/>
        <v>1</v>
      </c>
      <c r="D75" s="3" t="str">
        <f t="shared" si="5"/>
        <v>INTL-JPN</v>
      </c>
      <c r="E75" s="4" t="s">
        <v>196</v>
      </c>
      <c r="F75" s="4">
        <v>999.99</v>
      </c>
      <c r="G75" s="4" t="s">
        <v>280</v>
      </c>
      <c r="H75" s="1" t="s">
        <v>35</v>
      </c>
    </row>
    <row r="76" spans="1:8" ht="19.95" customHeight="1" x14ac:dyDescent="0.35">
      <c r="A76" s="3" t="s">
        <v>212</v>
      </c>
      <c r="B76" s="3" t="s">
        <v>35</v>
      </c>
      <c r="C76" s="3" t="b">
        <f t="shared" si="4"/>
        <v>0</v>
      </c>
      <c r="D76" s="3" t="str">
        <f t="shared" si="5"/>
        <v>INTL-JPN BIO</v>
      </c>
      <c r="E76" s="4" t="s">
        <v>196</v>
      </c>
      <c r="F76" s="4" t="s">
        <v>70</v>
      </c>
      <c r="G76" s="4" t="s">
        <v>277</v>
      </c>
      <c r="H76" s="1" t="s">
        <v>35</v>
      </c>
    </row>
    <row r="77" spans="1:8" ht="19.95" customHeight="1" x14ac:dyDescent="0.35">
      <c r="A77" s="3" t="s">
        <v>231</v>
      </c>
      <c r="B77" s="3" t="s">
        <v>35</v>
      </c>
      <c r="C77" s="3" t="b">
        <f t="shared" si="4"/>
        <v>0</v>
      </c>
      <c r="D77" s="3" t="str">
        <f t="shared" si="5"/>
        <v>TEEN INTL-JPN</v>
      </c>
      <c r="E77" s="4" t="s">
        <v>232</v>
      </c>
      <c r="F77" s="4"/>
      <c r="G77" s="4" t="s">
        <v>290</v>
      </c>
      <c r="H77" s="1" t="s">
        <v>35</v>
      </c>
    </row>
    <row r="78" spans="1:8" ht="19.95" customHeight="1" x14ac:dyDescent="0.35">
      <c r="A78" s="3" t="s">
        <v>242</v>
      </c>
      <c r="B78" s="3" t="s">
        <v>35</v>
      </c>
      <c r="C78" s="3" t="b">
        <f t="shared" si="4"/>
        <v>1</v>
      </c>
      <c r="D78" s="3" t="str">
        <f t="shared" si="5"/>
        <v>TEEN INTL-JPN</v>
      </c>
      <c r="E78" s="4" t="s">
        <v>232</v>
      </c>
      <c r="F78" s="4">
        <v>999.99</v>
      </c>
      <c r="G78" s="4" t="s">
        <v>291</v>
      </c>
      <c r="H78" s="1" t="s">
        <v>35</v>
      </c>
    </row>
    <row r="79" spans="1:8" ht="19.95" customHeight="1" x14ac:dyDescent="0.35">
      <c r="A79" s="3" t="s">
        <v>249</v>
      </c>
      <c r="B79" s="3" t="s">
        <v>35</v>
      </c>
      <c r="C79" s="3" t="b">
        <f t="shared" si="4"/>
        <v>0</v>
      </c>
      <c r="D79" s="3" t="str">
        <f t="shared" si="5"/>
        <v>TEEN INTL-JPN BIO</v>
      </c>
      <c r="E79" s="4" t="s">
        <v>232</v>
      </c>
      <c r="F79" s="4" t="s">
        <v>70</v>
      </c>
      <c r="G79" s="4" t="s">
        <v>277</v>
      </c>
      <c r="H79" s="1" t="s">
        <v>35</v>
      </c>
    </row>
    <row r="80" spans="1:8" ht="19.95" customHeight="1" x14ac:dyDescent="0.35">
      <c r="A80" s="3" t="s">
        <v>82</v>
      </c>
      <c r="B80" s="3" t="s">
        <v>43</v>
      </c>
      <c r="C80" s="3" t="b">
        <f t="shared" si="4"/>
        <v>0</v>
      </c>
      <c r="D80" s="3" t="str">
        <f t="shared" si="5"/>
        <v>E INTL-RUS</v>
      </c>
      <c r="E80" s="4" t="s">
        <v>83</v>
      </c>
      <c r="F80" s="4"/>
      <c r="G80" s="4" t="s">
        <v>268</v>
      </c>
      <c r="H80" s="1" t="s">
        <v>43</v>
      </c>
    </row>
    <row r="81" spans="1:8" ht="19.95" customHeight="1" x14ac:dyDescent="0.35">
      <c r="A81" s="3" t="s">
        <v>92</v>
      </c>
      <c r="B81" s="3" t="s">
        <v>43</v>
      </c>
      <c r="C81" s="3" t="b">
        <f t="shared" si="4"/>
        <v>1</v>
      </c>
      <c r="D81" s="3" t="str">
        <f t="shared" si="5"/>
        <v>E INTL-RUS</v>
      </c>
      <c r="E81" s="4" t="s">
        <v>93</v>
      </c>
      <c r="F81" s="4">
        <v>999.99</v>
      </c>
      <c r="G81" s="4" t="s">
        <v>263</v>
      </c>
      <c r="H81" s="1" t="s">
        <v>43</v>
      </c>
    </row>
    <row r="82" spans="1:8" ht="19.95" customHeight="1" x14ac:dyDescent="0.35">
      <c r="A82" s="3" t="s">
        <v>122</v>
      </c>
      <c r="B82" s="3" t="s">
        <v>43</v>
      </c>
      <c r="C82" s="3" t="b">
        <f t="shared" si="4"/>
        <v>0</v>
      </c>
      <c r="D82" s="3" t="str">
        <f t="shared" si="5"/>
        <v>J INTL-RUS</v>
      </c>
      <c r="E82" s="4" t="s">
        <v>123</v>
      </c>
      <c r="F82" s="4"/>
      <c r="G82" s="4" t="s">
        <v>269</v>
      </c>
      <c r="H82" s="1" t="s">
        <v>43</v>
      </c>
    </row>
    <row r="83" spans="1:8" ht="19.95" customHeight="1" x14ac:dyDescent="0.35">
      <c r="A83" s="3" t="s">
        <v>131</v>
      </c>
      <c r="B83" s="3" t="s">
        <v>43</v>
      </c>
      <c r="C83" s="3" t="b">
        <f t="shared" si="4"/>
        <v>1</v>
      </c>
      <c r="D83" s="3" t="str">
        <f t="shared" si="5"/>
        <v>J INTL-RUS</v>
      </c>
      <c r="E83" s="4" t="s">
        <v>123</v>
      </c>
      <c r="F83" s="4">
        <v>999.99</v>
      </c>
      <c r="G83" s="4" t="s">
        <v>263</v>
      </c>
      <c r="H83" s="1" t="s">
        <v>43</v>
      </c>
    </row>
    <row r="84" spans="1:8" ht="19.95" customHeight="1" x14ac:dyDescent="0.35">
      <c r="A84" s="3" t="s">
        <v>137</v>
      </c>
      <c r="B84" s="3" t="s">
        <v>43</v>
      </c>
      <c r="C84" s="3" t="b">
        <f t="shared" si="4"/>
        <v>0</v>
      </c>
      <c r="D84" s="3" t="str">
        <f t="shared" si="5"/>
        <v>J INTL-RUS BIO</v>
      </c>
      <c r="E84" s="4" t="s">
        <v>123</v>
      </c>
      <c r="F84" s="4" t="s">
        <v>70</v>
      </c>
      <c r="G84" s="4" t="s">
        <v>277</v>
      </c>
      <c r="H84" s="1" t="s">
        <v>43</v>
      </c>
    </row>
    <row r="85" spans="1:8" ht="19.95" customHeight="1" x14ac:dyDescent="0.35">
      <c r="A85" s="3" t="s">
        <v>199</v>
      </c>
      <c r="B85" s="3" t="s">
        <v>43</v>
      </c>
      <c r="C85" s="3" t="b">
        <f t="shared" si="4"/>
        <v>0</v>
      </c>
      <c r="D85" s="3" t="str">
        <f t="shared" si="5"/>
        <v>INTL-RUS FIC</v>
      </c>
      <c r="E85" s="4" t="s">
        <v>200</v>
      </c>
      <c r="F85" s="4" t="s">
        <v>194</v>
      </c>
      <c r="G85" s="4" t="s">
        <v>279</v>
      </c>
      <c r="H85" s="1" t="s">
        <v>43</v>
      </c>
    </row>
    <row r="86" spans="1:8" ht="19.95" customHeight="1" x14ac:dyDescent="0.35">
      <c r="A86" s="3" t="s">
        <v>208</v>
      </c>
      <c r="B86" s="3" t="s">
        <v>43</v>
      </c>
      <c r="C86" s="3" t="b">
        <f t="shared" si="4"/>
        <v>1</v>
      </c>
      <c r="D86" s="3" t="str">
        <f t="shared" si="5"/>
        <v>INTL-RUS</v>
      </c>
      <c r="E86" s="4" t="s">
        <v>200</v>
      </c>
      <c r="F86" s="4">
        <v>999.99</v>
      </c>
      <c r="G86" s="4" t="s">
        <v>280</v>
      </c>
      <c r="H86" s="1" t="s">
        <v>43</v>
      </c>
    </row>
    <row r="87" spans="1:8" ht="19.95" customHeight="1" x14ac:dyDescent="0.35">
      <c r="A87" s="3" t="s">
        <v>214</v>
      </c>
      <c r="B87" s="3" t="s">
        <v>43</v>
      </c>
      <c r="C87" s="3" t="b">
        <f t="shared" si="4"/>
        <v>0</v>
      </c>
      <c r="D87" s="3" t="str">
        <f t="shared" si="5"/>
        <v>INTL-RUS BIO</v>
      </c>
      <c r="E87" s="4" t="s">
        <v>200</v>
      </c>
      <c r="F87" s="4" t="s">
        <v>70</v>
      </c>
      <c r="G87" s="4" t="s">
        <v>277</v>
      </c>
      <c r="H87" s="1" t="s">
        <v>43</v>
      </c>
    </row>
    <row r="88" spans="1:8" ht="19.95" customHeight="1" x14ac:dyDescent="0.35">
      <c r="A88" s="3" t="s">
        <v>235</v>
      </c>
      <c r="B88" s="3" t="s">
        <v>43</v>
      </c>
      <c r="C88" s="3" t="b">
        <f t="shared" si="4"/>
        <v>0</v>
      </c>
      <c r="D88" s="3" t="str">
        <f t="shared" si="5"/>
        <v>TEEN INTL-RUS</v>
      </c>
      <c r="E88" s="4" t="s">
        <v>236</v>
      </c>
      <c r="F88" s="4"/>
      <c r="G88" s="4" t="s">
        <v>290</v>
      </c>
      <c r="H88" s="1" t="s">
        <v>43</v>
      </c>
    </row>
    <row r="89" spans="1:8" ht="19.95" customHeight="1" x14ac:dyDescent="0.35">
      <c r="A89" s="3" t="s">
        <v>244</v>
      </c>
      <c r="B89" s="3" t="s">
        <v>43</v>
      </c>
      <c r="C89" s="3" t="b">
        <f t="shared" si="4"/>
        <v>1</v>
      </c>
      <c r="D89" s="3" t="str">
        <f t="shared" si="5"/>
        <v>TEEN INTL-RUS</v>
      </c>
      <c r="E89" s="4" t="s">
        <v>236</v>
      </c>
      <c r="F89" s="4">
        <v>999.99</v>
      </c>
      <c r="G89" s="4" t="s">
        <v>291</v>
      </c>
      <c r="H89" s="1" t="s">
        <v>43</v>
      </c>
    </row>
    <row r="90" spans="1:8" ht="19.95" customHeight="1" x14ac:dyDescent="0.35">
      <c r="A90" s="3" t="s">
        <v>251</v>
      </c>
      <c r="B90" s="3" t="s">
        <v>43</v>
      </c>
      <c r="C90" s="3" t="b">
        <f t="shared" si="4"/>
        <v>0</v>
      </c>
      <c r="D90" s="3" t="str">
        <f t="shared" si="5"/>
        <v>TEEN INTL-RUS BIO</v>
      </c>
      <c r="E90" s="4" t="s">
        <v>236</v>
      </c>
      <c r="F90" s="4" t="s">
        <v>70</v>
      </c>
      <c r="G90" s="4" t="s">
        <v>277</v>
      </c>
      <c r="H90" s="1" t="s">
        <v>43</v>
      </c>
    </row>
    <row r="91" spans="1:8" ht="19.95" customHeight="1" x14ac:dyDescent="0.35">
      <c r="A91" s="3" t="s">
        <v>84</v>
      </c>
      <c r="B91" s="3" t="s">
        <v>36</v>
      </c>
      <c r="C91" s="3" t="b">
        <f t="shared" si="4"/>
        <v>0</v>
      </c>
      <c r="D91" s="3" t="str">
        <f t="shared" si="5"/>
        <v>E INTL-SPA</v>
      </c>
      <c r="E91" s="4" t="s">
        <v>85</v>
      </c>
      <c r="F91" s="4"/>
      <c r="G91" s="4" t="s">
        <v>268</v>
      </c>
      <c r="H91" s="1" t="s">
        <v>36</v>
      </c>
    </row>
    <row r="92" spans="1:8" ht="19.95" customHeight="1" x14ac:dyDescent="0.35">
      <c r="A92" s="3" t="s">
        <v>94</v>
      </c>
      <c r="B92" s="3" t="s">
        <v>36</v>
      </c>
      <c r="C92" s="3" t="b">
        <f t="shared" si="4"/>
        <v>1</v>
      </c>
      <c r="D92" s="3" t="str">
        <f t="shared" si="5"/>
        <v>E INTL-SPA</v>
      </c>
      <c r="E92" s="4" t="s">
        <v>95</v>
      </c>
      <c r="F92" s="4">
        <v>999.99</v>
      </c>
      <c r="G92" s="4" t="s">
        <v>263</v>
      </c>
      <c r="H92" s="1" t="s">
        <v>36</v>
      </c>
    </row>
    <row r="93" spans="1:8" ht="19.95" customHeight="1" x14ac:dyDescent="0.35">
      <c r="A93" s="3" t="s">
        <v>124</v>
      </c>
      <c r="B93" s="3" t="s">
        <v>36</v>
      </c>
      <c r="C93" s="3" t="b">
        <f t="shared" si="4"/>
        <v>0</v>
      </c>
      <c r="D93" s="3" t="str">
        <f t="shared" si="5"/>
        <v>J INTL-SPA</v>
      </c>
      <c r="E93" s="4" t="s">
        <v>125</v>
      </c>
      <c r="F93" s="4"/>
      <c r="G93" s="4" t="s">
        <v>269</v>
      </c>
      <c r="H93" s="1" t="s">
        <v>36</v>
      </c>
    </row>
    <row r="94" spans="1:8" ht="19.95" customHeight="1" x14ac:dyDescent="0.35">
      <c r="A94" s="3" t="s">
        <v>132</v>
      </c>
      <c r="B94" s="3" t="s">
        <v>36</v>
      </c>
      <c r="C94" s="3" t="b">
        <f t="shared" si="4"/>
        <v>1</v>
      </c>
      <c r="D94" s="3" t="str">
        <f t="shared" si="5"/>
        <v>J INTL-SPA</v>
      </c>
      <c r="E94" s="4" t="s">
        <v>125</v>
      </c>
      <c r="F94" s="4">
        <v>999.99</v>
      </c>
      <c r="G94" s="4" t="s">
        <v>263</v>
      </c>
      <c r="H94" s="1" t="s">
        <v>36</v>
      </c>
    </row>
    <row r="95" spans="1:8" ht="19.95" customHeight="1" x14ac:dyDescent="0.35">
      <c r="A95" s="3" t="s">
        <v>138</v>
      </c>
      <c r="B95" s="3" t="s">
        <v>36</v>
      </c>
      <c r="C95" s="3" t="b">
        <f t="shared" si="4"/>
        <v>0</v>
      </c>
      <c r="D95" s="3" t="str">
        <f t="shared" si="5"/>
        <v>J INTL-SPA BIO</v>
      </c>
      <c r="E95" s="4" t="s">
        <v>125</v>
      </c>
      <c r="F95" s="4" t="s">
        <v>70</v>
      </c>
      <c r="G95" s="4" t="s">
        <v>277</v>
      </c>
      <c r="H95" s="1" t="s">
        <v>36</v>
      </c>
    </row>
    <row r="96" spans="1:8" ht="19.95" customHeight="1" x14ac:dyDescent="0.35">
      <c r="A96" s="3" t="s">
        <v>201</v>
      </c>
      <c r="B96" s="3" t="s">
        <v>36</v>
      </c>
      <c r="C96" s="3" t="b">
        <f t="shared" si="4"/>
        <v>0</v>
      </c>
      <c r="D96" s="3" t="str">
        <f t="shared" si="5"/>
        <v>INTL-SPA FIC</v>
      </c>
      <c r="E96" s="4" t="s">
        <v>202</v>
      </c>
      <c r="F96" s="4" t="s">
        <v>194</v>
      </c>
      <c r="G96" s="4" t="s">
        <v>279</v>
      </c>
      <c r="H96" s="1" t="s">
        <v>36</v>
      </c>
    </row>
    <row r="97" spans="1:8" ht="19.95" customHeight="1" x14ac:dyDescent="0.35">
      <c r="A97" s="3" t="s">
        <v>209</v>
      </c>
      <c r="B97" s="3" t="s">
        <v>36</v>
      </c>
      <c r="C97" s="3" t="b">
        <f t="shared" si="4"/>
        <v>1</v>
      </c>
      <c r="D97" s="3" t="str">
        <f t="shared" si="5"/>
        <v>INTL-SPA</v>
      </c>
      <c r="E97" s="4" t="s">
        <v>202</v>
      </c>
      <c r="F97" s="4">
        <v>999.99</v>
      </c>
      <c r="G97" s="4" t="s">
        <v>280</v>
      </c>
      <c r="H97" s="1" t="s">
        <v>36</v>
      </c>
    </row>
    <row r="98" spans="1:8" ht="19.95" customHeight="1" x14ac:dyDescent="0.35">
      <c r="A98" s="3" t="s">
        <v>215</v>
      </c>
      <c r="B98" s="3" t="s">
        <v>36</v>
      </c>
      <c r="C98" s="3" t="b">
        <f t="shared" ref="C98:C129" si="6">ISNUMBER(F98)</f>
        <v>0</v>
      </c>
      <c r="D98" s="3" t="str">
        <f t="shared" ref="D98:D129" si="7">TRIM(E98&amp;IF(NOT(C98)," "&amp;F98,""))</f>
        <v>INTL-SPA BIO</v>
      </c>
      <c r="E98" s="4" t="s">
        <v>202</v>
      </c>
      <c r="F98" s="4" t="s">
        <v>70</v>
      </c>
      <c r="G98" s="4" t="s">
        <v>277</v>
      </c>
      <c r="H98" s="1" t="s">
        <v>36</v>
      </c>
    </row>
    <row r="99" spans="1:8" ht="19.95" customHeight="1" x14ac:dyDescent="0.35">
      <c r="A99" s="3" t="s">
        <v>237</v>
      </c>
      <c r="B99" s="3" t="s">
        <v>36</v>
      </c>
      <c r="C99" s="3" t="b">
        <f t="shared" si="6"/>
        <v>0</v>
      </c>
      <c r="D99" s="3" t="str">
        <f t="shared" si="7"/>
        <v>TEEN INTL-SPA</v>
      </c>
      <c r="E99" s="4" t="s">
        <v>238</v>
      </c>
      <c r="F99" s="4"/>
      <c r="G99" s="4" t="s">
        <v>290</v>
      </c>
      <c r="H99" s="1" t="s">
        <v>36</v>
      </c>
    </row>
    <row r="100" spans="1:8" ht="19.95" customHeight="1" x14ac:dyDescent="0.35">
      <c r="A100" s="3" t="s">
        <v>245</v>
      </c>
      <c r="B100" s="3" t="s">
        <v>36</v>
      </c>
      <c r="C100" s="3" t="b">
        <f t="shared" si="6"/>
        <v>1</v>
      </c>
      <c r="D100" s="3" t="str">
        <f t="shared" si="7"/>
        <v>TEEN INTL-SPA</v>
      </c>
      <c r="E100" s="4" t="s">
        <v>238</v>
      </c>
      <c r="F100" s="4">
        <v>999.99</v>
      </c>
      <c r="G100" s="4" t="s">
        <v>291</v>
      </c>
      <c r="H100" s="1" t="s">
        <v>36</v>
      </c>
    </row>
    <row r="101" spans="1:8" ht="19.95" customHeight="1" x14ac:dyDescent="0.35">
      <c r="A101" s="3" t="s">
        <v>252</v>
      </c>
      <c r="B101" s="3" t="s">
        <v>36</v>
      </c>
      <c r="C101" s="3" t="b">
        <f t="shared" si="6"/>
        <v>0</v>
      </c>
      <c r="D101" s="3" t="str">
        <f t="shared" si="7"/>
        <v>TEEN INTL-SPA BIO</v>
      </c>
      <c r="E101" s="4" t="s">
        <v>238</v>
      </c>
      <c r="F101" s="4" t="s">
        <v>70</v>
      </c>
      <c r="G101" s="4" t="s">
        <v>277</v>
      </c>
      <c r="H101" s="1" t="s">
        <v>36</v>
      </c>
    </row>
    <row r="102" spans="1:8" ht="19.95" customHeight="1" x14ac:dyDescent="0.35">
      <c r="A102" s="3" t="s">
        <v>86</v>
      </c>
      <c r="B102" s="3" t="s">
        <v>38</v>
      </c>
      <c r="C102" s="3" t="b">
        <f t="shared" si="6"/>
        <v>0</v>
      </c>
      <c r="D102" s="3" t="str">
        <f t="shared" si="7"/>
        <v>E INTL-VIE</v>
      </c>
      <c r="E102" s="4" t="s">
        <v>87</v>
      </c>
      <c r="F102" s="4"/>
      <c r="G102" s="4" t="s">
        <v>268</v>
      </c>
      <c r="H102" s="1" t="s">
        <v>38</v>
      </c>
    </row>
    <row r="103" spans="1:8" ht="19.95" customHeight="1" x14ac:dyDescent="0.35">
      <c r="A103" s="3" t="s">
        <v>96</v>
      </c>
      <c r="B103" s="3" t="s">
        <v>38</v>
      </c>
      <c r="C103" s="3" t="b">
        <f t="shared" si="6"/>
        <v>1</v>
      </c>
      <c r="D103" s="3" t="str">
        <f t="shared" si="7"/>
        <v>E INTL-VIE</v>
      </c>
      <c r="E103" s="4" t="s">
        <v>97</v>
      </c>
      <c r="F103" s="4">
        <v>999.99</v>
      </c>
      <c r="G103" s="4" t="s">
        <v>263</v>
      </c>
      <c r="H103" s="1" t="s">
        <v>38</v>
      </c>
    </row>
    <row r="104" spans="1:8" ht="19.95" customHeight="1" x14ac:dyDescent="0.35">
      <c r="A104" s="3" t="s">
        <v>126</v>
      </c>
      <c r="B104" s="3" t="s">
        <v>38</v>
      </c>
      <c r="C104" s="3" t="b">
        <f t="shared" si="6"/>
        <v>0</v>
      </c>
      <c r="D104" s="3" t="str">
        <f t="shared" si="7"/>
        <v>J INTL-VIE</v>
      </c>
      <c r="E104" s="4" t="s">
        <v>127</v>
      </c>
      <c r="F104" s="4"/>
      <c r="G104" s="4" t="s">
        <v>269</v>
      </c>
      <c r="H104" s="1" t="s">
        <v>38</v>
      </c>
    </row>
    <row r="105" spans="1:8" ht="19.95" customHeight="1" x14ac:dyDescent="0.35">
      <c r="A105" s="3" t="s">
        <v>133</v>
      </c>
      <c r="B105" s="3" t="s">
        <v>38</v>
      </c>
      <c r="C105" s="3" t="b">
        <f t="shared" si="6"/>
        <v>1</v>
      </c>
      <c r="D105" s="3" t="str">
        <f t="shared" si="7"/>
        <v>J INTL-VIE</v>
      </c>
      <c r="E105" s="4" t="s">
        <v>127</v>
      </c>
      <c r="F105" s="4">
        <v>999.99</v>
      </c>
      <c r="G105" s="4" t="s">
        <v>263</v>
      </c>
      <c r="H105" s="1" t="s">
        <v>38</v>
      </c>
    </row>
    <row r="106" spans="1:8" ht="19.95" customHeight="1" x14ac:dyDescent="0.35">
      <c r="A106" s="3" t="s">
        <v>139</v>
      </c>
      <c r="B106" s="3" t="s">
        <v>38</v>
      </c>
      <c r="C106" s="3" t="b">
        <f t="shared" si="6"/>
        <v>0</v>
      </c>
      <c r="D106" s="3" t="str">
        <f t="shared" si="7"/>
        <v>J INTL-VIE BIO</v>
      </c>
      <c r="E106" s="4" t="s">
        <v>127</v>
      </c>
      <c r="F106" s="4" t="s">
        <v>70</v>
      </c>
      <c r="G106" s="4" t="s">
        <v>277</v>
      </c>
      <c r="H106" s="1" t="s">
        <v>38</v>
      </c>
    </row>
    <row r="107" spans="1:8" ht="19.95" customHeight="1" x14ac:dyDescent="0.35">
      <c r="A107" s="3" t="s">
        <v>203</v>
      </c>
      <c r="B107" s="3" t="s">
        <v>38</v>
      </c>
      <c r="C107" s="3" t="b">
        <f t="shared" si="6"/>
        <v>0</v>
      </c>
      <c r="D107" s="3" t="str">
        <f t="shared" si="7"/>
        <v>INTL-VIE FIC</v>
      </c>
      <c r="E107" s="4" t="s">
        <v>204</v>
      </c>
      <c r="F107" s="4" t="s">
        <v>194</v>
      </c>
      <c r="G107" s="4" t="s">
        <v>279</v>
      </c>
      <c r="H107" s="1" t="s">
        <v>38</v>
      </c>
    </row>
    <row r="108" spans="1:8" ht="19.95" customHeight="1" x14ac:dyDescent="0.35">
      <c r="A108" s="3" t="s">
        <v>210</v>
      </c>
      <c r="B108" s="3" t="s">
        <v>38</v>
      </c>
      <c r="C108" s="3" t="b">
        <f t="shared" si="6"/>
        <v>1</v>
      </c>
      <c r="D108" s="3" t="str">
        <f t="shared" si="7"/>
        <v>INTL-VIE</v>
      </c>
      <c r="E108" s="4" t="s">
        <v>204</v>
      </c>
      <c r="F108" s="4">
        <v>999.99</v>
      </c>
      <c r="G108" s="4" t="s">
        <v>280</v>
      </c>
      <c r="H108" s="1" t="s">
        <v>38</v>
      </c>
    </row>
    <row r="109" spans="1:8" ht="19.95" customHeight="1" x14ac:dyDescent="0.35">
      <c r="A109" s="3" t="s">
        <v>216</v>
      </c>
      <c r="B109" s="3" t="s">
        <v>38</v>
      </c>
      <c r="C109" s="3" t="b">
        <f t="shared" si="6"/>
        <v>0</v>
      </c>
      <c r="D109" s="3" t="str">
        <f t="shared" si="7"/>
        <v>INTL-VIE BIO</v>
      </c>
      <c r="E109" s="4" t="s">
        <v>204</v>
      </c>
      <c r="F109" s="4" t="s">
        <v>70</v>
      </c>
      <c r="G109" s="4" t="s">
        <v>277</v>
      </c>
      <c r="H109" s="1" t="s">
        <v>38</v>
      </c>
    </row>
    <row r="110" spans="1:8" ht="19.95" customHeight="1" x14ac:dyDescent="0.35">
      <c r="A110" s="3" t="s">
        <v>239</v>
      </c>
      <c r="B110" s="3" t="s">
        <v>38</v>
      </c>
      <c r="C110" s="3" t="b">
        <f t="shared" si="6"/>
        <v>0</v>
      </c>
      <c r="D110" s="3" t="str">
        <f t="shared" si="7"/>
        <v>TEEN INTL-VIE</v>
      </c>
      <c r="E110" s="4" t="s">
        <v>240</v>
      </c>
      <c r="F110" s="4"/>
      <c r="G110" s="4" t="s">
        <v>290</v>
      </c>
      <c r="H110" s="1" t="s">
        <v>38</v>
      </c>
    </row>
    <row r="111" spans="1:8" ht="19.95" customHeight="1" x14ac:dyDescent="0.35">
      <c r="A111" s="3" t="s">
        <v>246</v>
      </c>
      <c r="B111" s="3" t="s">
        <v>38</v>
      </c>
      <c r="C111" s="3" t="b">
        <f t="shared" si="6"/>
        <v>1</v>
      </c>
      <c r="D111" s="3" t="str">
        <f t="shared" si="7"/>
        <v>TEEN INTL-VIE</v>
      </c>
      <c r="E111" s="4" t="s">
        <v>240</v>
      </c>
      <c r="F111" s="4">
        <v>999.99</v>
      </c>
      <c r="G111" s="4" t="s">
        <v>291</v>
      </c>
      <c r="H111" s="1" t="s">
        <v>38</v>
      </c>
    </row>
    <row r="112" spans="1:8" ht="19.95" customHeight="1" x14ac:dyDescent="0.35">
      <c r="A112" s="3" t="s">
        <v>253</v>
      </c>
      <c r="B112" s="3" t="s">
        <v>38</v>
      </c>
      <c r="C112" s="3" t="b">
        <f t="shared" si="6"/>
        <v>0</v>
      </c>
      <c r="D112" s="3" t="str">
        <f t="shared" si="7"/>
        <v>TEEN INTL-VIE BIO</v>
      </c>
      <c r="E112" s="4" t="s">
        <v>240</v>
      </c>
      <c r="F112" s="4" t="s">
        <v>70</v>
      </c>
      <c r="G112" s="4" t="s">
        <v>277</v>
      </c>
      <c r="H112" s="1" t="s">
        <v>38</v>
      </c>
    </row>
    <row r="113" spans="1:8" ht="19.95" customHeight="1" x14ac:dyDescent="0.35">
      <c r="A113" s="3" t="s">
        <v>152</v>
      </c>
      <c r="B113" s="3" t="s">
        <v>5</v>
      </c>
      <c r="C113" s="3" t="b">
        <f t="shared" si="6"/>
        <v>0</v>
      </c>
      <c r="D113" s="3" t="str">
        <f t="shared" si="7"/>
        <v>DVD</v>
      </c>
      <c r="E113" s="4" t="s">
        <v>58</v>
      </c>
      <c r="F113" s="4"/>
      <c r="G113" s="4" t="s">
        <v>284</v>
      </c>
      <c r="H113" s="1" t="s">
        <v>5</v>
      </c>
    </row>
    <row r="114" spans="1:8" ht="19.95" customHeight="1" x14ac:dyDescent="0.35">
      <c r="A114" s="3" t="s">
        <v>152</v>
      </c>
      <c r="B114" s="3" t="s">
        <v>6</v>
      </c>
      <c r="C114" s="3" t="b">
        <f t="shared" si="6"/>
        <v>0</v>
      </c>
      <c r="D114" s="3" t="str">
        <f t="shared" si="7"/>
        <v>DVD</v>
      </c>
      <c r="E114" s="4" t="s">
        <v>58</v>
      </c>
      <c r="F114" s="4"/>
      <c r="G114" s="4" t="s">
        <v>284</v>
      </c>
      <c r="H114" s="1" t="s">
        <v>6</v>
      </c>
    </row>
    <row r="115" spans="1:8" ht="19.95" customHeight="1" x14ac:dyDescent="0.35">
      <c r="A115" s="3" t="s">
        <v>152</v>
      </c>
      <c r="B115" s="3" t="s">
        <v>8</v>
      </c>
      <c r="C115" s="3" t="b">
        <f t="shared" si="6"/>
        <v>0</v>
      </c>
      <c r="D115" s="3" t="str">
        <f t="shared" si="7"/>
        <v>DVD</v>
      </c>
      <c r="E115" s="4" t="s">
        <v>58</v>
      </c>
      <c r="F115" s="4"/>
      <c r="G115" s="4" t="s">
        <v>284</v>
      </c>
      <c r="H115" s="1" t="s">
        <v>8</v>
      </c>
    </row>
    <row r="116" spans="1:8" ht="19.95" customHeight="1" x14ac:dyDescent="0.35">
      <c r="A116" s="3" t="s">
        <v>152</v>
      </c>
      <c r="B116" s="3" t="s">
        <v>9</v>
      </c>
      <c r="C116" s="3" t="b">
        <f t="shared" si="6"/>
        <v>0</v>
      </c>
      <c r="D116" s="3" t="str">
        <f t="shared" si="7"/>
        <v>DVD</v>
      </c>
      <c r="E116" s="4" t="s">
        <v>58</v>
      </c>
      <c r="F116" s="4"/>
      <c r="G116" s="4" t="s">
        <v>284</v>
      </c>
      <c r="H116" s="1" t="s">
        <v>9</v>
      </c>
    </row>
    <row r="117" spans="1:8" ht="19.95" customHeight="1" x14ac:dyDescent="0.35">
      <c r="A117" s="3" t="s">
        <v>152</v>
      </c>
      <c r="B117" s="3" t="s">
        <v>10</v>
      </c>
      <c r="C117" s="3" t="b">
        <f t="shared" si="6"/>
        <v>0</v>
      </c>
      <c r="D117" s="3" t="str">
        <f t="shared" si="7"/>
        <v>DVD</v>
      </c>
      <c r="E117" s="4" t="s">
        <v>58</v>
      </c>
      <c r="F117" s="4"/>
      <c r="G117" s="4" t="s">
        <v>284</v>
      </c>
      <c r="H117" s="1" t="s">
        <v>10</v>
      </c>
    </row>
    <row r="118" spans="1:8" ht="19.95" customHeight="1" x14ac:dyDescent="0.35">
      <c r="A118" s="3" t="s">
        <v>152</v>
      </c>
      <c r="B118" s="3" t="s">
        <v>11</v>
      </c>
      <c r="C118" s="3" t="b">
        <f t="shared" si="6"/>
        <v>0</v>
      </c>
      <c r="D118" s="3" t="str">
        <f t="shared" si="7"/>
        <v>DVD</v>
      </c>
      <c r="E118" s="4" t="s">
        <v>58</v>
      </c>
      <c r="F118" s="4"/>
      <c r="G118" s="4" t="s">
        <v>284</v>
      </c>
      <c r="H118" s="1" t="s">
        <v>11</v>
      </c>
    </row>
    <row r="119" spans="1:8" ht="19.95" customHeight="1" x14ac:dyDescent="0.35">
      <c r="A119" s="3" t="s">
        <v>152</v>
      </c>
      <c r="B119" s="3" t="s">
        <v>12</v>
      </c>
      <c r="C119" s="3" t="b">
        <f t="shared" si="6"/>
        <v>0</v>
      </c>
      <c r="D119" s="3" t="str">
        <f t="shared" si="7"/>
        <v>DVD</v>
      </c>
      <c r="E119" s="4" t="s">
        <v>58</v>
      </c>
      <c r="F119" s="4"/>
      <c r="G119" s="4" t="s">
        <v>284</v>
      </c>
      <c r="H119" s="1" t="s">
        <v>12</v>
      </c>
    </row>
    <row r="120" spans="1:8" ht="19.95" customHeight="1" x14ac:dyDescent="0.35">
      <c r="A120" s="3" t="s">
        <v>152</v>
      </c>
      <c r="B120" s="3" t="s">
        <v>7</v>
      </c>
      <c r="C120" s="3" t="b">
        <f t="shared" si="6"/>
        <v>0</v>
      </c>
      <c r="D120" s="3" t="str">
        <f t="shared" si="7"/>
        <v>DVD</v>
      </c>
      <c r="E120" s="4" t="s">
        <v>58</v>
      </c>
      <c r="F120" s="4"/>
      <c r="G120" s="4" t="s">
        <v>284</v>
      </c>
      <c r="H120" s="1" t="s">
        <v>7</v>
      </c>
    </row>
    <row r="121" spans="1:8" ht="19.95" customHeight="1" x14ac:dyDescent="0.35">
      <c r="A121" s="3" t="s">
        <v>152</v>
      </c>
      <c r="B121" s="3" t="s">
        <v>13</v>
      </c>
      <c r="C121" s="3" t="b">
        <f t="shared" si="6"/>
        <v>0</v>
      </c>
      <c r="D121" s="3" t="str">
        <f t="shared" si="7"/>
        <v>DVD</v>
      </c>
      <c r="E121" s="4" t="s">
        <v>58</v>
      </c>
      <c r="F121" s="4"/>
      <c r="G121" s="4" t="s">
        <v>284</v>
      </c>
      <c r="H121" s="1" t="s">
        <v>13</v>
      </c>
    </row>
    <row r="122" spans="1:8" ht="19.95" customHeight="1" x14ac:dyDescent="0.35">
      <c r="A122" s="3" t="s">
        <v>152</v>
      </c>
      <c r="B122" s="3" t="s">
        <v>14</v>
      </c>
      <c r="C122" s="3" t="b">
        <f t="shared" si="6"/>
        <v>0</v>
      </c>
      <c r="D122" s="3" t="str">
        <f t="shared" si="7"/>
        <v>DVD</v>
      </c>
      <c r="E122" s="4" t="s">
        <v>58</v>
      </c>
      <c r="F122" s="4"/>
      <c r="G122" s="4" t="s">
        <v>284</v>
      </c>
      <c r="H122" s="1" t="s">
        <v>14</v>
      </c>
    </row>
    <row r="123" spans="1:8" ht="19.95" customHeight="1" x14ac:dyDescent="0.35">
      <c r="A123" s="3" t="s">
        <v>152</v>
      </c>
      <c r="B123" s="3" t="s">
        <v>15</v>
      </c>
      <c r="C123" s="3" t="b">
        <f t="shared" si="6"/>
        <v>0</v>
      </c>
      <c r="D123" s="3" t="str">
        <f t="shared" si="7"/>
        <v>DVD</v>
      </c>
      <c r="E123" s="4" t="s">
        <v>58</v>
      </c>
      <c r="F123" s="4"/>
      <c r="G123" s="4" t="s">
        <v>284</v>
      </c>
      <c r="H123" s="1" t="s">
        <v>15</v>
      </c>
    </row>
    <row r="124" spans="1:8" ht="19.95" customHeight="1" x14ac:dyDescent="0.35">
      <c r="A124" s="3" t="s">
        <v>152</v>
      </c>
      <c r="B124" s="3" t="s">
        <v>16</v>
      </c>
      <c r="C124" s="3" t="b">
        <f t="shared" si="6"/>
        <v>0</v>
      </c>
      <c r="D124" s="3" t="str">
        <f t="shared" si="7"/>
        <v>DVD</v>
      </c>
      <c r="E124" s="4" t="s">
        <v>58</v>
      </c>
      <c r="F124" s="4"/>
      <c r="G124" s="4" t="s">
        <v>284</v>
      </c>
      <c r="H124" s="1" t="s">
        <v>16</v>
      </c>
    </row>
    <row r="125" spans="1:8" ht="19.95" customHeight="1" x14ac:dyDescent="0.35">
      <c r="A125" s="3" t="s">
        <v>152</v>
      </c>
      <c r="B125" s="3" t="s">
        <v>17</v>
      </c>
      <c r="C125" s="3" t="b">
        <f t="shared" si="6"/>
        <v>0</v>
      </c>
      <c r="D125" s="3" t="str">
        <f t="shared" si="7"/>
        <v>DVD</v>
      </c>
      <c r="E125" s="4" t="s">
        <v>58</v>
      </c>
      <c r="F125" s="4"/>
      <c r="G125" s="4" t="s">
        <v>284</v>
      </c>
      <c r="H125" s="1" t="s">
        <v>17</v>
      </c>
    </row>
    <row r="126" spans="1:8" ht="19.95" customHeight="1" x14ac:dyDescent="0.35">
      <c r="A126" s="3" t="s">
        <v>152</v>
      </c>
      <c r="B126" s="3" t="s">
        <v>18</v>
      </c>
      <c r="C126" s="3" t="b">
        <f t="shared" si="6"/>
        <v>0</v>
      </c>
      <c r="D126" s="3" t="str">
        <f t="shared" si="7"/>
        <v>DVD</v>
      </c>
      <c r="E126" s="4" t="s">
        <v>58</v>
      </c>
      <c r="F126" s="4"/>
      <c r="G126" s="4" t="s">
        <v>284</v>
      </c>
      <c r="H126" s="1" t="s">
        <v>18</v>
      </c>
    </row>
    <row r="127" spans="1:8" ht="19.95" customHeight="1" x14ac:dyDescent="0.35">
      <c r="A127" s="3" t="s">
        <v>159</v>
      </c>
      <c r="B127" s="3" t="s">
        <v>39</v>
      </c>
      <c r="C127" s="3" t="b">
        <f t="shared" si="6"/>
        <v>0</v>
      </c>
      <c r="D127" s="3" t="str">
        <f t="shared" si="7"/>
        <v>CD A</v>
      </c>
      <c r="E127" s="4" t="s">
        <v>149</v>
      </c>
      <c r="F127" s="4" t="s">
        <v>160</v>
      </c>
      <c r="G127" s="4" t="s">
        <v>288</v>
      </c>
      <c r="H127" s="1" t="s">
        <v>39</v>
      </c>
    </row>
    <row r="128" spans="1:8" ht="19.95" customHeight="1" x14ac:dyDescent="0.35">
      <c r="A128" s="3" t="s">
        <v>159</v>
      </c>
      <c r="B128" s="3" t="s">
        <v>39</v>
      </c>
      <c r="C128" s="3" t="b">
        <f t="shared" si="6"/>
        <v>0</v>
      </c>
      <c r="D128" s="3" t="str">
        <f t="shared" si="7"/>
        <v>CD B</v>
      </c>
      <c r="E128" s="4" t="s">
        <v>149</v>
      </c>
      <c r="F128" s="4" t="s">
        <v>161</v>
      </c>
      <c r="G128" s="4" t="s">
        <v>288</v>
      </c>
      <c r="H128" s="1" t="s">
        <v>39</v>
      </c>
    </row>
    <row r="129" spans="1:8" ht="19.95" customHeight="1" x14ac:dyDescent="0.35">
      <c r="A129" s="3" t="s">
        <v>159</v>
      </c>
      <c r="B129" s="3" t="s">
        <v>39</v>
      </c>
      <c r="C129" s="3" t="b">
        <f t="shared" si="6"/>
        <v>0</v>
      </c>
      <c r="D129" s="3" t="str">
        <f t="shared" si="7"/>
        <v>CD C</v>
      </c>
      <c r="E129" s="4" t="s">
        <v>149</v>
      </c>
      <c r="F129" s="4" t="s">
        <v>162</v>
      </c>
      <c r="G129" s="4" t="s">
        <v>288</v>
      </c>
      <c r="H129" s="1" t="s">
        <v>39</v>
      </c>
    </row>
    <row r="130" spans="1:8" ht="19.95" customHeight="1" x14ac:dyDescent="0.35">
      <c r="A130" s="3" t="s">
        <v>159</v>
      </c>
      <c r="B130" s="3" t="s">
        <v>39</v>
      </c>
      <c r="C130" s="3" t="b">
        <f t="shared" ref="C130:C164" si="8">ISNUMBER(F130)</f>
        <v>0</v>
      </c>
      <c r="D130" s="3" t="str">
        <f t="shared" ref="D130:D162" si="9">TRIM(E130&amp;IF(NOT(C130)," "&amp;F130,""))</f>
        <v>CD D</v>
      </c>
      <c r="E130" s="4" t="s">
        <v>149</v>
      </c>
      <c r="F130" s="4" t="s">
        <v>163</v>
      </c>
      <c r="G130" s="4" t="s">
        <v>288</v>
      </c>
      <c r="H130" s="1" t="s">
        <v>39</v>
      </c>
    </row>
    <row r="131" spans="1:8" ht="19.95" customHeight="1" x14ac:dyDescent="0.35">
      <c r="A131" s="3" t="s">
        <v>159</v>
      </c>
      <c r="B131" s="3" t="s">
        <v>39</v>
      </c>
      <c r="C131" s="3" t="b">
        <f t="shared" si="8"/>
        <v>0</v>
      </c>
      <c r="D131" s="3" t="str">
        <f t="shared" si="9"/>
        <v>CD DG</v>
      </c>
      <c r="E131" s="4" t="s">
        <v>149</v>
      </c>
      <c r="F131" s="4" t="s">
        <v>164</v>
      </c>
      <c r="G131" s="4" t="s">
        <v>288</v>
      </c>
      <c r="H131" s="1" t="s">
        <v>39</v>
      </c>
    </row>
    <row r="132" spans="1:8" ht="19.95" customHeight="1" x14ac:dyDescent="0.35">
      <c r="A132" s="3" t="s">
        <v>159</v>
      </c>
      <c r="B132" s="3" t="s">
        <v>39</v>
      </c>
      <c r="C132" s="3" t="b">
        <f t="shared" si="8"/>
        <v>0</v>
      </c>
      <c r="D132" s="3" t="str">
        <f t="shared" si="9"/>
        <v>CD DO</v>
      </c>
      <c r="E132" s="4" t="s">
        <v>149</v>
      </c>
      <c r="F132" s="4" t="s">
        <v>165</v>
      </c>
      <c r="G132" s="4" t="s">
        <v>288</v>
      </c>
      <c r="H132" s="1" t="s">
        <v>39</v>
      </c>
    </row>
    <row r="133" spans="1:8" ht="19.95" customHeight="1" x14ac:dyDescent="0.35">
      <c r="A133" s="3" t="s">
        <v>159</v>
      </c>
      <c r="B133" s="3" t="s">
        <v>39</v>
      </c>
      <c r="C133" s="3" t="b">
        <f t="shared" si="8"/>
        <v>0</v>
      </c>
      <c r="D133" s="3" t="str">
        <f t="shared" si="9"/>
        <v>CD DP</v>
      </c>
      <c r="E133" s="4" t="s">
        <v>149</v>
      </c>
      <c r="F133" s="4" t="s">
        <v>166</v>
      </c>
      <c r="G133" s="4" t="s">
        <v>288</v>
      </c>
      <c r="H133" s="1" t="s">
        <v>39</v>
      </c>
    </row>
    <row r="134" spans="1:8" ht="19.95" customHeight="1" x14ac:dyDescent="0.35">
      <c r="A134" s="3" t="s">
        <v>159</v>
      </c>
      <c r="B134" s="3" t="s">
        <v>39</v>
      </c>
      <c r="C134" s="3" t="b">
        <f t="shared" si="8"/>
        <v>0</v>
      </c>
      <c r="D134" s="3" t="str">
        <f t="shared" si="9"/>
        <v>CD DS</v>
      </c>
      <c r="E134" s="4" t="s">
        <v>149</v>
      </c>
      <c r="F134" s="4" t="s">
        <v>167</v>
      </c>
      <c r="G134" s="4" t="s">
        <v>288</v>
      </c>
      <c r="H134" s="1" t="s">
        <v>39</v>
      </c>
    </row>
    <row r="135" spans="1:8" ht="19.95" customHeight="1" x14ac:dyDescent="0.35">
      <c r="A135" s="3" t="s">
        <v>159</v>
      </c>
      <c r="B135" s="3" t="s">
        <v>39</v>
      </c>
      <c r="C135" s="3" t="b">
        <f t="shared" si="8"/>
        <v>0</v>
      </c>
      <c r="D135" s="3" t="str">
        <f t="shared" si="9"/>
        <v>CD DV</v>
      </c>
      <c r="E135" s="4" t="s">
        <v>149</v>
      </c>
      <c r="F135" s="4" t="s">
        <v>168</v>
      </c>
      <c r="G135" s="4" t="s">
        <v>288</v>
      </c>
      <c r="H135" s="1" t="s">
        <v>39</v>
      </c>
    </row>
    <row r="136" spans="1:8" ht="19.95" customHeight="1" x14ac:dyDescent="0.35">
      <c r="A136" s="3" t="s">
        <v>159</v>
      </c>
      <c r="B136" s="3" t="s">
        <v>39</v>
      </c>
      <c r="C136" s="3" t="b">
        <f t="shared" si="8"/>
        <v>0</v>
      </c>
      <c r="D136" s="3" t="str">
        <f t="shared" si="9"/>
        <v>CD DW</v>
      </c>
      <c r="E136" s="4" t="s">
        <v>149</v>
      </c>
      <c r="F136" s="4" t="s">
        <v>169</v>
      </c>
      <c r="G136" s="4" t="s">
        <v>288</v>
      </c>
      <c r="H136" s="1" t="s">
        <v>39</v>
      </c>
    </row>
    <row r="137" spans="1:8" ht="19.95" customHeight="1" x14ac:dyDescent="0.35">
      <c r="A137" s="3" t="s">
        <v>159</v>
      </c>
      <c r="B137" s="3" t="s">
        <v>39</v>
      </c>
      <c r="C137" s="3" t="b">
        <f t="shared" si="8"/>
        <v>0</v>
      </c>
      <c r="D137" s="3" t="str">
        <f t="shared" si="9"/>
        <v>CD DX</v>
      </c>
      <c r="E137" s="4" t="s">
        <v>149</v>
      </c>
      <c r="F137" s="4" t="s">
        <v>170</v>
      </c>
      <c r="G137" s="4" t="s">
        <v>288</v>
      </c>
      <c r="H137" s="1" t="s">
        <v>39</v>
      </c>
    </row>
    <row r="138" spans="1:8" ht="19.95" customHeight="1" x14ac:dyDescent="0.35">
      <c r="A138" s="3" t="s">
        <v>159</v>
      </c>
      <c r="B138" s="3" t="s">
        <v>39</v>
      </c>
      <c r="C138" s="3" t="b">
        <f t="shared" si="8"/>
        <v>0</v>
      </c>
      <c r="D138" s="3" t="str">
        <f t="shared" si="9"/>
        <v>CD E</v>
      </c>
      <c r="E138" s="4" t="s">
        <v>149</v>
      </c>
      <c r="F138" s="4" t="s">
        <v>65</v>
      </c>
      <c r="G138" s="4" t="s">
        <v>288</v>
      </c>
      <c r="H138" s="1" t="s">
        <v>39</v>
      </c>
    </row>
    <row r="139" spans="1:8" ht="19.95" customHeight="1" x14ac:dyDescent="0.35">
      <c r="A139" s="3" t="s">
        <v>159</v>
      </c>
      <c r="B139" s="3" t="s">
        <v>39</v>
      </c>
      <c r="C139" s="3" t="b">
        <f t="shared" si="8"/>
        <v>0</v>
      </c>
      <c r="D139" s="3" t="str">
        <f t="shared" si="9"/>
        <v>CD F</v>
      </c>
      <c r="E139" s="4" t="s">
        <v>149</v>
      </c>
      <c r="F139" s="4" t="s">
        <v>171</v>
      </c>
      <c r="G139" s="4" t="s">
        <v>288</v>
      </c>
      <c r="H139" s="1" t="s">
        <v>39</v>
      </c>
    </row>
    <row r="140" spans="1:8" ht="19.95" customHeight="1" x14ac:dyDescent="0.35">
      <c r="A140" s="3" t="s">
        <v>159</v>
      </c>
      <c r="B140" s="3" t="s">
        <v>39</v>
      </c>
      <c r="C140" s="3" t="b">
        <f t="shared" si="8"/>
        <v>0</v>
      </c>
      <c r="D140" s="3" t="str">
        <f t="shared" si="9"/>
        <v>CD G</v>
      </c>
      <c r="E140" s="4" t="s">
        <v>149</v>
      </c>
      <c r="F140" s="4" t="s">
        <v>172</v>
      </c>
      <c r="G140" s="4" t="s">
        <v>288</v>
      </c>
      <c r="H140" s="1" t="s">
        <v>39</v>
      </c>
    </row>
    <row r="141" spans="1:8" ht="19.95" customHeight="1" x14ac:dyDescent="0.35">
      <c r="A141" s="3" t="s">
        <v>159</v>
      </c>
      <c r="B141" s="3" t="s">
        <v>39</v>
      </c>
      <c r="C141" s="3" t="b">
        <f t="shared" si="8"/>
        <v>0</v>
      </c>
      <c r="D141" s="3" t="str">
        <f t="shared" si="9"/>
        <v>CD H</v>
      </c>
      <c r="E141" s="4" t="s">
        <v>149</v>
      </c>
      <c r="F141" s="4" t="s">
        <v>173</v>
      </c>
      <c r="G141" s="4" t="s">
        <v>288</v>
      </c>
      <c r="H141" s="1" t="s">
        <v>39</v>
      </c>
    </row>
    <row r="142" spans="1:8" ht="19.95" customHeight="1" x14ac:dyDescent="0.35">
      <c r="A142" s="3" t="s">
        <v>159</v>
      </c>
      <c r="B142" s="3" t="s">
        <v>39</v>
      </c>
      <c r="C142" s="3" t="b">
        <f t="shared" si="8"/>
        <v>0</v>
      </c>
      <c r="D142" s="3" t="str">
        <f t="shared" si="9"/>
        <v>CD K</v>
      </c>
      <c r="E142" s="4" t="s">
        <v>149</v>
      </c>
      <c r="F142" s="4" t="s">
        <v>174</v>
      </c>
      <c r="G142" s="4" t="s">
        <v>288</v>
      </c>
      <c r="H142" s="1" t="s">
        <v>39</v>
      </c>
    </row>
    <row r="143" spans="1:8" ht="19.95" customHeight="1" x14ac:dyDescent="0.35">
      <c r="A143" s="3" t="s">
        <v>159</v>
      </c>
      <c r="B143" s="3" t="s">
        <v>39</v>
      </c>
      <c r="C143" s="3" t="b">
        <f t="shared" si="8"/>
        <v>0</v>
      </c>
      <c r="D143" s="3" t="str">
        <f t="shared" si="9"/>
        <v>CD L</v>
      </c>
      <c r="E143" s="4" t="s">
        <v>149</v>
      </c>
      <c r="F143" s="4" t="s">
        <v>175</v>
      </c>
      <c r="G143" s="4" t="s">
        <v>288</v>
      </c>
      <c r="H143" s="1" t="s">
        <v>39</v>
      </c>
    </row>
    <row r="144" spans="1:8" ht="19.95" customHeight="1" x14ac:dyDescent="0.35">
      <c r="A144" s="3" t="s">
        <v>159</v>
      </c>
      <c r="B144" s="3" t="s">
        <v>39</v>
      </c>
      <c r="C144" s="3" t="b">
        <f t="shared" si="8"/>
        <v>0</v>
      </c>
      <c r="D144" s="3" t="str">
        <f t="shared" si="9"/>
        <v>CD M</v>
      </c>
      <c r="E144" s="4" t="s">
        <v>149</v>
      </c>
      <c r="F144" s="4" t="s">
        <v>176</v>
      </c>
      <c r="G144" s="4" t="s">
        <v>288</v>
      </c>
      <c r="H144" s="1" t="s">
        <v>39</v>
      </c>
    </row>
    <row r="145" spans="1:8" ht="19.95" customHeight="1" x14ac:dyDescent="0.35">
      <c r="A145" s="3" t="s">
        <v>159</v>
      </c>
      <c r="B145" s="3" t="s">
        <v>39</v>
      </c>
      <c r="C145" s="3" t="b">
        <f t="shared" si="8"/>
        <v>0</v>
      </c>
      <c r="D145" s="3" t="str">
        <f t="shared" si="9"/>
        <v>CD MA</v>
      </c>
      <c r="E145" s="4" t="s">
        <v>149</v>
      </c>
      <c r="F145" s="4" t="s">
        <v>177</v>
      </c>
      <c r="G145" s="4" t="s">
        <v>288</v>
      </c>
      <c r="H145" s="1" t="s">
        <v>39</v>
      </c>
    </row>
    <row r="146" spans="1:8" ht="19.95" customHeight="1" x14ac:dyDescent="0.35">
      <c r="A146" s="3" t="s">
        <v>159</v>
      </c>
      <c r="B146" s="3" t="s">
        <v>39</v>
      </c>
      <c r="C146" s="3" t="b">
        <f t="shared" si="8"/>
        <v>0</v>
      </c>
      <c r="D146" s="3" t="str">
        <f t="shared" si="9"/>
        <v>CD MC</v>
      </c>
      <c r="E146" s="4" t="s">
        <v>149</v>
      </c>
      <c r="F146" s="4" t="s">
        <v>178</v>
      </c>
      <c r="G146" s="4" t="s">
        <v>288</v>
      </c>
      <c r="H146" s="1" t="s">
        <v>39</v>
      </c>
    </row>
    <row r="147" spans="1:8" ht="19.95" customHeight="1" x14ac:dyDescent="0.35">
      <c r="A147" s="3" t="s">
        <v>159</v>
      </c>
      <c r="B147" s="3" t="s">
        <v>39</v>
      </c>
      <c r="C147" s="3" t="b">
        <f t="shared" si="8"/>
        <v>0</v>
      </c>
      <c r="D147" s="3" t="str">
        <f t="shared" si="9"/>
        <v>CD ME</v>
      </c>
      <c r="E147" s="4" t="s">
        <v>149</v>
      </c>
      <c r="F147" s="4" t="s">
        <v>179</v>
      </c>
      <c r="G147" s="4" t="s">
        <v>288</v>
      </c>
      <c r="H147" s="1" t="s">
        <v>39</v>
      </c>
    </row>
    <row r="148" spans="1:8" ht="19.95" customHeight="1" x14ac:dyDescent="0.35">
      <c r="A148" s="3" t="s">
        <v>159</v>
      </c>
      <c r="B148" s="3" t="s">
        <v>39</v>
      </c>
      <c r="C148" s="3" t="b">
        <f t="shared" si="8"/>
        <v>0</v>
      </c>
      <c r="D148" s="3" t="str">
        <f t="shared" si="9"/>
        <v>CD MH</v>
      </c>
      <c r="E148" s="4" t="s">
        <v>149</v>
      </c>
      <c r="F148" s="4" t="s">
        <v>180</v>
      </c>
      <c r="G148" s="4" t="s">
        <v>288</v>
      </c>
      <c r="H148" s="1" t="s">
        <v>39</v>
      </c>
    </row>
    <row r="149" spans="1:8" ht="19.95" customHeight="1" x14ac:dyDescent="0.35">
      <c r="A149" s="3" t="s">
        <v>159</v>
      </c>
      <c r="B149" s="3" t="s">
        <v>39</v>
      </c>
      <c r="C149" s="3" t="b">
        <f t="shared" si="8"/>
        <v>0</v>
      </c>
      <c r="D149" s="3" t="str">
        <f t="shared" si="9"/>
        <v>CD MI</v>
      </c>
      <c r="E149" s="4" t="s">
        <v>149</v>
      </c>
      <c r="F149" s="4" t="s">
        <v>181</v>
      </c>
      <c r="G149" s="4" t="s">
        <v>288</v>
      </c>
      <c r="H149" s="1" t="s">
        <v>39</v>
      </c>
    </row>
    <row r="150" spans="1:8" ht="19.95" customHeight="1" x14ac:dyDescent="0.35">
      <c r="A150" s="3" t="s">
        <v>159</v>
      </c>
      <c r="B150" s="3" t="s">
        <v>39</v>
      </c>
      <c r="C150" s="3" t="b">
        <f t="shared" si="8"/>
        <v>0</v>
      </c>
      <c r="D150" s="3" t="str">
        <f t="shared" si="9"/>
        <v>CD MR</v>
      </c>
      <c r="E150" s="4" t="s">
        <v>149</v>
      </c>
      <c r="F150" s="4" t="s">
        <v>182</v>
      </c>
      <c r="G150" s="4" t="s">
        <v>288</v>
      </c>
      <c r="H150" s="1" t="s">
        <v>39</v>
      </c>
    </row>
    <row r="151" spans="1:8" ht="19.95" customHeight="1" x14ac:dyDescent="0.35">
      <c r="A151" s="3" t="s">
        <v>159</v>
      </c>
      <c r="B151" s="3" t="s">
        <v>39</v>
      </c>
      <c r="C151" s="3" t="b">
        <f t="shared" si="8"/>
        <v>0</v>
      </c>
      <c r="D151" s="3" t="str">
        <f t="shared" si="9"/>
        <v>CD P</v>
      </c>
      <c r="E151" s="4" t="s">
        <v>149</v>
      </c>
      <c r="F151" s="4" t="s">
        <v>183</v>
      </c>
      <c r="G151" s="4" t="s">
        <v>288</v>
      </c>
      <c r="H151" s="1" t="s">
        <v>39</v>
      </c>
    </row>
    <row r="152" spans="1:8" ht="19.95" customHeight="1" x14ac:dyDescent="0.35">
      <c r="A152" s="3" t="s">
        <v>159</v>
      </c>
      <c r="B152" s="3" t="s">
        <v>39</v>
      </c>
      <c r="C152" s="3" t="b">
        <f t="shared" si="8"/>
        <v>0</v>
      </c>
      <c r="D152" s="3" t="str">
        <f t="shared" si="9"/>
        <v>CD R</v>
      </c>
      <c r="E152" s="4" t="s">
        <v>149</v>
      </c>
      <c r="F152" s="4" t="s">
        <v>184</v>
      </c>
      <c r="G152" s="4" t="s">
        <v>288</v>
      </c>
      <c r="H152" s="1" t="s">
        <v>39</v>
      </c>
    </row>
    <row r="153" spans="1:8" ht="19.95" customHeight="1" x14ac:dyDescent="0.35">
      <c r="A153" s="3" t="s">
        <v>159</v>
      </c>
      <c r="B153" s="3" t="s">
        <v>39</v>
      </c>
      <c r="C153" s="3" t="b">
        <f t="shared" si="8"/>
        <v>0</v>
      </c>
      <c r="D153" s="3" t="str">
        <f t="shared" si="9"/>
        <v>CD S</v>
      </c>
      <c r="E153" s="4" t="s">
        <v>149</v>
      </c>
      <c r="F153" s="4" t="s">
        <v>185</v>
      </c>
      <c r="G153" s="4" t="s">
        <v>288</v>
      </c>
      <c r="H153" s="1" t="s">
        <v>39</v>
      </c>
    </row>
    <row r="154" spans="1:8" ht="19.95" customHeight="1" x14ac:dyDescent="0.35">
      <c r="A154" s="3" t="s">
        <v>159</v>
      </c>
      <c r="B154" s="3" t="s">
        <v>39</v>
      </c>
      <c r="C154" s="3" t="b">
        <f t="shared" si="8"/>
        <v>0</v>
      </c>
      <c r="D154" s="3" t="str">
        <f t="shared" si="9"/>
        <v>CD U</v>
      </c>
      <c r="E154" s="4" t="s">
        <v>149</v>
      </c>
      <c r="F154" s="5" t="s">
        <v>186</v>
      </c>
      <c r="G154" s="4" t="s">
        <v>288</v>
      </c>
      <c r="H154" s="1" t="s">
        <v>39</v>
      </c>
    </row>
    <row r="155" spans="1:8" ht="19.95" customHeight="1" x14ac:dyDescent="0.35">
      <c r="A155" s="1" t="s">
        <v>51</v>
      </c>
      <c r="B155" s="1" t="s">
        <v>51</v>
      </c>
      <c r="C155" s="3" t="b">
        <f t="shared" si="8"/>
        <v>0</v>
      </c>
      <c r="D155" s="3" t="str">
        <f t="shared" si="9"/>
        <v/>
      </c>
      <c r="E155" s="4"/>
      <c r="F155" s="4"/>
      <c r="G155" s="4" t="s">
        <v>262</v>
      </c>
      <c r="H155" s="1" t="s">
        <v>51</v>
      </c>
    </row>
    <row r="156" spans="1:8" ht="19.95" customHeight="1" x14ac:dyDescent="0.35">
      <c r="A156" s="3" t="s">
        <v>40</v>
      </c>
      <c r="B156" s="3" t="s">
        <v>40</v>
      </c>
      <c r="C156" s="3" t="b">
        <f t="shared" si="8"/>
        <v>0</v>
      </c>
      <c r="D156" s="3" t="str">
        <f t="shared" si="9"/>
        <v/>
      </c>
      <c r="E156" s="4"/>
      <c r="F156" s="4"/>
      <c r="G156" s="4" t="s">
        <v>262</v>
      </c>
      <c r="H156" s="1" t="s">
        <v>40</v>
      </c>
    </row>
    <row r="157" spans="1:8" ht="19.95" customHeight="1" x14ac:dyDescent="0.35">
      <c r="A157" s="15" t="s">
        <v>310</v>
      </c>
      <c r="B157" s="15" t="s">
        <v>3</v>
      </c>
      <c r="C157" s="15" t="b">
        <f>ISNUMBER(F157)</f>
        <v>0</v>
      </c>
      <c r="D157" s="15" t="str">
        <f>TRIM(E157&amp;IF(NOT(C157)," "&amp;F157,""))</f>
        <v>TEEN</v>
      </c>
      <c r="E157" s="16" t="s">
        <v>217</v>
      </c>
      <c r="F157" s="16"/>
      <c r="G157" s="4" t="s">
        <v>263</v>
      </c>
      <c r="H157" s="1" t="s">
        <v>3</v>
      </c>
    </row>
    <row r="158" spans="1:8" ht="19.95" customHeight="1" x14ac:dyDescent="0.35">
      <c r="A158" s="3" t="s">
        <v>143</v>
      </c>
      <c r="B158" s="3" t="s">
        <v>53</v>
      </c>
      <c r="C158" s="3" t="b">
        <f t="shared" si="8"/>
        <v>1</v>
      </c>
      <c r="D158" s="3" t="str">
        <f t="shared" si="9"/>
        <v>J REF</v>
      </c>
      <c r="E158" s="4" t="s">
        <v>144</v>
      </c>
      <c r="F158" s="4">
        <v>999.99</v>
      </c>
      <c r="G158" s="4" t="s">
        <v>263</v>
      </c>
      <c r="H158" s="1" t="s">
        <v>298</v>
      </c>
    </row>
    <row r="159" spans="1:8" ht="19.95" customHeight="1" x14ac:dyDescent="0.35">
      <c r="A159" s="3" t="s">
        <v>187</v>
      </c>
      <c r="B159" s="3" t="s">
        <v>188</v>
      </c>
      <c r="C159" s="3" t="b">
        <f t="shared" si="8"/>
        <v>1</v>
      </c>
      <c r="D159" s="3" t="str">
        <f t="shared" si="9"/>
        <v>REF</v>
      </c>
      <c r="E159" s="4" t="s">
        <v>189</v>
      </c>
      <c r="F159" s="4">
        <v>999.99</v>
      </c>
      <c r="G159" s="4" t="s">
        <v>263</v>
      </c>
      <c r="H159" s="1" t="s">
        <v>298</v>
      </c>
    </row>
    <row r="160" spans="1:8" ht="19.95" customHeight="1" x14ac:dyDescent="0.35">
      <c r="A160" s="3" t="s">
        <v>190</v>
      </c>
      <c r="B160" s="3" t="s">
        <v>53</v>
      </c>
      <c r="C160" s="3" t="b">
        <f t="shared" si="8"/>
        <v>1</v>
      </c>
      <c r="D160" s="3" t="str">
        <f t="shared" si="9"/>
        <v>CD-ROM</v>
      </c>
      <c r="E160" s="4" t="s">
        <v>191</v>
      </c>
      <c r="F160" s="4">
        <v>999.99</v>
      </c>
      <c r="G160" s="4" t="s">
        <v>289</v>
      </c>
      <c r="H160" s="1" t="s">
        <v>298</v>
      </c>
    </row>
    <row r="161" spans="1:8" ht="19.95" customHeight="1" x14ac:dyDescent="0.35">
      <c r="A161" s="3" t="s">
        <v>227</v>
      </c>
      <c r="B161" s="3" t="s">
        <v>53</v>
      </c>
      <c r="C161" s="3" t="b">
        <f t="shared" si="8"/>
        <v>1</v>
      </c>
      <c r="D161" s="3" t="str">
        <f t="shared" si="9"/>
        <v>TEEN REF</v>
      </c>
      <c r="E161" s="4" t="s">
        <v>228</v>
      </c>
      <c r="F161" s="4">
        <v>999.99</v>
      </c>
      <c r="G161" s="4" t="s">
        <v>263</v>
      </c>
      <c r="H161" s="1" t="s">
        <v>298</v>
      </c>
    </row>
    <row r="162" spans="1:8" ht="19.95" customHeight="1" x14ac:dyDescent="0.35">
      <c r="A162" s="3" t="s">
        <v>254</v>
      </c>
      <c r="B162" s="3"/>
      <c r="C162" s="3" t="b">
        <f t="shared" si="8"/>
        <v>0</v>
      </c>
      <c r="D162" s="3" t="str">
        <f t="shared" si="9"/>
        <v>TEEN EXPLORE</v>
      </c>
      <c r="E162" s="4" t="s">
        <v>255</v>
      </c>
      <c r="F162" s="4"/>
      <c r="G162" s="4" t="s">
        <v>262</v>
      </c>
      <c r="H162" s="1" t="s">
        <v>298</v>
      </c>
    </row>
    <row r="163" spans="1:8" ht="19.95" customHeight="1" x14ac:dyDescent="0.35">
      <c r="A163" s="1" t="s">
        <v>256</v>
      </c>
      <c r="B163" s="3"/>
      <c r="C163" s="3" t="b">
        <f t="shared" si="8"/>
        <v>0</v>
      </c>
      <c r="D163" s="3" t="str">
        <f t="shared" ref="D163:D164" si="10">TRIM(E163&amp;IF(NOT(C163)," "&amp;F163,""))</f>
        <v>APBK</v>
      </c>
      <c r="E163" s="4" t="s">
        <v>257</v>
      </c>
      <c r="F163" s="4"/>
      <c r="G163" s="4" t="s">
        <v>262</v>
      </c>
      <c r="H163" s="1" t="s">
        <v>298</v>
      </c>
    </row>
    <row r="164" spans="1:8" x14ac:dyDescent="0.35">
      <c r="A164" s="1" t="s">
        <v>258</v>
      </c>
      <c r="B164" s="3"/>
      <c r="C164" s="3" t="b">
        <f t="shared" si="8"/>
        <v>0</v>
      </c>
      <c r="D164" s="3" t="str">
        <f t="shared" si="10"/>
        <v>TPBK</v>
      </c>
      <c r="E164" s="4" t="s">
        <v>259</v>
      </c>
      <c r="F164" s="4"/>
      <c r="G164" s="4" t="s">
        <v>262</v>
      </c>
      <c r="H164" s="1" t="s">
        <v>298</v>
      </c>
    </row>
    <row r="165" spans="1:8" x14ac:dyDescent="0.35">
      <c r="A165" s="9" t="s">
        <v>308</v>
      </c>
      <c r="B165" s="9" t="s">
        <v>309</v>
      </c>
      <c r="C165" s="9" t="b">
        <f>ISNUMBER(F165)</f>
        <v>0</v>
      </c>
      <c r="D165" s="9" t="str">
        <f>TRIM(E165&amp;IF(NOT(C165)," "&amp;F165,""))</f>
        <v/>
      </c>
      <c r="E165" s="10"/>
      <c r="F165" s="10"/>
      <c r="G165" s="10"/>
      <c r="H165" s="1" t="s">
        <v>298</v>
      </c>
    </row>
    <row r="166" spans="1:8" x14ac:dyDescent="0.35">
      <c r="A166" s="15" t="s">
        <v>308</v>
      </c>
      <c r="B166" s="15"/>
      <c r="C166" s="15" t="b">
        <f>ISNUMBER(F166)</f>
        <v>0</v>
      </c>
      <c r="D166" s="15" t="str">
        <f>TRIM(E166&amp;IF(NOT(C166)," "&amp;F166,""))</f>
        <v/>
      </c>
      <c r="E166" s="16"/>
      <c r="F166" s="16"/>
      <c r="G166" s="16"/>
      <c r="H166" s="1" t="s">
        <v>298</v>
      </c>
    </row>
    <row r="167" spans="1:8" x14ac:dyDescent="0.35">
      <c r="B167"/>
      <c r="C167"/>
      <c r="D167"/>
      <c r="E167"/>
      <c r="F167"/>
      <c r="G167"/>
      <c r="H167"/>
    </row>
    <row r="168" spans="1:8" x14ac:dyDescent="0.35">
      <c r="B168"/>
      <c r="C168"/>
      <c r="D168"/>
      <c r="E168"/>
      <c r="F168"/>
      <c r="G168"/>
      <c r="H168"/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Sections'!$A$2:$A$67</xm:f>
          </x14:formula1>
          <xm:sqref>H2:H166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204"/>
  <sheetViews>
    <sheetView topLeftCell="A190" workbookViewId="0">
      <selection activeCell="A200" sqref="A200"/>
    </sheetView>
  </sheetViews>
  <sheetFormatPr defaultRowHeight="13.2" x14ac:dyDescent="0.25"/>
  <cols>
    <col min="1" max="1" width="25.6640625" bestFit="1" customWidth="1"/>
    <col min="2" max="2" width="22.33203125" bestFit="1" customWidth="1"/>
    <col min="3" max="3" width="16.88671875" bestFit="1" customWidth="1"/>
    <col min="4" max="4" width="3" bestFit="1" customWidth="1"/>
  </cols>
  <sheetData>
    <row r="2" spans="1:4" x14ac:dyDescent="0.25">
      <c r="A2" t="s">
        <v>931</v>
      </c>
      <c r="B2" t="s">
        <v>56</v>
      </c>
      <c r="D2">
        <v>1</v>
      </c>
    </row>
    <row r="3" spans="1:4" x14ac:dyDescent="0.25">
      <c r="A3" t="s">
        <v>900</v>
      </c>
      <c r="B3" t="s">
        <v>19</v>
      </c>
      <c r="D3">
        <v>1</v>
      </c>
    </row>
    <row r="4" spans="1:4" x14ac:dyDescent="0.25">
      <c r="A4" t="s">
        <v>896</v>
      </c>
      <c r="B4" t="s">
        <v>19</v>
      </c>
      <c r="D4">
        <v>1</v>
      </c>
    </row>
    <row r="5" spans="1:4" x14ac:dyDescent="0.25">
      <c r="A5" t="s">
        <v>893</v>
      </c>
      <c r="B5" t="s">
        <v>19</v>
      </c>
      <c r="D5">
        <v>1</v>
      </c>
    </row>
    <row r="6" spans="1:4" x14ac:dyDescent="0.25">
      <c r="A6" t="s">
        <v>889</v>
      </c>
      <c r="B6" t="s">
        <v>19</v>
      </c>
      <c r="D6">
        <v>1</v>
      </c>
    </row>
    <row r="7" spans="1:4" x14ac:dyDescent="0.25">
      <c r="A7" t="s">
        <v>885</v>
      </c>
      <c r="B7" t="s">
        <v>19</v>
      </c>
      <c r="D7">
        <v>1</v>
      </c>
    </row>
    <row r="8" spans="1:4" x14ac:dyDescent="0.25">
      <c r="A8" t="s">
        <v>881</v>
      </c>
      <c r="B8" t="s">
        <v>19</v>
      </c>
      <c r="D8">
        <v>1</v>
      </c>
    </row>
    <row r="9" spans="1:4" x14ac:dyDescent="0.25">
      <c r="A9" t="s">
        <v>877</v>
      </c>
      <c r="B9" t="s">
        <v>19</v>
      </c>
      <c r="D9">
        <v>1</v>
      </c>
    </row>
    <row r="10" spans="1:4" x14ac:dyDescent="0.25">
      <c r="A10" t="s">
        <v>873</v>
      </c>
      <c r="B10" t="s">
        <v>19</v>
      </c>
      <c r="D10">
        <v>1</v>
      </c>
    </row>
    <row r="11" spans="1:4" x14ac:dyDescent="0.25">
      <c r="A11" t="s">
        <v>869</v>
      </c>
      <c r="B11" t="s">
        <v>19</v>
      </c>
      <c r="D11">
        <v>1</v>
      </c>
    </row>
    <row r="12" spans="1:4" x14ac:dyDescent="0.25">
      <c r="A12" t="s">
        <v>865</v>
      </c>
      <c r="B12" t="s">
        <v>19</v>
      </c>
      <c r="D12">
        <v>1</v>
      </c>
    </row>
    <row r="13" spans="1:4" x14ac:dyDescent="0.25">
      <c r="A13" t="s">
        <v>861</v>
      </c>
      <c r="B13" t="s">
        <v>19</v>
      </c>
      <c r="D13">
        <v>1</v>
      </c>
    </row>
    <row r="14" spans="1:4" x14ac:dyDescent="0.25">
      <c r="A14" t="s">
        <v>857</v>
      </c>
      <c r="B14" t="s">
        <v>19</v>
      </c>
      <c r="D14">
        <v>1</v>
      </c>
    </row>
    <row r="15" spans="1:4" x14ac:dyDescent="0.25">
      <c r="A15" t="s">
        <v>853</v>
      </c>
      <c r="B15" t="s">
        <v>19</v>
      </c>
      <c r="D15">
        <v>1</v>
      </c>
    </row>
    <row r="16" spans="1:4" x14ac:dyDescent="0.25">
      <c r="A16" t="s">
        <v>849</v>
      </c>
      <c r="B16" t="s">
        <v>19</v>
      </c>
      <c r="D16">
        <v>1</v>
      </c>
    </row>
    <row r="17" spans="1:4" x14ac:dyDescent="0.25">
      <c r="A17" t="s">
        <v>845</v>
      </c>
      <c r="B17" t="s">
        <v>19</v>
      </c>
      <c r="D17">
        <v>1</v>
      </c>
    </row>
    <row r="18" spans="1:4" x14ac:dyDescent="0.25">
      <c r="A18" t="s">
        <v>841</v>
      </c>
      <c r="B18" t="s">
        <v>19</v>
      </c>
      <c r="D18">
        <v>1</v>
      </c>
    </row>
    <row r="19" spans="1:4" x14ac:dyDescent="0.25">
      <c r="A19" t="s">
        <v>837</v>
      </c>
      <c r="B19" t="s">
        <v>19</v>
      </c>
      <c r="D19">
        <v>1</v>
      </c>
    </row>
    <row r="20" spans="1:4" x14ac:dyDescent="0.25">
      <c r="A20" t="s">
        <v>833</v>
      </c>
      <c r="B20" t="s">
        <v>19</v>
      </c>
      <c r="D20">
        <v>1</v>
      </c>
    </row>
    <row r="21" spans="1:4" x14ac:dyDescent="0.25">
      <c r="A21" t="s">
        <v>830</v>
      </c>
      <c r="B21" t="s">
        <v>19</v>
      </c>
      <c r="D21">
        <v>1</v>
      </c>
    </row>
    <row r="22" spans="1:4" x14ac:dyDescent="0.25">
      <c r="A22" t="s">
        <v>826</v>
      </c>
      <c r="B22" t="s">
        <v>19</v>
      </c>
      <c r="D22">
        <v>1</v>
      </c>
    </row>
    <row r="23" spans="1:4" x14ac:dyDescent="0.25">
      <c r="A23" t="s">
        <v>823</v>
      </c>
      <c r="B23" t="s">
        <v>19</v>
      </c>
      <c r="D23">
        <v>1</v>
      </c>
    </row>
    <row r="24" spans="1:4" x14ac:dyDescent="0.25">
      <c r="A24" t="s">
        <v>819</v>
      </c>
      <c r="B24" t="s">
        <v>19</v>
      </c>
      <c r="D24">
        <v>1</v>
      </c>
    </row>
    <row r="25" spans="1:4" x14ac:dyDescent="0.25">
      <c r="A25" t="s">
        <v>815</v>
      </c>
      <c r="B25" t="s">
        <v>19</v>
      </c>
      <c r="D25">
        <v>1</v>
      </c>
    </row>
    <row r="26" spans="1:4" x14ac:dyDescent="0.25">
      <c r="A26" t="s">
        <v>812</v>
      </c>
      <c r="B26" t="s">
        <v>19</v>
      </c>
      <c r="D26">
        <v>1</v>
      </c>
    </row>
    <row r="27" spans="1:4" x14ac:dyDescent="0.25">
      <c r="A27" t="s">
        <v>810</v>
      </c>
      <c r="B27" t="s">
        <v>19</v>
      </c>
      <c r="D27">
        <v>1</v>
      </c>
    </row>
    <row r="28" spans="1:4" x14ac:dyDescent="0.25">
      <c r="A28" t="s">
        <v>802</v>
      </c>
      <c r="B28" t="s">
        <v>19</v>
      </c>
      <c r="D28">
        <v>1</v>
      </c>
    </row>
    <row r="29" spans="1:4" x14ac:dyDescent="0.25">
      <c r="A29" t="s">
        <v>799</v>
      </c>
      <c r="B29" t="s">
        <v>19</v>
      </c>
      <c r="D29">
        <v>1</v>
      </c>
    </row>
    <row r="30" spans="1:4" x14ac:dyDescent="0.25">
      <c r="A30" t="s">
        <v>795</v>
      </c>
      <c r="B30" t="s">
        <v>19</v>
      </c>
      <c r="D30">
        <v>1</v>
      </c>
    </row>
    <row r="31" spans="1:4" x14ac:dyDescent="0.25">
      <c r="A31" t="s">
        <v>791</v>
      </c>
      <c r="B31" t="s">
        <v>19</v>
      </c>
      <c r="D31">
        <v>1</v>
      </c>
    </row>
    <row r="32" spans="1:4" x14ac:dyDescent="0.25">
      <c r="A32" t="s">
        <v>787</v>
      </c>
      <c r="B32" t="s">
        <v>19</v>
      </c>
      <c r="D32">
        <v>1</v>
      </c>
    </row>
    <row r="33" spans="1:4" x14ac:dyDescent="0.25">
      <c r="A33" t="s">
        <v>783</v>
      </c>
      <c r="B33" t="s">
        <v>19</v>
      </c>
      <c r="D33">
        <v>1</v>
      </c>
    </row>
    <row r="34" spans="1:4" x14ac:dyDescent="0.25">
      <c r="A34" t="s">
        <v>779</v>
      </c>
      <c r="B34" t="s">
        <v>19</v>
      </c>
      <c r="D34">
        <v>1</v>
      </c>
    </row>
    <row r="35" spans="1:4" x14ac:dyDescent="0.25">
      <c r="A35" t="s">
        <v>775</v>
      </c>
      <c r="B35" t="s">
        <v>19</v>
      </c>
      <c r="D35">
        <v>1</v>
      </c>
    </row>
    <row r="36" spans="1:4" x14ac:dyDescent="0.25">
      <c r="A36" t="s">
        <v>771</v>
      </c>
      <c r="B36" t="s">
        <v>19</v>
      </c>
      <c r="D36">
        <v>1</v>
      </c>
    </row>
    <row r="37" spans="1:4" x14ac:dyDescent="0.25">
      <c r="A37" t="s">
        <v>768</v>
      </c>
      <c r="B37" t="s">
        <v>19</v>
      </c>
      <c r="D37">
        <v>1</v>
      </c>
    </row>
    <row r="38" spans="1:4" x14ac:dyDescent="0.25">
      <c r="A38" t="s">
        <v>682</v>
      </c>
      <c r="B38" t="s">
        <v>52</v>
      </c>
      <c r="D38">
        <v>1</v>
      </c>
    </row>
    <row r="39" spans="1:4" x14ac:dyDescent="0.25">
      <c r="A39" t="s">
        <v>678</v>
      </c>
      <c r="B39" t="s">
        <v>52</v>
      </c>
      <c r="D39">
        <v>1</v>
      </c>
    </row>
    <row r="40" spans="1:4" x14ac:dyDescent="0.25">
      <c r="A40" t="s">
        <v>675</v>
      </c>
      <c r="B40" t="s">
        <v>52</v>
      </c>
      <c r="D40">
        <v>1</v>
      </c>
    </row>
    <row r="41" spans="1:4" x14ac:dyDescent="0.25">
      <c r="A41" t="s">
        <v>671</v>
      </c>
      <c r="B41" t="s">
        <v>52</v>
      </c>
      <c r="D41">
        <v>1</v>
      </c>
    </row>
    <row r="42" spans="1:4" x14ac:dyDescent="0.25">
      <c r="A42" t="s">
        <v>667</v>
      </c>
      <c r="B42" t="s">
        <v>52</v>
      </c>
      <c r="D42">
        <v>1</v>
      </c>
    </row>
    <row r="43" spans="1:4" x14ac:dyDescent="0.25">
      <c r="A43" t="s">
        <v>600</v>
      </c>
      <c r="B43" t="s">
        <v>49</v>
      </c>
      <c r="D43">
        <v>1</v>
      </c>
    </row>
    <row r="44" spans="1:4" x14ac:dyDescent="0.25">
      <c r="A44" t="s">
        <v>593</v>
      </c>
      <c r="B44" t="s">
        <v>49</v>
      </c>
      <c r="D44">
        <v>1</v>
      </c>
    </row>
    <row r="45" spans="1:4" x14ac:dyDescent="0.25">
      <c r="A45" t="s">
        <v>593</v>
      </c>
      <c r="B45" t="s">
        <v>49</v>
      </c>
      <c r="D45">
        <v>1</v>
      </c>
    </row>
    <row r="46" spans="1:4" x14ac:dyDescent="0.25">
      <c r="A46" t="s">
        <v>593</v>
      </c>
      <c r="B46" t="s">
        <v>49</v>
      </c>
      <c r="D46">
        <v>1</v>
      </c>
    </row>
    <row r="47" spans="1:4" x14ac:dyDescent="0.25">
      <c r="A47" t="s">
        <v>593</v>
      </c>
      <c r="B47" t="s">
        <v>49</v>
      </c>
      <c r="D47">
        <v>1</v>
      </c>
    </row>
    <row r="48" spans="1:4" x14ac:dyDescent="0.25">
      <c r="A48" t="s">
        <v>593</v>
      </c>
      <c r="B48" t="s">
        <v>49</v>
      </c>
      <c r="D48">
        <v>1</v>
      </c>
    </row>
    <row r="49" spans="1:4" x14ac:dyDescent="0.25">
      <c r="A49" t="s">
        <v>591</v>
      </c>
      <c r="B49" t="s">
        <v>49</v>
      </c>
      <c r="D49">
        <v>1</v>
      </c>
    </row>
    <row r="50" spans="1:4" x14ac:dyDescent="0.25">
      <c r="A50" t="s">
        <v>589</v>
      </c>
      <c r="B50" t="s">
        <v>49</v>
      </c>
      <c r="D50">
        <v>1</v>
      </c>
    </row>
    <row r="51" spans="1:4" x14ac:dyDescent="0.25">
      <c r="A51" t="s">
        <v>587</v>
      </c>
      <c r="B51" t="s">
        <v>49</v>
      </c>
      <c r="D51">
        <v>1</v>
      </c>
    </row>
    <row r="52" spans="1:4" x14ac:dyDescent="0.25">
      <c r="A52" t="s">
        <v>585</v>
      </c>
      <c r="B52" t="s">
        <v>49</v>
      </c>
      <c r="D52">
        <v>1</v>
      </c>
    </row>
    <row r="53" spans="1:4" x14ac:dyDescent="0.25">
      <c r="A53" t="s">
        <v>582</v>
      </c>
      <c r="B53" t="s">
        <v>49</v>
      </c>
      <c r="D53">
        <v>1</v>
      </c>
    </row>
    <row r="54" spans="1:4" x14ac:dyDescent="0.25">
      <c r="A54" t="s">
        <v>393</v>
      </c>
      <c r="B54" t="s">
        <v>46</v>
      </c>
      <c r="D54">
        <v>1</v>
      </c>
    </row>
    <row r="55" spans="1:4" x14ac:dyDescent="0.25">
      <c r="A55" t="s">
        <v>390</v>
      </c>
      <c r="B55" t="s">
        <v>46</v>
      </c>
      <c r="D55">
        <v>1</v>
      </c>
    </row>
    <row r="56" spans="1:4" x14ac:dyDescent="0.25">
      <c r="A56" t="s">
        <v>387</v>
      </c>
      <c r="B56" t="s">
        <v>46</v>
      </c>
      <c r="D56">
        <v>1</v>
      </c>
    </row>
    <row r="57" spans="1:4" x14ac:dyDescent="0.25">
      <c r="A57" t="s">
        <v>384</v>
      </c>
      <c r="B57" t="s">
        <v>46</v>
      </c>
      <c r="D57">
        <v>1</v>
      </c>
    </row>
    <row r="58" spans="1:4" x14ac:dyDescent="0.25">
      <c r="A58" t="s">
        <v>324</v>
      </c>
      <c r="B58" t="s">
        <v>45</v>
      </c>
      <c r="D58">
        <v>1</v>
      </c>
    </row>
    <row r="59" spans="1:4" x14ac:dyDescent="0.25">
      <c r="A59" t="s">
        <v>320</v>
      </c>
      <c r="B59" t="s">
        <v>45</v>
      </c>
      <c r="D59">
        <v>1</v>
      </c>
    </row>
    <row r="60" spans="1:4" x14ac:dyDescent="0.25">
      <c r="A60" t="s">
        <v>914</v>
      </c>
      <c r="B60" t="s">
        <v>21</v>
      </c>
      <c r="D60">
        <v>6</v>
      </c>
    </row>
    <row r="61" spans="1:4" x14ac:dyDescent="0.25">
      <c r="A61" t="s">
        <v>927</v>
      </c>
      <c r="B61" t="s">
        <v>22</v>
      </c>
      <c r="D61">
        <v>7</v>
      </c>
    </row>
    <row r="62" spans="1:4" x14ac:dyDescent="0.25">
      <c r="A62" t="s">
        <v>922</v>
      </c>
      <c r="B62" t="s">
        <v>22</v>
      </c>
      <c r="D62">
        <v>7</v>
      </c>
    </row>
    <row r="63" spans="1:4" x14ac:dyDescent="0.25">
      <c r="A63" t="s">
        <v>922</v>
      </c>
      <c r="B63" t="s">
        <v>22</v>
      </c>
      <c r="D63">
        <v>7</v>
      </c>
    </row>
    <row r="64" spans="1:4" x14ac:dyDescent="0.25">
      <c r="A64" t="s">
        <v>918</v>
      </c>
      <c r="B64" t="s">
        <v>22</v>
      </c>
      <c r="D64">
        <v>7</v>
      </c>
    </row>
    <row r="65" spans="1:4" x14ac:dyDescent="0.25">
      <c r="A65" t="s">
        <v>566</v>
      </c>
      <c r="B65" t="s">
        <v>3</v>
      </c>
      <c r="D65">
        <v>8</v>
      </c>
    </row>
    <row r="66" spans="1:4" x14ac:dyDescent="0.25">
      <c r="A66" t="s">
        <v>563</v>
      </c>
      <c r="B66" t="s">
        <v>3</v>
      </c>
      <c r="D66">
        <v>8</v>
      </c>
    </row>
    <row r="67" spans="1:4" x14ac:dyDescent="0.25">
      <c r="A67" t="s">
        <v>557</v>
      </c>
      <c r="B67" t="s">
        <v>3</v>
      </c>
      <c r="D67">
        <v>8</v>
      </c>
    </row>
    <row r="68" spans="1:4" x14ac:dyDescent="0.25">
      <c r="A68" t="s">
        <v>557</v>
      </c>
      <c r="B68" t="s">
        <v>3</v>
      </c>
      <c r="D68">
        <v>8</v>
      </c>
    </row>
    <row r="69" spans="1:4" x14ac:dyDescent="0.25">
      <c r="A69" t="s">
        <v>552</v>
      </c>
      <c r="B69" t="s">
        <v>3</v>
      </c>
      <c r="D69">
        <v>8</v>
      </c>
    </row>
    <row r="70" spans="1:4" x14ac:dyDescent="0.25">
      <c r="A70" t="s">
        <v>552</v>
      </c>
      <c r="B70" t="s">
        <v>3</v>
      </c>
      <c r="D70">
        <v>8</v>
      </c>
    </row>
    <row r="71" spans="1:4" x14ac:dyDescent="0.25">
      <c r="A71" t="s">
        <v>692</v>
      </c>
      <c r="B71" t="s">
        <v>23</v>
      </c>
      <c r="D71">
        <v>9</v>
      </c>
    </row>
    <row r="72" spans="1:4" x14ac:dyDescent="0.25">
      <c r="A72" t="s">
        <v>692</v>
      </c>
      <c r="B72" t="s">
        <v>23</v>
      </c>
      <c r="D72">
        <v>9</v>
      </c>
    </row>
    <row r="73" spans="1:4" x14ac:dyDescent="0.25">
      <c r="A73" t="s">
        <v>688</v>
      </c>
      <c r="B73" t="s">
        <v>23</v>
      </c>
      <c r="D73">
        <v>9</v>
      </c>
    </row>
    <row r="74" spans="1:4" x14ac:dyDescent="0.25">
      <c r="A74" t="s">
        <v>685</v>
      </c>
      <c r="B74" t="s">
        <v>23</v>
      </c>
      <c r="D74">
        <v>9</v>
      </c>
    </row>
    <row r="75" spans="1:4" x14ac:dyDescent="0.25">
      <c r="A75" t="s">
        <v>549</v>
      </c>
      <c r="B75" t="s">
        <v>1</v>
      </c>
      <c r="D75">
        <v>10</v>
      </c>
    </row>
    <row r="76" spans="1:4" x14ac:dyDescent="0.25">
      <c r="A76" t="s">
        <v>545</v>
      </c>
      <c r="B76" t="s">
        <v>1</v>
      </c>
      <c r="D76">
        <v>10</v>
      </c>
    </row>
    <row r="77" spans="1:4" x14ac:dyDescent="0.25">
      <c r="A77" t="s">
        <v>542</v>
      </c>
      <c r="B77" t="s">
        <v>1</v>
      </c>
      <c r="D77">
        <v>10</v>
      </c>
    </row>
    <row r="78" spans="1:4" x14ac:dyDescent="0.25">
      <c r="A78" t="s">
        <v>535</v>
      </c>
      <c r="B78" t="s">
        <v>1</v>
      </c>
      <c r="D78">
        <v>10</v>
      </c>
    </row>
    <row r="79" spans="1:4" x14ac:dyDescent="0.25">
      <c r="A79" t="s">
        <v>535</v>
      </c>
      <c r="B79" t="s">
        <v>1</v>
      </c>
      <c r="D79">
        <v>10</v>
      </c>
    </row>
    <row r="80" spans="1:4" x14ac:dyDescent="0.25">
      <c r="A80" t="s">
        <v>535</v>
      </c>
      <c r="B80" t="s">
        <v>1</v>
      </c>
      <c r="D80">
        <v>10</v>
      </c>
    </row>
    <row r="81" spans="1:4" x14ac:dyDescent="0.25">
      <c r="A81" t="s">
        <v>531</v>
      </c>
      <c r="B81" t="s">
        <v>2</v>
      </c>
      <c r="D81">
        <v>10</v>
      </c>
    </row>
    <row r="82" spans="1:4" x14ac:dyDescent="0.25">
      <c r="A82" t="s">
        <v>527</v>
      </c>
      <c r="B82" t="s">
        <v>24</v>
      </c>
      <c r="D82">
        <v>10</v>
      </c>
    </row>
    <row r="83" spans="1:4" x14ac:dyDescent="0.25">
      <c r="A83" t="s">
        <v>525</v>
      </c>
      <c r="B83" t="s">
        <v>24</v>
      </c>
      <c r="D83">
        <v>10</v>
      </c>
    </row>
    <row r="84" spans="1:4" x14ac:dyDescent="0.25">
      <c r="A84" t="s">
        <v>521</v>
      </c>
      <c r="B84" t="s">
        <v>24</v>
      </c>
      <c r="D84">
        <v>10</v>
      </c>
    </row>
    <row r="85" spans="1:4" x14ac:dyDescent="0.25">
      <c r="A85" t="s">
        <v>517</v>
      </c>
      <c r="B85" t="s">
        <v>24</v>
      </c>
      <c r="D85">
        <v>10</v>
      </c>
    </row>
    <row r="86" spans="1:4" x14ac:dyDescent="0.25">
      <c r="A86" t="s">
        <v>513</v>
      </c>
      <c r="B86" t="s">
        <v>24</v>
      </c>
      <c r="D86">
        <v>10</v>
      </c>
    </row>
    <row r="87" spans="1:4" x14ac:dyDescent="0.25">
      <c r="A87" t="s">
        <v>506</v>
      </c>
      <c r="B87" t="s">
        <v>24</v>
      </c>
      <c r="D87">
        <v>10</v>
      </c>
    </row>
    <row r="88" spans="1:4" x14ac:dyDescent="0.25">
      <c r="A88" t="s">
        <v>502</v>
      </c>
      <c r="B88" t="s">
        <v>24</v>
      </c>
      <c r="D88">
        <v>10</v>
      </c>
    </row>
    <row r="89" spans="1:4" x14ac:dyDescent="0.25">
      <c r="A89" t="s">
        <v>495</v>
      </c>
      <c r="B89" t="s">
        <v>24</v>
      </c>
      <c r="D89">
        <v>10</v>
      </c>
    </row>
    <row r="90" spans="1:4" x14ac:dyDescent="0.25">
      <c r="A90" t="s">
        <v>495</v>
      </c>
      <c r="B90" t="s">
        <v>24</v>
      </c>
      <c r="D90">
        <v>10</v>
      </c>
    </row>
    <row r="91" spans="1:4" x14ac:dyDescent="0.25">
      <c r="A91" t="s">
        <v>495</v>
      </c>
      <c r="B91" t="s">
        <v>24</v>
      </c>
      <c r="D91">
        <v>10</v>
      </c>
    </row>
    <row r="92" spans="1:4" x14ac:dyDescent="0.25">
      <c r="A92" t="s">
        <v>492</v>
      </c>
      <c r="B92" t="s">
        <v>24</v>
      </c>
      <c r="D92">
        <v>10</v>
      </c>
    </row>
    <row r="93" spans="1:4" x14ac:dyDescent="0.25">
      <c r="A93" t="s">
        <v>488</v>
      </c>
      <c r="B93" t="s">
        <v>24</v>
      </c>
      <c r="D93">
        <v>10</v>
      </c>
    </row>
    <row r="94" spans="1:4" x14ac:dyDescent="0.25">
      <c r="A94" t="s">
        <v>484</v>
      </c>
      <c r="B94" t="s">
        <v>24</v>
      </c>
      <c r="D94">
        <v>10</v>
      </c>
    </row>
    <row r="95" spans="1:4" x14ac:dyDescent="0.25">
      <c r="A95" t="s">
        <v>480</v>
      </c>
      <c r="B95" t="s">
        <v>24</v>
      </c>
      <c r="D95">
        <v>10</v>
      </c>
    </row>
    <row r="96" spans="1:4" x14ac:dyDescent="0.25">
      <c r="A96" t="s">
        <v>476</v>
      </c>
      <c r="B96" t="s">
        <v>24</v>
      </c>
      <c r="D96">
        <v>10</v>
      </c>
    </row>
    <row r="97" spans="1:4" x14ac:dyDescent="0.25">
      <c r="A97" t="s">
        <v>327</v>
      </c>
      <c r="B97" t="s">
        <v>45</v>
      </c>
      <c r="D97">
        <v>14</v>
      </c>
    </row>
    <row r="98" spans="1:4" x14ac:dyDescent="0.25">
      <c r="A98" t="s">
        <v>662</v>
      </c>
      <c r="B98" t="s">
        <v>26</v>
      </c>
      <c r="D98">
        <v>15</v>
      </c>
    </row>
    <row r="99" spans="1:4" x14ac:dyDescent="0.25">
      <c r="A99" t="s">
        <v>656</v>
      </c>
      <c r="B99" t="s">
        <v>26</v>
      </c>
      <c r="D99">
        <v>15</v>
      </c>
    </row>
    <row r="100" spans="1:4" x14ac:dyDescent="0.25">
      <c r="A100" t="s">
        <v>656</v>
      </c>
      <c r="B100" t="s">
        <v>26</v>
      </c>
      <c r="D100">
        <v>15</v>
      </c>
    </row>
    <row r="101" spans="1:4" x14ac:dyDescent="0.25">
      <c r="A101" t="s">
        <v>656</v>
      </c>
      <c r="B101" t="s">
        <v>26</v>
      </c>
      <c r="D101">
        <v>15</v>
      </c>
    </row>
    <row r="102" spans="1:4" x14ac:dyDescent="0.25">
      <c r="A102" t="s">
        <v>656</v>
      </c>
      <c r="B102" t="s">
        <v>26</v>
      </c>
      <c r="D102">
        <v>15</v>
      </c>
    </row>
    <row r="103" spans="1:4" x14ac:dyDescent="0.25">
      <c r="A103" t="s">
        <v>650</v>
      </c>
      <c r="B103" t="s">
        <v>26</v>
      </c>
      <c r="D103">
        <v>15</v>
      </c>
    </row>
    <row r="104" spans="1:4" x14ac:dyDescent="0.25">
      <c r="A104" t="s">
        <v>650</v>
      </c>
      <c r="B104" t="s">
        <v>26</v>
      </c>
      <c r="D104">
        <v>15</v>
      </c>
    </row>
    <row r="105" spans="1:4" x14ac:dyDescent="0.25">
      <c r="A105" t="s">
        <v>645</v>
      </c>
      <c r="B105" t="s">
        <v>26</v>
      </c>
      <c r="D105">
        <v>15</v>
      </c>
    </row>
    <row r="106" spans="1:4" x14ac:dyDescent="0.25">
      <c r="A106" t="s">
        <v>645</v>
      </c>
      <c r="B106" t="s">
        <v>26</v>
      </c>
      <c r="D106">
        <v>15</v>
      </c>
    </row>
    <row r="107" spans="1:4" x14ac:dyDescent="0.25">
      <c r="A107" t="s">
        <v>640</v>
      </c>
      <c r="B107" t="s">
        <v>26</v>
      </c>
      <c r="D107">
        <v>15</v>
      </c>
    </row>
    <row r="108" spans="1:4" x14ac:dyDescent="0.25">
      <c r="A108" t="s">
        <v>640</v>
      </c>
      <c r="B108" t="s">
        <v>26</v>
      </c>
      <c r="D108">
        <v>15</v>
      </c>
    </row>
    <row r="109" spans="1:4" x14ac:dyDescent="0.25">
      <c r="A109" t="s">
        <v>635</v>
      </c>
      <c r="B109" t="s">
        <v>26</v>
      </c>
      <c r="D109">
        <v>15</v>
      </c>
    </row>
    <row r="110" spans="1:4" x14ac:dyDescent="0.25">
      <c r="A110" t="s">
        <v>635</v>
      </c>
      <c r="B110" t="s">
        <v>26</v>
      </c>
      <c r="D110">
        <v>15</v>
      </c>
    </row>
    <row r="111" spans="1:4" x14ac:dyDescent="0.25">
      <c r="A111" t="s">
        <v>626</v>
      </c>
      <c r="B111" t="s">
        <v>26</v>
      </c>
      <c r="D111">
        <v>15</v>
      </c>
    </row>
    <row r="112" spans="1:4" x14ac:dyDescent="0.25">
      <c r="A112" t="s">
        <v>623</v>
      </c>
      <c r="B112" t="s">
        <v>26</v>
      </c>
      <c r="D112">
        <v>15</v>
      </c>
    </row>
    <row r="113" spans="1:4" x14ac:dyDescent="0.25">
      <c r="A113" t="s">
        <v>620</v>
      </c>
      <c r="B113" t="s">
        <v>26</v>
      </c>
      <c r="D113">
        <v>15</v>
      </c>
    </row>
    <row r="114" spans="1:4" x14ac:dyDescent="0.25">
      <c r="A114" t="s">
        <v>614</v>
      </c>
      <c r="B114" t="s">
        <v>26</v>
      </c>
      <c r="D114">
        <v>15</v>
      </c>
    </row>
    <row r="115" spans="1:4" x14ac:dyDescent="0.25">
      <c r="A115" t="s">
        <v>610</v>
      </c>
      <c r="B115" t="s">
        <v>26</v>
      </c>
      <c r="D115">
        <v>15</v>
      </c>
    </row>
    <row r="116" spans="1:4" x14ac:dyDescent="0.25">
      <c r="A116" t="s">
        <v>607</v>
      </c>
      <c r="B116" t="s">
        <v>26</v>
      </c>
      <c r="D116">
        <v>15</v>
      </c>
    </row>
    <row r="117" spans="1:4" x14ac:dyDescent="0.25">
      <c r="A117" t="s">
        <v>603</v>
      </c>
      <c r="B117" t="s">
        <v>26</v>
      </c>
      <c r="D117">
        <v>15</v>
      </c>
    </row>
    <row r="118" spans="1:4" x14ac:dyDescent="0.25">
      <c r="A118" t="s">
        <v>579</v>
      </c>
      <c r="B118" t="s">
        <v>28</v>
      </c>
      <c r="D118">
        <v>18</v>
      </c>
    </row>
    <row r="119" spans="1:4" x14ac:dyDescent="0.25">
      <c r="A119" t="s">
        <v>575</v>
      </c>
      <c r="B119" t="s">
        <v>28</v>
      </c>
      <c r="D119">
        <v>18</v>
      </c>
    </row>
    <row r="120" spans="1:4" x14ac:dyDescent="0.25">
      <c r="A120" t="s">
        <v>456</v>
      </c>
      <c r="B120" t="s">
        <v>29</v>
      </c>
      <c r="D120">
        <v>19</v>
      </c>
    </row>
    <row r="121" spans="1:4" x14ac:dyDescent="0.25">
      <c r="A121" t="s">
        <v>452</v>
      </c>
      <c r="B121" t="s">
        <v>29</v>
      </c>
      <c r="D121">
        <v>19</v>
      </c>
    </row>
    <row r="122" spans="1:4" x14ac:dyDescent="0.25">
      <c r="A122" t="s">
        <v>448</v>
      </c>
      <c r="B122" t="s">
        <v>30</v>
      </c>
      <c r="D122">
        <v>20</v>
      </c>
    </row>
    <row r="123" spans="1:4" x14ac:dyDescent="0.25">
      <c r="A123" t="s">
        <v>444</v>
      </c>
      <c r="B123" t="s">
        <v>30</v>
      </c>
      <c r="D123">
        <v>20</v>
      </c>
    </row>
    <row r="124" spans="1:4" x14ac:dyDescent="0.25">
      <c r="A124" t="s">
        <v>440</v>
      </c>
      <c r="B124" t="s">
        <v>30</v>
      </c>
      <c r="D124">
        <v>20</v>
      </c>
    </row>
    <row r="125" spans="1:4" x14ac:dyDescent="0.25">
      <c r="A125" t="s">
        <v>436</v>
      </c>
      <c r="B125" t="s">
        <v>30</v>
      </c>
      <c r="D125">
        <v>20</v>
      </c>
    </row>
    <row r="126" spans="1:4" x14ac:dyDescent="0.25">
      <c r="A126" t="s">
        <v>432</v>
      </c>
      <c r="B126" t="s">
        <v>30</v>
      </c>
      <c r="D126">
        <v>20</v>
      </c>
    </row>
    <row r="127" spans="1:4" x14ac:dyDescent="0.25">
      <c r="A127" t="s">
        <v>428</v>
      </c>
      <c r="B127" t="s">
        <v>30</v>
      </c>
      <c r="D127">
        <v>20</v>
      </c>
    </row>
    <row r="128" spans="1:4" x14ac:dyDescent="0.25">
      <c r="A128" t="s">
        <v>424</v>
      </c>
      <c r="B128" t="s">
        <v>30</v>
      </c>
      <c r="D128">
        <v>20</v>
      </c>
    </row>
    <row r="129" spans="1:4" x14ac:dyDescent="0.25">
      <c r="A129" t="s">
        <v>420</v>
      </c>
      <c r="B129" t="s">
        <v>30</v>
      </c>
      <c r="D129">
        <v>20</v>
      </c>
    </row>
    <row r="130" spans="1:4" x14ac:dyDescent="0.25">
      <c r="A130" t="s">
        <v>416</v>
      </c>
      <c r="B130" t="s">
        <v>30</v>
      </c>
      <c r="D130">
        <v>20</v>
      </c>
    </row>
    <row r="131" spans="1:4" x14ac:dyDescent="0.25">
      <c r="A131" t="s">
        <v>412</v>
      </c>
      <c r="B131" t="s">
        <v>30</v>
      </c>
      <c r="D131">
        <v>20</v>
      </c>
    </row>
    <row r="132" spans="1:4" x14ac:dyDescent="0.25">
      <c r="A132" t="s">
        <v>408</v>
      </c>
      <c r="B132" t="s">
        <v>30</v>
      </c>
      <c r="D132">
        <v>20</v>
      </c>
    </row>
    <row r="133" spans="1:4" x14ac:dyDescent="0.25">
      <c r="A133" t="s">
        <v>474</v>
      </c>
      <c r="B133" t="s">
        <v>47</v>
      </c>
      <c r="D133">
        <v>21</v>
      </c>
    </row>
    <row r="134" spans="1:4" x14ac:dyDescent="0.25">
      <c r="A134" t="s">
        <v>472</v>
      </c>
      <c r="B134" t="s">
        <v>47</v>
      </c>
      <c r="D134">
        <v>21</v>
      </c>
    </row>
    <row r="135" spans="1:4" x14ac:dyDescent="0.25">
      <c r="A135" t="s">
        <v>468</v>
      </c>
      <c r="B135" t="s">
        <v>47</v>
      </c>
      <c r="D135">
        <v>21</v>
      </c>
    </row>
    <row r="136" spans="1:4" x14ac:dyDescent="0.25">
      <c r="A136" t="s">
        <v>464</v>
      </c>
      <c r="B136" t="s">
        <v>47</v>
      </c>
      <c r="D136">
        <v>21</v>
      </c>
    </row>
    <row r="137" spans="1:4" x14ac:dyDescent="0.25">
      <c r="A137" t="s">
        <v>460</v>
      </c>
      <c r="B137" t="s">
        <v>47</v>
      </c>
      <c r="D137">
        <v>21</v>
      </c>
    </row>
    <row r="138" spans="1:4" x14ac:dyDescent="0.25">
      <c r="A138" t="s">
        <v>617</v>
      </c>
      <c r="B138" t="s">
        <v>26</v>
      </c>
      <c r="C138" t="s">
        <v>44</v>
      </c>
      <c r="D138">
        <v>28</v>
      </c>
    </row>
    <row r="139" spans="1:4" x14ac:dyDescent="0.25">
      <c r="A139" t="s">
        <v>806</v>
      </c>
      <c r="B139" t="s">
        <v>19</v>
      </c>
      <c r="C139" t="s">
        <v>44</v>
      </c>
      <c r="D139">
        <v>30</v>
      </c>
    </row>
    <row r="140" spans="1:4" x14ac:dyDescent="0.25">
      <c r="A140" t="s">
        <v>510</v>
      </c>
      <c r="B140" t="s">
        <v>24</v>
      </c>
      <c r="C140" t="s">
        <v>44</v>
      </c>
      <c r="D140">
        <v>32</v>
      </c>
    </row>
    <row r="141" spans="1:4" x14ac:dyDescent="0.25">
      <c r="A141" t="s">
        <v>375</v>
      </c>
      <c r="B141" t="s">
        <v>6</v>
      </c>
      <c r="D141">
        <v>48</v>
      </c>
    </row>
    <row r="142" spans="1:4" x14ac:dyDescent="0.25">
      <c r="A142" t="s">
        <v>381</v>
      </c>
      <c r="B142" t="s">
        <v>8</v>
      </c>
      <c r="D142">
        <v>49</v>
      </c>
    </row>
    <row r="143" spans="1:4" x14ac:dyDescent="0.25">
      <c r="A143" t="s">
        <v>378</v>
      </c>
      <c r="B143" t="s">
        <v>8</v>
      </c>
      <c r="D143">
        <v>49</v>
      </c>
    </row>
    <row r="144" spans="1:4" x14ac:dyDescent="0.25">
      <c r="A144" t="s">
        <v>396</v>
      </c>
      <c r="B144" t="s">
        <v>11</v>
      </c>
      <c r="D144">
        <v>52</v>
      </c>
    </row>
    <row r="145" spans="1:4" x14ac:dyDescent="0.25">
      <c r="A145" t="s">
        <v>399</v>
      </c>
      <c r="B145" t="s">
        <v>12</v>
      </c>
      <c r="D145">
        <v>53</v>
      </c>
    </row>
    <row r="146" spans="1:4" x14ac:dyDescent="0.25">
      <c r="A146" t="s">
        <v>405</v>
      </c>
      <c r="B146" t="s">
        <v>16</v>
      </c>
      <c r="D146">
        <v>58</v>
      </c>
    </row>
    <row r="147" spans="1:4" x14ac:dyDescent="0.25">
      <c r="A147" t="s">
        <v>402</v>
      </c>
      <c r="B147" t="s">
        <v>16</v>
      </c>
      <c r="D147">
        <v>58</v>
      </c>
    </row>
    <row r="148" spans="1:4" x14ac:dyDescent="0.25">
      <c r="A148" t="s">
        <v>371</v>
      </c>
      <c r="B148" t="s">
        <v>39</v>
      </c>
      <c r="D148">
        <v>61</v>
      </c>
    </row>
    <row r="149" spans="1:4" x14ac:dyDescent="0.25">
      <c r="A149" t="s">
        <v>367</v>
      </c>
      <c r="B149" t="s">
        <v>39</v>
      </c>
      <c r="D149">
        <v>61</v>
      </c>
    </row>
    <row r="150" spans="1:4" x14ac:dyDescent="0.25">
      <c r="A150" t="s">
        <v>363</v>
      </c>
      <c r="B150" t="s">
        <v>39</v>
      </c>
      <c r="D150">
        <v>61</v>
      </c>
    </row>
    <row r="151" spans="1:4" x14ac:dyDescent="0.25">
      <c r="A151" t="s">
        <v>359</v>
      </c>
      <c r="B151" t="s">
        <v>39</v>
      </c>
      <c r="D151">
        <v>61</v>
      </c>
    </row>
    <row r="152" spans="1:4" x14ac:dyDescent="0.25">
      <c r="A152" t="s">
        <v>355</v>
      </c>
      <c r="B152" t="s">
        <v>39</v>
      </c>
      <c r="D152">
        <v>61</v>
      </c>
    </row>
    <row r="153" spans="1:4" x14ac:dyDescent="0.25">
      <c r="A153" t="s">
        <v>351</v>
      </c>
      <c r="B153" t="s">
        <v>39</v>
      </c>
      <c r="D153">
        <v>61</v>
      </c>
    </row>
    <row r="154" spans="1:4" x14ac:dyDescent="0.25">
      <c r="A154" t="s">
        <v>347</v>
      </c>
      <c r="B154" t="s">
        <v>39</v>
      </c>
      <c r="D154">
        <v>61</v>
      </c>
    </row>
    <row r="155" spans="1:4" x14ac:dyDescent="0.25">
      <c r="A155" t="s">
        <v>343</v>
      </c>
      <c r="B155" t="s">
        <v>39</v>
      </c>
      <c r="D155">
        <v>61</v>
      </c>
    </row>
    <row r="156" spans="1:4" x14ac:dyDescent="0.25">
      <c r="A156" t="s">
        <v>339</v>
      </c>
      <c r="B156" t="s">
        <v>39</v>
      </c>
      <c r="D156">
        <v>61</v>
      </c>
    </row>
    <row r="157" spans="1:4" x14ac:dyDescent="0.25">
      <c r="A157" t="s">
        <v>335</v>
      </c>
      <c r="B157" t="s">
        <v>39</v>
      </c>
      <c r="D157">
        <v>61</v>
      </c>
    </row>
    <row r="158" spans="1:4" x14ac:dyDescent="0.25">
      <c r="A158" t="s">
        <v>331</v>
      </c>
      <c r="B158" t="s">
        <v>39</v>
      </c>
      <c r="D158">
        <v>61</v>
      </c>
    </row>
    <row r="159" spans="1:4" x14ac:dyDescent="0.25">
      <c r="B159" t="s">
        <v>40</v>
      </c>
      <c r="D159">
        <v>64</v>
      </c>
    </row>
    <row r="160" spans="1:4" x14ac:dyDescent="0.25">
      <c r="B160" t="s">
        <v>40</v>
      </c>
      <c r="D160">
        <v>64</v>
      </c>
    </row>
    <row r="161" spans="1:4" x14ac:dyDescent="0.25">
      <c r="B161" t="s">
        <v>40</v>
      </c>
      <c r="D161">
        <v>64</v>
      </c>
    </row>
    <row r="162" spans="1:4" x14ac:dyDescent="0.25">
      <c r="B162" t="s">
        <v>40</v>
      </c>
      <c r="D162">
        <v>64</v>
      </c>
    </row>
    <row r="163" spans="1:4" x14ac:dyDescent="0.25">
      <c r="B163" t="s">
        <v>40</v>
      </c>
      <c r="D163">
        <v>64</v>
      </c>
    </row>
    <row r="164" spans="1:4" x14ac:dyDescent="0.25">
      <c r="B164" t="s">
        <v>40</v>
      </c>
      <c r="D164">
        <v>64</v>
      </c>
    </row>
    <row r="165" spans="1:4" x14ac:dyDescent="0.25">
      <c r="B165" t="s">
        <v>40</v>
      </c>
      <c r="D165">
        <v>64</v>
      </c>
    </row>
    <row r="166" spans="1:4" x14ac:dyDescent="0.25">
      <c r="B166" t="s">
        <v>40</v>
      </c>
      <c r="D166">
        <v>64</v>
      </c>
    </row>
    <row r="167" spans="1:4" x14ac:dyDescent="0.25">
      <c r="B167" t="s">
        <v>40</v>
      </c>
      <c r="D167">
        <v>64</v>
      </c>
    </row>
    <row r="168" spans="1:4" x14ac:dyDescent="0.25">
      <c r="B168" t="s">
        <v>40</v>
      </c>
      <c r="D168">
        <v>64</v>
      </c>
    </row>
    <row r="169" spans="1:4" x14ac:dyDescent="0.25">
      <c r="A169" t="s">
        <v>911</v>
      </c>
      <c r="B169" t="s">
        <v>0</v>
      </c>
      <c r="D169">
        <v>66</v>
      </c>
    </row>
    <row r="170" spans="1:4" x14ac:dyDescent="0.25">
      <c r="A170" t="s">
        <v>907</v>
      </c>
      <c r="B170" t="s">
        <v>0</v>
      </c>
      <c r="D170">
        <v>66</v>
      </c>
    </row>
    <row r="171" spans="1:4" x14ac:dyDescent="0.25">
      <c r="A171" t="s">
        <v>904</v>
      </c>
      <c r="B171" t="s">
        <v>19</v>
      </c>
      <c r="C171" t="s">
        <v>44</v>
      </c>
      <c r="D171">
        <v>66</v>
      </c>
    </row>
    <row r="172" spans="1:4" x14ac:dyDescent="0.25">
      <c r="B172" t="s">
        <v>40</v>
      </c>
      <c r="C172" t="s">
        <v>570</v>
      </c>
      <c r="D172">
        <v>66</v>
      </c>
    </row>
    <row r="173" spans="1:4" x14ac:dyDescent="0.25">
      <c r="B173" t="s">
        <v>40</v>
      </c>
      <c r="C173" t="s">
        <v>570</v>
      </c>
      <c r="D173">
        <v>66</v>
      </c>
    </row>
    <row r="174" spans="1:4" x14ac:dyDescent="0.25">
      <c r="B174" t="s">
        <v>40</v>
      </c>
      <c r="C174" t="s">
        <v>570</v>
      </c>
      <c r="D174">
        <v>66</v>
      </c>
    </row>
    <row r="175" spans="1:4" x14ac:dyDescent="0.25">
      <c r="B175" t="s">
        <v>40</v>
      </c>
      <c r="C175" t="s">
        <v>570</v>
      </c>
      <c r="D175">
        <v>66</v>
      </c>
    </row>
    <row r="176" spans="1:4" x14ac:dyDescent="0.25">
      <c r="B176" t="s">
        <v>40</v>
      </c>
      <c r="C176" t="s">
        <v>570</v>
      </c>
      <c r="D176">
        <v>66</v>
      </c>
    </row>
    <row r="177" spans="2:4" x14ac:dyDescent="0.25">
      <c r="B177" t="s">
        <v>40</v>
      </c>
      <c r="C177" t="s">
        <v>570</v>
      </c>
      <c r="D177">
        <v>66</v>
      </c>
    </row>
    <row r="178" spans="2:4" x14ac:dyDescent="0.25">
      <c r="B178" t="s">
        <v>40</v>
      </c>
      <c r="C178" t="s">
        <v>570</v>
      </c>
      <c r="D178">
        <v>66</v>
      </c>
    </row>
    <row r="179" spans="2:4" x14ac:dyDescent="0.25">
      <c r="B179" t="s">
        <v>40</v>
      </c>
      <c r="C179" t="s">
        <v>570</v>
      </c>
      <c r="D179">
        <v>66</v>
      </c>
    </row>
    <row r="180" spans="2:4" x14ac:dyDescent="0.25">
      <c r="B180" t="s">
        <v>40</v>
      </c>
      <c r="C180" t="s">
        <v>570</v>
      </c>
      <c r="D180">
        <v>66</v>
      </c>
    </row>
    <row r="181" spans="2:4" x14ac:dyDescent="0.25">
      <c r="B181" t="s">
        <v>40</v>
      </c>
      <c r="C181" t="s">
        <v>570</v>
      </c>
      <c r="D181">
        <v>66</v>
      </c>
    </row>
    <row r="182" spans="2:4" x14ac:dyDescent="0.25">
      <c r="B182" t="s">
        <v>40</v>
      </c>
      <c r="C182" t="s">
        <v>570</v>
      </c>
      <c r="D182">
        <v>66</v>
      </c>
    </row>
    <row r="183" spans="2:4" x14ac:dyDescent="0.25">
      <c r="B183" t="s">
        <v>40</v>
      </c>
      <c r="C183" t="s">
        <v>570</v>
      </c>
      <c r="D183">
        <v>66</v>
      </c>
    </row>
    <row r="184" spans="2:4" x14ac:dyDescent="0.25">
      <c r="B184" t="s">
        <v>40</v>
      </c>
      <c r="C184" t="s">
        <v>570</v>
      </c>
      <c r="D184">
        <v>66</v>
      </c>
    </row>
    <row r="185" spans="2:4" x14ac:dyDescent="0.25">
      <c r="B185" t="s">
        <v>40</v>
      </c>
      <c r="C185" t="s">
        <v>570</v>
      </c>
      <c r="D185">
        <v>66</v>
      </c>
    </row>
    <row r="186" spans="2:4" x14ac:dyDescent="0.25">
      <c r="B186" t="s">
        <v>40</v>
      </c>
      <c r="C186" t="s">
        <v>570</v>
      </c>
      <c r="D186">
        <v>66</v>
      </c>
    </row>
    <row r="187" spans="2:4" x14ac:dyDescent="0.25">
      <c r="B187" t="s">
        <v>40</v>
      </c>
      <c r="C187" t="s">
        <v>570</v>
      </c>
      <c r="D187">
        <v>66</v>
      </c>
    </row>
    <row r="188" spans="2:4" x14ac:dyDescent="0.25">
      <c r="B188" t="s">
        <v>40</v>
      </c>
      <c r="C188" t="s">
        <v>570</v>
      </c>
      <c r="D188">
        <v>66</v>
      </c>
    </row>
    <row r="189" spans="2:4" x14ac:dyDescent="0.25">
      <c r="B189" t="s">
        <v>40</v>
      </c>
      <c r="C189" t="s">
        <v>570</v>
      </c>
      <c r="D189">
        <v>66</v>
      </c>
    </row>
    <row r="190" spans="2:4" x14ac:dyDescent="0.25">
      <c r="B190" t="s">
        <v>40</v>
      </c>
      <c r="C190" t="s">
        <v>570</v>
      </c>
      <c r="D190">
        <v>66</v>
      </c>
    </row>
    <row r="191" spans="2:4" x14ac:dyDescent="0.25">
      <c r="B191" t="s">
        <v>40</v>
      </c>
      <c r="C191" t="s">
        <v>570</v>
      </c>
      <c r="D191">
        <v>66</v>
      </c>
    </row>
    <row r="192" spans="2:4" x14ac:dyDescent="0.25">
      <c r="B192" t="s">
        <v>40</v>
      </c>
      <c r="C192" t="s">
        <v>570</v>
      </c>
      <c r="D192">
        <v>66</v>
      </c>
    </row>
    <row r="193" spans="1:4" x14ac:dyDescent="0.25">
      <c r="B193" t="s">
        <v>40</v>
      </c>
      <c r="C193" t="s">
        <v>570</v>
      </c>
      <c r="D193">
        <v>66</v>
      </c>
    </row>
    <row r="194" spans="1:4" x14ac:dyDescent="0.25">
      <c r="B194" t="s">
        <v>40</v>
      </c>
      <c r="C194" t="s">
        <v>570</v>
      </c>
      <c r="D194">
        <v>66</v>
      </c>
    </row>
    <row r="195" spans="1:4" x14ac:dyDescent="0.25">
      <c r="B195" t="s">
        <v>40</v>
      </c>
      <c r="C195" t="s">
        <v>570</v>
      </c>
      <c r="D195">
        <v>66</v>
      </c>
    </row>
    <row r="196" spans="1:4" x14ac:dyDescent="0.25">
      <c r="B196" t="s">
        <v>40</v>
      </c>
      <c r="C196" t="s">
        <v>570</v>
      </c>
      <c r="D196">
        <v>66</v>
      </c>
    </row>
    <row r="197" spans="1:4" x14ac:dyDescent="0.25">
      <c r="B197" t="s">
        <v>40</v>
      </c>
      <c r="C197" t="s">
        <v>570</v>
      </c>
      <c r="D197">
        <v>66</v>
      </c>
    </row>
    <row r="198" spans="1:4" x14ac:dyDescent="0.25">
      <c r="B198" t="s">
        <v>40</v>
      </c>
      <c r="C198" t="s">
        <v>570</v>
      </c>
      <c r="D198">
        <v>66</v>
      </c>
    </row>
    <row r="199" spans="1:4" x14ac:dyDescent="0.25">
      <c r="B199" t="s">
        <v>51</v>
      </c>
      <c r="C199" t="s">
        <v>570</v>
      </c>
      <c r="D199">
        <v>66</v>
      </c>
    </row>
    <row r="200" spans="1:4" x14ac:dyDescent="0.25">
      <c r="A200" t="s">
        <v>630</v>
      </c>
      <c r="B200" t="s">
        <v>26</v>
      </c>
      <c r="D200">
        <v>66</v>
      </c>
    </row>
    <row r="201" spans="1:4" x14ac:dyDescent="0.25">
      <c r="A201" t="s">
        <v>630</v>
      </c>
      <c r="B201" t="s">
        <v>26</v>
      </c>
      <c r="D201">
        <v>66</v>
      </c>
    </row>
    <row r="202" spans="1:4" x14ac:dyDescent="0.25">
      <c r="B202" t="s">
        <v>38</v>
      </c>
      <c r="D202">
        <v>66</v>
      </c>
    </row>
    <row r="203" spans="1:4" x14ac:dyDescent="0.25">
      <c r="B203" t="s">
        <v>34</v>
      </c>
      <c r="C203" t="s">
        <v>570</v>
      </c>
      <c r="D203">
        <v>66</v>
      </c>
    </row>
    <row r="204" spans="1:4" x14ac:dyDescent="0.25">
      <c r="B204" t="s">
        <v>34</v>
      </c>
      <c r="C204" t="s">
        <v>570</v>
      </c>
      <c r="D204">
        <v>66</v>
      </c>
    </row>
  </sheetData>
  <sortState ref="A2:D204">
    <sortCondition ref="D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7"/>
  <sheetViews>
    <sheetView topLeftCell="A46" zoomScale="85" zoomScaleNormal="85" workbookViewId="0">
      <selection activeCell="A67" sqref="A67:B67"/>
    </sheetView>
  </sheetViews>
  <sheetFormatPr defaultRowHeight="17.399999999999999" x14ac:dyDescent="0.3"/>
  <cols>
    <col min="1" max="1" width="29.88671875" style="13" bestFit="1" customWidth="1"/>
    <col min="2" max="2" width="19.44140625" style="13" bestFit="1" customWidth="1"/>
    <col min="3" max="7" width="8.88671875" style="14"/>
    <col min="8" max="8" width="8.88671875" style="17"/>
    <col min="9" max="9" width="22.88671875" style="17" bestFit="1" customWidth="1"/>
    <col min="10" max="16384" width="8.88671875" style="14"/>
  </cols>
  <sheetData>
    <row r="1" spans="1:9" x14ac:dyDescent="0.3">
      <c r="A1" s="13" t="s">
        <v>303</v>
      </c>
      <c r="B1" s="13" t="s">
        <v>305</v>
      </c>
      <c r="I1" s="17" t="s">
        <v>935</v>
      </c>
    </row>
    <row r="2" spans="1:9" x14ac:dyDescent="0.3">
      <c r="A2" s="12" t="s">
        <v>19</v>
      </c>
      <c r="B2" s="12" t="s">
        <v>57</v>
      </c>
      <c r="I2" s="19" t="s">
        <v>57</v>
      </c>
    </row>
    <row r="3" spans="1:9" x14ac:dyDescent="0.3">
      <c r="A3" s="12" t="s">
        <v>20</v>
      </c>
      <c r="B3" s="12" t="s">
        <v>57</v>
      </c>
      <c r="I3" s="19" t="s">
        <v>44</v>
      </c>
    </row>
    <row r="4" spans="1:9" x14ac:dyDescent="0.3">
      <c r="A4" s="12" t="s">
        <v>21</v>
      </c>
      <c r="B4" s="12" t="s">
        <v>44</v>
      </c>
      <c r="I4" s="18" t="s">
        <v>570</v>
      </c>
    </row>
    <row r="5" spans="1:9" x14ac:dyDescent="0.3">
      <c r="A5" s="12" t="s">
        <v>22</v>
      </c>
      <c r="B5" s="12" t="s">
        <v>44</v>
      </c>
    </row>
    <row r="6" spans="1:9" x14ac:dyDescent="0.3">
      <c r="A6" s="12" t="s">
        <v>3</v>
      </c>
      <c r="B6" s="12" t="s">
        <v>44</v>
      </c>
    </row>
    <row r="7" spans="1:9" x14ac:dyDescent="0.3">
      <c r="A7" s="12" t="s">
        <v>21</v>
      </c>
      <c r="B7" s="12" t="s">
        <v>57</v>
      </c>
    </row>
    <row r="8" spans="1:9" x14ac:dyDescent="0.3">
      <c r="A8" s="12" t="s">
        <v>22</v>
      </c>
      <c r="B8" s="12" t="s">
        <v>57</v>
      </c>
    </row>
    <row r="9" spans="1:9" x14ac:dyDescent="0.3">
      <c r="A9" s="12" t="s">
        <v>3</v>
      </c>
      <c r="B9" s="12" t="s">
        <v>57</v>
      </c>
    </row>
    <row r="10" spans="1:9" x14ac:dyDescent="0.3">
      <c r="A10" s="12" t="s">
        <v>23</v>
      </c>
      <c r="B10" s="12" t="s">
        <v>57</v>
      </c>
    </row>
    <row r="11" spans="1:9" x14ac:dyDescent="0.3">
      <c r="A11" s="12" t="s">
        <v>24</v>
      </c>
      <c r="B11" s="12" t="s">
        <v>57</v>
      </c>
    </row>
    <row r="12" spans="1:9" x14ac:dyDescent="0.3">
      <c r="A12" s="12" t="s">
        <v>4</v>
      </c>
      <c r="B12" s="12" t="s">
        <v>57</v>
      </c>
    </row>
    <row r="13" spans="1:9" x14ac:dyDescent="0.3">
      <c r="A13" s="12" t="s">
        <v>2</v>
      </c>
      <c r="B13" s="12" t="s">
        <v>57</v>
      </c>
    </row>
    <row r="14" spans="1:9" x14ac:dyDescent="0.3">
      <c r="A14" s="12" t="s">
        <v>1</v>
      </c>
      <c r="B14" s="12" t="s">
        <v>57</v>
      </c>
    </row>
    <row r="15" spans="1:9" x14ac:dyDescent="0.3">
      <c r="A15" s="12" t="s">
        <v>25</v>
      </c>
      <c r="B15" s="12" t="s">
        <v>57</v>
      </c>
    </row>
    <row r="16" spans="1:9" x14ac:dyDescent="0.3">
      <c r="A16" s="12" t="s">
        <v>26</v>
      </c>
      <c r="B16" s="12" t="s">
        <v>57</v>
      </c>
    </row>
    <row r="17" spans="1:2" x14ac:dyDescent="0.3">
      <c r="A17" s="12" t="s">
        <v>42</v>
      </c>
      <c r="B17" s="12" t="s">
        <v>57</v>
      </c>
    </row>
    <row r="18" spans="1:2" x14ac:dyDescent="0.3">
      <c r="A18" s="12" t="s">
        <v>27</v>
      </c>
      <c r="B18" s="12" t="s">
        <v>57</v>
      </c>
    </row>
    <row r="19" spans="1:2" x14ac:dyDescent="0.3">
      <c r="A19" s="12" t="s">
        <v>28</v>
      </c>
      <c r="B19" s="12" t="s">
        <v>57</v>
      </c>
    </row>
    <row r="20" spans="1:2" x14ac:dyDescent="0.3">
      <c r="A20" s="12" t="s">
        <v>29</v>
      </c>
      <c r="B20" s="12" t="s">
        <v>57</v>
      </c>
    </row>
    <row r="21" spans="1:2" x14ac:dyDescent="0.3">
      <c r="A21" s="12" t="s">
        <v>30</v>
      </c>
      <c r="B21" s="12" t="s">
        <v>57</v>
      </c>
    </row>
    <row r="22" spans="1:2" x14ac:dyDescent="0.3">
      <c r="A22" s="12" t="s">
        <v>31</v>
      </c>
      <c r="B22" s="12" t="s">
        <v>57</v>
      </c>
    </row>
    <row r="23" spans="1:2" x14ac:dyDescent="0.3">
      <c r="A23" s="12" t="s">
        <v>0</v>
      </c>
      <c r="B23" s="12" t="s">
        <v>57</v>
      </c>
    </row>
    <row r="24" spans="1:2" x14ac:dyDescent="0.3">
      <c r="A24" s="12" t="s">
        <v>32</v>
      </c>
      <c r="B24" s="12" t="s">
        <v>57</v>
      </c>
    </row>
    <row r="25" spans="1:2" x14ac:dyDescent="0.3">
      <c r="A25" s="12" t="s">
        <v>29</v>
      </c>
      <c r="B25" s="12" t="s">
        <v>44</v>
      </c>
    </row>
    <row r="26" spans="1:2" x14ac:dyDescent="0.3">
      <c r="A26" s="12" t="s">
        <v>30</v>
      </c>
      <c r="B26" s="12" t="s">
        <v>44</v>
      </c>
    </row>
    <row r="27" spans="1:2" x14ac:dyDescent="0.3">
      <c r="A27" s="12" t="s">
        <v>31</v>
      </c>
      <c r="B27" s="12" t="s">
        <v>44</v>
      </c>
    </row>
    <row r="28" spans="1:2" x14ac:dyDescent="0.3">
      <c r="A28" s="12" t="s">
        <v>32</v>
      </c>
      <c r="B28" s="12" t="s">
        <v>44</v>
      </c>
    </row>
    <row r="29" spans="1:2" x14ac:dyDescent="0.3">
      <c r="A29" s="12" t="s">
        <v>26</v>
      </c>
      <c r="B29" s="12" t="s">
        <v>44</v>
      </c>
    </row>
    <row r="30" spans="1:2" x14ac:dyDescent="0.3">
      <c r="A30" s="12" t="s">
        <v>42</v>
      </c>
      <c r="B30" s="12" t="s">
        <v>44</v>
      </c>
    </row>
    <row r="31" spans="1:2" x14ac:dyDescent="0.3">
      <c r="A31" s="12" t="s">
        <v>19</v>
      </c>
      <c r="B31" s="12" t="s">
        <v>44</v>
      </c>
    </row>
    <row r="32" spans="1:2" x14ac:dyDescent="0.3">
      <c r="A32" s="12" t="s">
        <v>20</v>
      </c>
      <c r="B32" s="12" t="s">
        <v>44</v>
      </c>
    </row>
    <row r="33" spans="1:2" x14ac:dyDescent="0.3">
      <c r="A33" s="12" t="s">
        <v>24</v>
      </c>
      <c r="B33" s="12" t="s">
        <v>44</v>
      </c>
    </row>
    <row r="34" spans="1:2" x14ac:dyDescent="0.3">
      <c r="A34" s="12" t="s">
        <v>4</v>
      </c>
      <c r="B34" s="12" t="s">
        <v>44</v>
      </c>
    </row>
    <row r="35" spans="1:2" x14ac:dyDescent="0.3">
      <c r="A35" s="12" t="s">
        <v>2</v>
      </c>
      <c r="B35" s="12" t="s">
        <v>44</v>
      </c>
    </row>
    <row r="36" spans="1:2" x14ac:dyDescent="0.3">
      <c r="A36" s="12" t="s">
        <v>1</v>
      </c>
      <c r="B36" s="12" t="s">
        <v>44</v>
      </c>
    </row>
    <row r="37" spans="1:2" x14ac:dyDescent="0.3">
      <c r="A37" s="12" t="s">
        <v>25</v>
      </c>
      <c r="B37" s="12" t="s">
        <v>44</v>
      </c>
    </row>
    <row r="38" spans="1:2" x14ac:dyDescent="0.3">
      <c r="A38" s="12" t="s">
        <v>33</v>
      </c>
      <c r="B38" s="12" t="s">
        <v>57</v>
      </c>
    </row>
    <row r="39" spans="1:2" x14ac:dyDescent="0.3">
      <c r="A39" s="12" t="s">
        <v>34</v>
      </c>
      <c r="B39" s="12" t="s">
        <v>57</v>
      </c>
    </row>
    <row r="40" spans="1:2" x14ac:dyDescent="0.3">
      <c r="A40" s="12" t="s">
        <v>35</v>
      </c>
      <c r="B40" s="12" t="s">
        <v>57</v>
      </c>
    </row>
    <row r="41" spans="1:2" x14ac:dyDescent="0.3">
      <c r="A41" s="12" t="s">
        <v>43</v>
      </c>
      <c r="B41" s="12" t="s">
        <v>57</v>
      </c>
    </row>
    <row r="42" spans="1:2" x14ac:dyDescent="0.3">
      <c r="A42" s="12" t="s">
        <v>36</v>
      </c>
      <c r="B42" s="12" t="s">
        <v>57</v>
      </c>
    </row>
    <row r="43" spans="1:2" x14ac:dyDescent="0.3">
      <c r="A43" s="12" t="s">
        <v>37</v>
      </c>
      <c r="B43" s="12" t="s">
        <v>57</v>
      </c>
    </row>
    <row r="44" spans="1:2" x14ac:dyDescent="0.3">
      <c r="A44" s="12" t="s">
        <v>38</v>
      </c>
      <c r="B44" s="12" t="s">
        <v>57</v>
      </c>
    </row>
    <row r="45" spans="1:2" x14ac:dyDescent="0.3">
      <c r="A45" s="12" t="s">
        <v>59</v>
      </c>
      <c r="B45" s="12" t="s">
        <v>57</v>
      </c>
    </row>
    <row r="46" spans="1:2" x14ac:dyDescent="0.3">
      <c r="A46" s="12" t="s">
        <v>60</v>
      </c>
      <c r="B46" s="12" t="s">
        <v>57</v>
      </c>
    </row>
    <row r="47" spans="1:2" x14ac:dyDescent="0.3">
      <c r="A47" s="12" t="s">
        <v>61</v>
      </c>
      <c r="B47" s="12" t="s">
        <v>57</v>
      </c>
    </row>
    <row r="48" spans="1:2" x14ac:dyDescent="0.3">
      <c r="A48" s="12" t="s">
        <v>5</v>
      </c>
      <c r="B48" s="12" t="s">
        <v>57</v>
      </c>
    </row>
    <row r="49" spans="1:2" x14ac:dyDescent="0.3">
      <c r="A49" s="12" t="s">
        <v>6</v>
      </c>
      <c r="B49" s="12" t="s">
        <v>57</v>
      </c>
    </row>
    <row r="50" spans="1:2" x14ac:dyDescent="0.3">
      <c r="A50" s="12" t="s">
        <v>8</v>
      </c>
      <c r="B50" s="12" t="s">
        <v>57</v>
      </c>
    </row>
    <row r="51" spans="1:2" x14ac:dyDescent="0.3">
      <c r="A51" s="12" t="s">
        <v>9</v>
      </c>
      <c r="B51" s="12" t="s">
        <v>57</v>
      </c>
    </row>
    <row r="52" spans="1:2" x14ac:dyDescent="0.3">
      <c r="A52" s="12" t="s">
        <v>10</v>
      </c>
      <c r="B52" s="12" t="s">
        <v>57</v>
      </c>
    </row>
    <row r="53" spans="1:2" x14ac:dyDescent="0.3">
      <c r="A53" s="12" t="s">
        <v>11</v>
      </c>
      <c r="B53" s="12" t="s">
        <v>57</v>
      </c>
    </row>
    <row r="54" spans="1:2" x14ac:dyDescent="0.3">
      <c r="A54" s="12" t="s">
        <v>12</v>
      </c>
      <c r="B54" s="12" t="s">
        <v>57</v>
      </c>
    </row>
    <row r="55" spans="1:2" x14ac:dyDescent="0.3">
      <c r="A55" s="12" t="s">
        <v>7</v>
      </c>
      <c r="B55" s="12" t="s">
        <v>57</v>
      </c>
    </row>
    <row r="56" spans="1:2" x14ac:dyDescent="0.3">
      <c r="A56" s="12" t="s">
        <v>13</v>
      </c>
      <c r="B56" s="12" t="s">
        <v>57</v>
      </c>
    </row>
    <row r="57" spans="1:2" x14ac:dyDescent="0.3">
      <c r="A57" s="12" t="s">
        <v>14</v>
      </c>
      <c r="B57" s="12" t="s">
        <v>57</v>
      </c>
    </row>
    <row r="58" spans="1:2" x14ac:dyDescent="0.3">
      <c r="A58" s="12" t="s">
        <v>15</v>
      </c>
      <c r="B58" s="12" t="s">
        <v>57</v>
      </c>
    </row>
    <row r="59" spans="1:2" x14ac:dyDescent="0.3">
      <c r="A59" s="12" t="s">
        <v>16</v>
      </c>
      <c r="B59" s="12" t="s">
        <v>57</v>
      </c>
    </row>
    <row r="60" spans="1:2" x14ac:dyDescent="0.3">
      <c r="A60" s="12" t="s">
        <v>17</v>
      </c>
      <c r="B60" s="12" t="s">
        <v>57</v>
      </c>
    </row>
    <row r="61" spans="1:2" x14ac:dyDescent="0.3">
      <c r="A61" s="12" t="s">
        <v>18</v>
      </c>
      <c r="B61" s="12" t="s">
        <v>57</v>
      </c>
    </row>
    <row r="62" spans="1:2" x14ac:dyDescent="0.3">
      <c r="A62" s="12" t="s">
        <v>39</v>
      </c>
      <c r="B62" s="12" t="s">
        <v>57</v>
      </c>
    </row>
    <row r="63" spans="1:2" x14ac:dyDescent="0.3">
      <c r="A63" s="12" t="s">
        <v>41</v>
      </c>
      <c r="B63" s="12" t="s">
        <v>57</v>
      </c>
    </row>
    <row r="64" spans="1:2" x14ac:dyDescent="0.3">
      <c r="A64" s="12" t="s">
        <v>51</v>
      </c>
      <c r="B64" s="12" t="s">
        <v>57</v>
      </c>
    </row>
    <row r="65" spans="1:2" x14ac:dyDescent="0.3">
      <c r="A65" s="12" t="s">
        <v>40</v>
      </c>
      <c r="B65" s="12" t="s">
        <v>57</v>
      </c>
    </row>
    <row r="66" spans="1:2" x14ac:dyDescent="0.3">
      <c r="A66" s="12"/>
      <c r="B66" s="12"/>
    </row>
    <row r="67" spans="1:2" x14ac:dyDescent="0.3">
      <c r="A67" s="12" t="s">
        <v>298</v>
      </c>
      <c r="B67" s="12"/>
    </row>
  </sheetData>
  <sheetProtection selectLockedCells="1"/>
  <dataValidations count="1">
    <dataValidation type="list" showInputMessage="1" showErrorMessage="1" sqref="B2 B3:B67">
      <formula1>$I$2:$I$4</formula1>
    </dataValidation>
  </dataValidation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LYN RTF daily report1</vt:lpstr>
      <vt:lpstr>Index</vt:lpstr>
      <vt:lpstr>Sheet1</vt:lpstr>
      <vt:lpstr>Ranked Sections</vt:lpstr>
      <vt:lpstr>callNumMask</vt:lpstr>
      <vt:lpstr>'LYN RTF daily report1'!Print_Titles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2014-09-17T23:59:49Z</dcterms:modified>
</cp:coreProperties>
</file>